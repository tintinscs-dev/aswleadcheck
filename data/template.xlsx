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 codeName="ThisWorkbook" defaultThemeVersion="124226"/>
  <xr:revisionPtr revIDLastSave="0" documentId="13_ncr:1_{4C897DBC-4118-4299-8FB0-7A74F565E2B0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ata Input" sheetId="3" r:id="rId1"/>
    <sheet name="Shipment Proposal" sheetId="8" r:id="rId2"/>
    <sheet name="Hướng dẫn" sheetId="9" r:id="rId3"/>
  </sheets>
  <definedNames>
    <definedName name="_xlnm._FilterDatabase" localSheetId="0" hidden="1">'Data Input'!$A$5:$EQ$932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8" l="1"/>
  <c r="D9" i="8"/>
  <c r="C9" i="8"/>
  <c r="EC13" i="3" l="1"/>
  <c r="EB6" i="3"/>
  <c r="EC6" i="3"/>
  <c r="ED6" i="3"/>
  <c r="EE6" i="3"/>
  <c r="EG6" i="3"/>
  <c r="EI6" i="3"/>
  <c r="EK6" i="3"/>
  <c r="K7" i="8"/>
  <c r="I23" i="8"/>
  <c r="EB7" i="3"/>
  <c r="EQ6" i="3" l="1"/>
  <c r="EG22" i="3"/>
  <c r="EC18" i="3"/>
  <c r="EG20" i="3"/>
  <c r="EG17" i="3"/>
  <c r="C6" i="8"/>
  <c r="EG10" i="3"/>
  <c r="G56" i="8"/>
  <c r="EI7" i="3"/>
  <c r="EI8" i="3"/>
  <c r="EI9" i="3"/>
  <c r="EI10" i="3"/>
  <c r="EI11" i="3"/>
  <c r="EI12" i="3"/>
  <c r="EI13" i="3"/>
  <c r="EI14" i="3"/>
  <c r="EI15" i="3"/>
  <c r="EI16" i="3"/>
  <c r="EI17" i="3"/>
  <c r="EI18" i="3"/>
  <c r="EI19" i="3"/>
  <c r="EI20" i="3"/>
  <c r="EI21" i="3"/>
  <c r="EI22" i="3"/>
  <c r="EI23" i="3"/>
  <c r="EI24" i="3"/>
  <c r="EI25" i="3"/>
  <c r="EI26" i="3"/>
  <c r="EI27" i="3"/>
  <c r="EI28" i="3"/>
  <c r="EI29" i="3"/>
  <c r="EI30" i="3"/>
  <c r="EI31" i="3"/>
  <c r="EI32" i="3"/>
  <c r="EI33" i="3"/>
  <c r="EI34" i="3"/>
  <c r="EI35" i="3"/>
  <c r="EI36" i="3"/>
  <c r="EI37" i="3"/>
  <c r="EI38" i="3"/>
  <c r="EI39" i="3"/>
  <c r="EI40" i="3"/>
  <c r="EI41" i="3"/>
  <c r="EI42" i="3"/>
  <c r="EI43" i="3"/>
  <c r="EI44" i="3"/>
  <c r="EI45" i="3"/>
  <c r="EI46" i="3"/>
  <c r="EI47" i="3"/>
  <c r="EI48" i="3"/>
  <c r="EI49" i="3"/>
  <c r="EI50" i="3"/>
  <c r="EI51" i="3"/>
  <c r="EI52" i="3"/>
  <c r="EI53" i="3"/>
  <c r="EI54" i="3"/>
  <c r="EI55" i="3"/>
  <c r="EI56" i="3"/>
  <c r="EI57" i="3"/>
  <c r="EI58" i="3"/>
  <c r="EI59" i="3"/>
  <c r="EI60" i="3"/>
  <c r="EI61" i="3"/>
  <c r="EI62" i="3"/>
  <c r="EI63" i="3"/>
  <c r="EI64" i="3"/>
  <c r="EI65" i="3"/>
  <c r="EI66" i="3"/>
  <c r="EI67" i="3"/>
  <c r="EI68" i="3"/>
  <c r="EI69" i="3"/>
  <c r="EI70" i="3"/>
  <c r="EI71" i="3"/>
  <c r="EI72" i="3"/>
  <c r="EI73" i="3"/>
  <c r="EI74" i="3"/>
  <c r="EI75" i="3"/>
  <c r="EI76" i="3"/>
  <c r="EI77" i="3"/>
  <c r="EI78" i="3"/>
  <c r="EI79" i="3"/>
  <c r="EI80" i="3"/>
  <c r="EI81" i="3"/>
  <c r="EI82" i="3"/>
  <c r="EI83" i="3"/>
  <c r="EI84" i="3"/>
  <c r="EI85" i="3"/>
  <c r="EI86" i="3"/>
  <c r="EI87" i="3"/>
  <c r="EI88" i="3"/>
  <c r="EI89" i="3"/>
  <c r="EI90" i="3"/>
  <c r="EI91" i="3"/>
  <c r="EI92" i="3"/>
  <c r="EI93" i="3"/>
  <c r="EI94" i="3"/>
  <c r="EI95" i="3"/>
  <c r="EI96" i="3"/>
  <c r="EI97" i="3"/>
  <c r="EI98" i="3"/>
  <c r="EI99" i="3"/>
  <c r="EI100" i="3"/>
  <c r="EI101" i="3"/>
  <c r="EI102" i="3"/>
  <c r="EI103" i="3"/>
  <c r="EI104" i="3"/>
  <c r="EI105" i="3"/>
  <c r="EI106" i="3"/>
  <c r="EI107" i="3"/>
  <c r="EI108" i="3"/>
  <c r="EI109" i="3"/>
  <c r="EI110" i="3"/>
  <c r="EI111" i="3"/>
  <c r="EI112" i="3"/>
  <c r="EI113" i="3"/>
  <c r="EI114" i="3"/>
  <c r="EI115" i="3"/>
  <c r="EI116" i="3"/>
  <c r="EI117" i="3"/>
  <c r="EI118" i="3"/>
  <c r="EI119" i="3"/>
  <c r="EI120" i="3"/>
  <c r="EI121" i="3"/>
  <c r="EI122" i="3"/>
  <c r="EI123" i="3"/>
  <c r="EI124" i="3"/>
  <c r="EI125" i="3"/>
  <c r="EI126" i="3"/>
  <c r="EI127" i="3"/>
  <c r="EI128" i="3"/>
  <c r="EI129" i="3"/>
  <c r="EI130" i="3"/>
  <c r="EI131" i="3"/>
  <c r="EI132" i="3"/>
  <c r="EI133" i="3"/>
  <c r="EI134" i="3"/>
  <c r="EI135" i="3"/>
  <c r="EI136" i="3"/>
  <c r="EI137" i="3"/>
  <c r="EI138" i="3"/>
  <c r="EI139" i="3"/>
  <c r="EI140" i="3"/>
  <c r="EI141" i="3"/>
  <c r="EI142" i="3"/>
  <c r="EI143" i="3"/>
  <c r="EI144" i="3"/>
  <c r="EI145" i="3"/>
  <c r="EI146" i="3"/>
  <c r="EI147" i="3"/>
  <c r="EI148" i="3"/>
  <c r="EI149" i="3"/>
  <c r="EI150" i="3"/>
  <c r="EI151" i="3"/>
  <c r="EI152" i="3"/>
  <c r="EI153" i="3"/>
  <c r="EI154" i="3"/>
  <c r="EI155" i="3"/>
  <c r="EI156" i="3"/>
  <c r="EI157" i="3"/>
  <c r="EI158" i="3"/>
  <c r="EI159" i="3"/>
  <c r="EI160" i="3"/>
  <c r="EI161" i="3"/>
  <c r="EI162" i="3"/>
  <c r="EI163" i="3"/>
  <c r="EI164" i="3"/>
  <c r="EI165" i="3"/>
  <c r="EI166" i="3"/>
  <c r="EI167" i="3"/>
  <c r="EI168" i="3"/>
  <c r="EI169" i="3"/>
  <c r="EI170" i="3"/>
  <c r="EI171" i="3"/>
  <c r="EI172" i="3"/>
  <c r="EI173" i="3"/>
  <c r="EI174" i="3"/>
  <c r="EI175" i="3"/>
  <c r="EI176" i="3"/>
  <c r="EI177" i="3"/>
  <c r="EI178" i="3"/>
  <c r="EI179" i="3"/>
  <c r="EI180" i="3"/>
  <c r="EI181" i="3"/>
  <c r="EI182" i="3"/>
  <c r="EI183" i="3"/>
  <c r="EI184" i="3"/>
  <c r="EI185" i="3"/>
  <c r="EI186" i="3"/>
  <c r="EI187" i="3"/>
  <c r="EI188" i="3"/>
  <c r="EI189" i="3"/>
  <c r="EI190" i="3"/>
  <c r="EI191" i="3"/>
  <c r="EI192" i="3"/>
  <c r="EI193" i="3"/>
  <c r="EI194" i="3"/>
  <c r="EI195" i="3"/>
  <c r="EI196" i="3"/>
  <c r="EI197" i="3"/>
  <c r="EI198" i="3"/>
  <c r="EI199" i="3"/>
  <c r="EI200" i="3"/>
  <c r="EI201" i="3"/>
  <c r="EI202" i="3"/>
  <c r="EI203" i="3"/>
  <c r="EI204" i="3"/>
  <c r="EI205" i="3"/>
  <c r="EI206" i="3"/>
  <c r="EI207" i="3"/>
  <c r="EI208" i="3"/>
  <c r="EI209" i="3"/>
  <c r="EI210" i="3"/>
  <c r="EI211" i="3"/>
  <c r="EI212" i="3"/>
  <c r="EI213" i="3"/>
  <c r="EI214" i="3"/>
  <c r="EI215" i="3"/>
  <c r="EI216" i="3"/>
  <c r="EI217" i="3"/>
  <c r="EI218" i="3"/>
  <c r="EI219" i="3"/>
  <c r="EI220" i="3"/>
  <c r="EI221" i="3"/>
  <c r="EI222" i="3"/>
  <c r="EI223" i="3"/>
  <c r="EI224" i="3"/>
  <c r="EI225" i="3"/>
  <c r="EI226" i="3"/>
  <c r="EI227" i="3"/>
  <c r="EI228" i="3"/>
  <c r="EI229" i="3"/>
  <c r="EI230" i="3"/>
  <c r="EI231" i="3"/>
  <c r="EI232" i="3"/>
  <c r="EI233" i="3"/>
  <c r="EI234" i="3"/>
  <c r="EI235" i="3"/>
  <c r="EI236" i="3"/>
  <c r="EI237" i="3"/>
  <c r="EI238" i="3"/>
  <c r="EI239" i="3"/>
  <c r="EI240" i="3"/>
  <c r="EI241" i="3"/>
  <c r="EI242" i="3"/>
  <c r="EI243" i="3"/>
  <c r="EI244" i="3"/>
  <c r="EI245" i="3"/>
  <c r="EI246" i="3"/>
  <c r="EI247" i="3"/>
  <c r="EI248" i="3"/>
  <c r="EI249" i="3"/>
  <c r="EI250" i="3"/>
  <c r="EI251" i="3"/>
  <c r="EI252" i="3"/>
  <c r="EI253" i="3"/>
  <c r="EI254" i="3"/>
  <c r="EI255" i="3"/>
  <c r="EI256" i="3"/>
  <c r="EI257" i="3"/>
  <c r="EI258" i="3"/>
  <c r="EI259" i="3"/>
  <c r="EI260" i="3"/>
  <c r="EI261" i="3"/>
  <c r="EI262" i="3"/>
  <c r="EI263" i="3"/>
  <c r="EI264" i="3"/>
  <c r="EI265" i="3"/>
  <c r="EI266" i="3"/>
  <c r="EI267" i="3"/>
  <c r="EI268" i="3"/>
  <c r="EI269" i="3"/>
  <c r="EI270" i="3"/>
  <c r="EI271" i="3"/>
  <c r="EI272" i="3"/>
  <c r="EI273" i="3"/>
  <c r="EI274" i="3"/>
  <c r="EI275" i="3"/>
  <c r="EI276" i="3"/>
  <c r="EI277" i="3"/>
  <c r="EI278" i="3"/>
  <c r="EI279" i="3"/>
  <c r="EI280" i="3"/>
  <c r="EI281" i="3"/>
  <c r="EI282" i="3"/>
  <c r="EI283" i="3"/>
  <c r="EI284" i="3"/>
  <c r="EI285" i="3"/>
  <c r="EI286" i="3"/>
  <c r="EI287" i="3"/>
  <c r="EI288" i="3"/>
  <c r="EI289" i="3"/>
  <c r="EI290" i="3"/>
  <c r="EI291" i="3"/>
  <c r="EI292" i="3"/>
  <c r="EI293" i="3"/>
  <c r="EI294" i="3"/>
  <c r="EI295" i="3"/>
  <c r="EI296" i="3"/>
  <c r="EI297" i="3"/>
  <c r="EI298" i="3"/>
  <c r="EI299" i="3"/>
  <c r="EI300" i="3"/>
  <c r="EI301" i="3"/>
  <c r="EI302" i="3"/>
  <c r="EI303" i="3"/>
  <c r="EI304" i="3"/>
  <c r="EI305" i="3"/>
  <c r="EI306" i="3"/>
  <c r="EI307" i="3"/>
  <c r="EI308" i="3"/>
  <c r="EI309" i="3"/>
  <c r="EI310" i="3"/>
  <c r="EI311" i="3"/>
  <c r="EI312" i="3"/>
  <c r="EI313" i="3"/>
  <c r="EI314" i="3"/>
  <c r="EI315" i="3"/>
  <c r="EI316" i="3"/>
  <c r="EI317" i="3"/>
  <c r="EI318" i="3"/>
  <c r="EI319" i="3"/>
  <c r="EI320" i="3"/>
  <c r="EI321" i="3"/>
  <c r="EI322" i="3"/>
  <c r="EI323" i="3"/>
  <c r="EI324" i="3"/>
  <c r="EI325" i="3"/>
  <c r="EI326" i="3"/>
  <c r="EI327" i="3"/>
  <c r="EI328" i="3"/>
  <c r="EI329" i="3"/>
  <c r="EI330" i="3"/>
  <c r="EI331" i="3"/>
  <c r="EI332" i="3"/>
  <c r="EI333" i="3"/>
  <c r="EI334" i="3"/>
  <c r="EI335" i="3"/>
  <c r="EI336" i="3"/>
  <c r="EI337" i="3"/>
  <c r="EI338" i="3"/>
  <c r="EI339" i="3"/>
  <c r="EI340" i="3"/>
  <c r="EI341" i="3"/>
  <c r="EI342" i="3"/>
  <c r="EI343" i="3"/>
  <c r="EI344" i="3"/>
  <c r="EI345" i="3"/>
  <c r="EI346" i="3"/>
  <c r="EI347" i="3"/>
  <c r="EI348" i="3"/>
  <c r="EI349" i="3"/>
  <c r="EI350" i="3"/>
  <c r="EI351" i="3"/>
  <c r="EI352" i="3"/>
  <c r="EI353" i="3"/>
  <c r="EI354" i="3"/>
  <c r="EI355" i="3"/>
  <c r="EI356" i="3"/>
  <c r="EI357" i="3"/>
  <c r="EI358" i="3"/>
  <c r="EI359" i="3"/>
  <c r="EI360" i="3"/>
  <c r="EI361" i="3"/>
  <c r="EI362" i="3"/>
  <c r="EI363" i="3"/>
  <c r="EI364" i="3"/>
  <c r="EI365" i="3"/>
  <c r="EI366" i="3"/>
  <c r="EI367" i="3"/>
  <c r="EI368" i="3"/>
  <c r="EI369" i="3"/>
  <c r="EI370" i="3"/>
  <c r="EI371" i="3"/>
  <c r="EI372" i="3"/>
  <c r="EI373" i="3"/>
  <c r="EI374" i="3"/>
  <c r="EI375" i="3"/>
  <c r="EI376" i="3"/>
  <c r="EI377" i="3"/>
  <c r="EI378" i="3"/>
  <c r="EI379" i="3"/>
  <c r="EI380" i="3"/>
  <c r="EI381" i="3"/>
  <c r="EI382" i="3"/>
  <c r="EI383" i="3"/>
  <c r="EI384" i="3"/>
  <c r="EI385" i="3"/>
  <c r="EI386" i="3"/>
  <c r="EI387" i="3"/>
  <c r="EI388" i="3"/>
  <c r="EI389" i="3"/>
  <c r="EI390" i="3"/>
  <c r="EI391" i="3"/>
  <c r="EI392" i="3"/>
  <c r="EI393" i="3"/>
  <c r="EI394" i="3"/>
  <c r="EI395" i="3"/>
  <c r="EI396" i="3"/>
  <c r="EI397" i="3"/>
  <c r="EI398" i="3"/>
  <c r="EI399" i="3"/>
  <c r="EI400" i="3"/>
  <c r="EI401" i="3"/>
  <c r="EI402" i="3"/>
  <c r="EI403" i="3"/>
  <c r="EI404" i="3"/>
  <c r="EI405" i="3"/>
  <c r="EI406" i="3"/>
  <c r="EI407" i="3"/>
  <c r="EI408" i="3"/>
  <c r="EI409" i="3"/>
  <c r="EI410" i="3"/>
  <c r="EI411" i="3"/>
  <c r="EI412" i="3"/>
  <c r="EI413" i="3"/>
  <c r="EI414" i="3"/>
  <c r="EI415" i="3"/>
  <c r="EI416" i="3"/>
  <c r="EI417" i="3"/>
  <c r="EI418" i="3"/>
  <c r="EI419" i="3"/>
  <c r="EI420" i="3"/>
  <c r="EI421" i="3"/>
  <c r="EI422" i="3"/>
  <c r="EI423" i="3"/>
  <c r="EI424" i="3"/>
  <c r="EI425" i="3"/>
  <c r="EI426" i="3"/>
  <c r="EI427" i="3"/>
  <c r="EI428" i="3"/>
  <c r="EI429" i="3"/>
  <c r="EI430" i="3"/>
  <c r="EI431" i="3"/>
  <c r="EI432" i="3"/>
  <c r="EI433" i="3"/>
  <c r="EI434" i="3"/>
  <c r="EI435" i="3"/>
  <c r="EI436" i="3"/>
  <c r="EI437" i="3"/>
  <c r="EI438" i="3"/>
  <c r="EI439" i="3"/>
  <c r="EI440" i="3"/>
  <c r="EI441" i="3"/>
  <c r="EI442" i="3"/>
  <c r="EI443" i="3"/>
  <c r="EI444" i="3"/>
  <c r="EI445" i="3"/>
  <c r="EI446" i="3"/>
  <c r="EI447" i="3"/>
  <c r="EI448" i="3"/>
  <c r="EI449" i="3"/>
  <c r="EI450" i="3"/>
  <c r="EI451" i="3"/>
  <c r="EI452" i="3"/>
  <c r="EI453" i="3"/>
  <c r="EI454" i="3"/>
  <c r="EI455" i="3"/>
  <c r="EI456" i="3"/>
  <c r="EI457" i="3"/>
  <c r="EI458" i="3"/>
  <c r="EI459" i="3"/>
  <c r="EI460" i="3"/>
  <c r="EI461" i="3"/>
  <c r="EI462" i="3"/>
  <c r="EI463" i="3"/>
  <c r="EI464" i="3"/>
  <c r="EI465" i="3"/>
  <c r="EI466" i="3"/>
  <c r="EI467" i="3"/>
  <c r="EI468" i="3"/>
  <c r="EI469" i="3"/>
  <c r="EI470" i="3"/>
  <c r="EI471" i="3"/>
  <c r="EI472" i="3"/>
  <c r="EI473" i="3"/>
  <c r="EI474" i="3"/>
  <c r="EI475" i="3"/>
  <c r="EI476" i="3"/>
  <c r="EI477" i="3"/>
  <c r="EI478" i="3"/>
  <c r="EI479" i="3"/>
  <c r="EI480" i="3"/>
  <c r="EI481" i="3"/>
  <c r="EI482" i="3"/>
  <c r="EI483" i="3"/>
  <c r="EI484" i="3"/>
  <c r="EI485" i="3"/>
  <c r="EI486" i="3"/>
  <c r="EI487" i="3"/>
  <c r="EI488" i="3"/>
  <c r="EI489" i="3"/>
  <c r="EI490" i="3"/>
  <c r="EI491" i="3"/>
  <c r="EI492" i="3"/>
  <c r="EI493" i="3"/>
  <c r="EI494" i="3"/>
  <c r="EI495" i="3"/>
  <c r="EI496" i="3"/>
  <c r="EI497" i="3"/>
  <c r="EI498" i="3"/>
  <c r="EI499" i="3"/>
  <c r="EI500" i="3"/>
  <c r="EI501" i="3"/>
  <c r="EI502" i="3"/>
  <c r="EI503" i="3"/>
  <c r="EI504" i="3"/>
  <c r="EI505" i="3"/>
  <c r="EI506" i="3"/>
  <c r="EI507" i="3"/>
  <c r="EI508" i="3"/>
  <c r="EI509" i="3"/>
  <c r="EI510" i="3"/>
  <c r="EI511" i="3"/>
  <c r="EI512" i="3"/>
  <c r="EI513" i="3"/>
  <c r="EI514" i="3"/>
  <c r="EI515" i="3"/>
  <c r="EI516" i="3"/>
  <c r="EI517" i="3"/>
  <c r="EI518" i="3"/>
  <c r="EI519" i="3"/>
  <c r="EI520" i="3"/>
  <c r="EI521" i="3"/>
  <c r="EI522" i="3"/>
  <c r="EI523" i="3"/>
  <c r="EI524" i="3"/>
  <c r="EI525" i="3"/>
  <c r="EI526" i="3"/>
  <c r="EI527" i="3"/>
  <c r="EI528" i="3"/>
  <c r="EI529" i="3"/>
  <c r="EI530" i="3"/>
  <c r="EI531" i="3"/>
  <c r="EI532" i="3"/>
  <c r="EI533" i="3"/>
  <c r="EI534" i="3"/>
  <c r="EI535" i="3"/>
  <c r="EI536" i="3"/>
  <c r="EI537" i="3"/>
  <c r="EI538" i="3"/>
  <c r="EI539" i="3"/>
  <c r="EI540" i="3"/>
  <c r="EI541" i="3"/>
  <c r="EI542" i="3"/>
  <c r="EI543" i="3"/>
  <c r="EI544" i="3"/>
  <c r="EI545" i="3"/>
  <c r="EI546" i="3"/>
  <c r="EI547" i="3"/>
  <c r="EI548" i="3"/>
  <c r="EI549" i="3"/>
  <c r="EI550" i="3"/>
  <c r="EI551" i="3"/>
  <c r="EI552" i="3"/>
  <c r="EI553" i="3"/>
  <c r="EI554" i="3"/>
  <c r="EI555" i="3"/>
  <c r="EI556" i="3"/>
  <c r="EI557" i="3"/>
  <c r="EI558" i="3"/>
  <c r="EI559" i="3"/>
  <c r="EI560" i="3"/>
  <c r="EI561" i="3"/>
  <c r="EI562" i="3"/>
  <c r="EI563" i="3"/>
  <c r="EI564" i="3"/>
  <c r="EI565" i="3"/>
  <c r="EI566" i="3"/>
  <c r="EI567" i="3"/>
  <c r="EI568" i="3"/>
  <c r="EI569" i="3"/>
  <c r="EI570" i="3"/>
  <c r="EI571" i="3"/>
  <c r="EI572" i="3"/>
  <c r="EI573" i="3"/>
  <c r="EI574" i="3"/>
  <c r="EI575" i="3"/>
  <c r="EI576" i="3"/>
  <c r="EI577" i="3"/>
  <c r="EI578" i="3"/>
  <c r="EI579" i="3"/>
  <c r="EI580" i="3"/>
  <c r="EI581" i="3"/>
  <c r="EI582" i="3"/>
  <c r="EI583" i="3"/>
  <c r="EI584" i="3"/>
  <c r="EI585" i="3"/>
  <c r="EI586" i="3"/>
  <c r="EI587" i="3"/>
  <c r="EI588" i="3"/>
  <c r="EI589" i="3"/>
  <c r="EI590" i="3"/>
  <c r="EI591" i="3"/>
  <c r="EI592" i="3"/>
  <c r="EI593" i="3"/>
  <c r="EI594" i="3"/>
  <c r="EI595" i="3"/>
  <c r="EI596" i="3"/>
  <c r="EI597" i="3"/>
  <c r="EI598" i="3"/>
  <c r="EI599" i="3"/>
  <c r="EI600" i="3"/>
  <c r="EI601" i="3"/>
  <c r="EI602" i="3"/>
  <c r="EI603" i="3"/>
  <c r="EI604" i="3"/>
  <c r="EI605" i="3"/>
  <c r="EI606" i="3"/>
  <c r="EI607" i="3"/>
  <c r="EI608" i="3"/>
  <c r="EI609" i="3"/>
  <c r="EI610" i="3"/>
  <c r="EI611" i="3"/>
  <c r="EI612" i="3"/>
  <c r="EI613" i="3"/>
  <c r="EI614" i="3"/>
  <c r="EI615" i="3"/>
  <c r="EI616" i="3"/>
  <c r="EI617" i="3"/>
  <c r="EI618" i="3"/>
  <c r="EI619" i="3"/>
  <c r="EI620" i="3"/>
  <c r="EI621" i="3"/>
  <c r="EI622" i="3"/>
  <c r="EI623" i="3"/>
  <c r="EI624" i="3"/>
  <c r="EI625" i="3"/>
  <c r="EI626" i="3"/>
  <c r="EI627" i="3"/>
  <c r="EI628" i="3"/>
  <c r="EI629" i="3"/>
  <c r="EI630" i="3"/>
  <c r="EI631" i="3"/>
  <c r="EI632" i="3"/>
  <c r="EI633" i="3"/>
  <c r="EI634" i="3"/>
  <c r="EI635" i="3"/>
  <c r="EI636" i="3"/>
  <c r="EI637" i="3"/>
  <c r="EI638" i="3"/>
  <c r="EI639" i="3"/>
  <c r="EI640" i="3"/>
  <c r="EI641" i="3"/>
  <c r="EI642" i="3"/>
  <c r="EI643" i="3"/>
  <c r="EI644" i="3"/>
  <c r="EI645" i="3"/>
  <c r="EI646" i="3"/>
  <c r="EI647" i="3"/>
  <c r="EI648" i="3"/>
  <c r="EI649" i="3"/>
  <c r="EI650" i="3"/>
  <c r="EI651" i="3"/>
  <c r="EI652" i="3"/>
  <c r="EI653" i="3"/>
  <c r="EI654" i="3"/>
  <c r="EI655" i="3"/>
  <c r="EI656" i="3"/>
  <c r="EI657" i="3"/>
  <c r="EI658" i="3"/>
  <c r="EI659" i="3"/>
  <c r="EI660" i="3"/>
  <c r="EI661" i="3"/>
  <c r="EI662" i="3"/>
  <c r="EI663" i="3"/>
  <c r="EI664" i="3"/>
  <c r="EI665" i="3"/>
  <c r="EI666" i="3"/>
  <c r="EI667" i="3"/>
  <c r="EI668" i="3"/>
  <c r="EI669" i="3"/>
  <c r="EI670" i="3"/>
  <c r="EI671" i="3"/>
  <c r="EI672" i="3"/>
  <c r="EI673" i="3"/>
  <c r="EI674" i="3"/>
  <c r="EI675" i="3"/>
  <c r="EI676" i="3"/>
  <c r="EI677" i="3"/>
  <c r="EI678" i="3"/>
  <c r="EI679" i="3"/>
  <c r="EI680" i="3"/>
  <c r="EI681" i="3"/>
  <c r="EI682" i="3"/>
  <c r="EI683" i="3"/>
  <c r="EI684" i="3"/>
  <c r="EI685" i="3"/>
  <c r="EI686" i="3"/>
  <c r="EI687" i="3"/>
  <c r="EI688" i="3"/>
  <c r="EI689" i="3"/>
  <c r="EI690" i="3"/>
  <c r="EI691" i="3"/>
  <c r="EI692" i="3"/>
  <c r="EI693" i="3"/>
  <c r="EI694" i="3"/>
  <c r="EI695" i="3"/>
  <c r="EI696" i="3"/>
  <c r="EI697" i="3"/>
  <c r="EI698" i="3"/>
  <c r="EI699" i="3"/>
  <c r="EI700" i="3"/>
  <c r="EI701" i="3"/>
  <c r="EI702" i="3"/>
  <c r="EI703" i="3"/>
  <c r="EI704" i="3"/>
  <c r="EI705" i="3"/>
  <c r="EI706" i="3"/>
  <c r="EI707" i="3"/>
  <c r="EI708" i="3"/>
  <c r="EI709" i="3"/>
  <c r="EI710" i="3"/>
  <c r="EI711" i="3"/>
  <c r="EI712" i="3"/>
  <c r="EI713" i="3"/>
  <c r="EI714" i="3"/>
  <c r="EI715" i="3"/>
  <c r="EI716" i="3"/>
  <c r="EI717" i="3"/>
  <c r="EI718" i="3"/>
  <c r="EI719" i="3"/>
  <c r="EI720" i="3"/>
  <c r="EI721" i="3"/>
  <c r="EI722" i="3"/>
  <c r="EI723" i="3"/>
  <c r="EI724" i="3"/>
  <c r="EI725" i="3"/>
  <c r="EI726" i="3"/>
  <c r="EI727" i="3"/>
  <c r="EI728" i="3"/>
  <c r="EI729" i="3"/>
  <c r="EI730" i="3"/>
  <c r="EI731" i="3"/>
  <c r="EI732" i="3"/>
  <c r="EI733" i="3"/>
  <c r="EI734" i="3"/>
  <c r="EI735" i="3"/>
  <c r="EI736" i="3"/>
  <c r="EI737" i="3"/>
  <c r="EI738" i="3"/>
  <c r="EI739" i="3"/>
  <c r="EI740" i="3"/>
  <c r="EI741" i="3"/>
  <c r="EI742" i="3"/>
  <c r="EI743" i="3"/>
  <c r="EI744" i="3"/>
  <c r="EI745" i="3"/>
  <c r="EI746" i="3"/>
  <c r="EI747" i="3"/>
  <c r="EI748" i="3"/>
  <c r="EI749" i="3"/>
  <c r="EI750" i="3"/>
  <c r="EI751" i="3"/>
  <c r="EI752" i="3"/>
  <c r="EI753" i="3"/>
  <c r="EI754" i="3"/>
  <c r="EI755" i="3"/>
  <c r="EI756" i="3"/>
  <c r="EI757" i="3"/>
  <c r="EI758" i="3"/>
  <c r="EI759" i="3"/>
  <c r="EI760" i="3"/>
  <c r="EI761" i="3"/>
  <c r="EI762" i="3"/>
  <c r="EI763" i="3"/>
  <c r="EI764" i="3"/>
  <c r="EI765" i="3"/>
  <c r="EI766" i="3"/>
  <c r="EI767" i="3"/>
  <c r="EI768" i="3"/>
  <c r="EI769" i="3"/>
  <c r="EI770" i="3"/>
  <c r="EI771" i="3"/>
  <c r="EI772" i="3"/>
  <c r="EI773" i="3"/>
  <c r="EI774" i="3"/>
  <c r="EI775" i="3"/>
  <c r="EI776" i="3"/>
  <c r="EI777" i="3"/>
  <c r="EI778" i="3"/>
  <c r="EI779" i="3"/>
  <c r="EI780" i="3"/>
  <c r="EI781" i="3"/>
  <c r="EI782" i="3"/>
  <c r="EI783" i="3"/>
  <c r="EI784" i="3"/>
  <c r="EI785" i="3"/>
  <c r="EI786" i="3"/>
  <c r="EI787" i="3"/>
  <c r="EI788" i="3"/>
  <c r="EI789" i="3"/>
  <c r="EI790" i="3"/>
  <c r="EI791" i="3"/>
  <c r="EI792" i="3"/>
  <c r="EI793" i="3"/>
  <c r="EI794" i="3"/>
  <c r="EI795" i="3"/>
  <c r="EI796" i="3"/>
  <c r="EI797" i="3"/>
  <c r="EI798" i="3"/>
  <c r="EI799" i="3"/>
  <c r="EI800" i="3"/>
  <c r="EI801" i="3"/>
  <c r="EI802" i="3"/>
  <c r="EI803" i="3"/>
  <c r="EI804" i="3"/>
  <c r="EI805" i="3"/>
  <c r="EI806" i="3"/>
  <c r="EI807" i="3"/>
  <c r="EI808" i="3"/>
  <c r="EI809" i="3"/>
  <c r="EI810" i="3"/>
  <c r="EI811" i="3"/>
  <c r="EI812" i="3"/>
  <c r="EI813" i="3"/>
  <c r="EI814" i="3"/>
  <c r="EI815" i="3"/>
  <c r="EI816" i="3"/>
  <c r="EI817" i="3"/>
  <c r="EI818" i="3"/>
  <c r="EI819" i="3"/>
  <c r="EI820" i="3"/>
  <c r="EI821" i="3"/>
  <c r="EI822" i="3"/>
  <c r="EI823" i="3"/>
  <c r="EI824" i="3"/>
  <c r="EI825" i="3"/>
  <c r="EI826" i="3"/>
  <c r="EI827" i="3"/>
  <c r="EI828" i="3"/>
  <c r="EI829" i="3"/>
  <c r="EI830" i="3"/>
  <c r="EI831" i="3"/>
  <c r="EI832" i="3"/>
  <c r="EI833" i="3"/>
  <c r="EI834" i="3"/>
  <c r="EI835" i="3"/>
  <c r="EI836" i="3"/>
  <c r="EI837" i="3"/>
  <c r="EI838" i="3"/>
  <c r="EI839" i="3"/>
  <c r="EI840" i="3"/>
  <c r="EI841" i="3"/>
  <c r="EI842" i="3"/>
  <c r="EI843" i="3"/>
  <c r="EI844" i="3"/>
  <c r="EI845" i="3"/>
  <c r="EI846" i="3"/>
  <c r="EI847" i="3"/>
  <c r="EI848" i="3"/>
  <c r="EI849" i="3"/>
  <c r="EI850" i="3"/>
  <c r="EI851" i="3"/>
  <c r="EI852" i="3"/>
  <c r="EI853" i="3"/>
  <c r="EI854" i="3"/>
  <c r="EI855" i="3"/>
  <c r="EI856" i="3"/>
  <c r="EI857" i="3"/>
  <c r="EI858" i="3"/>
  <c r="EI859" i="3"/>
  <c r="EI860" i="3"/>
  <c r="EI861" i="3"/>
  <c r="EI862" i="3"/>
  <c r="EI863" i="3"/>
  <c r="EI864" i="3"/>
  <c r="EI865" i="3"/>
  <c r="EI866" i="3"/>
  <c r="EI867" i="3"/>
  <c r="EI868" i="3"/>
  <c r="EI869" i="3"/>
  <c r="EI870" i="3"/>
  <c r="EI871" i="3"/>
  <c r="EI872" i="3"/>
  <c r="EI873" i="3"/>
  <c r="EI874" i="3"/>
  <c r="EI875" i="3"/>
  <c r="EI876" i="3"/>
  <c r="EI877" i="3"/>
  <c r="EI878" i="3"/>
  <c r="EI879" i="3"/>
  <c r="EI880" i="3"/>
  <c r="EI881" i="3"/>
  <c r="EI882" i="3"/>
  <c r="EI883" i="3"/>
  <c r="EI884" i="3"/>
  <c r="EI885" i="3"/>
  <c r="EI886" i="3"/>
  <c r="EI887" i="3"/>
  <c r="EI888" i="3"/>
  <c r="EI889" i="3"/>
  <c r="EI890" i="3"/>
  <c r="EI891" i="3"/>
  <c r="EI892" i="3"/>
  <c r="EI893" i="3"/>
  <c r="EI894" i="3"/>
  <c r="EI895" i="3"/>
  <c r="EI896" i="3"/>
  <c r="EI897" i="3"/>
  <c r="EI898" i="3"/>
  <c r="EI899" i="3"/>
  <c r="EI900" i="3"/>
  <c r="EI901" i="3"/>
  <c r="EI902" i="3"/>
  <c r="EI903" i="3"/>
  <c r="EI904" i="3"/>
  <c r="EI905" i="3"/>
  <c r="EI906" i="3"/>
  <c r="EI907" i="3"/>
  <c r="EI908" i="3"/>
  <c r="EI909" i="3"/>
  <c r="EI910" i="3"/>
  <c r="EI911" i="3"/>
  <c r="EI912" i="3"/>
  <c r="EI913" i="3"/>
  <c r="EI914" i="3"/>
  <c r="EI915" i="3"/>
  <c r="EI916" i="3"/>
  <c r="EI917" i="3"/>
  <c r="EI918" i="3"/>
  <c r="EI919" i="3"/>
  <c r="EI920" i="3"/>
  <c r="EI921" i="3"/>
  <c r="EI922" i="3"/>
  <c r="EI923" i="3"/>
  <c r="EI924" i="3"/>
  <c r="EI925" i="3"/>
  <c r="EI926" i="3"/>
  <c r="EI927" i="3"/>
  <c r="EI928" i="3"/>
  <c r="EI929" i="3"/>
  <c r="EI930" i="3"/>
  <c r="EI931" i="3"/>
  <c r="EI932" i="3"/>
  <c r="EB34" i="3" l="1"/>
  <c r="EC34" i="3"/>
  <c r="ED34" i="3"/>
  <c r="EE34" i="3"/>
  <c r="EG34" i="3"/>
  <c r="EK34" i="3"/>
  <c r="EB35" i="3"/>
  <c r="EC35" i="3"/>
  <c r="ED35" i="3"/>
  <c r="EE35" i="3"/>
  <c r="EG35" i="3"/>
  <c r="EK35" i="3"/>
  <c r="K16" i="8"/>
  <c r="EQ35" i="3" l="1"/>
  <c r="EQ34" i="3"/>
  <c r="A63" i="8" l="1"/>
  <c r="G24" i="8"/>
  <c r="F24" i="8"/>
  <c r="F25" i="8"/>
  <c r="F26" i="8"/>
  <c r="F27" i="8"/>
  <c r="F28" i="8"/>
  <c r="F29" i="8"/>
  <c r="F30" i="8"/>
  <c r="F31" i="8"/>
  <c r="F22" i="8"/>
  <c r="ED932" i="3"/>
  <c r="ED931" i="3"/>
  <c r="ED930" i="3"/>
  <c r="ED929" i="3"/>
  <c r="ED928" i="3"/>
  <c r="ED927" i="3"/>
  <c r="ED926" i="3"/>
  <c r="ED925" i="3"/>
  <c r="ED924" i="3"/>
  <c r="ED923" i="3"/>
  <c r="ED922" i="3"/>
  <c r="ED921" i="3"/>
  <c r="ED920" i="3"/>
  <c r="ED919" i="3"/>
  <c r="ED918" i="3"/>
  <c r="ED917" i="3"/>
  <c r="ED916" i="3"/>
  <c r="ED915" i="3"/>
  <c r="ED914" i="3"/>
  <c r="ED913" i="3"/>
  <c r="ED912" i="3"/>
  <c r="ED911" i="3"/>
  <c r="ED910" i="3"/>
  <c r="ED909" i="3"/>
  <c r="ED908" i="3"/>
  <c r="ED907" i="3"/>
  <c r="ED906" i="3"/>
  <c r="ED905" i="3"/>
  <c r="ED904" i="3"/>
  <c r="ED903" i="3"/>
  <c r="ED902" i="3"/>
  <c r="ED901" i="3"/>
  <c r="ED900" i="3"/>
  <c r="ED899" i="3"/>
  <c r="ED898" i="3"/>
  <c r="ED897" i="3"/>
  <c r="ED896" i="3"/>
  <c r="ED895" i="3"/>
  <c r="ED894" i="3"/>
  <c r="ED893" i="3"/>
  <c r="ED892" i="3"/>
  <c r="ED891" i="3"/>
  <c r="ED890" i="3"/>
  <c r="ED889" i="3"/>
  <c r="ED888" i="3"/>
  <c r="ED887" i="3"/>
  <c r="ED886" i="3"/>
  <c r="ED885" i="3"/>
  <c r="ED884" i="3"/>
  <c r="ED883" i="3"/>
  <c r="ED882" i="3"/>
  <c r="ED881" i="3"/>
  <c r="ED880" i="3"/>
  <c r="ED879" i="3"/>
  <c r="ED878" i="3"/>
  <c r="ED877" i="3"/>
  <c r="ED876" i="3"/>
  <c r="ED875" i="3"/>
  <c r="ED874" i="3"/>
  <c r="ED873" i="3"/>
  <c r="ED872" i="3"/>
  <c r="ED871" i="3"/>
  <c r="ED870" i="3"/>
  <c r="ED869" i="3"/>
  <c r="ED868" i="3"/>
  <c r="ED867" i="3"/>
  <c r="ED866" i="3"/>
  <c r="ED865" i="3"/>
  <c r="ED864" i="3"/>
  <c r="ED863" i="3"/>
  <c r="ED862" i="3"/>
  <c r="ED861" i="3"/>
  <c r="ED860" i="3"/>
  <c r="ED859" i="3"/>
  <c r="ED858" i="3"/>
  <c r="ED857" i="3"/>
  <c r="ED856" i="3"/>
  <c r="ED855" i="3"/>
  <c r="ED854" i="3"/>
  <c r="ED853" i="3"/>
  <c r="ED852" i="3"/>
  <c r="ED851" i="3"/>
  <c r="ED850" i="3"/>
  <c r="ED849" i="3"/>
  <c r="ED848" i="3"/>
  <c r="ED847" i="3"/>
  <c r="ED846" i="3"/>
  <c r="ED845" i="3"/>
  <c r="ED844" i="3"/>
  <c r="ED843" i="3"/>
  <c r="ED842" i="3"/>
  <c r="ED841" i="3"/>
  <c r="ED840" i="3"/>
  <c r="ED839" i="3"/>
  <c r="ED838" i="3"/>
  <c r="ED837" i="3"/>
  <c r="ED836" i="3"/>
  <c r="ED835" i="3"/>
  <c r="ED834" i="3"/>
  <c r="ED833" i="3"/>
  <c r="ED832" i="3"/>
  <c r="ED831" i="3"/>
  <c r="ED830" i="3"/>
  <c r="ED829" i="3"/>
  <c r="ED828" i="3"/>
  <c r="ED827" i="3"/>
  <c r="ED826" i="3"/>
  <c r="ED825" i="3"/>
  <c r="ED824" i="3"/>
  <c r="ED823" i="3"/>
  <c r="ED822" i="3"/>
  <c r="ED821" i="3"/>
  <c r="ED820" i="3"/>
  <c r="ED819" i="3"/>
  <c r="ED818" i="3"/>
  <c r="ED817" i="3"/>
  <c r="ED816" i="3"/>
  <c r="ED815" i="3"/>
  <c r="ED814" i="3"/>
  <c r="ED813" i="3"/>
  <c r="ED812" i="3"/>
  <c r="ED811" i="3"/>
  <c r="ED810" i="3"/>
  <c r="ED809" i="3"/>
  <c r="ED808" i="3"/>
  <c r="ED807" i="3"/>
  <c r="ED806" i="3"/>
  <c r="ED805" i="3"/>
  <c r="ED804" i="3"/>
  <c r="ED803" i="3"/>
  <c r="ED802" i="3"/>
  <c r="ED801" i="3"/>
  <c r="ED800" i="3"/>
  <c r="ED799" i="3"/>
  <c r="ED798" i="3"/>
  <c r="ED797" i="3"/>
  <c r="ED796" i="3"/>
  <c r="ED795" i="3"/>
  <c r="ED794" i="3"/>
  <c r="ED793" i="3"/>
  <c r="ED792" i="3"/>
  <c r="ED791" i="3"/>
  <c r="ED790" i="3"/>
  <c r="ED789" i="3"/>
  <c r="ED788" i="3"/>
  <c r="ED787" i="3"/>
  <c r="ED786" i="3"/>
  <c r="ED785" i="3"/>
  <c r="ED784" i="3"/>
  <c r="ED783" i="3"/>
  <c r="ED782" i="3"/>
  <c r="ED781" i="3"/>
  <c r="ED780" i="3"/>
  <c r="ED779" i="3"/>
  <c r="ED778" i="3"/>
  <c r="ED777" i="3"/>
  <c r="ED776" i="3"/>
  <c r="ED775" i="3"/>
  <c r="ED774" i="3"/>
  <c r="ED773" i="3"/>
  <c r="ED772" i="3"/>
  <c r="ED771" i="3"/>
  <c r="ED770" i="3"/>
  <c r="ED769" i="3"/>
  <c r="ED768" i="3"/>
  <c r="ED767" i="3"/>
  <c r="ED766" i="3"/>
  <c r="ED765" i="3"/>
  <c r="ED764" i="3"/>
  <c r="ED763" i="3"/>
  <c r="ED762" i="3"/>
  <c r="ED761" i="3"/>
  <c r="ED760" i="3"/>
  <c r="ED759" i="3"/>
  <c r="ED758" i="3"/>
  <c r="ED757" i="3"/>
  <c r="ED756" i="3"/>
  <c r="ED755" i="3"/>
  <c r="ED754" i="3"/>
  <c r="ED753" i="3"/>
  <c r="ED752" i="3"/>
  <c r="ED751" i="3"/>
  <c r="ED750" i="3"/>
  <c r="ED749" i="3"/>
  <c r="ED748" i="3"/>
  <c r="ED747" i="3"/>
  <c r="ED746" i="3"/>
  <c r="ED745" i="3"/>
  <c r="ED744" i="3"/>
  <c r="ED743" i="3"/>
  <c r="ED742" i="3"/>
  <c r="ED741" i="3"/>
  <c r="ED740" i="3"/>
  <c r="ED739" i="3"/>
  <c r="ED738" i="3"/>
  <c r="ED737" i="3"/>
  <c r="ED736" i="3"/>
  <c r="ED735" i="3"/>
  <c r="ED734" i="3"/>
  <c r="ED733" i="3"/>
  <c r="ED732" i="3"/>
  <c r="ED731" i="3"/>
  <c r="ED730" i="3"/>
  <c r="ED729" i="3"/>
  <c r="ED728" i="3"/>
  <c r="ED727" i="3"/>
  <c r="ED726" i="3"/>
  <c r="ED725" i="3"/>
  <c r="ED724" i="3"/>
  <c r="ED723" i="3"/>
  <c r="ED722" i="3"/>
  <c r="ED721" i="3"/>
  <c r="ED720" i="3"/>
  <c r="ED719" i="3"/>
  <c r="ED718" i="3"/>
  <c r="ED717" i="3"/>
  <c r="ED716" i="3"/>
  <c r="ED715" i="3"/>
  <c r="ED714" i="3"/>
  <c r="ED713" i="3"/>
  <c r="ED712" i="3"/>
  <c r="ED711" i="3"/>
  <c r="ED710" i="3"/>
  <c r="ED709" i="3"/>
  <c r="ED708" i="3"/>
  <c r="ED707" i="3"/>
  <c r="ED706" i="3"/>
  <c r="ED705" i="3"/>
  <c r="ED704" i="3"/>
  <c r="ED703" i="3"/>
  <c r="ED702" i="3"/>
  <c r="ED701" i="3"/>
  <c r="ED700" i="3"/>
  <c r="ED699" i="3"/>
  <c r="ED698" i="3"/>
  <c r="ED697" i="3"/>
  <c r="ED696" i="3"/>
  <c r="ED695" i="3"/>
  <c r="ED694" i="3"/>
  <c r="ED693" i="3"/>
  <c r="ED692" i="3"/>
  <c r="ED691" i="3"/>
  <c r="ED690" i="3"/>
  <c r="ED689" i="3"/>
  <c r="ED688" i="3"/>
  <c r="ED687" i="3"/>
  <c r="ED686" i="3"/>
  <c r="ED685" i="3"/>
  <c r="ED684" i="3"/>
  <c r="ED683" i="3"/>
  <c r="ED682" i="3"/>
  <c r="ED681" i="3"/>
  <c r="ED680" i="3"/>
  <c r="ED679" i="3"/>
  <c r="ED678" i="3"/>
  <c r="ED677" i="3"/>
  <c r="ED676" i="3"/>
  <c r="ED675" i="3"/>
  <c r="ED674" i="3"/>
  <c r="ED673" i="3"/>
  <c r="ED672" i="3"/>
  <c r="ED671" i="3"/>
  <c r="ED670" i="3"/>
  <c r="ED669" i="3"/>
  <c r="ED668" i="3"/>
  <c r="ED667" i="3"/>
  <c r="ED666" i="3"/>
  <c r="ED665" i="3"/>
  <c r="ED664" i="3"/>
  <c r="ED663" i="3"/>
  <c r="ED662" i="3"/>
  <c r="ED661" i="3"/>
  <c r="ED660" i="3"/>
  <c r="ED659" i="3"/>
  <c r="ED658" i="3"/>
  <c r="ED657" i="3"/>
  <c r="ED656" i="3"/>
  <c r="ED655" i="3"/>
  <c r="ED654" i="3"/>
  <c r="ED653" i="3"/>
  <c r="ED652" i="3"/>
  <c r="ED651" i="3"/>
  <c r="ED650" i="3"/>
  <c r="ED649" i="3"/>
  <c r="ED648" i="3"/>
  <c r="ED647" i="3"/>
  <c r="ED646" i="3"/>
  <c r="ED645" i="3"/>
  <c r="ED644" i="3"/>
  <c r="ED643" i="3"/>
  <c r="ED642" i="3"/>
  <c r="ED641" i="3"/>
  <c r="ED640" i="3"/>
  <c r="ED639" i="3"/>
  <c r="ED638" i="3"/>
  <c r="ED637" i="3"/>
  <c r="ED636" i="3"/>
  <c r="ED635" i="3"/>
  <c r="ED634" i="3"/>
  <c r="ED633" i="3"/>
  <c r="ED632" i="3"/>
  <c r="ED631" i="3"/>
  <c r="ED630" i="3"/>
  <c r="ED629" i="3"/>
  <c r="ED628" i="3"/>
  <c r="ED627" i="3"/>
  <c r="ED626" i="3"/>
  <c r="ED625" i="3"/>
  <c r="ED624" i="3"/>
  <c r="ED623" i="3"/>
  <c r="ED622" i="3"/>
  <c r="ED621" i="3"/>
  <c r="ED620" i="3"/>
  <c r="ED619" i="3"/>
  <c r="ED618" i="3"/>
  <c r="ED617" i="3"/>
  <c r="ED616" i="3"/>
  <c r="ED615" i="3"/>
  <c r="ED614" i="3"/>
  <c r="ED613" i="3"/>
  <c r="ED612" i="3"/>
  <c r="ED611" i="3"/>
  <c r="ED610" i="3"/>
  <c r="ED609" i="3"/>
  <c r="ED608" i="3"/>
  <c r="ED607" i="3"/>
  <c r="ED606" i="3"/>
  <c r="ED605" i="3"/>
  <c r="ED604" i="3"/>
  <c r="ED603" i="3"/>
  <c r="ED602" i="3"/>
  <c r="ED601" i="3"/>
  <c r="ED600" i="3"/>
  <c r="ED599" i="3"/>
  <c r="ED598" i="3"/>
  <c r="ED597" i="3"/>
  <c r="ED596" i="3"/>
  <c r="ED595" i="3"/>
  <c r="ED594" i="3"/>
  <c r="ED593" i="3"/>
  <c r="ED592" i="3"/>
  <c r="ED591" i="3"/>
  <c r="ED590" i="3"/>
  <c r="ED589" i="3"/>
  <c r="ED588" i="3"/>
  <c r="ED587" i="3"/>
  <c r="ED586" i="3"/>
  <c r="ED585" i="3"/>
  <c r="ED584" i="3"/>
  <c r="ED583" i="3"/>
  <c r="ED582" i="3"/>
  <c r="ED581" i="3"/>
  <c r="ED580" i="3"/>
  <c r="ED579" i="3"/>
  <c r="ED578" i="3"/>
  <c r="ED577" i="3"/>
  <c r="ED576" i="3"/>
  <c r="ED575" i="3"/>
  <c r="ED574" i="3"/>
  <c r="ED573" i="3"/>
  <c r="ED572" i="3"/>
  <c r="ED571" i="3"/>
  <c r="ED570" i="3"/>
  <c r="ED569" i="3"/>
  <c r="ED568" i="3"/>
  <c r="ED567" i="3"/>
  <c r="ED566" i="3"/>
  <c r="ED565" i="3"/>
  <c r="ED564" i="3"/>
  <c r="ED563" i="3"/>
  <c r="ED562" i="3"/>
  <c r="ED561" i="3"/>
  <c r="ED560" i="3"/>
  <c r="ED559" i="3"/>
  <c r="ED558" i="3"/>
  <c r="ED557" i="3"/>
  <c r="ED556" i="3"/>
  <c r="ED555" i="3"/>
  <c r="ED554" i="3"/>
  <c r="ED553" i="3"/>
  <c r="ED552" i="3"/>
  <c r="ED551" i="3"/>
  <c r="ED550" i="3"/>
  <c r="ED549" i="3"/>
  <c r="ED548" i="3"/>
  <c r="ED547" i="3"/>
  <c r="ED546" i="3"/>
  <c r="ED545" i="3"/>
  <c r="ED544" i="3"/>
  <c r="ED543" i="3"/>
  <c r="ED542" i="3"/>
  <c r="ED541" i="3"/>
  <c r="ED540" i="3"/>
  <c r="ED539" i="3"/>
  <c r="ED538" i="3"/>
  <c r="ED537" i="3"/>
  <c r="ED536" i="3"/>
  <c r="ED535" i="3"/>
  <c r="ED534" i="3"/>
  <c r="ED533" i="3"/>
  <c r="ED532" i="3"/>
  <c r="ED531" i="3"/>
  <c r="ED530" i="3"/>
  <c r="ED529" i="3"/>
  <c r="ED528" i="3"/>
  <c r="ED527" i="3"/>
  <c r="ED526" i="3"/>
  <c r="ED525" i="3"/>
  <c r="ED524" i="3"/>
  <c r="ED523" i="3"/>
  <c r="ED522" i="3"/>
  <c r="ED521" i="3"/>
  <c r="ED520" i="3"/>
  <c r="ED519" i="3"/>
  <c r="ED518" i="3"/>
  <c r="ED517" i="3"/>
  <c r="ED516" i="3"/>
  <c r="ED515" i="3"/>
  <c r="ED514" i="3"/>
  <c r="ED513" i="3"/>
  <c r="ED512" i="3"/>
  <c r="ED511" i="3"/>
  <c r="ED510" i="3"/>
  <c r="ED509" i="3"/>
  <c r="ED508" i="3"/>
  <c r="ED507" i="3"/>
  <c r="ED506" i="3"/>
  <c r="ED505" i="3"/>
  <c r="ED504" i="3"/>
  <c r="ED503" i="3"/>
  <c r="ED502" i="3"/>
  <c r="ED501" i="3"/>
  <c r="ED500" i="3"/>
  <c r="ED499" i="3"/>
  <c r="ED498" i="3"/>
  <c r="ED497" i="3"/>
  <c r="ED496" i="3"/>
  <c r="ED495" i="3"/>
  <c r="ED494" i="3"/>
  <c r="ED493" i="3"/>
  <c r="ED492" i="3"/>
  <c r="ED491" i="3"/>
  <c r="ED490" i="3"/>
  <c r="ED489" i="3"/>
  <c r="ED488" i="3"/>
  <c r="ED487" i="3"/>
  <c r="ED486" i="3"/>
  <c r="ED485" i="3"/>
  <c r="ED484" i="3"/>
  <c r="ED483" i="3"/>
  <c r="ED482" i="3"/>
  <c r="ED481" i="3"/>
  <c r="ED480" i="3"/>
  <c r="ED479" i="3"/>
  <c r="ED478" i="3"/>
  <c r="ED477" i="3"/>
  <c r="ED476" i="3"/>
  <c r="ED475" i="3"/>
  <c r="ED474" i="3"/>
  <c r="ED473" i="3"/>
  <c r="ED472" i="3"/>
  <c r="ED471" i="3"/>
  <c r="ED470" i="3"/>
  <c r="ED469" i="3"/>
  <c r="ED468" i="3"/>
  <c r="ED467" i="3"/>
  <c r="ED466" i="3"/>
  <c r="ED465" i="3"/>
  <c r="ED464" i="3"/>
  <c r="ED463" i="3"/>
  <c r="ED462" i="3"/>
  <c r="ED461" i="3"/>
  <c r="ED460" i="3"/>
  <c r="ED459" i="3"/>
  <c r="ED458" i="3"/>
  <c r="ED457" i="3"/>
  <c r="ED456" i="3"/>
  <c r="ED455" i="3"/>
  <c r="ED454" i="3"/>
  <c r="ED453" i="3"/>
  <c r="ED452" i="3"/>
  <c r="ED451" i="3"/>
  <c r="ED450" i="3"/>
  <c r="ED449" i="3"/>
  <c r="ED448" i="3"/>
  <c r="ED447" i="3"/>
  <c r="ED446" i="3"/>
  <c r="ED445" i="3"/>
  <c r="ED444" i="3"/>
  <c r="ED443" i="3"/>
  <c r="ED442" i="3"/>
  <c r="ED441" i="3"/>
  <c r="ED440" i="3"/>
  <c r="ED439" i="3"/>
  <c r="ED438" i="3"/>
  <c r="ED437" i="3"/>
  <c r="ED436" i="3"/>
  <c r="ED435" i="3"/>
  <c r="ED434" i="3"/>
  <c r="ED433" i="3"/>
  <c r="ED432" i="3"/>
  <c r="ED431" i="3"/>
  <c r="ED430" i="3"/>
  <c r="ED429" i="3"/>
  <c r="ED428" i="3"/>
  <c r="ED427" i="3"/>
  <c r="ED426" i="3"/>
  <c r="ED425" i="3"/>
  <c r="ED424" i="3"/>
  <c r="ED423" i="3"/>
  <c r="ED422" i="3"/>
  <c r="ED421" i="3"/>
  <c r="ED420" i="3"/>
  <c r="ED419" i="3"/>
  <c r="ED418" i="3"/>
  <c r="ED417" i="3"/>
  <c r="ED416" i="3"/>
  <c r="ED415" i="3"/>
  <c r="ED414" i="3"/>
  <c r="ED413" i="3"/>
  <c r="ED412" i="3"/>
  <c r="ED411" i="3"/>
  <c r="ED410" i="3"/>
  <c r="ED409" i="3"/>
  <c r="ED408" i="3"/>
  <c r="ED407" i="3"/>
  <c r="ED406" i="3"/>
  <c r="ED405" i="3"/>
  <c r="ED404" i="3"/>
  <c r="ED403" i="3"/>
  <c r="ED402" i="3"/>
  <c r="ED401" i="3"/>
  <c r="ED400" i="3"/>
  <c r="ED399" i="3"/>
  <c r="ED398" i="3"/>
  <c r="ED397" i="3"/>
  <c r="ED396" i="3"/>
  <c r="ED395" i="3"/>
  <c r="ED394" i="3"/>
  <c r="ED393" i="3"/>
  <c r="ED392" i="3"/>
  <c r="ED391" i="3"/>
  <c r="ED390" i="3"/>
  <c r="ED389" i="3"/>
  <c r="ED388" i="3"/>
  <c r="ED387" i="3"/>
  <c r="ED386" i="3"/>
  <c r="ED385" i="3"/>
  <c r="ED384" i="3"/>
  <c r="ED383" i="3"/>
  <c r="ED382" i="3"/>
  <c r="ED381" i="3"/>
  <c r="ED380" i="3"/>
  <c r="ED379" i="3"/>
  <c r="ED378" i="3"/>
  <c r="ED377" i="3"/>
  <c r="ED376" i="3"/>
  <c r="ED375" i="3"/>
  <c r="ED374" i="3"/>
  <c r="ED373" i="3"/>
  <c r="ED372" i="3"/>
  <c r="ED371" i="3"/>
  <c r="ED370" i="3"/>
  <c r="ED369" i="3"/>
  <c r="ED368" i="3"/>
  <c r="ED367" i="3"/>
  <c r="ED366" i="3"/>
  <c r="ED365" i="3"/>
  <c r="ED364" i="3"/>
  <c r="ED363" i="3"/>
  <c r="ED362" i="3"/>
  <c r="ED361" i="3"/>
  <c r="ED360" i="3"/>
  <c r="ED359" i="3"/>
  <c r="ED358" i="3"/>
  <c r="ED357" i="3"/>
  <c r="ED356" i="3"/>
  <c r="ED355" i="3"/>
  <c r="ED354" i="3"/>
  <c r="ED353" i="3"/>
  <c r="ED352" i="3"/>
  <c r="ED351" i="3"/>
  <c r="ED350" i="3"/>
  <c r="ED349" i="3"/>
  <c r="ED348" i="3"/>
  <c r="ED347" i="3"/>
  <c r="ED346" i="3"/>
  <c r="ED345" i="3"/>
  <c r="ED344" i="3"/>
  <c r="ED343" i="3"/>
  <c r="ED342" i="3"/>
  <c r="ED341" i="3"/>
  <c r="ED340" i="3"/>
  <c r="ED339" i="3"/>
  <c r="ED338" i="3"/>
  <c r="ED337" i="3"/>
  <c r="ED336" i="3"/>
  <c r="ED335" i="3"/>
  <c r="ED334" i="3"/>
  <c r="ED333" i="3"/>
  <c r="ED332" i="3"/>
  <c r="ED331" i="3"/>
  <c r="ED330" i="3"/>
  <c r="ED329" i="3"/>
  <c r="ED328" i="3"/>
  <c r="ED327" i="3"/>
  <c r="ED326" i="3"/>
  <c r="ED325" i="3"/>
  <c r="ED324" i="3"/>
  <c r="ED323" i="3"/>
  <c r="ED322" i="3"/>
  <c r="ED321" i="3"/>
  <c r="ED320" i="3"/>
  <c r="ED319" i="3"/>
  <c r="ED318" i="3"/>
  <c r="ED317" i="3"/>
  <c r="ED316" i="3"/>
  <c r="ED315" i="3"/>
  <c r="ED314" i="3"/>
  <c r="ED313" i="3"/>
  <c r="ED312" i="3"/>
  <c r="ED311" i="3"/>
  <c r="ED310" i="3"/>
  <c r="ED309" i="3"/>
  <c r="ED308" i="3"/>
  <c r="ED307" i="3"/>
  <c r="ED306" i="3"/>
  <c r="ED305" i="3"/>
  <c r="ED304" i="3"/>
  <c r="ED303" i="3"/>
  <c r="ED302" i="3"/>
  <c r="ED301" i="3"/>
  <c r="ED300" i="3"/>
  <c r="ED299" i="3"/>
  <c r="ED298" i="3"/>
  <c r="ED297" i="3"/>
  <c r="ED296" i="3"/>
  <c r="ED295" i="3"/>
  <c r="ED294" i="3"/>
  <c r="ED293" i="3"/>
  <c r="ED292" i="3"/>
  <c r="ED291" i="3"/>
  <c r="ED290" i="3"/>
  <c r="ED289" i="3"/>
  <c r="ED288" i="3"/>
  <c r="ED287" i="3"/>
  <c r="ED286" i="3"/>
  <c r="ED285" i="3"/>
  <c r="ED284" i="3"/>
  <c r="ED283" i="3"/>
  <c r="ED282" i="3"/>
  <c r="ED281" i="3"/>
  <c r="ED280" i="3"/>
  <c r="ED279" i="3"/>
  <c r="ED278" i="3"/>
  <c r="ED277" i="3"/>
  <c r="ED276" i="3"/>
  <c r="ED275" i="3"/>
  <c r="ED274" i="3"/>
  <c r="ED273" i="3"/>
  <c r="ED272" i="3"/>
  <c r="ED271" i="3"/>
  <c r="ED270" i="3"/>
  <c r="ED269" i="3"/>
  <c r="ED268" i="3"/>
  <c r="ED267" i="3"/>
  <c r="ED266" i="3"/>
  <c r="ED265" i="3"/>
  <c r="ED264" i="3"/>
  <c r="ED263" i="3"/>
  <c r="ED262" i="3"/>
  <c r="ED261" i="3"/>
  <c r="ED260" i="3"/>
  <c r="ED259" i="3"/>
  <c r="ED258" i="3"/>
  <c r="ED257" i="3"/>
  <c r="ED256" i="3"/>
  <c r="ED255" i="3"/>
  <c r="ED254" i="3"/>
  <c r="ED253" i="3"/>
  <c r="ED252" i="3"/>
  <c r="ED251" i="3"/>
  <c r="ED250" i="3"/>
  <c r="ED249" i="3"/>
  <c r="ED248" i="3"/>
  <c r="ED247" i="3"/>
  <c r="ED246" i="3"/>
  <c r="ED245" i="3"/>
  <c r="ED244" i="3"/>
  <c r="ED243" i="3"/>
  <c r="ED242" i="3"/>
  <c r="ED241" i="3"/>
  <c r="ED240" i="3"/>
  <c r="ED239" i="3"/>
  <c r="ED238" i="3"/>
  <c r="ED237" i="3"/>
  <c r="ED236" i="3"/>
  <c r="ED235" i="3"/>
  <c r="ED234" i="3"/>
  <c r="ED233" i="3"/>
  <c r="ED232" i="3"/>
  <c r="ED231" i="3"/>
  <c r="ED230" i="3"/>
  <c r="ED229" i="3"/>
  <c r="ED228" i="3"/>
  <c r="ED227" i="3"/>
  <c r="ED226" i="3"/>
  <c r="ED225" i="3"/>
  <c r="ED224" i="3"/>
  <c r="ED223" i="3"/>
  <c r="ED222" i="3"/>
  <c r="ED221" i="3"/>
  <c r="ED220" i="3"/>
  <c r="ED219" i="3"/>
  <c r="ED218" i="3"/>
  <c r="ED217" i="3"/>
  <c r="ED216" i="3"/>
  <c r="ED215" i="3"/>
  <c r="ED214" i="3"/>
  <c r="ED213" i="3"/>
  <c r="ED212" i="3"/>
  <c r="ED211" i="3"/>
  <c r="ED210" i="3"/>
  <c r="ED209" i="3"/>
  <c r="ED208" i="3"/>
  <c r="ED207" i="3"/>
  <c r="ED206" i="3"/>
  <c r="ED205" i="3"/>
  <c r="ED204" i="3"/>
  <c r="ED203" i="3"/>
  <c r="ED202" i="3"/>
  <c r="ED201" i="3"/>
  <c r="ED200" i="3"/>
  <c r="ED199" i="3"/>
  <c r="ED198" i="3"/>
  <c r="ED197" i="3"/>
  <c r="ED196" i="3"/>
  <c r="ED195" i="3"/>
  <c r="ED194" i="3"/>
  <c r="ED193" i="3"/>
  <c r="ED192" i="3"/>
  <c r="ED191" i="3"/>
  <c r="ED190" i="3"/>
  <c r="ED189" i="3"/>
  <c r="ED188" i="3"/>
  <c r="ED187" i="3"/>
  <c r="ED186" i="3"/>
  <c r="ED185" i="3"/>
  <c r="ED184" i="3"/>
  <c r="ED183" i="3"/>
  <c r="ED182" i="3"/>
  <c r="ED181" i="3"/>
  <c r="ED180" i="3"/>
  <c r="ED179" i="3"/>
  <c r="ED178" i="3"/>
  <c r="ED177" i="3"/>
  <c r="ED176" i="3"/>
  <c r="ED175" i="3"/>
  <c r="ED174" i="3"/>
  <c r="ED173" i="3"/>
  <c r="ED172" i="3"/>
  <c r="ED171" i="3"/>
  <c r="ED170" i="3"/>
  <c r="ED169" i="3"/>
  <c r="ED168" i="3"/>
  <c r="ED167" i="3"/>
  <c r="ED166" i="3"/>
  <c r="ED165" i="3"/>
  <c r="ED164" i="3"/>
  <c r="ED163" i="3"/>
  <c r="ED162" i="3"/>
  <c r="ED161" i="3"/>
  <c r="ED160" i="3"/>
  <c r="ED159" i="3"/>
  <c r="ED158" i="3"/>
  <c r="ED157" i="3"/>
  <c r="ED156" i="3"/>
  <c r="ED155" i="3"/>
  <c r="ED154" i="3"/>
  <c r="ED153" i="3"/>
  <c r="ED152" i="3"/>
  <c r="ED151" i="3"/>
  <c r="ED150" i="3"/>
  <c r="ED149" i="3"/>
  <c r="ED148" i="3"/>
  <c r="ED147" i="3"/>
  <c r="ED146" i="3"/>
  <c r="ED145" i="3"/>
  <c r="ED144" i="3"/>
  <c r="ED143" i="3"/>
  <c r="ED142" i="3"/>
  <c r="ED141" i="3"/>
  <c r="ED140" i="3"/>
  <c r="ED139" i="3"/>
  <c r="ED138" i="3"/>
  <c r="ED137" i="3"/>
  <c r="ED136" i="3"/>
  <c r="ED135" i="3"/>
  <c r="ED134" i="3"/>
  <c r="ED133" i="3"/>
  <c r="ED132" i="3"/>
  <c r="ED131" i="3"/>
  <c r="ED130" i="3"/>
  <c r="ED129" i="3"/>
  <c r="ED128" i="3"/>
  <c r="ED127" i="3"/>
  <c r="ED126" i="3"/>
  <c r="ED125" i="3"/>
  <c r="ED124" i="3"/>
  <c r="ED123" i="3"/>
  <c r="ED122" i="3"/>
  <c r="ED121" i="3"/>
  <c r="ED120" i="3"/>
  <c r="ED119" i="3"/>
  <c r="ED118" i="3"/>
  <c r="ED117" i="3"/>
  <c r="ED116" i="3"/>
  <c r="ED115" i="3"/>
  <c r="ED114" i="3"/>
  <c r="ED113" i="3"/>
  <c r="ED112" i="3"/>
  <c r="ED111" i="3"/>
  <c r="ED110" i="3"/>
  <c r="ED109" i="3"/>
  <c r="ED108" i="3"/>
  <c r="ED107" i="3"/>
  <c r="ED106" i="3"/>
  <c r="ED105" i="3"/>
  <c r="ED104" i="3"/>
  <c r="ED103" i="3"/>
  <c r="ED102" i="3"/>
  <c r="ED101" i="3"/>
  <c r="ED100" i="3"/>
  <c r="ED99" i="3"/>
  <c r="ED98" i="3"/>
  <c r="ED97" i="3"/>
  <c r="ED96" i="3"/>
  <c r="ED95" i="3"/>
  <c r="ED94" i="3"/>
  <c r="ED93" i="3"/>
  <c r="ED92" i="3"/>
  <c r="ED91" i="3"/>
  <c r="ED90" i="3"/>
  <c r="ED89" i="3"/>
  <c r="ED88" i="3"/>
  <c r="ED87" i="3"/>
  <c r="ED86" i="3"/>
  <c r="ED85" i="3"/>
  <c r="ED84" i="3"/>
  <c r="ED83" i="3"/>
  <c r="ED82" i="3"/>
  <c r="ED81" i="3"/>
  <c r="ED80" i="3"/>
  <c r="ED79" i="3"/>
  <c r="ED78" i="3"/>
  <c r="ED77" i="3"/>
  <c r="ED76" i="3"/>
  <c r="ED75" i="3"/>
  <c r="ED74" i="3"/>
  <c r="ED73" i="3"/>
  <c r="ED72" i="3"/>
  <c r="ED71" i="3"/>
  <c r="ED70" i="3"/>
  <c r="ED69" i="3"/>
  <c r="ED68" i="3"/>
  <c r="ED67" i="3"/>
  <c r="ED66" i="3"/>
  <c r="ED65" i="3"/>
  <c r="ED64" i="3"/>
  <c r="ED63" i="3"/>
  <c r="ED62" i="3"/>
  <c r="ED61" i="3"/>
  <c r="ED60" i="3"/>
  <c r="ED59" i="3"/>
  <c r="ED58" i="3"/>
  <c r="ED57" i="3"/>
  <c r="ED56" i="3"/>
  <c r="ED55" i="3"/>
  <c r="ED54" i="3"/>
  <c r="ED53" i="3"/>
  <c r="ED52" i="3"/>
  <c r="ED51" i="3"/>
  <c r="ED50" i="3"/>
  <c r="ED49" i="3"/>
  <c r="ED48" i="3"/>
  <c r="ED47" i="3"/>
  <c r="ED46" i="3"/>
  <c r="ED45" i="3"/>
  <c r="ED44" i="3"/>
  <c r="ED43" i="3"/>
  <c r="ED42" i="3"/>
  <c r="ED41" i="3"/>
  <c r="ED40" i="3"/>
  <c r="ED39" i="3"/>
  <c r="ED38" i="3"/>
  <c r="ED37" i="3"/>
  <c r="ED36" i="3"/>
  <c r="ED33" i="3"/>
  <c r="ED32" i="3"/>
  <c r="ED31" i="3"/>
  <c r="ED30" i="3"/>
  <c r="ED29" i="3"/>
  <c r="ED28" i="3"/>
  <c r="ED27" i="3"/>
  <c r="ED26" i="3"/>
  <c r="ED25" i="3"/>
  <c r="ED24" i="3"/>
  <c r="ED23" i="3"/>
  <c r="ED22" i="3"/>
  <c r="ED21" i="3"/>
  <c r="ED20" i="3"/>
  <c r="ED19" i="3"/>
  <c r="ED18" i="3"/>
  <c r="ED17" i="3"/>
  <c r="ED16" i="3"/>
  <c r="ED15" i="3"/>
  <c r="ED14" i="3"/>
  <c r="ED13" i="3"/>
  <c r="ED12" i="3"/>
  <c r="ED11" i="3"/>
  <c r="ED10" i="3"/>
  <c r="ED9" i="3"/>
  <c r="ED8" i="3"/>
  <c r="ED7" i="3"/>
  <c r="EK932" i="3"/>
  <c r="EK931" i="3"/>
  <c r="EK930" i="3"/>
  <c r="EK929" i="3"/>
  <c r="EK928" i="3"/>
  <c r="EK927" i="3"/>
  <c r="EK926" i="3"/>
  <c r="EK925" i="3"/>
  <c r="EK924" i="3"/>
  <c r="EK923" i="3"/>
  <c r="EK922" i="3"/>
  <c r="EK921" i="3"/>
  <c r="EK920" i="3"/>
  <c r="EK919" i="3"/>
  <c r="EK918" i="3"/>
  <c r="EK917" i="3"/>
  <c r="EK916" i="3"/>
  <c r="EK915" i="3"/>
  <c r="EK914" i="3"/>
  <c r="EK913" i="3"/>
  <c r="EK912" i="3"/>
  <c r="EK911" i="3"/>
  <c r="EK910" i="3"/>
  <c r="EK909" i="3"/>
  <c r="EK908" i="3"/>
  <c r="EK907" i="3"/>
  <c r="EK906" i="3"/>
  <c r="EK905" i="3"/>
  <c r="EK904" i="3"/>
  <c r="EK903" i="3"/>
  <c r="EK902" i="3"/>
  <c r="EK901" i="3"/>
  <c r="EK900" i="3"/>
  <c r="EK899" i="3"/>
  <c r="EK898" i="3"/>
  <c r="EK897" i="3"/>
  <c r="EK896" i="3"/>
  <c r="EK895" i="3"/>
  <c r="EK894" i="3"/>
  <c r="EK893" i="3"/>
  <c r="EK892" i="3"/>
  <c r="EK891" i="3"/>
  <c r="EK890" i="3"/>
  <c r="EK889" i="3"/>
  <c r="EK888" i="3"/>
  <c r="EK887" i="3"/>
  <c r="EK886" i="3"/>
  <c r="EK885" i="3"/>
  <c r="EK884" i="3"/>
  <c r="EK883" i="3"/>
  <c r="EK882" i="3"/>
  <c r="EK881" i="3"/>
  <c r="EK880" i="3"/>
  <c r="EK879" i="3"/>
  <c r="EK878" i="3"/>
  <c r="EK877" i="3"/>
  <c r="EK876" i="3"/>
  <c r="EK875" i="3"/>
  <c r="EK874" i="3"/>
  <c r="EK873" i="3"/>
  <c r="EK872" i="3"/>
  <c r="EK871" i="3"/>
  <c r="EK870" i="3"/>
  <c r="EK869" i="3"/>
  <c r="EK868" i="3"/>
  <c r="EK867" i="3"/>
  <c r="EK866" i="3"/>
  <c r="EK865" i="3"/>
  <c r="EK864" i="3"/>
  <c r="EK863" i="3"/>
  <c r="EK862" i="3"/>
  <c r="EK861" i="3"/>
  <c r="EK860" i="3"/>
  <c r="EK859" i="3"/>
  <c r="EK858" i="3"/>
  <c r="EK857" i="3"/>
  <c r="EK856" i="3"/>
  <c r="EK855" i="3"/>
  <c r="EK854" i="3"/>
  <c r="EK853" i="3"/>
  <c r="EK852" i="3"/>
  <c r="EK851" i="3"/>
  <c r="EK850" i="3"/>
  <c r="EK849" i="3"/>
  <c r="EK848" i="3"/>
  <c r="EK847" i="3"/>
  <c r="EK846" i="3"/>
  <c r="EK845" i="3"/>
  <c r="EK844" i="3"/>
  <c r="EK843" i="3"/>
  <c r="EK842" i="3"/>
  <c r="EK841" i="3"/>
  <c r="EK840" i="3"/>
  <c r="EK839" i="3"/>
  <c r="EK838" i="3"/>
  <c r="EK837" i="3"/>
  <c r="EK836" i="3"/>
  <c r="EK835" i="3"/>
  <c r="EK834" i="3"/>
  <c r="EK833" i="3"/>
  <c r="EK832" i="3"/>
  <c r="EK831" i="3"/>
  <c r="EK830" i="3"/>
  <c r="EK829" i="3"/>
  <c r="EK828" i="3"/>
  <c r="EK827" i="3"/>
  <c r="EK826" i="3"/>
  <c r="EK825" i="3"/>
  <c r="EK824" i="3"/>
  <c r="EK823" i="3"/>
  <c r="EK822" i="3"/>
  <c r="EK821" i="3"/>
  <c r="EK820" i="3"/>
  <c r="EK819" i="3"/>
  <c r="EK818" i="3"/>
  <c r="EK817" i="3"/>
  <c r="EK816" i="3"/>
  <c r="EK815" i="3"/>
  <c r="EK814" i="3"/>
  <c r="EK813" i="3"/>
  <c r="EK812" i="3"/>
  <c r="EK811" i="3"/>
  <c r="EK810" i="3"/>
  <c r="EK809" i="3"/>
  <c r="EK808" i="3"/>
  <c r="EK807" i="3"/>
  <c r="EK806" i="3"/>
  <c r="EK805" i="3"/>
  <c r="EK804" i="3"/>
  <c r="EK803" i="3"/>
  <c r="EK802" i="3"/>
  <c r="EK801" i="3"/>
  <c r="EK800" i="3"/>
  <c r="EK799" i="3"/>
  <c r="EK798" i="3"/>
  <c r="EK797" i="3"/>
  <c r="EK796" i="3"/>
  <c r="EK795" i="3"/>
  <c r="EK794" i="3"/>
  <c r="EK793" i="3"/>
  <c r="EK792" i="3"/>
  <c r="EK791" i="3"/>
  <c r="EK790" i="3"/>
  <c r="EK789" i="3"/>
  <c r="EK788" i="3"/>
  <c r="EK787" i="3"/>
  <c r="EK786" i="3"/>
  <c r="EK785" i="3"/>
  <c r="EK784" i="3"/>
  <c r="EK783" i="3"/>
  <c r="EK782" i="3"/>
  <c r="EK781" i="3"/>
  <c r="EK780" i="3"/>
  <c r="EK779" i="3"/>
  <c r="EK778" i="3"/>
  <c r="EK777" i="3"/>
  <c r="EK776" i="3"/>
  <c r="EK775" i="3"/>
  <c r="EK774" i="3"/>
  <c r="EK773" i="3"/>
  <c r="EK772" i="3"/>
  <c r="EK771" i="3"/>
  <c r="EK770" i="3"/>
  <c r="EK769" i="3"/>
  <c r="EK768" i="3"/>
  <c r="EK767" i="3"/>
  <c r="EK766" i="3"/>
  <c r="EK765" i="3"/>
  <c r="EK764" i="3"/>
  <c r="EK763" i="3"/>
  <c r="EK762" i="3"/>
  <c r="EK761" i="3"/>
  <c r="EK760" i="3"/>
  <c r="EK759" i="3"/>
  <c r="EK758" i="3"/>
  <c r="EK757" i="3"/>
  <c r="EK756" i="3"/>
  <c r="EK755" i="3"/>
  <c r="EK754" i="3"/>
  <c r="EK753" i="3"/>
  <c r="EK752" i="3"/>
  <c r="EK751" i="3"/>
  <c r="EK750" i="3"/>
  <c r="EK749" i="3"/>
  <c r="EK748" i="3"/>
  <c r="EK747" i="3"/>
  <c r="EK746" i="3"/>
  <c r="EK745" i="3"/>
  <c r="EK744" i="3"/>
  <c r="EK743" i="3"/>
  <c r="EK742" i="3"/>
  <c r="EK741" i="3"/>
  <c r="EK740" i="3"/>
  <c r="EK739" i="3"/>
  <c r="EK738" i="3"/>
  <c r="EK737" i="3"/>
  <c r="EK736" i="3"/>
  <c r="EK735" i="3"/>
  <c r="EK734" i="3"/>
  <c r="EK733" i="3"/>
  <c r="EK732" i="3"/>
  <c r="EK731" i="3"/>
  <c r="EK730" i="3"/>
  <c r="EK729" i="3"/>
  <c r="EK728" i="3"/>
  <c r="EK727" i="3"/>
  <c r="EK726" i="3"/>
  <c r="EK725" i="3"/>
  <c r="EK724" i="3"/>
  <c r="EK723" i="3"/>
  <c r="EK722" i="3"/>
  <c r="EK721" i="3"/>
  <c r="EK720" i="3"/>
  <c r="EK719" i="3"/>
  <c r="EK718" i="3"/>
  <c r="EK717" i="3"/>
  <c r="EK716" i="3"/>
  <c r="EK715" i="3"/>
  <c r="EK714" i="3"/>
  <c r="EK713" i="3"/>
  <c r="EK712" i="3"/>
  <c r="EK711" i="3"/>
  <c r="EK710" i="3"/>
  <c r="EK709" i="3"/>
  <c r="EK708" i="3"/>
  <c r="EK707" i="3"/>
  <c r="EK706" i="3"/>
  <c r="EK705" i="3"/>
  <c r="EK704" i="3"/>
  <c r="EK703" i="3"/>
  <c r="EK702" i="3"/>
  <c r="EK701" i="3"/>
  <c r="EK700" i="3"/>
  <c r="EK699" i="3"/>
  <c r="EK698" i="3"/>
  <c r="EK697" i="3"/>
  <c r="EK696" i="3"/>
  <c r="EK695" i="3"/>
  <c r="EK694" i="3"/>
  <c r="EK693" i="3"/>
  <c r="EK692" i="3"/>
  <c r="EK691" i="3"/>
  <c r="EK690" i="3"/>
  <c r="EK689" i="3"/>
  <c r="EK688" i="3"/>
  <c r="EK687" i="3"/>
  <c r="EK686" i="3"/>
  <c r="EK685" i="3"/>
  <c r="EK684" i="3"/>
  <c r="EK683" i="3"/>
  <c r="EK682" i="3"/>
  <c r="EK681" i="3"/>
  <c r="EK680" i="3"/>
  <c r="EK679" i="3"/>
  <c r="EK678" i="3"/>
  <c r="EK677" i="3"/>
  <c r="EK676" i="3"/>
  <c r="EK675" i="3"/>
  <c r="EK674" i="3"/>
  <c r="EK673" i="3"/>
  <c r="EK672" i="3"/>
  <c r="EK671" i="3"/>
  <c r="EK670" i="3"/>
  <c r="EK669" i="3"/>
  <c r="EK668" i="3"/>
  <c r="EK667" i="3"/>
  <c r="EK666" i="3"/>
  <c r="EK665" i="3"/>
  <c r="EK664" i="3"/>
  <c r="EK663" i="3"/>
  <c r="EK662" i="3"/>
  <c r="EK661" i="3"/>
  <c r="EK660" i="3"/>
  <c r="EK659" i="3"/>
  <c r="EK658" i="3"/>
  <c r="EK657" i="3"/>
  <c r="EK656" i="3"/>
  <c r="EK655" i="3"/>
  <c r="EK654" i="3"/>
  <c r="EK653" i="3"/>
  <c r="EK652" i="3"/>
  <c r="EK651" i="3"/>
  <c r="EK650" i="3"/>
  <c r="EK649" i="3"/>
  <c r="EK648" i="3"/>
  <c r="EK647" i="3"/>
  <c r="EK646" i="3"/>
  <c r="EK645" i="3"/>
  <c r="EK644" i="3"/>
  <c r="EK643" i="3"/>
  <c r="EK642" i="3"/>
  <c r="EK641" i="3"/>
  <c r="EK640" i="3"/>
  <c r="EK639" i="3"/>
  <c r="EK638" i="3"/>
  <c r="EK637" i="3"/>
  <c r="EK636" i="3"/>
  <c r="EK635" i="3"/>
  <c r="EK634" i="3"/>
  <c r="EK633" i="3"/>
  <c r="EK632" i="3"/>
  <c r="EK631" i="3"/>
  <c r="EK630" i="3"/>
  <c r="EK629" i="3"/>
  <c r="EK628" i="3"/>
  <c r="EK627" i="3"/>
  <c r="EK626" i="3"/>
  <c r="EK625" i="3"/>
  <c r="EK624" i="3"/>
  <c r="EK623" i="3"/>
  <c r="EK622" i="3"/>
  <c r="EK621" i="3"/>
  <c r="EK620" i="3"/>
  <c r="EK619" i="3"/>
  <c r="EK618" i="3"/>
  <c r="EK617" i="3"/>
  <c r="EK616" i="3"/>
  <c r="EK615" i="3"/>
  <c r="EK614" i="3"/>
  <c r="EK613" i="3"/>
  <c r="EK612" i="3"/>
  <c r="EK611" i="3"/>
  <c r="EK610" i="3"/>
  <c r="EK609" i="3"/>
  <c r="EK608" i="3"/>
  <c r="EK607" i="3"/>
  <c r="EK606" i="3"/>
  <c r="EK605" i="3"/>
  <c r="EK604" i="3"/>
  <c r="EK603" i="3"/>
  <c r="EK602" i="3"/>
  <c r="EK601" i="3"/>
  <c r="EK600" i="3"/>
  <c r="EK599" i="3"/>
  <c r="EK598" i="3"/>
  <c r="EK597" i="3"/>
  <c r="EK596" i="3"/>
  <c r="EK595" i="3"/>
  <c r="EK594" i="3"/>
  <c r="EK593" i="3"/>
  <c r="EK592" i="3"/>
  <c r="EK591" i="3"/>
  <c r="EK590" i="3"/>
  <c r="EK589" i="3"/>
  <c r="EK588" i="3"/>
  <c r="EK587" i="3"/>
  <c r="EK586" i="3"/>
  <c r="EK585" i="3"/>
  <c r="EK584" i="3"/>
  <c r="EK583" i="3"/>
  <c r="EK582" i="3"/>
  <c r="EK581" i="3"/>
  <c r="EK580" i="3"/>
  <c r="EK579" i="3"/>
  <c r="EK578" i="3"/>
  <c r="EK577" i="3"/>
  <c r="EK576" i="3"/>
  <c r="EK575" i="3"/>
  <c r="EK574" i="3"/>
  <c r="EK573" i="3"/>
  <c r="EK572" i="3"/>
  <c r="EK571" i="3"/>
  <c r="EK570" i="3"/>
  <c r="EK569" i="3"/>
  <c r="EK568" i="3"/>
  <c r="EK567" i="3"/>
  <c r="EK566" i="3"/>
  <c r="EK565" i="3"/>
  <c r="EK564" i="3"/>
  <c r="EK563" i="3"/>
  <c r="EK562" i="3"/>
  <c r="EK561" i="3"/>
  <c r="EK560" i="3"/>
  <c r="EK559" i="3"/>
  <c r="EK558" i="3"/>
  <c r="EK557" i="3"/>
  <c r="EK556" i="3"/>
  <c r="EK555" i="3"/>
  <c r="EK554" i="3"/>
  <c r="EK553" i="3"/>
  <c r="EK552" i="3"/>
  <c r="EK551" i="3"/>
  <c r="EK550" i="3"/>
  <c r="EK549" i="3"/>
  <c r="EK548" i="3"/>
  <c r="EK547" i="3"/>
  <c r="EK546" i="3"/>
  <c r="EK545" i="3"/>
  <c r="EK544" i="3"/>
  <c r="EK543" i="3"/>
  <c r="EK542" i="3"/>
  <c r="EK541" i="3"/>
  <c r="EK540" i="3"/>
  <c r="EK539" i="3"/>
  <c r="EK538" i="3"/>
  <c r="EK537" i="3"/>
  <c r="EK536" i="3"/>
  <c r="EK535" i="3"/>
  <c r="EK534" i="3"/>
  <c r="EK533" i="3"/>
  <c r="EK532" i="3"/>
  <c r="EK531" i="3"/>
  <c r="EK530" i="3"/>
  <c r="EK529" i="3"/>
  <c r="EK528" i="3"/>
  <c r="EK527" i="3"/>
  <c r="EK526" i="3"/>
  <c r="EK525" i="3"/>
  <c r="EK524" i="3"/>
  <c r="EK523" i="3"/>
  <c r="EK522" i="3"/>
  <c r="EK521" i="3"/>
  <c r="EK520" i="3"/>
  <c r="EK519" i="3"/>
  <c r="EK518" i="3"/>
  <c r="EK517" i="3"/>
  <c r="EK516" i="3"/>
  <c r="EK515" i="3"/>
  <c r="EK514" i="3"/>
  <c r="EK513" i="3"/>
  <c r="EK512" i="3"/>
  <c r="EK511" i="3"/>
  <c r="EK510" i="3"/>
  <c r="EK509" i="3"/>
  <c r="EK508" i="3"/>
  <c r="EK507" i="3"/>
  <c r="EK506" i="3"/>
  <c r="EK505" i="3"/>
  <c r="EK504" i="3"/>
  <c r="EK503" i="3"/>
  <c r="EK502" i="3"/>
  <c r="EK501" i="3"/>
  <c r="EK500" i="3"/>
  <c r="EK499" i="3"/>
  <c r="EK498" i="3"/>
  <c r="EK497" i="3"/>
  <c r="EK496" i="3"/>
  <c r="EK495" i="3"/>
  <c r="EK494" i="3"/>
  <c r="EK493" i="3"/>
  <c r="EK492" i="3"/>
  <c r="EK491" i="3"/>
  <c r="EK490" i="3"/>
  <c r="EK489" i="3"/>
  <c r="EK488" i="3"/>
  <c r="EK487" i="3"/>
  <c r="EK486" i="3"/>
  <c r="EK485" i="3"/>
  <c r="EK484" i="3"/>
  <c r="EK483" i="3"/>
  <c r="EK482" i="3"/>
  <c r="EK481" i="3"/>
  <c r="EK480" i="3"/>
  <c r="EK479" i="3"/>
  <c r="EK478" i="3"/>
  <c r="EK477" i="3"/>
  <c r="EK476" i="3"/>
  <c r="EK475" i="3"/>
  <c r="EK474" i="3"/>
  <c r="EK473" i="3"/>
  <c r="EK472" i="3"/>
  <c r="EK471" i="3"/>
  <c r="EK470" i="3"/>
  <c r="EK469" i="3"/>
  <c r="EK468" i="3"/>
  <c r="EK467" i="3"/>
  <c r="EK466" i="3"/>
  <c r="EK465" i="3"/>
  <c r="EK464" i="3"/>
  <c r="EK463" i="3"/>
  <c r="EK462" i="3"/>
  <c r="EK461" i="3"/>
  <c r="EK460" i="3"/>
  <c r="EK459" i="3"/>
  <c r="EK458" i="3"/>
  <c r="EK457" i="3"/>
  <c r="EK456" i="3"/>
  <c r="EK455" i="3"/>
  <c r="EK454" i="3"/>
  <c r="EK453" i="3"/>
  <c r="EK452" i="3"/>
  <c r="EK451" i="3"/>
  <c r="EK450" i="3"/>
  <c r="EK449" i="3"/>
  <c r="EK448" i="3"/>
  <c r="EK447" i="3"/>
  <c r="EK446" i="3"/>
  <c r="EK445" i="3"/>
  <c r="EK444" i="3"/>
  <c r="EK443" i="3"/>
  <c r="EK442" i="3"/>
  <c r="EK441" i="3"/>
  <c r="EK440" i="3"/>
  <c r="EK439" i="3"/>
  <c r="EK438" i="3"/>
  <c r="EK437" i="3"/>
  <c r="EK436" i="3"/>
  <c r="EK435" i="3"/>
  <c r="EK434" i="3"/>
  <c r="EK433" i="3"/>
  <c r="EK432" i="3"/>
  <c r="EK431" i="3"/>
  <c r="EK430" i="3"/>
  <c r="EK429" i="3"/>
  <c r="EK428" i="3"/>
  <c r="EK427" i="3"/>
  <c r="EK426" i="3"/>
  <c r="EK425" i="3"/>
  <c r="EK424" i="3"/>
  <c r="EK423" i="3"/>
  <c r="EK422" i="3"/>
  <c r="EK421" i="3"/>
  <c r="EK420" i="3"/>
  <c r="EK419" i="3"/>
  <c r="EK418" i="3"/>
  <c r="EK417" i="3"/>
  <c r="EK416" i="3"/>
  <c r="EK415" i="3"/>
  <c r="EK414" i="3"/>
  <c r="EK413" i="3"/>
  <c r="EK412" i="3"/>
  <c r="EK411" i="3"/>
  <c r="EK410" i="3"/>
  <c r="EK409" i="3"/>
  <c r="EK408" i="3"/>
  <c r="EK407" i="3"/>
  <c r="EK406" i="3"/>
  <c r="EK405" i="3"/>
  <c r="EK404" i="3"/>
  <c r="EK403" i="3"/>
  <c r="EK402" i="3"/>
  <c r="EK401" i="3"/>
  <c r="EK400" i="3"/>
  <c r="EK399" i="3"/>
  <c r="EK398" i="3"/>
  <c r="EK397" i="3"/>
  <c r="EK396" i="3"/>
  <c r="EK395" i="3"/>
  <c r="EK394" i="3"/>
  <c r="EK393" i="3"/>
  <c r="EK392" i="3"/>
  <c r="EK391" i="3"/>
  <c r="EK390" i="3"/>
  <c r="EK389" i="3"/>
  <c r="EK388" i="3"/>
  <c r="EK387" i="3"/>
  <c r="EK386" i="3"/>
  <c r="EK385" i="3"/>
  <c r="EK384" i="3"/>
  <c r="EK383" i="3"/>
  <c r="EK382" i="3"/>
  <c r="EK381" i="3"/>
  <c r="EK380" i="3"/>
  <c r="EK379" i="3"/>
  <c r="EK378" i="3"/>
  <c r="EK377" i="3"/>
  <c r="EK376" i="3"/>
  <c r="EK375" i="3"/>
  <c r="EK374" i="3"/>
  <c r="EK373" i="3"/>
  <c r="EK372" i="3"/>
  <c r="EK371" i="3"/>
  <c r="EK370" i="3"/>
  <c r="EK369" i="3"/>
  <c r="EK368" i="3"/>
  <c r="EK367" i="3"/>
  <c r="EK366" i="3"/>
  <c r="EK365" i="3"/>
  <c r="EK364" i="3"/>
  <c r="EK363" i="3"/>
  <c r="EK362" i="3"/>
  <c r="EK361" i="3"/>
  <c r="EK360" i="3"/>
  <c r="EK359" i="3"/>
  <c r="EK358" i="3"/>
  <c r="EK357" i="3"/>
  <c r="EK356" i="3"/>
  <c r="EK355" i="3"/>
  <c r="EK354" i="3"/>
  <c r="EK353" i="3"/>
  <c r="EK352" i="3"/>
  <c r="EK351" i="3"/>
  <c r="EK350" i="3"/>
  <c r="EK349" i="3"/>
  <c r="EK348" i="3"/>
  <c r="EK347" i="3"/>
  <c r="EK346" i="3"/>
  <c r="EK345" i="3"/>
  <c r="EK344" i="3"/>
  <c r="EK343" i="3"/>
  <c r="EK342" i="3"/>
  <c r="EK341" i="3"/>
  <c r="EK340" i="3"/>
  <c r="EK339" i="3"/>
  <c r="EK338" i="3"/>
  <c r="EK337" i="3"/>
  <c r="EK336" i="3"/>
  <c r="EK335" i="3"/>
  <c r="EK334" i="3"/>
  <c r="EK333" i="3"/>
  <c r="EK332" i="3"/>
  <c r="EK331" i="3"/>
  <c r="EK330" i="3"/>
  <c r="EK329" i="3"/>
  <c r="EK328" i="3"/>
  <c r="EK327" i="3"/>
  <c r="EK326" i="3"/>
  <c r="EK325" i="3"/>
  <c r="EK324" i="3"/>
  <c r="EK323" i="3"/>
  <c r="EK322" i="3"/>
  <c r="EK321" i="3"/>
  <c r="EK320" i="3"/>
  <c r="EK319" i="3"/>
  <c r="EK318" i="3"/>
  <c r="EK317" i="3"/>
  <c r="EK316" i="3"/>
  <c r="EK315" i="3"/>
  <c r="EK314" i="3"/>
  <c r="EK313" i="3"/>
  <c r="EK312" i="3"/>
  <c r="EK311" i="3"/>
  <c r="EK310" i="3"/>
  <c r="EK309" i="3"/>
  <c r="EK308" i="3"/>
  <c r="EK307" i="3"/>
  <c r="EK306" i="3"/>
  <c r="EK305" i="3"/>
  <c r="EK304" i="3"/>
  <c r="EK303" i="3"/>
  <c r="EK302" i="3"/>
  <c r="EK301" i="3"/>
  <c r="EK300" i="3"/>
  <c r="EK299" i="3"/>
  <c r="EK298" i="3"/>
  <c r="EK297" i="3"/>
  <c r="EK296" i="3"/>
  <c r="EK295" i="3"/>
  <c r="EK294" i="3"/>
  <c r="EK293" i="3"/>
  <c r="EK292" i="3"/>
  <c r="EK291" i="3"/>
  <c r="EK290" i="3"/>
  <c r="EK289" i="3"/>
  <c r="EK288" i="3"/>
  <c r="EK287" i="3"/>
  <c r="EK286" i="3"/>
  <c r="EK285" i="3"/>
  <c r="EK284" i="3"/>
  <c r="EK283" i="3"/>
  <c r="EK282" i="3"/>
  <c r="EK281" i="3"/>
  <c r="EK280" i="3"/>
  <c r="EK279" i="3"/>
  <c r="EK278" i="3"/>
  <c r="EK277" i="3"/>
  <c r="EK276" i="3"/>
  <c r="EK275" i="3"/>
  <c r="EK274" i="3"/>
  <c r="EK273" i="3"/>
  <c r="EK272" i="3"/>
  <c r="EK271" i="3"/>
  <c r="EK270" i="3"/>
  <c r="EK269" i="3"/>
  <c r="EK268" i="3"/>
  <c r="EK267" i="3"/>
  <c r="EK266" i="3"/>
  <c r="EK265" i="3"/>
  <c r="EK264" i="3"/>
  <c r="EK263" i="3"/>
  <c r="EK262" i="3"/>
  <c r="EK261" i="3"/>
  <c r="EK260" i="3"/>
  <c r="EK259" i="3"/>
  <c r="EK258" i="3"/>
  <c r="EK257" i="3"/>
  <c r="EK256" i="3"/>
  <c r="EK255" i="3"/>
  <c r="EK254" i="3"/>
  <c r="EK253" i="3"/>
  <c r="EK252" i="3"/>
  <c r="EK251" i="3"/>
  <c r="EK250" i="3"/>
  <c r="EK249" i="3"/>
  <c r="EK248" i="3"/>
  <c r="EK247" i="3"/>
  <c r="EK246" i="3"/>
  <c r="EK245" i="3"/>
  <c r="EK244" i="3"/>
  <c r="EK243" i="3"/>
  <c r="EK242" i="3"/>
  <c r="EK241" i="3"/>
  <c r="EK240" i="3"/>
  <c r="EK239" i="3"/>
  <c r="EK238" i="3"/>
  <c r="EK237" i="3"/>
  <c r="EK236" i="3"/>
  <c r="EK235" i="3"/>
  <c r="EK234" i="3"/>
  <c r="EK233" i="3"/>
  <c r="EK232" i="3"/>
  <c r="EK231" i="3"/>
  <c r="EK230" i="3"/>
  <c r="EK229" i="3"/>
  <c r="EK228" i="3"/>
  <c r="EK227" i="3"/>
  <c r="EK226" i="3"/>
  <c r="EK225" i="3"/>
  <c r="EK224" i="3"/>
  <c r="EK223" i="3"/>
  <c r="EK222" i="3"/>
  <c r="EK221" i="3"/>
  <c r="EK220" i="3"/>
  <c r="EK219" i="3"/>
  <c r="EK218" i="3"/>
  <c r="EK217" i="3"/>
  <c r="EK216" i="3"/>
  <c r="EK215" i="3"/>
  <c r="EK214" i="3"/>
  <c r="EK213" i="3"/>
  <c r="EK212" i="3"/>
  <c r="EK211" i="3"/>
  <c r="EK210" i="3"/>
  <c r="EK209" i="3"/>
  <c r="EK208" i="3"/>
  <c r="EK207" i="3"/>
  <c r="EK206" i="3"/>
  <c r="EK205" i="3"/>
  <c r="EK204" i="3"/>
  <c r="EK203" i="3"/>
  <c r="EK202" i="3"/>
  <c r="EK201" i="3"/>
  <c r="EK200" i="3"/>
  <c r="EK199" i="3"/>
  <c r="EK198" i="3"/>
  <c r="EK197" i="3"/>
  <c r="EK196" i="3"/>
  <c r="EK195" i="3"/>
  <c r="EK194" i="3"/>
  <c r="EK193" i="3"/>
  <c r="EK192" i="3"/>
  <c r="EK191" i="3"/>
  <c r="EK190" i="3"/>
  <c r="EK189" i="3"/>
  <c r="EK188" i="3"/>
  <c r="EK187" i="3"/>
  <c r="EK186" i="3"/>
  <c r="EK185" i="3"/>
  <c r="EK184" i="3"/>
  <c r="EK183" i="3"/>
  <c r="EK182" i="3"/>
  <c r="EK181" i="3"/>
  <c r="EK180" i="3"/>
  <c r="EK179" i="3"/>
  <c r="EK178" i="3"/>
  <c r="EK177" i="3"/>
  <c r="EK176" i="3"/>
  <c r="EK175" i="3"/>
  <c r="EK174" i="3"/>
  <c r="EK173" i="3"/>
  <c r="EK172" i="3"/>
  <c r="EK171" i="3"/>
  <c r="EK170" i="3"/>
  <c r="EK169" i="3"/>
  <c r="EK168" i="3"/>
  <c r="EK167" i="3"/>
  <c r="EK166" i="3"/>
  <c r="EK165" i="3"/>
  <c r="EK164" i="3"/>
  <c r="EK163" i="3"/>
  <c r="EK162" i="3"/>
  <c r="EK161" i="3"/>
  <c r="EK160" i="3"/>
  <c r="EK159" i="3"/>
  <c r="EK158" i="3"/>
  <c r="EK157" i="3"/>
  <c r="EK156" i="3"/>
  <c r="EK155" i="3"/>
  <c r="EK154" i="3"/>
  <c r="EK153" i="3"/>
  <c r="EK152" i="3"/>
  <c r="EK151" i="3"/>
  <c r="EK150" i="3"/>
  <c r="EK149" i="3"/>
  <c r="EK148" i="3"/>
  <c r="EK147" i="3"/>
  <c r="EK146" i="3"/>
  <c r="EK145" i="3"/>
  <c r="EK144" i="3"/>
  <c r="EK143" i="3"/>
  <c r="EK142" i="3"/>
  <c r="EK141" i="3"/>
  <c r="EK140" i="3"/>
  <c r="EK139" i="3"/>
  <c r="EK138" i="3"/>
  <c r="EK137" i="3"/>
  <c r="EK136" i="3"/>
  <c r="EK135" i="3"/>
  <c r="EK134" i="3"/>
  <c r="EK133" i="3"/>
  <c r="EK132" i="3"/>
  <c r="EK131" i="3"/>
  <c r="EK130" i="3"/>
  <c r="EK129" i="3"/>
  <c r="EK128" i="3"/>
  <c r="EK127" i="3"/>
  <c r="EK126" i="3"/>
  <c r="EK125" i="3"/>
  <c r="EK124" i="3"/>
  <c r="EK123" i="3"/>
  <c r="EK122" i="3"/>
  <c r="EK121" i="3"/>
  <c r="EK120" i="3"/>
  <c r="EK119" i="3"/>
  <c r="EK118" i="3"/>
  <c r="EK117" i="3"/>
  <c r="EK116" i="3"/>
  <c r="EK115" i="3"/>
  <c r="EK114" i="3"/>
  <c r="EK113" i="3"/>
  <c r="EK112" i="3"/>
  <c r="EK111" i="3"/>
  <c r="EK110" i="3"/>
  <c r="EK109" i="3"/>
  <c r="EK108" i="3"/>
  <c r="EK107" i="3"/>
  <c r="EK106" i="3"/>
  <c r="EK105" i="3"/>
  <c r="EK104" i="3"/>
  <c r="EK103" i="3"/>
  <c r="EK102" i="3"/>
  <c r="EK101" i="3"/>
  <c r="EK100" i="3"/>
  <c r="EK99" i="3"/>
  <c r="EK98" i="3"/>
  <c r="EK97" i="3"/>
  <c r="EK96" i="3"/>
  <c r="EK95" i="3"/>
  <c r="EK94" i="3"/>
  <c r="EK93" i="3"/>
  <c r="EK92" i="3"/>
  <c r="EK91" i="3"/>
  <c r="EK90" i="3"/>
  <c r="EK89" i="3"/>
  <c r="EK88" i="3"/>
  <c r="EK87" i="3"/>
  <c r="EK86" i="3"/>
  <c r="EK85" i="3"/>
  <c r="EK84" i="3"/>
  <c r="EK83" i="3"/>
  <c r="EK82" i="3"/>
  <c r="EK81" i="3"/>
  <c r="EK80" i="3"/>
  <c r="EK79" i="3"/>
  <c r="EK78" i="3"/>
  <c r="EK77" i="3"/>
  <c r="EK76" i="3"/>
  <c r="EK75" i="3"/>
  <c r="EK74" i="3"/>
  <c r="EK73" i="3"/>
  <c r="EK72" i="3"/>
  <c r="EK71" i="3"/>
  <c r="EK70" i="3"/>
  <c r="EK69" i="3"/>
  <c r="EK68" i="3"/>
  <c r="EK67" i="3"/>
  <c r="EK66" i="3"/>
  <c r="EK65" i="3"/>
  <c r="EK64" i="3"/>
  <c r="EK63" i="3"/>
  <c r="EK62" i="3"/>
  <c r="EK61" i="3"/>
  <c r="EK60" i="3"/>
  <c r="EK59" i="3"/>
  <c r="EK58" i="3"/>
  <c r="EK57" i="3"/>
  <c r="EK56" i="3"/>
  <c r="EK55" i="3"/>
  <c r="EK54" i="3"/>
  <c r="EK53" i="3"/>
  <c r="EK52" i="3"/>
  <c r="EK51" i="3"/>
  <c r="EK50" i="3"/>
  <c r="EK49" i="3"/>
  <c r="EK48" i="3"/>
  <c r="EK47" i="3"/>
  <c r="EK46" i="3"/>
  <c r="EK45" i="3"/>
  <c r="EK44" i="3"/>
  <c r="EK43" i="3"/>
  <c r="EK42" i="3"/>
  <c r="EK41" i="3"/>
  <c r="EK40" i="3"/>
  <c r="EK39" i="3"/>
  <c r="EK38" i="3"/>
  <c r="EK37" i="3"/>
  <c r="EK36" i="3"/>
  <c r="EK30" i="3"/>
  <c r="EK29" i="3"/>
  <c r="EK28" i="3"/>
  <c r="EK26" i="3"/>
  <c r="EK20" i="3"/>
  <c r="EK19" i="3"/>
  <c r="EK18" i="3"/>
  <c r="EK17" i="3"/>
  <c r="EK16" i="3"/>
  <c r="EK15" i="3"/>
  <c r="EK14" i="3"/>
  <c r="EK13" i="3"/>
  <c r="EK12" i="3"/>
  <c r="EK11" i="3"/>
  <c r="EK10" i="3"/>
  <c r="EK9" i="3"/>
  <c r="EK8" i="3"/>
  <c r="EK7" i="3"/>
  <c r="EG932" i="3"/>
  <c r="EG931" i="3"/>
  <c r="EG930" i="3"/>
  <c r="EG929" i="3"/>
  <c r="EG928" i="3"/>
  <c r="EG927" i="3"/>
  <c r="EG926" i="3"/>
  <c r="EG925" i="3"/>
  <c r="EG924" i="3"/>
  <c r="EG923" i="3"/>
  <c r="EG922" i="3"/>
  <c r="EG921" i="3"/>
  <c r="EG920" i="3"/>
  <c r="EG919" i="3"/>
  <c r="EG918" i="3"/>
  <c r="EG917" i="3"/>
  <c r="EG916" i="3"/>
  <c r="EG915" i="3"/>
  <c r="EG914" i="3"/>
  <c r="EG913" i="3"/>
  <c r="EG912" i="3"/>
  <c r="EG911" i="3"/>
  <c r="EG910" i="3"/>
  <c r="EG909" i="3"/>
  <c r="EG908" i="3"/>
  <c r="EG907" i="3"/>
  <c r="EG906" i="3"/>
  <c r="EG905" i="3"/>
  <c r="EG904" i="3"/>
  <c r="EG903" i="3"/>
  <c r="EG902" i="3"/>
  <c r="EG901" i="3"/>
  <c r="EG900" i="3"/>
  <c r="EG899" i="3"/>
  <c r="EG898" i="3"/>
  <c r="EG897" i="3"/>
  <c r="EG896" i="3"/>
  <c r="EG895" i="3"/>
  <c r="EG894" i="3"/>
  <c r="EG893" i="3"/>
  <c r="EG892" i="3"/>
  <c r="EG891" i="3"/>
  <c r="EG890" i="3"/>
  <c r="EG889" i="3"/>
  <c r="EG888" i="3"/>
  <c r="EG887" i="3"/>
  <c r="EG886" i="3"/>
  <c r="EG885" i="3"/>
  <c r="EG884" i="3"/>
  <c r="EG883" i="3"/>
  <c r="EG882" i="3"/>
  <c r="EG881" i="3"/>
  <c r="EG880" i="3"/>
  <c r="EG879" i="3"/>
  <c r="EG878" i="3"/>
  <c r="EG877" i="3"/>
  <c r="EG876" i="3"/>
  <c r="EG875" i="3"/>
  <c r="EG874" i="3"/>
  <c r="EG873" i="3"/>
  <c r="EG872" i="3"/>
  <c r="EG871" i="3"/>
  <c r="EG870" i="3"/>
  <c r="EG869" i="3"/>
  <c r="EG868" i="3"/>
  <c r="EG867" i="3"/>
  <c r="EG866" i="3"/>
  <c r="EG865" i="3"/>
  <c r="EG864" i="3"/>
  <c r="EG863" i="3"/>
  <c r="EG862" i="3"/>
  <c r="EG861" i="3"/>
  <c r="EG860" i="3"/>
  <c r="EG859" i="3"/>
  <c r="EG858" i="3"/>
  <c r="EG857" i="3"/>
  <c r="EG856" i="3"/>
  <c r="EG855" i="3"/>
  <c r="EG854" i="3"/>
  <c r="EG853" i="3"/>
  <c r="EG852" i="3"/>
  <c r="EG851" i="3"/>
  <c r="EG850" i="3"/>
  <c r="EG849" i="3"/>
  <c r="EG848" i="3"/>
  <c r="EG847" i="3"/>
  <c r="EG846" i="3"/>
  <c r="EG845" i="3"/>
  <c r="EG844" i="3"/>
  <c r="EG843" i="3"/>
  <c r="EG842" i="3"/>
  <c r="EG841" i="3"/>
  <c r="EG840" i="3"/>
  <c r="EG839" i="3"/>
  <c r="EG838" i="3"/>
  <c r="EG837" i="3"/>
  <c r="EG836" i="3"/>
  <c r="EG835" i="3"/>
  <c r="EG834" i="3"/>
  <c r="EG833" i="3"/>
  <c r="EG832" i="3"/>
  <c r="EG831" i="3"/>
  <c r="EG830" i="3"/>
  <c r="EG829" i="3"/>
  <c r="EG828" i="3"/>
  <c r="EG827" i="3"/>
  <c r="EG826" i="3"/>
  <c r="EG825" i="3"/>
  <c r="EG824" i="3"/>
  <c r="EG823" i="3"/>
  <c r="EG822" i="3"/>
  <c r="EG821" i="3"/>
  <c r="EG820" i="3"/>
  <c r="EG819" i="3"/>
  <c r="EG818" i="3"/>
  <c r="EG817" i="3"/>
  <c r="EG816" i="3"/>
  <c r="EG815" i="3"/>
  <c r="EG814" i="3"/>
  <c r="EG813" i="3"/>
  <c r="EG812" i="3"/>
  <c r="EG811" i="3"/>
  <c r="EG810" i="3"/>
  <c r="EG809" i="3"/>
  <c r="EG808" i="3"/>
  <c r="EG807" i="3"/>
  <c r="EG806" i="3"/>
  <c r="EG805" i="3"/>
  <c r="EG804" i="3"/>
  <c r="EG803" i="3"/>
  <c r="EG802" i="3"/>
  <c r="EG801" i="3"/>
  <c r="EG800" i="3"/>
  <c r="EG799" i="3"/>
  <c r="EG798" i="3"/>
  <c r="EG797" i="3"/>
  <c r="EG796" i="3"/>
  <c r="EG795" i="3"/>
  <c r="EG794" i="3"/>
  <c r="EG793" i="3"/>
  <c r="EG792" i="3"/>
  <c r="EG791" i="3"/>
  <c r="EG790" i="3"/>
  <c r="EG789" i="3"/>
  <c r="EG788" i="3"/>
  <c r="EG787" i="3"/>
  <c r="EG786" i="3"/>
  <c r="EG785" i="3"/>
  <c r="EG784" i="3"/>
  <c r="EG783" i="3"/>
  <c r="EG782" i="3"/>
  <c r="EG781" i="3"/>
  <c r="EG780" i="3"/>
  <c r="EG779" i="3"/>
  <c r="EG778" i="3"/>
  <c r="EG777" i="3"/>
  <c r="EG776" i="3"/>
  <c r="EG775" i="3"/>
  <c r="EG774" i="3"/>
  <c r="EG773" i="3"/>
  <c r="EG772" i="3"/>
  <c r="EG771" i="3"/>
  <c r="EG770" i="3"/>
  <c r="EG769" i="3"/>
  <c r="EG768" i="3"/>
  <c r="EG767" i="3"/>
  <c r="EG766" i="3"/>
  <c r="EG765" i="3"/>
  <c r="EG764" i="3"/>
  <c r="EG763" i="3"/>
  <c r="EG762" i="3"/>
  <c r="EG761" i="3"/>
  <c r="EG760" i="3"/>
  <c r="EG759" i="3"/>
  <c r="EG758" i="3"/>
  <c r="EG757" i="3"/>
  <c r="EG756" i="3"/>
  <c r="EG755" i="3"/>
  <c r="EG754" i="3"/>
  <c r="EG753" i="3"/>
  <c r="EG752" i="3"/>
  <c r="EG751" i="3"/>
  <c r="EG750" i="3"/>
  <c r="EG749" i="3"/>
  <c r="EG748" i="3"/>
  <c r="EG747" i="3"/>
  <c r="EG746" i="3"/>
  <c r="EG745" i="3"/>
  <c r="EG744" i="3"/>
  <c r="EG743" i="3"/>
  <c r="EG742" i="3"/>
  <c r="EG741" i="3"/>
  <c r="EG740" i="3"/>
  <c r="EG739" i="3"/>
  <c r="EG738" i="3"/>
  <c r="EG737" i="3"/>
  <c r="EG736" i="3"/>
  <c r="EG735" i="3"/>
  <c r="EG734" i="3"/>
  <c r="EG733" i="3"/>
  <c r="EG732" i="3"/>
  <c r="EG731" i="3"/>
  <c r="EG730" i="3"/>
  <c r="EG729" i="3"/>
  <c r="EG728" i="3"/>
  <c r="EG727" i="3"/>
  <c r="EG726" i="3"/>
  <c r="EG725" i="3"/>
  <c r="EG724" i="3"/>
  <c r="EG723" i="3"/>
  <c r="EG722" i="3"/>
  <c r="EG721" i="3"/>
  <c r="EG720" i="3"/>
  <c r="EG719" i="3"/>
  <c r="EG718" i="3"/>
  <c r="EG717" i="3"/>
  <c r="EG716" i="3"/>
  <c r="EG715" i="3"/>
  <c r="EG714" i="3"/>
  <c r="EG713" i="3"/>
  <c r="EG712" i="3"/>
  <c r="EG711" i="3"/>
  <c r="EG710" i="3"/>
  <c r="EG709" i="3"/>
  <c r="EG708" i="3"/>
  <c r="EG707" i="3"/>
  <c r="EG706" i="3"/>
  <c r="EG705" i="3"/>
  <c r="EG704" i="3"/>
  <c r="EG703" i="3"/>
  <c r="EG702" i="3"/>
  <c r="EG701" i="3"/>
  <c r="EG700" i="3"/>
  <c r="EG699" i="3"/>
  <c r="EG698" i="3"/>
  <c r="EG697" i="3"/>
  <c r="EG696" i="3"/>
  <c r="EG695" i="3"/>
  <c r="EG694" i="3"/>
  <c r="EG693" i="3"/>
  <c r="EG692" i="3"/>
  <c r="EG691" i="3"/>
  <c r="EG690" i="3"/>
  <c r="EG689" i="3"/>
  <c r="EG688" i="3"/>
  <c r="EG687" i="3"/>
  <c r="EG686" i="3"/>
  <c r="EG685" i="3"/>
  <c r="EG684" i="3"/>
  <c r="EG683" i="3"/>
  <c r="EG682" i="3"/>
  <c r="EG681" i="3"/>
  <c r="EG680" i="3"/>
  <c r="EG679" i="3"/>
  <c r="EG678" i="3"/>
  <c r="EG677" i="3"/>
  <c r="EG676" i="3"/>
  <c r="EG675" i="3"/>
  <c r="EG674" i="3"/>
  <c r="EG673" i="3"/>
  <c r="EG672" i="3"/>
  <c r="EG671" i="3"/>
  <c r="EG670" i="3"/>
  <c r="EG669" i="3"/>
  <c r="EG668" i="3"/>
  <c r="EG667" i="3"/>
  <c r="EG666" i="3"/>
  <c r="EG665" i="3"/>
  <c r="EG664" i="3"/>
  <c r="EG663" i="3"/>
  <c r="EG662" i="3"/>
  <c r="EG661" i="3"/>
  <c r="EG660" i="3"/>
  <c r="EG659" i="3"/>
  <c r="EG658" i="3"/>
  <c r="EG657" i="3"/>
  <c r="EG656" i="3"/>
  <c r="EG655" i="3"/>
  <c r="EG654" i="3"/>
  <c r="EG653" i="3"/>
  <c r="EG652" i="3"/>
  <c r="EG651" i="3"/>
  <c r="EG650" i="3"/>
  <c r="EG649" i="3"/>
  <c r="EG648" i="3"/>
  <c r="EG647" i="3"/>
  <c r="EG646" i="3"/>
  <c r="EG645" i="3"/>
  <c r="EG644" i="3"/>
  <c r="EG643" i="3"/>
  <c r="EG642" i="3"/>
  <c r="EG641" i="3"/>
  <c r="EG640" i="3"/>
  <c r="EG639" i="3"/>
  <c r="EG638" i="3"/>
  <c r="EG637" i="3"/>
  <c r="EG636" i="3"/>
  <c r="EG635" i="3"/>
  <c r="EG634" i="3"/>
  <c r="EG633" i="3"/>
  <c r="EG632" i="3"/>
  <c r="EG631" i="3"/>
  <c r="EG630" i="3"/>
  <c r="EG629" i="3"/>
  <c r="EG628" i="3"/>
  <c r="EG627" i="3"/>
  <c r="EG626" i="3"/>
  <c r="EG625" i="3"/>
  <c r="EG624" i="3"/>
  <c r="EG623" i="3"/>
  <c r="EG622" i="3"/>
  <c r="EG621" i="3"/>
  <c r="EG620" i="3"/>
  <c r="EG619" i="3"/>
  <c r="EG618" i="3"/>
  <c r="EG617" i="3"/>
  <c r="EG616" i="3"/>
  <c r="EG615" i="3"/>
  <c r="EG614" i="3"/>
  <c r="EG613" i="3"/>
  <c r="EG612" i="3"/>
  <c r="EG611" i="3"/>
  <c r="EG610" i="3"/>
  <c r="EG609" i="3"/>
  <c r="EG608" i="3"/>
  <c r="EG607" i="3"/>
  <c r="EG606" i="3"/>
  <c r="EG605" i="3"/>
  <c r="EG604" i="3"/>
  <c r="EG603" i="3"/>
  <c r="EG602" i="3"/>
  <c r="EG601" i="3"/>
  <c r="EG600" i="3"/>
  <c r="EG599" i="3"/>
  <c r="EG598" i="3"/>
  <c r="EG597" i="3"/>
  <c r="EG596" i="3"/>
  <c r="EG595" i="3"/>
  <c r="EG594" i="3"/>
  <c r="EG593" i="3"/>
  <c r="EG592" i="3"/>
  <c r="EG591" i="3"/>
  <c r="EG590" i="3"/>
  <c r="EG589" i="3"/>
  <c r="EG588" i="3"/>
  <c r="EG587" i="3"/>
  <c r="EG586" i="3"/>
  <c r="EG585" i="3"/>
  <c r="EG584" i="3"/>
  <c r="EG583" i="3"/>
  <c r="EG582" i="3"/>
  <c r="EG581" i="3"/>
  <c r="EG580" i="3"/>
  <c r="EG579" i="3"/>
  <c r="EG578" i="3"/>
  <c r="EG577" i="3"/>
  <c r="EG576" i="3"/>
  <c r="EG575" i="3"/>
  <c r="EG574" i="3"/>
  <c r="EG573" i="3"/>
  <c r="EG572" i="3"/>
  <c r="EG571" i="3"/>
  <c r="EG570" i="3"/>
  <c r="EG569" i="3"/>
  <c r="EG568" i="3"/>
  <c r="EG567" i="3"/>
  <c r="EG566" i="3"/>
  <c r="EG565" i="3"/>
  <c r="EG564" i="3"/>
  <c r="EG563" i="3"/>
  <c r="EG562" i="3"/>
  <c r="EG561" i="3"/>
  <c r="EG560" i="3"/>
  <c r="EG559" i="3"/>
  <c r="EG558" i="3"/>
  <c r="EG557" i="3"/>
  <c r="EG556" i="3"/>
  <c r="EG555" i="3"/>
  <c r="EG554" i="3"/>
  <c r="EG553" i="3"/>
  <c r="EG552" i="3"/>
  <c r="EG551" i="3"/>
  <c r="EG550" i="3"/>
  <c r="EG549" i="3"/>
  <c r="EG548" i="3"/>
  <c r="EG547" i="3"/>
  <c r="EG546" i="3"/>
  <c r="EG545" i="3"/>
  <c r="EG544" i="3"/>
  <c r="EG543" i="3"/>
  <c r="EG542" i="3"/>
  <c r="EG541" i="3"/>
  <c r="EG540" i="3"/>
  <c r="EG539" i="3"/>
  <c r="EG538" i="3"/>
  <c r="EG537" i="3"/>
  <c r="EG536" i="3"/>
  <c r="EG535" i="3"/>
  <c r="EG534" i="3"/>
  <c r="EG533" i="3"/>
  <c r="EG532" i="3"/>
  <c r="EG531" i="3"/>
  <c r="EG530" i="3"/>
  <c r="EG529" i="3"/>
  <c r="EG528" i="3"/>
  <c r="EG527" i="3"/>
  <c r="EG526" i="3"/>
  <c r="EG525" i="3"/>
  <c r="EG524" i="3"/>
  <c r="EG523" i="3"/>
  <c r="EG522" i="3"/>
  <c r="EG521" i="3"/>
  <c r="EG520" i="3"/>
  <c r="EG519" i="3"/>
  <c r="EG518" i="3"/>
  <c r="EG517" i="3"/>
  <c r="EG516" i="3"/>
  <c r="EG515" i="3"/>
  <c r="EG514" i="3"/>
  <c r="EG513" i="3"/>
  <c r="EG512" i="3"/>
  <c r="EG511" i="3"/>
  <c r="EG510" i="3"/>
  <c r="EG509" i="3"/>
  <c r="EG508" i="3"/>
  <c r="EG507" i="3"/>
  <c r="EG506" i="3"/>
  <c r="EG505" i="3"/>
  <c r="EG504" i="3"/>
  <c r="EG503" i="3"/>
  <c r="EG502" i="3"/>
  <c r="EG501" i="3"/>
  <c r="EG500" i="3"/>
  <c r="EG499" i="3"/>
  <c r="EG498" i="3"/>
  <c r="EG497" i="3"/>
  <c r="EG496" i="3"/>
  <c r="EG495" i="3"/>
  <c r="EG494" i="3"/>
  <c r="EG493" i="3"/>
  <c r="EG492" i="3"/>
  <c r="EG491" i="3"/>
  <c r="EG490" i="3"/>
  <c r="EG489" i="3"/>
  <c r="EG488" i="3"/>
  <c r="EG487" i="3"/>
  <c r="EG486" i="3"/>
  <c r="EG485" i="3"/>
  <c r="EG484" i="3"/>
  <c r="EG483" i="3"/>
  <c r="EG482" i="3"/>
  <c r="EG481" i="3"/>
  <c r="EG480" i="3"/>
  <c r="EG479" i="3"/>
  <c r="EG478" i="3"/>
  <c r="EG477" i="3"/>
  <c r="EG476" i="3"/>
  <c r="EG475" i="3"/>
  <c r="EG474" i="3"/>
  <c r="EG473" i="3"/>
  <c r="EG472" i="3"/>
  <c r="EG471" i="3"/>
  <c r="EG470" i="3"/>
  <c r="EG469" i="3"/>
  <c r="EG468" i="3"/>
  <c r="EG467" i="3"/>
  <c r="EG466" i="3"/>
  <c r="EG465" i="3"/>
  <c r="EG464" i="3"/>
  <c r="EG463" i="3"/>
  <c r="EG462" i="3"/>
  <c r="EG461" i="3"/>
  <c r="EG460" i="3"/>
  <c r="EG459" i="3"/>
  <c r="EG458" i="3"/>
  <c r="EG457" i="3"/>
  <c r="EG456" i="3"/>
  <c r="EG455" i="3"/>
  <c r="EG454" i="3"/>
  <c r="EG453" i="3"/>
  <c r="EG452" i="3"/>
  <c r="EG451" i="3"/>
  <c r="EG450" i="3"/>
  <c r="EG449" i="3"/>
  <c r="EG448" i="3"/>
  <c r="EG447" i="3"/>
  <c r="EG446" i="3"/>
  <c r="EG445" i="3"/>
  <c r="EG444" i="3"/>
  <c r="EG443" i="3"/>
  <c r="EG442" i="3"/>
  <c r="EG441" i="3"/>
  <c r="EG440" i="3"/>
  <c r="EG439" i="3"/>
  <c r="EG438" i="3"/>
  <c r="EG437" i="3"/>
  <c r="EG436" i="3"/>
  <c r="EG435" i="3"/>
  <c r="EG434" i="3"/>
  <c r="EG433" i="3"/>
  <c r="EG432" i="3"/>
  <c r="EG431" i="3"/>
  <c r="EG430" i="3"/>
  <c r="EG429" i="3"/>
  <c r="EG428" i="3"/>
  <c r="EG427" i="3"/>
  <c r="EG426" i="3"/>
  <c r="EG425" i="3"/>
  <c r="EG424" i="3"/>
  <c r="EG423" i="3"/>
  <c r="EG422" i="3"/>
  <c r="EG421" i="3"/>
  <c r="EG420" i="3"/>
  <c r="EG419" i="3"/>
  <c r="EG418" i="3"/>
  <c r="EG417" i="3"/>
  <c r="EG416" i="3"/>
  <c r="EG415" i="3"/>
  <c r="EG414" i="3"/>
  <c r="EG413" i="3"/>
  <c r="EG412" i="3"/>
  <c r="EG411" i="3"/>
  <c r="EG410" i="3"/>
  <c r="EG409" i="3"/>
  <c r="EG408" i="3"/>
  <c r="EG407" i="3"/>
  <c r="EG406" i="3"/>
  <c r="EG405" i="3"/>
  <c r="EG404" i="3"/>
  <c r="EG403" i="3"/>
  <c r="EG402" i="3"/>
  <c r="EG401" i="3"/>
  <c r="EG400" i="3"/>
  <c r="EG399" i="3"/>
  <c r="EG398" i="3"/>
  <c r="EG397" i="3"/>
  <c r="EG396" i="3"/>
  <c r="EG395" i="3"/>
  <c r="EG394" i="3"/>
  <c r="EG393" i="3"/>
  <c r="EG392" i="3"/>
  <c r="EG391" i="3"/>
  <c r="EG390" i="3"/>
  <c r="EG389" i="3"/>
  <c r="EG388" i="3"/>
  <c r="EG387" i="3"/>
  <c r="EG386" i="3"/>
  <c r="EG385" i="3"/>
  <c r="EG384" i="3"/>
  <c r="EG383" i="3"/>
  <c r="EG382" i="3"/>
  <c r="EG381" i="3"/>
  <c r="EG380" i="3"/>
  <c r="EG379" i="3"/>
  <c r="EG378" i="3"/>
  <c r="EG377" i="3"/>
  <c r="EG376" i="3"/>
  <c r="EG375" i="3"/>
  <c r="EG374" i="3"/>
  <c r="EG373" i="3"/>
  <c r="EG372" i="3"/>
  <c r="EG371" i="3"/>
  <c r="EG370" i="3"/>
  <c r="EG369" i="3"/>
  <c r="EG368" i="3"/>
  <c r="EG367" i="3"/>
  <c r="EG366" i="3"/>
  <c r="EG365" i="3"/>
  <c r="EG364" i="3"/>
  <c r="EG363" i="3"/>
  <c r="EG362" i="3"/>
  <c r="EG361" i="3"/>
  <c r="EG360" i="3"/>
  <c r="EG359" i="3"/>
  <c r="EG358" i="3"/>
  <c r="EG357" i="3"/>
  <c r="EG356" i="3"/>
  <c r="EG355" i="3"/>
  <c r="EG354" i="3"/>
  <c r="EG353" i="3"/>
  <c r="EG352" i="3"/>
  <c r="EG351" i="3"/>
  <c r="EG350" i="3"/>
  <c r="EG349" i="3"/>
  <c r="EG348" i="3"/>
  <c r="EG347" i="3"/>
  <c r="EG346" i="3"/>
  <c r="EG345" i="3"/>
  <c r="EG344" i="3"/>
  <c r="EG343" i="3"/>
  <c r="EG342" i="3"/>
  <c r="EG341" i="3"/>
  <c r="EG340" i="3"/>
  <c r="EG339" i="3"/>
  <c r="EG338" i="3"/>
  <c r="EG337" i="3"/>
  <c r="EG336" i="3"/>
  <c r="EG335" i="3"/>
  <c r="EG334" i="3"/>
  <c r="EG333" i="3"/>
  <c r="EG332" i="3"/>
  <c r="EG331" i="3"/>
  <c r="EG330" i="3"/>
  <c r="EG329" i="3"/>
  <c r="EG328" i="3"/>
  <c r="EG327" i="3"/>
  <c r="EG326" i="3"/>
  <c r="EG325" i="3"/>
  <c r="EG324" i="3"/>
  <c r="EG323" i="3"/>
  <c r="EG322" i="3"/>
  <c r="EG321" i="3"/>
  <c r="EG320" i="3"/>
  <c r="EG319" i="3"/>
  <c r="EG318" i="3"/>
  <c r="EG317" i="3"/>
  <c r="EG316" i="3"/>
  <c r="EG315" i="3"/>
  <c r="EG314" i="3"/>
  <c r="EG313" i="3"/>
  <c r="EG312" i="3"/>
  <c r="EG311" i="3"/>
  <c r="EG310" i="3"/>
  <c r="EG309" i="3"/>
  <c r="EG308" i="3"/>
  <c r="EG307" i="3"/>
  <c r="EG306" i="3"/>
  <c r="EG305" i="3"/>
  <c r="EG304" i="3"/>
  <c r="EG303" i="3"/>
  <c r="EG302" i="3"/>
  <c r="EG301" i="3"/>
  <c r="EG300" i="3"/>
  <c r="EG299" i="3"/>
  <c r="EG298" i="3"/>
  <c r="EG297" i="3"/>
  <c r="EG296" i="3"/>
  <c r="EG295" i="3"/>
  <c r="EG294" i="3"/>
  <c r="EG293" i="3"/>
  <c r="EG292" i="3"/>
  <c r="EG291" i="3"/>
  <c r="EG290" i="3"/>
  <c r="EG289" i="3"/>
  <c r="EG288" i="3"/>
  <c r="EG287" i="3"/>
  <c r="EG286" i="3"/>
  <c r="EG285" i="3"/>
  <c r="EG284" i="3"/>
  <c r="EG283" i="3"/>
  <c r="EG282" i="3"/>
  <c r="EG281" i="3"/>
  <c r="EG280" i="3"/>
  <c r="EG279" i="3"/>
  <c r="EG278" i="3"/>
  <c r="EG277" i="3"/>
  <c r="EG276" i="3"/>
  <c r="EG275" i="3"/>
  <c r="EG274" i="3"/>
  <c r="EG273" i="3"/>
  <c r="EG272" i="3"/>
  <c r="EG271" i="3"/>
  <c r="EG270" i="3"/>
  <c r="EG269" i="3"/>
  <c r="EG268" i="3"/>
  <c r="EG267" i="3"/>
  <c r="EG266" i="3"/>
  <c r="EG265" i="3"/>
  <c r="EG264" i="3"/>
  <c r="EG263" i="3"/>
  <c r="EG262" i="3"/>
  <c r="EG261" i="3"/>
  <c r="EG260" i="3"/>
  <c r="EG259" i="3"/>
  <c r="EG258" i="3"/>
  <c r="EG257" i="3"/>
  <c r="EG256" i="3"/>
  <c r="EG255" i="3"/>
  <c r="EG254" i="3"/>
  <c r="EG253" i="3"/>
  <c r="EG252" i="3"/>
  <c r="EG251" i="3"/>
  <c r="EG250" i="3"/>
  <c r="EG249" i="3"/>
  <c r="EG248" i="3"/>
  <c r="EG247" i="3"/>
  <c r="EG246" i="3"/>
  <c r="EG245" i="3"/>
  <c r="EG244" i="3"/>
  <c r="EG243" i="3"/>
  <c r="EG242" i="3"/>
  <c r="EG241" i="3"/>
  <c r="EG240" i="3"/>
  <c r="EG239" i="3"/>
  <c r="EG238" i="3"/>
  <c r="EG237" i="3"/>
  <c r="EG236" i="3"/>
  <c r="EG235" i="3"/>
  <c r="EG234" i="3"/>
  <c r="EG233" i="3"/>
  <c r="EG232" i="3"/>
  <c r="EG231" i="3"/>
  <c r="EG230" i="3"/>
  <c r="EG229" i="3"/>
  <c r="EG228" i="3"/>
  <c r="EG227" i="3"/>
  <c r="EG226" i="3"/>
  <c r="EG225" i="3"/>
  <c r="EG224" i="3"/>
  <c r="EG223" i="3"/>
  <c r="EG222" i="3"/>
  <c r="EG221" i="3"/>
  <c r="EG220" i="3"/>
  <c r="EG219" i="3"/>
  <c r="EG218" i="3"/>
  <c r="EG217" i="3"/>
  <c r="EG216" i="3"/>
  <c r="EG215" i="3"/>
  <c r="EG214" i="3"/>
  <c r="EG213" i="3"/>
  <c r="EG212" i="3"/>
  <c r="EG211" i="3"/>
  <c r="EG210" i="3"/>
  <c r="EG209" i="3"/>
  <c r="EG208" i="3"/>
  <c r="EG207" i="3"/>
  <c r="EG206" i="3"/>
  <c r="EG205" i="3"/>
  <c r="EG204" i="3"/>
  <c r="EG203" i="3"/>
  <c r="EG202" i="3"/>
  <c r="EG201" i="3"/>
  <c r="EG200" i="3"/>
  <c r="EG199" i="3"/>
  <c r="EG198" i="3"/>
  <c r="EG197" i="3"/>
  <c r="EG196" i="3"/>
  <c r="EG195" i="3"/>
  <c r="EG194" i="3"/>
  <c r="EG193" i="3"/>
  <c r="EG192" i="3"/>
  <c r="EG191" i="3"/>
  <c r="EG190" i="3"/>
  <c r="EG189" i="3"/>
  <c r="EG188" i="3"/>
  <c r="EG187" i="3"/>
  <c r="EG186" i="3"/>
  <c r="EG185" i="3"/>
  <c r="EG184" i="3"/>
  <c r="EG183" i="3"/>
  <c r="EG182" i="3"/>
  <c r="EG181" i="3"/>
  <c r="EG180" i="3"/>
  <c r="EG179" i="3"/>
  <c r="EG178" i="3"/>
  <c r="EG177" i="3"/>
  <c r="EG176" i="3"/>
  <c r="EG175" i="3"/>
  <c r="EG174" i="3"/>
  <c r="EG173" i="3"/>
  <c r="EG172" i="3"/>
  <c r="EG171" i="3"/>
  <c r="EG170" i="3"/>
  <c r="EG169" i="3"/>
  <c r="EG168" i="3"/>
  <c r="EG167" i="3"/>
  <c r="EG166" i="3"/>
  <c r="EG165" i="3"/>
  <c r="EG164" i="3"/>
  <c r="EG163" i="3"/>
  <c r="EG162" i="3"/>
  <c r="EG161" i="3"/>
  <c r="EG160" i="3"/>
  <c r="EG159" i="3"/>
  <c r="EG158" i="3"/>
  <c r="EG157" i="3"/>
  <c r="EG156" i="3"/>
  <c r="EG155" i="3"/>
  <c r="EG154" i="3"/>
  <c r="EG153" i="3"/>
  <c r="EG152" i="3"/>
  <c r="EG151" i="3"/>
  <c r="EG150" i="3"/>
  <c r="EG149" i="3"/>
  <c r="EG148" i="3"/>
  <c r="EG147" i="3"/>
  <c r="EG146" i="3"/>
  <c r="EG145" i="3"/>
  <c r="EG144" i="3"/>
  <c r="EG143" i="3"/>
  <c r="EG142" i="3"/>
  <c r="EG141" i="3"/>
  <c r="EG140" i="3"/>
  <c r="EG139" i="3"/>
  <c r="EG138" i="3"/>
  <c r="EG137" i="3"/>
  <c r="EG136" i="3"/>
  <c r="EG135" i="3"/>
  <c r="EG134" i="3"/>
  <c r="EG133" i="3"/>
  <c r="EG132" i="3"/>
  <c r="EG131" i="3"/>
  <c r="EG130" i="3"/>
  <c r="EG129" i="3"/>
  <c r="EG128" i="3"/>
  <c r="EG127" i="3"/>
  <c r="EG126" i="3"/>
  <c r="EG125" i="3"/>
  <c r="EG124" i="3"/>
  <c r="EG123" i="3"/>
  <c r="EG122" i="3"/>
  <c r="EG121" i="3"/>
  <c r="EG120" i="3"/>
  <c r="EG119" i="3"/>
  <c r="EG118" i="3"/>
  <c r="EG117" i="3"/>
  <c r="EG116" i="3"/>
  <c r="EG115" i="3"/>
  <c r="EG114" i="3"/>
  <c r="EG113" i="3"/>
  <c r="EG112" i="3"/>
  <c r="EG111" i="3"/>
  <c r="EG110" i="3"/>
  <c r="EG109" i="3"/>
  <c r="EG108" i="3"/>
  <c r="EG107" i="3"/>
  <c r="EG106" i="3"/>
  <c r="EG105" i="3"/>
  <c r="EG104" i="3"/>
  <c r="EG103" i="3"/>
  <c r="EG102" i="3"/>
  <c r="EG101" i="3"/>
  <c r="EG100" i="3"/>
  <c r="EG99" i="3"/>
  <c r="EG98" i="3"/>
  <c r="EG97" i="3"/>
  <c r="EG96" i="3"/>
  <c r="EG95" i="3"/>
  <c r="EG94" i="3"/>
  <c r="EG93" i="3"/>
  <c r="EG92" i="3"/>
  <c r="EG91" i="3"/>
  <c r="EG90" i="3"/>
  <c r="EG89" i="3"/>
  <c r="EG88" i="3"/>
  <c r="EG87" i="3"/>
  <c r="EG86" i="3"/>
  <c r="EG85" i="3"/>
  <c r="EG84" i="3"/>
  <c r="EG83" i="3"/>
  <c r="EG82" i="3"/>
  <c r="EG81" i="3"/>
  <c r="EG80" i="3"/>
  <c r="EG79" i="3"/>
  <c r="EG78" i="3"/>
  <c r="EG77" i="3"/>
  <c r="EG76" i="3"/>
  <c r="EG75" i="3"/>
  <c r="EG74" i="3"/>
  <c r="EG73" i="3"/>
  <c r="EG72" i="3"/>
  <c r="EG71" i="3"/>
  <c r="EG70" i="3"/>
  <c r="EG69" i="3"/>
  <c r="EG68" i="3"/>
  <c r="EG67" i="3"/>
  <c r="EG66" i="3"/>
  <c r="EG65" i="3"/>
  <c r="EG64" i="3"/>
  <c r="EG63" i="3"/>
  <c r="EG62" i="3"/>
  <c r="EG61" i="3"/>
  <c r="EG60" i="3"/>
  <c r="EG59" i="3"/>
  <c r="EG58" i="3"/>
  <c r="EG57" i="3"/>
  <c r="EG56" i="3"/>
  <c r="EG55" i="3"/>
  <c r="EG54" i="3"/>
  <c r="EG53" i="3"/>
  <c r="EG52" i="3"/>
  <c r="EG51" i="3"/>
  <c r="EG50" i="3"/>
  <c r="EG49" i="3"/>
  <c r="EG48" i="3"/>
  <c r="EG47" i="3"/>
  <c r="EG46" i="3"/>
  <c r="EG45" i="3"/>
  <c r="EG44" i="3"/>
  <c r="EG43" i="3"/>
  <c r="EG42" i="3"/>
  <c r="EG41" i="3"/>
  <c r="EG40" i="3"/>
  <c r="EG39" i="3"/>
  <c r="EG38" i="3"/>
  <c r="EG37" i="3"/>
  <c r="EG36" i="3"/>
  <c r="EG33" i="3"/>
  <c r="EG32" i="3"/>
  <c r="EG31" i="3"/>
  <c r="EG30" i="3"/>
  <c r="EG29" i="3"/>
  <c r="EG28" i="3"/>
  <c r="EG27" i="3"/>
  <c r="EG26" i="3"/>
  <c r="EG25" i="3"/>
  <c r="EG24" i="3"/>
  <c r="EG23" i="3"/>
  <c r="EG21" i="3"/>
  <c r="EG19" i="3"/>
  <c r="EG18" i="3"/>
  <c r="EG16" i="3"/>
  <c r="EG15" i="3"/>
  <c r="EG14" i="3"/>
  <c r="EG13" i="3"/>
  <c r="EG12" i="3"/>
  <c r="EG11" i="3"/>
  <c r="EG9" i="3"/>
  <c r="EG8" i="3"/>
  <c r="EG7" i="3"/>
  <c r="EC7" i="3" l="1"/>
  <c r="EE7" i="3"/>
  <c r="EB8" i="3"/>
  <c r="EC8" i="3"/>
  <c r="EE8" i="3"/>
  <c r="EB9" i="3"/>
  <c r="EC9" i="3"/>
  <c r="EE9" i="3"/>
  <c r="EB10" i="3"/>
  <c r="EC10" i="3"/>
  <c r="EE10" i="3"/>
  <c r="EB11" i="3"/>
  <c r="EC11" i="3"/>
  <c r="EE11" i="3"/>
  <c r="EB12" i="3"/>
  <c r="EC12" i="3"/>
  <c r="EE12" i="3"/>
  <c r="EE13" i="3"/>
  <c r="EC14" i="3"/>
  <c r="EE14" i="3"/>
  <c r="EB15" i="3"/>
  <c r="EE15" i="3"/>
  <c r="EB16" i="3"/>
  <c r="EE16" i="3"/>
  <c r="EE17" i="3"/>
  <c r="EB18" i="3"/>
  <c r="EE18" i="3"/>
  <c r="EE19" i="3"/>
  <c r="EB20" i="3"/>
  <c r="EC20" i="3"/>
  <c r="EE20" i="3"/>
  <c r="EE21" i="3"/>
  <c r="EE22" i="3"/>
  <c r="EE23" i="3"/>
  <c r="EE24" i="3"/>
  <c r="EE25" i="3"/>
  <c r="EB26" i="3"/>
  <c r="EC26" i="3"/>
  <c r="EE26" i="3"/>
  <c r="EE27" i="3"/>
  <c r="EE28" i="3"/>
  <c r="EB29" i="3"/>
  <c r="EC29" i="3"/>
  <c r="EE29" i="3"/>
  <c r="EE30" i="3"/>
  <c r="EB31" i="3"/>
  <c r="EC31" i="3"/>
  <c r="EE31" i="3"/>
  <c r="EE32" i="3"/>
  <c r="EE33" i="3"/>
  <c r="EB36" i="3"/>
  <c r="EC36" i="3"/>
  <c r="EE36" i="3"/>
  <c r="EB37" i="3"/>
  <c r="EC37" i="3"/>
  <c r="EE37" i="3"/>
  <c r="EB38" i="3"/>
  <c r="EC38" i="3"/>
  <c r="EE38" i="3"/>
  <c r="EB39" i="3"/>
  <c r="EC39" i="3"/>
  <c r="EE39" i="3"/>
  <c r="EB40" i="3"/>
  <c r="EC40" i="3"/>
  <c r="EE40" i="3"/>
  <c r="EB41" i="3"/>
  <c r="EC41" i="3"/>
  <c r="EE41" i="3"/>
  <c r="EB42" i="3"/>
  <c r="EC42" i="3"/>
  <c r="EE42" i="3"/>
  <c r="EB43" i="3"/>
  <c r="EC43" i="3"/>
  <c r="EE43" i="3"/>
  <c r="EB44" i="3"/>
  <c r="EC44" i="3"/>
  <c r="EE44" i="3"/>
  <c r="EB45" i="3"/>
  <c r="EC45" i="3"/>
  <c r="EE45" i="3"/>
  <c r="EB46" i="3"/>
  <c r="EC46" i="3"/>
  <c r="EE46" i="3"/>
  <c r="EB47" i="3"/>
  <c r="EC47" i="3"/>
  <c r="EE47" i="3"/>
  <c r="EB48" i="3"/>
  <c r="EC48" i="3"/>
  <c r="EE48" i="3"/>
  <c r="EB49" i="3"/>
  <c r="EC49" i="3"/>
  <c r="EE49" i="3"/>
  <c r="EB50" i="3"/>
  <c r="EC50" i="3"/>
  <c r="EE50" i="3"/>
  <c r="EB51" i="3"/>
  <c r="EC51" i="3"/>
  <c r="EE51" i="3"/>
  <c r="EB52" i="3"/>
  <c r="EC52" i="3"/>
  <c r="EE52" i="3"/>
  <c r="EB53" i="3"/>
  <c r="EC53" i="3"/>
  <c r="EE53" i="3"/>
  <c r="EB54" i="3"/>
  <c r="EC54" i="3"/>
  <c r="EE54" i="3"/>
  <c r="EB55" i="3"/>
  <c r="EC55" i="3"/>
  <c r="EE55" i="3"/>
  <c r="EB56" i="3"/>
  <c r="EC56" i="3"/>
  <c r="EE56" i="3"/>
  <c r="EB57" i="3"/>
  <c r="EC57" i="3"/>
  <c r="EE57" i="3"/>
  <c r="EB58" i="3"/>
  <c r="EC58" i="3"/>
  <c r="EE58" i="3"/>
  <c r="EB59" i="3"/>
  <c r="EC59" i="3"/>
  <c r="EE59" i="3"/>
  <c r="EB60" i="3"/>
  <c r="EC60" i="3"/>
  <c r="EE60" i="3"/>
  <c r="EB61" i="3"/>
  <c r="EC61" i="3"/>
  <c r="EE61" i="3"/>
  <c r="EB62" i="3"/>
  <c r="EC62" i="3"/>
  <c r="EQ62" i="3" s="1"/>
  <c r="EE62" i="3"/>
  <c r="EB63" i="3"/>
  <c r="EC63" i="3"/>
  <c r="EE63" i="3"/>
  <c r="EB64" i="3"/>
  <c r="EC64" i="3"/>
  <c r="EE64" i="3"/>
  <c r="EB65" i="3"/>
  <c r="EC65" i="3"/>
  <c r="EE65" i="3"/>
  <c r="EB66" i="3"/>
  <c r="EC66" i="3"/>
  <c r="EE66" i="3"/>
  <c r="EB67" i="3"/>
  <c r="EC67" i="3"/>
  <c r="EE67" i="3"/>
  <c r="EB68" i="3"/>
  <c r="EC68" i="3"/>
  <c r="EE68" i="3"/>
  <c r="EB69" i="3"/>
  <c r="EC69" i="3"/>
  <c r="EE69" i="3"/>
  <c r="EB70" i="3"/>
  <c r="EC70" i="3"/>
  <c r="EE70" i="3"/>
  <c r="EB71" i="3"/>
  <c r="EC71" i="3"/>
  <c r="EE71" i="3"/>
  <c r="EB72" i="3"/>
  <c r="EC72" i="3"/>
  <c r="EE72" i="3"/>
  <c r="EB73" i="3"/>
  <c r="EC73" i="3"/>
  <c r="EE73" i="3"/>
  <c r="EB74" i="3"/>
  <c r="EC74" i="3"/>
  <c r="EE74" i="3"/>
  <c r="EB75" i="3"/>
  <c r="EC75" i="3"/>
  <c r="EE75" i="3"/>
  <c r="EB76" i="3"/>
  <c r="EC76" i="3"/>
  <c r="EE76" i="3"/>
  <c r="EB77" i="3"/>
  <c r="EC77" i="3"/>
  <c r="EE77" i="3"/>
  <c r="EB78" i="3"/>
  <c r="EC78" i="3"/>
  <c r="EQ78" i="3" s="1"/>
  <c r="EE78" i="3"/>
  <c r="EB79" i="3"/>
  <c r="EC79" i="3"/>
  <c r="EE79" i="3"/>
  <c r="EB80" i="3"/>
  <c r="EC80" i="3"/>
  <c r="EE80" i="3"/>
  <c r="EB81" i="3"/>
  <c r="EC81" i="3"/>
  <c r="EE81" i="3"/>
  <c r="EB82" i="3"/>
  <c r="EC82" i="3"/>
  <c r="EE82" i="3"/>
  <c r="EB83" i="3"/>
  <c r="EC83" i="3"/>
  <c r="EE83" i="3"/>
  <c r="EB84" i="3"/>
  <c r="EC84" i="3"/>
  <c r="EE84" i="3"/>
  <c r="EB85" i="3"/>
  <c r="EC85" i="3"/>
  <c r="EE85" i="3"/>
  <c r="EB86" i="3"/>
  <c r="EC86" i="3"/>
  <c r="EE86" i="3"/>
  <c r="EB87" i="3"/>
  <c r="EC87" i="3"/>
  <c r="EE87" i="3"/>
  <c r="EB88" i="3"/>
  <c r="EC88" i="3"/>
  <c r="EE88" i="3"/>
  <c r="EB89" i="3"/>
  <c r="EC89" i="3"/>
  <c r="EE89" i="3"/>
  <c r="EB90" i="3"/>
  <c r="EC90" i="3"/>
  <c r="EE90" i="3"/>
  <c r="EB91" i="3"/>
  <c r="EC91" i="3"/>
  <c r="EE91" i="3"/>
  <c r="EB92" i="3"/>
  <c r="EC92" i="3"/>
  <c r="EE92" i="3"/>
  <c r="EB93" i="3"/>
  <c r="EC93" i="3"/>
  <c r="EE93" i="3"/>
  <c r="EB94" i="3"/>
  <c r="EC94" i="3"/>
  <c r="EQ94" i="3" s="1"/>
  <c r="EE94" i="3"/>
  <c r="EB95" i="3"/>
  <c r="EC95" i="3"/>
  <c r="EE95" i="3"/>
  <c r="EB96" i="3"/>
  <c r="EC96" i="3"/>
  <c r="EE96" i="3"/>
  <c r="EB97" i="3"/>
  <c r="EC97" i="3"/>
  <c r="EE97" i="3"/>
  <c r="EB98" i="3"/>
  <c r="EC98" i="3"/>
  <c r="EE98" i="3"/>
  <c r="EB99" i="3"/>
  <c r="EC99" i="3"/>
  <c r="EE99" i="3"/>
  <c r="EB100" i="3"/>
  <c r="EC100" i="3"/>
  <c r="EE100" i="3"/>
  <c r="EB101" i="3"/>
  <c r="EC101" i="3"/>
  <c r="EE101" i="3"/>
  <c r="EB102" i="3"/>
  <c r="EC102" i="3"/>
  <c r="EE102" i="3"/>
  <c r="EB103" i="3"/>
  <c r="EC103" i="3"/>
  <c r="EE103" i="3"/>
  <c r="EB104" i="3"/>
  <c r="EC104" i="3"/>
  <c r="EE104" i="3"/>
  <c r="EB105" i="3"/>
  <c r="EC105" i="3"/>
  <c r="EE105" i="3"/>
  <c r="EB106" i="3"/>
  <c r="EC106" i="3"/>
  <c r="EE106" i="3"/>
  <c r="EB107" i="3"/>
  <c r="EC107" i="3"/>
  <c r="EE107" i="3"/>
  <c r="EB108" i="3"/>
  <c r="EC108" i="3"/>
  <c r="EE108" i="3"/>
  <c r="EB109" i="3"/>
  <c r="EC109" i="3"/>
  <c r="EE109" i="3"/>
  <c r="EB110" i="3"/>
  <c r="EC110" i="3"/>
  <c r="EQ110" i="3" s="1"/>
  <c r="EE110" i="3"/>
  <c r="EB111" i="3"/>
  <c r="EC111" i="3"/>
  <c r="EE111" i="3"/>
  <c r="EB112" i="3"/>
  <c r="EC112" i="3"/>
  <c r="EE112" i="3"/>
  <c r="EB113" i="3"/>
  <c r="EC113" i="3"/>
  <c r="EE113" i="3"/>
  <c r="EB114" i="3"/>
  <c r="EC114" i="3"/>
  <c r="EE114" i="3"/>
  <c r="EB115" i="3"/>
  <c r="EC115" i="3"/>
  <c r="EE115" i="3"/>
  <c r="EB116" i="3"/>
  <c r="EC116" i="3"/>
  <c r="EE116" i="3"/>
  <c r="EB117" i="3"/>
  <c r="EC117" i="3"/>
  <c r="EE117" i="3"/>
  <c r="EB118" i="3"/>
  <c r="EC118" i="3"/>
  <c r="EE118" i="3"/>
  <c r="EB119" i="3"/>
  <c r="EC119" i="3"/>
  <c r="EE119" i="3"/>
  <c r="EB120" i="3"/>
  <c r="EC120" i="3"/>
  <c r="EE120" i="3"/>
  <c r="EB121" i="3"/>
  <c r="EC121" i="3"/>
  <c r="EE121" i="3"/>
  <c r="EB122" i="3"/>
  <c r="EC122" i="3"/>
  <c r="EE122" i="3"/>
  <c r="EB123" i="3"/>
  <c r="EC123" i="3"/>
  <c r="EE123" i="3"/>
  <c r="EB124" i="3"/>
  <c r="EC124" i="3"/>
  <c r="EE124" i="3"/>
  <c r="EB125" i="3"/>
  <c r="EC125" i="3"/>
  <c r="EE125" i="3"/>
  <c r="EB126" i="3"/>
  <c r="EC126" i="3"/>
  <c r="EQ126" i="3" s="1"/>
  <c r="EE126" i="3"/>
  <c r="EB127" i="3"/>
  <c r="EC127" i="3"/>
  <c r="EE127" i="3"/>
  <c r="EB128" i="3"/>
  <c r="EC128" i="3"/>
  <c r="EE128" i="3"/>
  <c r="EB129" i="3"/>
  <c r="EC129" i="3"/>
  <c r="EE129" i="3"/>
  <c r="EB130" i="3"/>
  <c r="EC130" i="3"/>
  <c r="EE130" i="3"/>
  <c r="EB131" i="3"/>
  <c r="EC131" i="3"/>
  <c r="EE131" i="3"/>
  <c r="EB132" i="3"/>
  <c r="EC132" i="3"/>
  <c r="EE132" i="3"/>
  <c r="EB133" i="3"/>
  <c r="EC133" i="3"/>
  <c r="EE133" i="3"/>
  <c r="EB134" i="3"/>
  <c r="EC134" i="3"/>
  <c r="EE134" i="3"/>
  <c r="EB135" i="3"/>
  <c r="EC135" i="3"/>
  <c r="EE135" i="3"/>
  <c r="EB136" i="3"/>
  <c r="EC136" i="3"/>
  <c r="EE136" i="3"/>
  <c r="EB137" i="3"/>
  <c r="EC137" i="3"/>
  <c r="EE137" i="3"/>
  <c r="EB138" i="3"/>
  <c r="EC138" i="3"/>
  <c r="EE138" i="3"/>
  <c r="EB139" i="3"/>
  <c r="EC139" i="3"/>
  <c r="EE139" i="3"/>
  <c r="EB140" i="3"/>
  <c r="EC140" i="3"/>
  <c r="EE140" i="3"/>
  <c r="EB141" i="3"/>
  <c r="EC141" i="3"/>
  <c r="EE141" i="3"/>
  <c r="EB142" i="3"/>
  <c r="EC142" i="3"/>
  <c r="EQ142" i="3" s="1"/>
  <c r="EE142" i="3"/>
  <c r="EB143" i="3"/>
  <c r="EC143" i="3"/>
  <c r="EE143" i="3"/>
  <c r="EB144" i="3"/>
  <c r="EC144" i="3"/>
  <c r="EE144" i="3"/>
  <c r="EB145" i="3"/>
  <c r="EC145" i="3"/>
  <c r="EE145" i="3"/>
  <c r="EB146" i="3"/>
  <c r="EC146" i="3"/>
  <c r="EE146" i="3"/>
  <c r="EB147" i="3"/>
  <c r="EC147" i="3"/>
  <c r="EE147" i="3"/>
  <c r="EB148" i="3"/>
  <c r="EC148" i="3"/>
  <c r="EE148" i="3"/>
  <c r="EB149" i="3"/>
  <c r="EC149" i="3"/>
  <c r="EE149" i="3"/>
  <c r="EB150" i="3"/>
  <c r="EC150" i="3"/>
  <c r="EE150" i="3"/>
  <c r="EB151" i="3"/>
  <c r="EC151" i="3"/>
  <c r="EE151" i="3"/>
  <c r="EB152" i="3"/>
  <c r="EC152" i="3"/>
  <c r="EE152" i="3"/>
  <c r="EB153" i="3"/>
  <c r="EC153" i="3"/>
  <c r="EE153" i="3"/>
  <c r="EB154" i="3"/>
  <c r="EC154" i="3"/>
  <c r="EE154" i="3"/>
  <c r="EB155" i="3"/>
  <c r="EC155" i="3"/>
  <c r="EE155" i="3"/>
  <c r="EB156" i="3"/>
  <c r="EC156" i="3"/>
  <c r="EE156" i="3"/>
  <c r="EB157" i="3"/>
  <c r="EC157" i="3"/>
  <c r="EE157" i="3"/>
  <c r="EB158" i="3"/>
  <c r="EC158" i="3"/>
  <c r="EQ158" i="3" s="1"/>
  <c r="EE158" i="3"/>
  <c r="EB159" i="3"/>
  <c r="EC159" i="3"/>
  <c r="EE159" i="3"/>
  <c r="EB160" i="3"/>
  <c r="EC160" i="3"/>
  <c r="EE160" i="3"/>
  <c r="EB161" i="3"/>
  <c r="EC161" i="3"/>
  <c r="EE161" i="3"/>
  <c r="EB162" i="3"/>
  <c r="EC162" i="3"/>
  <c r="EE162" i="3"/>
  <c r="EB163" i="3"/>
  <c r="EC163" i="3"/>
  <c r="EE163" i="3"/>
  <c r="EB164" i="3"/>
  <c r="EC164" i="3"/>
  <c r="EE164" i="3"/>
  <c r="EB165" i="3"/>
  <c r="EC165" i="3"/>
  <c r="EE165" i="3"/>
  <c r="EB166" i="3"/>
  <c r="EC166" i="3"/>
  <c r="EE166" i="3"/>
  <c r="EB167" i="3"/>
  <c r="EC167" i="3"/>
  <c r="EE167" i="3"/>
  <c r="EB168" i="3"/>
  <c r="EC168" i="3"/>
  <c r="EE168" i="3"/>
  <c r="EB169" i="3"/>
  <c r="EC169" i="3"/>
  <c r="EE169" i="3"/>
  <c r="EB170" i="3"/>
  <c r="EC170" i="3"/>
  <c r="EE170" i="3"/>
  <c r="EB171" i="3"/>
  <c r="EC171" i="3"/>
  <c r="EE171" i="3"/>
  <c r="EB172" i="3"/>
  <c r="EC172" i="3"/>
  <c r="EE172" i="3"/>
  <c r="EB173" i="3"/>
  <c r="EC173" i="3"/>
  <c r="EE173" i="3"/>
  <c r="EB174" i="3"/>
  <c r="EC174" i="3"/>
  <c r="EQ174" i="3" s="1"/>
  <c r="EE174" i="3"/>
  <c r="EB175" i="3"/>
  <c r="EC175" i="3"/>
  <c r="EE175" i="3"/>
  <c r="EB176" i="3"/>
  <c r="EC176" i="3"/>
  <c r="EE176" i="3"/>
  <c r="EB177" i="3"/>
  <c r="EC177" i="3"/>
  <c r="EE177" i="3"/>
  <c r="EB178" i="3"/>
  <c r="EC178" i="3"/>
  <c r="EE178" i="3"/>
  <c r="EB179" i="3"/>
  <c r="EC179" i="3"/>
  <c r="EE179" i="3"/>
  <c r="EB180" i="3"/>
  <c r="EC180" i="3"/>
  <c r="EE180" i="3"/>
  <c r="EB181" i="3"/>
  <c r="EC181" i="3"/>
  <c r="EE181" i="3"/>
  <c r="EB182" i="3"/>
  <c r="EC182" i="3"/>
  <c r="EE182" i="3"/>
  <c r="EB183" i="3"/>
  <c r="EC183" i="3"/>
  <c r="EE183" i="3"/>
  <c r="EB184" i="3"/>
  <c r="EC184" i="3"/>
  <c r="EE184" i="3"/>
  <c r="EB185" i="3"/>
  <c r="EC185" i="3"/>
  <c r="EE185" i="3"/>
  <c r="EB186" i="3"/>
  <c r="EC186" i="3"/>
  <c r="EE186" i="3"/>
  <c r="EB187" i="3"/>
  <c r="EC187" i="3"/>
  <c r="EE187" i="3"/>
  <c r="EB188" i="3"/>
  <c r="EC188" i="3"/>
  <c r="EE188" i="3"/>
  <c r="EB189" i="3"/>
  <c r="EC189" i="3"/>
  <c r="EE189" i="3"/>
  <c r="EB190" i="3"/>
  <c r="EC190" i="3"/>
  <c r="EQ190" i="3" s="1"/>
  <c r="EE190" i="3"/>
  <c r="EB191" i="3"/>
  <c r="EC191" i="3"/>
  <c r="EE191" i="3"/>
  <c r="EB192" i="3"/>
  <c r="EC192" i="3"/>
  <c r="EE192" i="3"/>
  <c r="EB193" i="3"/>
  <c r="EC193" i="3"/>
  <c r="EE193" i="3"/>
  <c r="EB194" i="3"/>
  <c r="EC194" i="3"/>
  <c r="EE194" i="3"/>
  <c r="EB195" i="3"/>
  <c r="EC195" i="3"/>
  <c r="EE195" i="3"/>
  <c r="EB196" i="3"/>
  <c r="EC196" i="3"/>
  <c r="EE196" i="3"/>
  <c r="EB197" i="3"/>
  <c r="EC197" i="3"/>
  <c r="EE197" i="3"/>
  <c r="EB198" i="3"/>
  <c r="EC198" i="3"/>
  <c r="EE198" i="3"/>
  <c r="EB199" i="3"/>
  <c r="EC199" i="3"/>
  <c r="EE199" i="3"/>
  <c r="EB200" i="3"/>
  <c r="EC200" i="3"/>
  <c r="EE200" i="3"/>
  <c r="EB201" i="3"/>
  <c r="EC201" i="3"/>
  <c r="EE201" i="3"/>
  <c r="EB202" i="3"/>
  <c r="EC202" i="3"/>
  <c r="EE202" i="3"/>
  <c r="EB203" i="3"/>
  <c r="EC203" i="3"/>
  <c r="EE203" i="3"/>
  <c r="EB204" i="3"/>
  <c r="EC204" i="3"/>
  <c r="EE204" i="3"/>
  <c r="EB205" i="3"/>
  <c r="EC205" i="3"/>
  <c r="EE205" i="3"/>
  <c r="EB206" i="3"/>
  <c r="EC206" i="3"/>
  <c r="EQ206" i="3" s="1"/>
  <c r="EE206" i="3"/>
  <c r="EB207" i="3"/>
  <c r="EC207" i="3"/>
  <c r="EE207" i="3"/>
  <c r="EB208" i="3"/>
  <c r="EC208" i="3"/>
  <c r="EE208" i="3"/>
  <c r="EB209" i="3"/>
  <c r="EC209" i="3"/>
  <c r="EE209" i="3"/>
  <c r="EB210" i="3"/>
  <c r="EC210" i="3"/>
  <c r="EE210" i="3"/>
  <c r="EB211" i="3"/>
  <c r="EC211" i="3"/>
  <c r="EE211" i="3"/>
  <c r="EB212" i="3"/>
  <c r="EC212" i="3"/>
  <c r="EE212" i="3"/>
  <c r="EB213" i="3"/>
  <c r="EC213" i="3"/>
  <c r="EE213" i="3"/>
  <c r="EB214" i="3"/>
  <c r="EC214" i="3"/>
  <c r="EE214" i="3"/>
  <c r="EB215" i="3"/>
  <c r="EC215" i="3"/>
  <c r="EE215" i="3"/>
  <c r="EB216" i="3"/>
  <c r="EC216" i="3"/>
  <c r="EE216" i="3"/>
  <c r="EB217" i="3"/>
  <c r="EC217" i="3"/>
  <c r="EE217" i="3"/>
  <c r="EB218" i="3"/>
  <c r="EC218" i="3"/>
  <c r="EE218" i="3"/>
  <c r="EB219" i="3"/>
  <c r="EC219" i="3"/>
  <c r="EE219" i="3"/>
  <c r="EB220" i="3"/>
  <c r="EC220" i="3"/>
  <c r="EE220" i="3"/>
  <c r="EB221" i="3"/>
  <c r="EC221" i="3"/>
  <c r="EE221" i="3"/>
  <c r="EB222" i="3"/>
  <c r="EC222" i="3"/>
  <c r="EQ222" i="3" s="1"/>
  <c r="EE222" i="3"/>
  <c r="EB223" i="3"/>
  <c r="EC223" i="3"/>
  <c r="EE223" i="3"/>
  <c r="EB224" i="3"/>
  <c r="EC224" i="3"/>
  <c r="EE224" i="3"/>
  <c r="EB225" i="3"/>
  <c r="EC225" i="3"/>
  <c r="EE225" i="3"/>
  <c r="EB226" i="3"/>
  <c r="EC226" i="3"/>
  <c r="EE226" i="3"/>
  <c r="EB227" i="3"/>
  <c r="EC227" i="3"/>
  <c r="EE227" i="3"/>
  <c r="EB228" i="3"/>
  <c r="EC228" i="3"/>
  <c r="EE228" i="3"/>
  <c r="EB229" i="3"/>
  <c r="EC229" i="3"/>
  <c r="EE229" i="3"/>
  <c r="EB230" i="3"/>
  <c r="EC230" i="3"/>
  <c r="EE230" i="3"/>
  <c r="EB231" i="3"/>
  <c r="EC231" i="3"/>
  <c r="EE231" i="3"/>
  <c r="EB232" i="3"/>
  <c r="EC232" i="3"/>
  <c r="EE232" i="3"/>
  <c r="EB233" i="3"/>
  <c r="EC233" i="3"/>
  <c r="EE233" i="3"/>
  <c r="EB234" i="3"/>
  <c r="EC234" i="3"/>
  <c r="EE234" i="3"/>
  <c r="EB235" i="3"/>
  <c r="EC235" i="3"/>
  <c r="EE235" i="3"/>
  <c r="EB236" i="3"/>
  <c r="EC236" i="3"/>
  <c r="EE236" i="3"/>
  <c r="EB237" i="3"/>
  <c r="EC237" i="3"/>
  <c r="EE237" i="3"/>
  <c r="EB238" i="3"/>
  <c r="EC238" i="3"/>
  <c r="EQ238" i="3" s="1"/>
  <c r="EE238" i="3"/>
  <c r="EB239" i="3"/>
  <c r="EC239" i="3"/>
  <c r="EE239" i="3"/>
  <c r="EB240" i="3"/>
  <c r="EC240" i="3"/>
  <c r="EE240" i="3"/>
  <c r="EB241" i="3"/>
  <c r="EC241" i="3"/>
  <c r="EE241" i="3"/>
  <c r="EB242" i="3"/>
  <c r="EC242" i="3"/>
  <c r="EE242" i="3"/>
  <c r="EB243" i="3"/>
  <c r="EC243" i="3"/>
  <c r="EE243" i="3"/>
  <c r="EB244" i="3"/>
  <c r="EC244" i="3"/>
  <c r="EE244" i="3"/>
  <c r="EB245" i="3"/>
  <c r="EC245" i="3"/>
  <c r="EE245" i="3"/>
  <c r="EB246" i="3"/>
  <c r="EC246" i="3"/>
  <c r="EE246" i="3"/>
  <c r="EB247" i="3"/>
  <c r="EC247" i="3"/>
  <c r="EE247" i="3"/>
  <c r="EB248" i="3"/>
  <c r="EC248" i="3"/>
  <c r="EE248" i="3"/>
  <c r="EB249" i="3"/>
  <c r="EC249" i="3"/>
  <c r="EE249" i="3"/>
  <c r="EB250" i="3"/>
  <c r="EC250" i="3"/>
  <c r="EE250" i="3"/>
  <c r="EB251" i="3"/>
  <c r="EC251" i="3"/>
  <c r="EE251" i="3"/>
  <c r="EB252" i="3"/>
  <c r="EC252" i="3"/>
  <c r="EE252" i="3"/>
  <c r="EB253" i="3"/>
  <c r="EC253" i="3"/>
  <c r="EE253" i="3"/>
  <c r="EB254" i="3"/>
  <c r="EC254" i="3"/>
  <c r="EQ254" i="3" s="1"/>
  <c r="EE254" i="3"/>
  <c r="EB255" i="3"/>
  <c r="EC255" i="3"/>
  <c r="EE255" i="3"/>
  <c r="EB256" i="3"/>
  <c r="EC256" i="3"/>
  <c r="EE256" i="3"/>
  <c r="EB257" i="3"/>
  <c r="EC257" i="3"/>
  <c r="EE257" i="3"/>
  <c r="EB258" i="3"/>
  <c r="EC258" i="3"/>
  <c r="EE258" i="3"/>
  <c r="EB259" i="3"/>
  <c r="EC259" i="3"/>
  <c r="EE259" i="3"/>
  <c r="EB260" i="3"/>
  <c r="EC260" i="3"/>
  <c r="EE260" i="3"/>
  <c r="EB261" i="3"/>
  <c r="EC261" i="3"/>
  <c r="EE261" i="3"/>
  <c r="EB262" i="3"/>
  <c r="EC262" i="3"/>
  <c r="EE262" i="3"/>
  <c r="EB263" i="3"/>
  <c r="EC263" i="3"/>
  <c r="EE263" i="3"/>
  <c r="EB264" i="3"/>
  <c r="EC264" i="3"/>
  <c r="EE264" i="3"/>
  <c r="EB265" i="3"/>
  <c r="EC265" i="3"/>
  <c r="EE265" i="3"/>
  <c r="EB266" i="3"/>
  <c r="EC266" i="3"/>
  <c r="EE266" i="3"/>
  <c r="EB267" i="3"/>
  <c r="EC267" i="3"/>
  <c r="EE267" i="3"/>
  <c r="EB268" i="3"/>
  <c r="EC268" i="3"/>
  <c r="EE268" i="3"/>
  <c r="EB269" i="3"/>
  <c r="EC269" i="3"/>
  <c r="EE269" i="3"/>
  <c r="EB270" i="3"/>
  <c r="EC270" i="3"/>
  <c r="EQ270" i="3" s="1"/>
  <c r="EE270" i="3"/>
  <c r="EB271" i="3"/>
  <c r="EC271" i="3"/>
  <c r="EE271" i="3"/>
  <c r="EB272" i="3"/>
  <c r="EC272" i="3"/>
  <c r="EE272" i="3"/>
  <c r="EB273" i="3"/>
  <c r="EC273" i="3"/>
  <c r="EE273" i="3"/>
  <c r="EB274" i="3"/>
  <c r="EC274" i="3"/>
  <c r="EE274" i="3"/>
  <c r="EB275" i="3"/>
  <c r="EC275" i="3"/>
  <c r="EE275" i="3"/>
  <c r="EB276" i="3"/>
  <c r="EC276" i="3"/>
  <c r="EE276" i="3"/>
  <c r="EB277" i="3"/>
  <c r="EC277" i="3"/>
  <c r="EE277" i="3"/>
  <c r="EB278" i="3"/>
  <c r="EC278" i="3"/>
  <c r="EE278" i="3"/>
  <c r="EB279" i="3"/>
  <c r="EC279" i="3"/>
  <c r="EE279" i="3"/>
  <c r="EB280" i="3"/>
  <c r="EC280" i="3"/>
  <c r="EE280" i="3"/>
  <c r="EB281" i="3"/>
  <c r="EC281" i="3"/>
  <c r="EE281" i="3"/>
  <c r="EB282" i="3"/>
  <c r="EC282" i="3"/>
  <c r="EE282" i="3"/>
  <c r="EB283" i="3"/>
  <c r="EC283" i="3"/>
  <c r="EE283" i="3"/>
  <c r="EB284" i="3"/>
  <c r="EC284" i="3"/>
  <c r="EE284" i="3"/>
  <c r="EB285" i="3"/>
  <c r="EC285" i="3"/>
  <c r="EE285" i="3"/>
  <c r="EB286" i="3"/>
  <c r="EC286" i="3"/>
  <c r="EQ286" i="3" s="1"/>
  <c r="EE286" i="3"/>
  <c r="EB287" i="3"/>
  <c r="EC287" i="3"/>
  <c r="EE287" i="3"/>
  <c r="EB288" i="3"/>
  <c r="EC288" i="3"/>
  <c r="EE288" i="3"/>
  <c r="EB289" i="3"/>
  <c r="EC289" i="3"/>
  <c r="EE289" i="3"/>
  <c r="EB290" i="3"/>
  <c r="EC290" i="3"/>
  <c r="EE290" i="3"/>
  <c r="EB291" i="3"/>
  <c r="EC291" i="3"/>
  <c r="EE291" i="3"/>
  <c r="EB292" i="3"/>
  <c r="EC292" i="3"/>
  <c r="EE292" i="3"/>
  <c r="EB293" i="3"/>
  <c r="EC293" i="3"/>
  <c r="EE293" i="3"/>
  <c r="EB294" i="3"/>
  <c r="EC294" i="3"/>
  <c r="EE294" i="3"/>
  <c r="EB295" i="3"/>
  <c r="EC295" i="3"/>
  <c r="EE295" i="3"/>
  <c r="EB296" i="3"/>
  <c r="EC296" i="3"/>
  <c r="EE296" i="3"/>
  <c r="EB297" i="3"/>
  <c r="EC297" i="3"/>
  <c r="EE297" i="3"/>
  <c r="EB298" i="3"/>
  <c r="EC298" i="3"/>
  <c r="EE298" i="3"/>
  <c r="EB299" i="3"/>
  <c r="EC299" i="3"/>
  <c r="EE299" i="3"/>
  <c r="EB300" i="3"/>
  <c r="EC300" i="3"/>
  <c r="EE300" i="3"/>
  <c r="EB301" i="3"/>
  <c r="EC301" i="3"/>
  <c r="EE301" i="3"/>
  <c r="EB302" i="3"/>
  <c r="EC302" i="3"/>
  <c r="EQ302" i="3" s="1"/>
  <c r="EE302" i="3"/>
  <c r="EB303" i="3"/>
  <c r="EC303" i="3"/>
  <c r="EE303" i="3"/>
  <c r="EB304" i="3"/>
  <c r="EC304" i="3"/>
  <c r="EE304" i="3"/>
  <c r="EB305" i="3"/>
  <c r="EC305" i="3"/>
  <c r="EE305" i="3"/>
  <c r="EB306" i="3"/>
  <c r="EC306" i="3"/>
  <c r="EE306" i="3"/>
  <c r="EB307" i="3"/>
  <c r="EC307" i="3"/>
  <c r="EE307" i="3"/>
  <c r="EB308" i="3"/>
  <c r="EC308" i="3"/>
  <c r="EE308" i="3"/>
  <c r="EB309" i="3"/>
  <c r="EC309" i="3"/>
  <c r="EE309" i="3"/>
  <c r="EB310" i="3"/>
  <c r="EC310" i="3"/>
  <c r="EE310" i="3"/>
  <c r="EB311" i="3"/>
  <c r="EC311" i="3"/>
  <c r="EE311" i="3"/>
  <c r="EB312" i="3"/>
  <c r="EC312" i="3"/>
  <c r="EE312" i="3"/>
  <c r="EB313" i="3"/>
  <c r="EC313" i="3"/>
  <c r="EE313" i="3"/>
  <c r="EB314" i="3"/>
  <c r="EC314" i="3"/>
  <c r="EE314" i="3"/>
  <c r="EB315" i="3"/>
  <c r="EC315" i="3"/>
  <c r="EE315" i="3"/>
  <c r="EB316" i="3"/>
  <c r="EC316" i="3"/>
  <c r="EE316" i="3"/>
  <c r="EB317" i="3"/>
  <c r="EC317" i="3"/>
  <c r="EE317" i="3"/>
  <c r="EB318" i="3"/>
  <c r="EC318" i="3"/>
  <c r="EQ318" i="3" s="1"/>
  <c r="EE318" i="3"/>
  <c r="EB319" i="3"/>
  <c r="EC319" i="3"/>
  <c r="EE319" i="3"/>
  <c r="EB320" i="3"/>
  <c r="EC320" i="3"/>
  <c r="EE320" i="3"/>
  <c r="EB321" i="3"/>
  <c r="EC321" i="3"/>
  <c r="EE321" i="3"/>
  <c r="EB322" i="3"/>
  <c r="EC322" i="3"/>
  <c r="EE322" i="3"/>
  <c r="EB323" i="3"/>
  <c r="EC323" i="3"/>
  <c r="EE323" i="3"/>
  <c r="EB324" i="3"/>
  <c r="EC324" i="3"/>
  <c r="EE324" i="3"/>
  <c r="EB325" i="3"/>
  <c r="EC325" i="3"/>
  <c r="EE325" i="3"/>
  <c r="EB326" i="3"/>
  <c r="EC326" i="3"/>
  <c r="EE326" i="3"/>
  <c r="EB327" i="3"/>
  <c r="EC327" i="3"/>
  <c r="EE327" i="3"/>
  <c r="EB328" i="3"/>
  <c r="EC328" i="3"/>
  <c r="EE328" i="3"/>
  <c r="EB329" i="3"/>
  <c r="EC329" i="3"/>
  <c r="EE329" i="3"/>
  <c r="EB330" i="3"/>
  <c r="EC330" i="3"/>
  <c r="EE330" i="3"/>
  <c r="EB331" i="3"/>
  <c r="EC331" i="3"/>
  <c r="EE331" i="3"/>
  <c r="EB332" i="3"/>
  <c r="EC332" i="3"/>
  <c r="EE332" i="3"/>
  <c r="EB333" i="3"/>
  <c r="EC333" i="3"/>
  <c r="EE333" i="3"/>
  <c r="EB334" i="3"/>
  <c r="EC334" i="3"/>
  <c r="EQ334" i="3" s="1"/>
  <c r="EE334" i="3"/>
  <c r="EB335" i="3"/>
  <c r="EC335" i="3"/>
  <c r="EE335" i="3"/>
  <c r="EB336" i="3"/>
  <c r="EC336" i="3"/>
  <c r="EE336" i="3"/>
  <c r="EB337" i="3"/>
  <c r="EC337" i="3"/>
  <c r="EE337" i="3"/>
  <c r="EB338" i="3"/>
  <c r="EC338" i="3"/>
  <c r="EE338" i="3"/>
  <c r="EB339" i="3"/>
  <c r="EC339" i="3"/>
  <c r="EE339" i="3"/>
  <c r="EB340" i="3"/>
  <c r="EC340" i="3"/>
  <c r="EE340" i="3"/>
  <c r="EB341" i="3"/>
  <c r="EC341" i="3"/>
  <c r="EE341" i="3"/>
  <c r="EB342" i="3"/>
  <c r="EC342" i="3"/>
  <c r="EE342" i="3"/>
  <c r="EB343" i="3"/>
  <c r="EC343" i="3"/>
  <c r="EE343" i="3"/>
  <c r="EB344" i="3"/>
  <c r="EC344" i="3"/>
  <c r="EE344" i="3"/>
  <c r="EB345" i="3"/>
  <c r="EC345" i="3"/>
  <c r="EE345" i="3"/>
  <c r="EB346" i="3"/>
  <c r="EC346" i="3"/>
  <c r="EE346" i="3"/>
  <c r="EB347" i="3"/>
  <c r="EC347" i="3"/>
  <c r="EE347" i="3"/>
  <c r="EB348" i="3"/>
  <c r="EC348" i="3"/>
  <c r="EE348" i="3"/>
  <c r="EB349" i="3"/>
  <c r="EC349" i="3"/>
  <c r="EE349" i="3"/>
  <c r="EB350" i="3"/>
  <c r="EC350" i="3"/>
  <c r="EQ350" i="3" s="1"/>
  <c r="EE350" i="3"/>
  <c r="EB351" i="3"/>
  <c r="EC351" i="3"/>
  <c r="EE351" i="3"/>
  <c r="EB352" i="3"/>
  <c r="EC352" i="3"/>
  <c r="EE352" i="3"/>
  <c r="EB353" i="3"/>
  <c r="EC353" i="3"/>
  <c r="EE353" i="3"/>
  <c r="EB354" i="3"/>
  <c r="EC354" i="3"/>
  <c r="EE354" i="3"/>
  <c r="EB355" i="3"/>
  <c r="EC355" i="3"/>
  <c r="EE355" i="3"/>
  <c r="EB356" i="3"/>
  <c r="EC356" i="3"/>
  <c r="EE356" i="3"/>
  <c r="EB357" i="3"/>
  <c r="EC357" i="3"/>
  <c r="EE357" i="3"/>
  <c r="EB358" i="3"/>
  <c r="EC358" i="3"/>
  <c r="EE358" i="3"/>
  <c r="EB359" i="3"/>
  <c r="EC359" i="3"/>
  <c r="EE359" i="3"/>
  <c r="EB360" i="3"/>
  <c r="EC360" i="3"/>
  <c r="EE360" i="3"/>
  <c r="EB361" i="3"/>
  <c r="EC361" i="3"/>
  <c r="EE361" i="3"/>
  <c r="EB362" i="3"/>
  <c r="EC362" i="3"/>
  <c r="EE362" i="3"/>
  <c r="EB363" i="3"/>
  <c r="EC363" i="3"/>
  <c r="EE363" i="3"/>
  <c r="EB364" i="3"/>
  <c r="EC364" i="3"/>
  <c r="EE364" i="3"/>
  <c r="EB365" i="3"/>
  <c r="EC365" i="3"/>
  <c r="EE365" i="3"/>
  <c r="EB366" i="3"/>
  <c r="EC366" i="3"/>
  <c r="EQ366" i="3" s="1"/>
  <c r="EE366" i="3"/>
  <c r="EB367" i="3"/>
  <c r="EC367" i="3"/>
  <c r="EE367" i="3"/>
  <c r="EB368" i="3"/>
  <c r="EC368" i="3"/>
  <c r="EE368" i="3"/>
  <c r="EB369" i="3"/>
  <c r="EC369" i="3"/>
  <c r="EE369" i="3"/>
  <c r="EB370" i="3"/>
  <c r="EC370" i="3"/>
  <c r="EE370" i="3"/>
  <c r="EB371" i="3"/>
  <c r="EC371" i="3"/>
  <c r="EE371" i="3"/>
  <c r="EB372" i="3"/>
  <c r="EC372" i="3"/>
  <c r="EE372" i="3"/>
  <c r="EB373" i="3"/>
  <c r="EC373" i="3"/>
  <c r="EE373" i="3"/>
  <c r="EB374" i="3"/>
  <c r="EC374" i="3"/>
  <c r="EE374" i="3"/>
  <c r="EB375" i="3"/>
  <c r="EC375" i="3"/>
  <c r="EE375" i="3"/>
  <c r="EB376" i="3"/>
  <c r="EC376" i="3"/>
  <c r="EE376" i="3"/>
  <c r="EB377" i="3"/>
  <c r="EC377" i="3"/>
  <c r="EE377" i="3"/>
  <c r="EB378" i="3"/>
  <c r="EC378" i="3"/>
  <c r="EE378" i="3"/>
  <c r="EB379" i="3"/>
  <c r="EC379" i="3"/>
  <c r="EE379" i="3"/>
  <c r="EB380" i="3"/>
  <c r="EC380" i="3"/>
  <c r="EE380" i="3"/>
  <c r="EB381" i="3"/>
  <c r="EC381" i="3"/>
  <c r="EE381" i="3"/>
  <c r="EB382" i="3"/>
  <c r="EC382" i="3"/>
  <c r="EQ382" i="3" s="1"/>
  <c r="EE382" i="3"/>
  <c r="EB383" i="3"/>
  <c r="EC383" i="3"/>
  <c r="EE383" i="3"/>
  <c r="EB384" i="3"/>
  <c r="EC384" i="3"/>
  <c r="EE384" i="3"/>
  <c r="EB385" i="3"/>
  <c r="EC385" i="3"/>
  <c r="EE385" i="3"/>
  <c r="EB386" i="3"/>
  <c r="EC386" i="3"/>
  <c r="EE386" i="3"/>
  <c r="EB387" i="3"/>
  <c r="EC387" i="3"/>
  <c r="EE387" i="3"/>
  <c r="EB388" i="3"/>
  <c r="EC388" i="3"/>
  <c r="EE388" i="3"/>
  <c r="EB389" i="3"/>
  <c r="EC389" i="3"/>
  <c r="EE389" i="3"/>
  <c r="EB390" i="3"/>
  <c r="EC390" i="3"/>
  <c r="EE390" i="3"/>
  <c r="EB391" i="3"/>
  <c r="EC391" i="3"/>
  <c r="EE391" i="3"/>
  <c r="EB392" i="3"/>
  <c r="EC392" i="3"/>
  <c r="EE392" i="3"/>
  <c r="EB393" i="3"/>
  <c r="EC393" i="3"/>
  <c r="EE393" i="3"/>
  <c r="EB394" i="3"/>
  <c r="EC394" i="3"/>
  <c r="EE394" i="3"/>
  <c r="EB395" i="3"/>
  <c r="EC395" i="3"/>
  <c r="EE395" i="3"/>
  <c r="EB396" i="3"/>
  <c r="EC396" i="3"/>
  <c r="EE396" i="3"/>
  <c r="EB397" i="3"/>
  <c r="EC397" i="3"/>
  <c r="EE397" i="3"/>
  <c r="EB398" i="3"/>
  <c r="EC398" i="3"/>
  <c r="EQ398" i="3" s="1"/>
  <c r="EE398" i="3"/>
  <c r="EB399" i="3"/>
  <c r="EC399" i="3"/>
  <c r="EE399" i="3"/>
  <c r="EB400" i="3"/>
  <c r="EC400" i="3"/>
  <c r="EE400" i="3"/>
  <c r="EB401" i="3"/>
  <c r="EC401" i="3"/>
  <c r="EE401" i="3"/>
  <c r="EB402" i="3"/>
  <c r="EC402" i="3"/>
  <c r="EE402" i="3"/>
  <c r="EB403" i="3"/>
  <c r="EC403" i="3"/>
  <c r="EE403" i="3"/>
  <c r="EB404" i="3"/>
  <c r="EC404" i="3"/>
  <c r="EE404" i="3"/>
  <c r="EB405" i="3"/>
  <c r="EC405" i="3"/>
  <c r="EE405" i="3"/>
  <c r="EB406" i="3"/>
  <c r="EC406" i="3"/>
  <c r="EE406" i="3"/>
  <c r="EB407" i="3"/>
  <c r="EC407" i="3"/>
  <c r="EE407" i="3"/>
  <c r="EB408" i="3"/>
  <c r="EC408" i="3"/>
  <c r="EE408" i="3"/>
  <c r="EB409" i="3"/>
  <c r="EC409" i="3"/>
  <c r="EE409" i="3"/>
  <c r="EB410" i="3"/>
  <c r="EC410" i="3"/>
  <c r="EE410" i="3"/>
  <c r="EB411" i="3"/>
  <c r="EC411" i="3"/>
  <c r="EE411" i="3"/>
  <c r="EB412" i="3"/>
  <c r="EC412" i="3"/>
  <c r="EE412" i="3"/>
  <c r="EB413" i="3"/>
  <c r="EC413" i="3"/>
  <c r="EE413" i="3"/>
  <c r="EB414" i="3"/>
  <c r="EC414" i="3"/>
  <c r="EQ414" i="3" s="1"/>
  <c r="EE414" i="3"/>
  <c r="EB415" i="3"/>
  <c r="EC415" i="3"/>
  <c r="EE415" i="3"/>
  <c r="EB416" i="3"/>
  <c r="EC416" i="3"/>
  <c r="EE416" i="3"/>
  <c r="EB417" i="3"/>
  <c r="EC417" i="3"/>
  <c r="EE417" i="3"/>
  <c r="EB418" i="3"/>
  <c r="EC418" i="3"/>
  <c r="EE418" i="3"/>
  <c r="EB419" i="3"/>
  <c r="EC419" i="3"/>
  <c r="EE419" i="3"/>
  <c r="EB420" i="3"/>
  <c r="EC420" i="3"/>
  <c r="EE420" i="3"/>
  <c r="EB421" i="3"/>
  <c r="EC421" i="3"/>
  <c r="EE421" i="3"/>
  <c r="EB422" i="3"/>
  <c r="EC422" i="3"/>
  <c r="EE422" i="3"/>
  <c r="EB423" i="3"/>
  <c r="EC423" i="3"/>
  <c r="EE423" i="3"/>
  <c r="EB424" i="3"/>
  <c r="EC424" i="3"/>
  <c r="EE424" i="3"/>
  <c r="EB425" i="3"/>
  <c r="EC425" i="3"/>
  <c r="EE425" i="3"/>
  <c r="EB426" i="3"/>
  <c r="EC426" i="3"/>
  <c r="EE426" i="3"/>
  <c r="EB427" i="3"/>
  <c r="EC427" i="3"/>
  <c r="EE427" i="3"/>
  <c r="EB428" i="3"/>
  <c r="EC428" i="3"/>
  <c r="EE428" i="3"/>
  <c r="EB429" i="3"/>
  <c r="EC429" i="3"/>
  <c r="EE429" i="3"/>
  <c r="EB430" i="3"/>
  <c r="EC430" i="3"/>
  <c r="EQ430" i="3" s="1"/>
  <c r="EE430" i="3"/>
  <c r="EB431" i="3"/>
  <c r="EC431" i="3"/>
  <c r="EE431" i="3"/>
  <c r="EB432" i="3"/>
  <c r="EC432" i="3"/>
  <c r="EE432" i="3"/>
  <c r="EB433" i="3"/>
  <c r="EC433" i="3"/>
  <c r="EE433" i="3"/>
  <c r="EB434" i="3"/>
  <c r="EC434" i="3"/>
  <c r="EE434" i="3"/>
  <c r="EB435" i="3"/>
  <c r="EC435" i="3"/>
  <c r="EE435" i="3"/>
  <c r="EB436" i="3"/>
  <c r="EC436" i="3"/>
  <c r="EE436" i="3"/>
  <c r="EB437" i="3"/>
  <c r="EC437" i="3"/>
  <c r="EE437" i="3"/>
  <c r="EB438" i="3"/>
  <c r="EC438" i="3"/>
  <c r="EE438" i="3"/>
  <c r="EB439" i="3"/>
  <c r="EC439" i="3"/>
  <c r="EE439" i="3"/>
  <c r="EB440" i="3"/>
  <c r="EC440" i="3"/>
  <c r="EE440" i="3"/>
  <c r="EB441" i="3"/>
  <c r="EC441" i="3"/>
  <c r="EE441" i="3"/>
  <c r="EB442" i="3"/>
  <c r="EC442" i="3"/>
  <c r="EE442" i="3"/>
  <c r="EB443" i="3"/>
  <c r="EC443" i="3"/>
  <c r="EE443" i="3"/>
  <c r="EB444" i="3"/>
  <c r="EC444" i="3"/>
  <c r="EE444" i="3"/>
  <c r="EB445" i="3"/>
  <c r="EC445" i="3"/>
  <c r="EE445" i="3"/>
  <c r="EB446" i="3"/>
  <c r="EC446" i="3"/>
  <c r="EQ446" i="3" s="1"/>
  <c r="EE446" i="3"/>
  <c r="EB447" i="3"/>
  <c r="EC447" i="3"/>
  <c r="EE447" i="3"/>
  <c r="EB448" i="3"/>
  <c r="EC448" i="3"/>
  <c r="EE448" i="3"/>
  <c r="EB449" i="3"/>
  <c r="EC449" i="3"/>
  <c r="EE449" i="3"/>
  <c r="EB450" i="3"/>
  <c r="EC450" i="3"/>
  <c r="EE450" i="3"/>
  <c r="EB451" i="3"/>
  <c r="EC451" i="3"/>
  <c r="EE451" i="3"/>
  <c r="EB452" i="3"/>
  <c r="EC452" i="3"/>
  <c r="EE452" i="3"/>
  <c r="EB453" i="3"/>
  <c r="EC453" i="3"/>
  <c r="EE453" i="3"/>
  <c r="EB454" i="3"/>
  <c r="EC454" i="3"/>
  <c r="EE454" i="3"/>
  <c r="EB455" i="3"/>
  <c r="EC455" i="3"/>
  <c r="EE455" i="3"/>
  <c r="EB456" i="3"/>
  <c r="EC456" i="3"/>
  <c r="EE456" i="3"/>
  <c r="EB457" i="3"/>
  <c r="EC457" i="3"/>
  <c r="EE457" i="3"/>
  <c r="EB458" i="3"/>
  <c r="EC458" i="3"/>
  <c r="EE458" i="3"/>
  <c r="EB459" i="3"/>
  <c r="EC459" i="3"/>
  <c r="EE459" i="3"/>
  <c r="EB460" i="3"/>
  <c r="EC460" i="3"/>
  <c r="EE460" i="3"/>
  <c r="EB461" i="3"/>
  <c r="EC461" i="3"/>
  <c r="EE461" i="3"/>
  <c r="EB462" i="3"/>
  <c r="EC462" i="3"/>
  <c r="EQ462" i="3" s="1"/>
  <c r="EE462" i="3"/>
  <c r="EB463" i="3"/>
  <c r="EC463" i="3"/>
  <c r="EE463" i="3"/>
  <c r="EB464" i="3"/>
  <c r="EC464" i="3"/>
  <c r="EE464" i="3"/>
  <c r="EB465" i="3"/>
  <c r="EC465" i="3"/>
  <c r="EE465" i="3"/>
  <c r="EB466" i="3"/>
  <c r="EC466" i="3"/>
  <c r="EE466" i="3"/>
  <c r="EB467" i="3"/>
  <c r="EC467" i="3"/>
  <c r="EE467" i="3"/>
  <c r="EB468" i="3"/>
  <c r="EC468" i="3"/>
  <c r="EE468" i="3"/>
  <c r="EB469" i="3"/>
  <c r="EC469" i="3"/>
  <c r="EE469" i="3"/>
  <c r="EB470" i="3"/>
  <c r="EC470" i="3"/>
  <c r="EE470" i="3"/>
  <c r="EB471" i="3"/>
  <c r="EC471" i="3"/>
  <c r="EE471" i="3"/>
  <c r="EB472" i="3"/>
  <c r="EC472" i="3"/>
  <c r="EE472" i="3"/>
  <c r="EB473" i="3"/>
  <c r="EC473" i="3"/>
  <c r="EE473" i="3"/>
  <c r="EB474" i="3"/>
  <c r="EC474" i="3"/>
  <c r="EE474" i="3"/>
  <c r="EB475" i="3"/>
  <c r="EC475" i="3"/>
  <c r="EE475" i="3"/>
  <c r="EB476" i="3"/>
  <c r="EC476" i="3"/>
  <c r="EE476" i="3"/>
  <c r="EB477" i="3"/>
  <c r="EC477" i="3"/>
  <c r="EE477" i="3"/>
  <c r="EB478" i="3"/>
  <c r="EC478" i="3"/>
  <c r="EQ478" i="3" s="1"/>
  <c r="EE478" i="3"/>
  <c r="EB479" i="3"/>
  <c r="EC479" i="3"/>
  <c r="EE479" i="3"/>
  <c r="EB480" i="3"/>
  <c r="EC480" i="3"/>
  <c r="EE480" i="3"/>
  <c r="EB481" i="3"/>
  <c r="EC481" i="3"/>
  <c r="EE481" i="3"/>
  <c r="EB482" i="3"/>
  <c r="EC482" i="3"/>
  <c r="EE482" i="3"/>
  <c r="EB483" i="3"/>
  <c r="EC483" i="3"/>
  <c r="EE483" i="3"/>
  <c r="EB484" i="3"/>
  <c r="EC484" i="3"/>
  <c r="EE484" i="3"/>
  <c r="EB485" i="3"/>
  <c r="EC485" i="3"/>
  <c r="EE485" i="3"/>
  <c r="EB486" i="3"/>
  <c r="EC486" i="3"/>
  <c r="EE486" i="3"/>
  <c r="EB487" i="3"/>
  <c r="EC487" i="3"/>
  <c r="EE487" i="3"/>
  <c r="EB488" i="3"/>
  <c r="EC488" i="3"/>
  <c r="EE488" i="3"/>
  <c r="EB489" i="3"/>
  <c r="EC489" i="3"/>
  <c r="EE489" i="3"/>
  <c r="EB490" i="3"/>
  <c r="EC490" i="3"/>
  <c r="EE490" i="3"/>
  <c r="EB491" i="3"/>
  <c r="EC491" i="3"/>
  <c r="EE491" i="3"/>
  <c r="EB492" i="3"/>
  <c r="EC492" i="3"/>
  <c r="EE492" i="3"/>
  <c r="EB493" i="3"/>
  <c r="EC493" i="3"/>
  <c r="EE493" i="3"/>
  <c r="EB494" i="3"/>
  <c r="EC494" i="3"/>
  <c r="EQ494" i="3" s="1"/>
  <c r="EE494" i="3"/>
  <c r="EB495" i="3"/>
  <c r="EC495" i="3"/>
  <c r="EE495" i="3"/>
  <c r="EB496" i="3"/>
  <c r="EC496" i="3"/>
  <c r="EE496" i="3"/>
  <c r="EB497" i="3"/>
  <c r="EC497" i="3"/>
  <c r="EE497" i="3"/>
  <c r="EB498" i="3"/>
  <c r="EC498" i="3"/>
  <c r="EE498" i="3"/>
  <c r="EB499" i="3"/>
  <c r="EC499" i="3"/>
  <c r="EE499" i="3"/>
  <c r="EB500" i="3"/>
  <c r="EC500" i="3"/>
  <c r="EE500" i="3"/>
  <c r="EB501" i="3"/>
  <c r="EC501" i="3"/>
  <c r="EE501" i="3"/>
  <c r="EB502" i="3"/>
  <c r="EC502" i="3"/>
  <c r="EE502" i="3"/>
  <c r="EB503" i="3"/>
  <c r="EC503" i="3"/>
  <c r="EE503" i="3"/>
  <c r="EB504" i="3"/>
  <c r="EC504" i="3"/>
  <c r="EE504" i="3"/>
  <c r="EB505" i="3"/>
  <c r="EC505" i="3"/>
  <c r="EE505" i="3"/>
  <c r="EB506" i="3"/>
  <c r="EC506" i="3"/>
  <c r="EE506" i="3"/>
  <c r="EB507" i="3"/>
  <c r="EC507" i="3"/>
  <c r="EE507" i="3"/>
  <c r="EB508" i="3"/>
  <c r="EC508" i="3"/>
  <c r="EE508" i="3"/>
  <c r="EB509" i="3"/>
  <c r="EC509" i="3"/>
  <c r="EE509" i="3"/>
  <c r="EB510" i="3"/>
  <c r="EC510" i="3"/>
  <c r="EQ510" i="3" s="1"/>
  <c r="EE510" i="3"/>
  <c r="EB511" i="3"/>
  <c r="EC511" i="3"/>
  <c r="EE511" i="3"/>
  <c r="EB512" i="3"/>
  <c r="EC512" i="3"/>
  <c r="EE512" i="3"/>
  <c r="EB513" i="3"/>
  <c r="EC513" i="3"/>
  <c r="EE513" i="3"/>
  <c r="EB514" i="3"/>
  <c r="EC514" i="3"/>
  <c r="EE514" i="3"/>
  <c r="EB515" i="3"/>
  <c r="EC515" i="3"/>
  <c r="EE515" i="3"/>
  <c r="EB516" i="3"/>
  <c r="EC516" i="3"/>
  <c r="EE516" i="3"/>
  <c r="EB517" i="3"/>
  <c r="EC517" i="3"/>
  <c r="EE517" i="3"/>
  <c r="EB518" i="3"/>
  <c r="EC518" i="3"/>
  <c r="EE518" i="3"/>
  <c r="EB519" i="3"/>
  <c r="EC519" i="3"/>
  <c r="EE519" i="3"/>
  <c r="EB520" i="3"/>
  <c r="EC520" i="3"/>
  <c r="EE520" i="3"/>
  <c r="EB521" i="3"/>
  <c r="EC521" i="3"/>
  <c r="EE521" i="3"/>
  <c r="EB522" i="3"/>
  <c r="EC522" i="3"/>
  <c r="EE522" i="3"/>
  <c r="EB523" i="3"/>
  <c r="EC523" i="3"/>
  <c r="EE523" i="3"/>
  <c r="EB524" i="3"/>
  <c r="EC524" i="3"/>
  <c r="EE524" i="3"/>
  <c r="EB525" i="3"/>
  <c r="EC525" i="3"/>
  <c r="EE525" i="3"/>
  <c r="EB526" i="3"/>
  <c r="EC526" i="3"/>
  <c r="EQ526" i="3" s="1"/>
  <c r="EE526" i="3"/>
  <c r="EB527" i="3"/>
  <c r="EC527" i="3"/>
  <c r="EE527" i="3"/>
  <c r="EB528" i="3"/>
  <c r="EC528" i="3"/>
  <c r="EE528" i="3"/>
  <c r="EB529" i="3"/>
  <c r="EC529" i="3"/>
  <c r="EE529" i="3"/>
  <c r="EB530" i="3"/>
  <c r="EC530" i="3"/>
  <c r="EE530" i="3"/>
  <c r="EB531" i="3"/>
  <c r="EC531" i="3"/>
  <c r="EE531" i="3"/>
  <c r="EB532" i="3"/>
  <c r="EC532" i="3"/>
  <c r="EE532" i="3"/>
  <c r="EB533" i="3"/>
  <c r="EC533" i="3"/>
  <c r="EE533" i="3"/>
  <c r="EB534" i="3"/>
  <c r="EC534" i="3"/>
  <c r="EE534" i="3"/>
  <c r="EB535" i="3"/>
  <c r="EC535" i="3"/>
  <c r="EE535" i="3"/>
  <c r="EB536" i="3"/>
  <c r="EC536" i="3"/>
  <c r="EE536" i="3"/>
  <c r="EB537" i="3"/>
  <c r="EC537" i="3"/>
  <c r="EE537" i="3"/>
  <c r="EB538" i="3"/>
  <c r="EC538" i="3"/>
  <c r="EE538" i="3"/>
  <c r="EB539" i="3"/>
  <c r="EC539" i="3"/>
  <c r="EE539" i="3"/>
  <c r="EB540" i="3"/>
  <c r="EC540" i="3"/>
  <c r="EE540" i="3"/>
  <c r="EB541" i="3"/>
  <c r="EC541" i="3"/>
  <c r="EE541" i="3"/>
  <c r="EB542" i="3"/>
  <c r="EC542" i="3"/>
  <c r="EQ542" i="3" s="1"/>
  <c r="EE542" i="3"/>
  <c r="EB543" i="3"/>
  <c r="EC543" i="3"/>
  <c r="EE543" i="3"/>
  <c r="EB544" i="3"/>
  <c r="EC544" i="3"/>
  <c r="EE544" i="3"/>
  <c r="EB545" i="3"/>
  <c r="EC545" i="3"/>
  <c r="EE545" i="3"/>
  <c r="EB546" i="3"/>
  <c r="EC546" i="3"/>
  <c r="EE546" i="3"/>
  <c r="EB547" i="3"/>
  <c r="EC547" i="3"/>
  <c r="EE547" i="3"/>
  <c r="EB548" i="3"/>
  <c r="EC548" i="3"/>
  <c r="EE548" i="3"/>
  <c r="EB549" i="3"/>
  <c r="EC549" i="3"/>
  <c r="EE549" i="3"/>
  <c r="EB550" i="3"/>
  <c r="EC550" i="3"/>
  <c r="EE550" i="3"/>
  <c r="EB551" i="3"/>
  <c r="EC551" i="3"/>
  <c r="EE551" i="3"/>
  <c r="EB552" i="3"/>
  <c r="EC552" i="3"/>
  <c r="EE552" i="3"/>
  <c r="EB553" i="3"/>
  <c r="EC553" i="3"/>
  <c r="EE553" i="3"/>
  <c r="EB554" i="3"/>
  <c r="EC554" i="3"/>
  <c r="EE554" i="3"/>
  <c r="EB555" i="3"/>
  <c r="EC555" i="3"/>
  <c r="EE555" i="3"/>
  <c r="EB556" i="3"/>
  <c r="EC556" i="3"/>
  <c r="EE556" i="3"/>
  <c r="EB557" i="3"/>
  <c r="EC557" i="3"/>
  <c r="EE557" i="3"/>
  <c r="EB558" i="3"/>
  <c r="EC558" i="3"/>
  <c r="EQ558" i="3" s="1"/>
  <c r="EE558" i="3"/>
  <c r="EB559" i="3"/>
  <c r="EC559" i="3"/>
  <c r="EE559" i="3"/>
  <c r="EB560" i="3"/>
  <c r="EC560" i="3"/>
  <c r="EE560" i="3"/>
  <c r="EB561" i="3"/>
  <c r="EC561" i="3"/>
  <c r="EE561" i="3"/>
  <c r="EB562" i="3"/>
  <c r="EC562" i="3"/>
  <c r="EE562" i="3"/>
  <c r="EB563" i="3"/>
  <c r="EC563" i="3"/>
  <c r="EE563" i="3"/>
  <c r="EB564" i="3"/>
  <c r="EC564" i="3"/>
  <c r="EE564" i="3"/>
  <c r="EB565" i="3"/>
  <c r="EC565" i="3"/>
  <c r="EE565" i="3"/>
  <c r="EB566" i="3"/>
  <c r="EC566" i="3"/>
  <c r="EE566" i="3"/>
  <c r="EB567" i="3"/>
  <c r="EC567" i="3"/>
  <c r="EE567" i="3"/>
  <c r="EB568" i="3"/>
  <c r="EC568" i="3"/>
  <c r="EE568" i="3"/>
  <c r="EB569" i="3"/>
  <c r="EC569" i="3"/>
  <c r="EE569" i="3"/>
  <c r="EB570" i="3"/>
  <c r="EC570" i="3"/>
  <c r="EE570" i="3"/>
  <c r="EB571" i="3"/>
  <c r="EC571" i="3"/>
  <c r="EE571" i="3"/>
  <c r="EB572" i="3"/>
  <c r="EC572" i="3"/>
  <c r="EE572" i="3"/>
  <c r="EB573" i="3"/>
  <c r="EC573" i="3"/>
  <c r="EE573" i="3"/>
  <c r="EB574" i="3"/>
  <c r="EC574" i="3"/>
  <c r="EQ574" i="3" s="1"/>
  <c r="EE574" i="3"/>
  <c r="EB575" i="3"/>
  <c r="EC575" i="3"/>
  <c r="EE575" i="3"/>
  <c r="EB576" i="3"/>
  <c r="EC576" i="3"/>
  <c r="EE576" i="3"/>
  <c r="EB577" i="3"/>
  <c r="EC577" i="3"/>
  <c r="EE577" i="3"/>
  <c r="EB578" i="3"/>
  <c r="EC578" i="3"/>
  <c r="EE578" i="3"/>
  <c r="EB579" i="3"/>
  <c r="EC579" i="3"/>
  <c r="EE579" i="3"/>
  <c r="EB580" i="3"/>
  <c r="EC580" i="3"/>
  <c r="EE580" i="3"/>
  <c r="EB581" i="3"/>
  <c r="EC581" i="3"/>
  <c r="EE581" i="3"/>
  <c r="EB582" i="3"/>
  <c r="EC582" i="3"/>
  <c r="EE582" i="3"/>
  <c r="EB583" i="3"/>
  <c r="EC583" i="3"/>
  <c r="EE583" i="3"/>
  <c r="EB584" i="3"/>
  <c r="EC584" i="3"/>
  <c r="EE584" i="3"/>
  <c r="EB585" i="3"/>
  <c r="EC585" i="3"/>
  <c r="EE585" i="3"/>
  <c r="EB586" i="3"/>
  <c r="EC586" i="3"/>
  <c r="EE586" i="3"/>
  <c r="EB587" i="3"/>
  <c r="EC587" i="3"/>
  <c r="EE587" i="3"/>
  <c r="EB588" i="3"/>
  <c r="EC588" i="3"/>
  <c r="EE588" i="3"/>
  <c r="EB589" i="3"/>
  <c r="EC589" i="3"/>
  <c r="EE589" i="3"/>
  <c r="EB590" i="3"/>
  <c r="EC590" i="3"/>
  <c r="EQ590" i="3" s="1"/>
  <c r="EE590" i="3"/>
  <c r="EB591" i="3"/>
  <c r="EC591" i="3"/>
  <c r="EE591" i="3"/>
  <c r="EB592" i="3"/>
  <c r="EC592" i="3"/>
  <c r="EE592" i="3"/>
  <c r="EB593" i="3"/>
  <c r="EC593" i="3"/>
  <c r="EE593" i="3"/>
  <c r="EB594" i="3"/>
  <c r="EC594" i="3"/>
  <c r="EE594" i="3"/>
  <c r="EB595" i="3"/>
  <c r="EC595" i="3"/>
  <c r="EE595" i="3"/>
  <c r="EB596" i="3"/>
  <c r="EC596" i="3"/>
  <c r="EE596" i="3"/>
  <c r="EB597" i="3"/>
  <c r="EC597" i="3"/>
  <c r="EE597" i="3"/>
  <c r="EB598" i="3"/>
  <c r="EC598" i="3"/>
  <c r="EE598" i="3"/>
  <c r="EB599" i="3"/>
  <c r="EC599" i="3"/>
  <c r="EE599" i="3"/>
  <c r="EB600" i="3"/>
  <c r="EC600" i="3"/>
  <c r="EE600" i="3"/>
  <c r="EB601" i="3"/>
  <c r="EC601" i="3"/>
  <c r="EE601" i="3"/>
  <c r="EB602" i="3"/>
  <c r="EC602" i="3"/>
  <c r="EE602" i="3"/>
  <c r="EB603" i="3"/>
  <c r="EC603" i="3"/>
  <c r="EE603" i="3"/>
  <c r="EB604" i="3"/>
  <c r="EC604" i="3"/>
  <c r="EE604" i="3"/>
  <c r="EB605" i="3"/>
  <c r="EC605" i="3"/>
  <c r="EE605" i="3"/>
  <c r="EB606" i="3"/>
  <c r="EC606" i="3"/>
  <c r="EQ606" i="3" s="1"/>
  <c r="EE606" i="3"/>
  <c r="EB607" i="3"/>
  <c r="EC607" i="3"/>
  <c r="EE607" i="3"/>
  <c r="EB608" i="3"/>
  <c r="EC608" i="3"/>
  <c r="EE608" i="3"/>
  <c r="EB609" i="3"/>
  <c r="EC609" i="3"/>
  <c r="EE609" i="3"/>
  <c r="EB610" i="3"/>
  <c r="EC610" i="3"/>
  <c r="EE610" i="3"/>
  <c r="EB611" i="3"/>
  <c r="EC611" i="3"/>
  <c r="EE611" i="3"/>
  <c r="EB612" i="3"/>
  <c r="EC612" i="3"/>
  <c r="EE612" i="3"/>
  <c r="EB613" i="3"/>
  <c r="EC613" i="3"/>
  <c r="EE613" i="3"/>
  <c r="EB614" i="3"/>
  <c r="EC614" i="3"/>
  <c r="EE614" i="3"/>
  <c r="EB615" i="3"/>
  <c r="EC615" i="3"/>
  <c r="EE615" i="3"/>
  <c r="EB616" i="3"/>
  <c r="EC616" i="3"/>
  <c r="EE616" i="3"/>
  <c r="EB617" i="3"/>
  <c r="EC617" i="3"/>
  <c r="EE617" i="3"/>
  <c r="EB618" i="3"/>
  <c r="EC618" i="3"/>
  <c r="EE618" i="3"/>
  <c r="EB619" i="3"/>
  <c r="EC619" i="3"/>
  <c r="EE619" i="3"/>
  <c r="EB620" i="3"/>
  <c r="EC620" i="3"/>
  <c r="EE620" i="3"/>
  <c r="EB621" i="3"/>
  <c r="EC621" i="3"/>
  <c r="EE621" i="3"/>
  <c r="EB622" i="3"/>
  <c r="EC622" i="3"/>
  <c r="EQ622" i="3" s="1"/>
  <c r="EE622" i="3"/>
  <c r="EB623" i="3"/>
  <c r="EC623" i="3"/>
  <c r="EE623" i="3"/>
  <c r="EB624" i="3"/>
  <c r="EC624" i="3"/>
  <c r="EE624" i="3"/>
  <c r="EB625" i="3"/>
  <c r="EC625" i="3"/>
  <c r="EE625" i="3"/>
  <c r="EB626" i="3"/>
  <c r="EC626" i="3"/>
  <c r="EE626" i="3"/>
  <c r="EB627" i="3"/>
  <c r="EC627" i="3"/>
  <c r="EE627" i="3"/>
  <c r="EB628" i="3"/>
  <c r="EC628" i="3"/>
  <c r="EE628" i="3"/>
  <c r="EB629" i="3"/>
  <c r="EC629" i="3"/>
  <c r="EE629" i="3"/>
  <c r="EB630" i="3"/>
  <c r="EC630" i="3"/>
  <c r="EE630" i="3"/>
  <c r="EB631" i="3"/>
  <c r="EC631" i="3"/>
  <c r="EE631" i="3"/>
  <c r="EB632" i="3"/>
  <c r="EC632" i="3"/>
  <c r="EE632" i="3"/>
  <c r="EB633" i="3"/>
  <c r="EC633" i="3"/>
  <c r="EE633" i="3"/>
  <c r="EB634" i="3"/>
  <c r="EC634" i="3"/>
  <c r="EE634" i="3"/>
  <c r="EB635" i="3"/>
  <c r="EC635" i="3"/>
  <c r="EE635" i="3"/>
  <c r="EB636" i="3"/>
  <c r="EC636" i="3"/>
  <c r="EE636" i="3"/>
  <c r="EB637" i="3"/>
  <c r="EC637" i="3"/>
  <c r="EE637" i="3"/>
  <c r="EB638" i="3"/>
  <c r="EC638" i="3"/>
  <c r="EQ638" i="3" s="1"/>
  <c r="EE638" i="3"/>
  <c r="EB639" i="3"/>
  <c r="EC639" i="3"/>
  <c r="EE639" i="3"/>
  <c r="EB640" i="3"/>
  <c r="EC640" i="3"/>
  <c r="EE640" i="3"/>
  <c r="EB641" i="3"/>
  <c r="EC641" i="3"/>
  <c r="EE641" i="3"/>
  <c r="EB642" i="3"/>
  <c r="EC642" i="3"/>
  <c r="EE642" i="3"/>
  <c r="EB643" i="3"/>
  <c r="EC643" i="3"/>
  <c r="EE643" i="3"/>
  <c r="EB644" i="3"/>
  <c r="EC644" i="3"/>
  <c r="EE644" i="3"/>
  <c r="EB645" i="3"/>
  <c r="EC645" i="3"/>
  <c r="EE645" i="3"/>
  <c r="EB646" i="3"/>
  <c r="EC646" i="3"/>
  <c r="EE646" i="3"/>
  <c r="EB647" i="3"/>
  <c r="EC647" i="3"/>
  <c r="EE647" i="3"/>
  <c r="EB648" i="3"/>
  <c r="EC648" i="3"/>
  <c r="EE648" i="3"/>
  <c r="EB649" i="3"/>
  <c r="EC649" i="3"/>
  <c r="EE649" i="3"/>
  <c r="EB650" i="3"/>
  <c r="EC650" i="3"/>
  <c r="EE650" i="3"/>
  <c r="EB651" i="3"/>
  <c r="EC651" i="3"/>
  <c r="EE651" i="3"/>
  <c r="EB652" i="3"/>
  <c r="EC652" i="3"/>
  <c r="EE652" i="3"/>
  <c r="EB653" i="3"/>
  <c r="EC653" i="3"/>
  <c r="EE653" i="3"/>
  <c r="EB654" i="3"/>
  <c r="EC654" i="3"/>
  <c r="EQ654" i="3" s="1"/>
  <c r="EE654" i="3"/>
  <c r="EB655" i="3"/>
  <c r="EC655" i="3"/>
  <c r="EE655" i="3"/>
  <c r="EB656" i="3"/>
  <c r="EC656" i="3"/>
  <c r="EE656" i="3"/>
  <c r="EB657" i="3"/>
  <c r="EC657" i="3"/>
  <c r="EE657" i="3"/>
  <c r="EB658" i="3"/>
  <c r="EC658" i="3"/>
  <c r="EE658" i="3"/>
  <c r="EB659" i="3"/>
  <c r="EC659" i="3"/>
  <c r="EE659" i="3"/>
  <c r="EB660" i="3"/>
  <c r="EC660" i="3"/>
  <c r="EE660" i="3"/>
  <c r="EB661" i="3"/>
  <c r="EC661" i="3"/>
  <c r="EE661" i="3"/>
  <c r="EB662" i="3"/>
  <c r="EC662" i="3"/>
  <c r="EE662" i="3"/>
  <c r="EB663" i="3"/>
  <c r="EC663" i="3"/>
  <c r="EE663" i="3"/>
  <c r="EB664" i="3"/>
  <c r="EC664" i="3"/>
  <c r="EE664" i="3"/>
  <c r="EB665" i="3"/>
  <c r="EC665" i="3"/>
  <c r="EE665" i="3"/>
  <c r="EB666" i="3"/>
  <c r="EC666" i="3"/>
  <c r="EE666" i="3"/>
  <c r="EB667" i="3"/>
  <c r="EC667" i="3"/>
  <c r="EE667" i="3"/>
  <c r="EB668" i="3"/>
  <c r="EC668" i="3"/>
  <c r="EE668" i="3"/>
  <c r="EB669" i="3"/>
  <c r="EC669" i="3"/>
  <c r="EE669" i="3"/>
  <c r="EB670" i="3"/>
  <c r="EC670" i="3"/>
  <c r="EQ670" i="3" s="1"/>
  <c r="EE670" i="3"/>
  <c r="EB671" i="3"/>
  <c r="EC671" i="3"/>
  <c r="EE671" i="3"/>
  <c r="EB672" i="3"/>
  <c r="EC672" i="3"/>
  <c r="EE672" i="3"/>
  <c r="EB673" i="3"/>
  <c r="EC673" i="3"/>
  <c r="EE673" i="3"/>
  <c r="EB674" i="3"/>
  <c r="EC674" i="3"/>
  <c r="EE674" i="3"/>
  <c r="EB675" i="3"/>
  <c r="EC675" i="3"/>
  <c r="EE675" i="3"/>
  <c r="EB676" i="3"/>
  <c r="EC676" i="3"/>
  <c r="EE676" i="3"/>
  <c r="EB677" i="3"/>
  <c r="EC677" i="3"/>
  <c r="EE677" i="3"/>
  <c r="EB678" i="3"/>
  <c r="EC678" i="3"/>
  <c r="EE678" i="3"/>
  <c r="EB679" i="3"/>
  <c r="EC679" i="3"/>
  <c r="EE679" i="3"/>
  <c r="EB680" i="3"/>
  <c r="EC680" i="3"/>
  <c r="EE680" i="3"/>
  <c r="EB681" i="3"/>
  <c r="EC681" i="3"/>
  <c r="EE681" i="3"/>
  <c r="EB682" i="3"/>
  <c r="EC682" i="3"/>
  <c r="EE682" i="3"/>
  <c r="EB683" i="3"/>
  <c r="EC683" i="3"/>
  <c r="EE683" i="3"/>
  <c r="EB684" i="3"/>
  <c r="EC684" i="3"/>
  <c r="EE684" i="3"/>
  <c r="EB685" i="3"/>
  <c r="EC685" i="3"/>
  <c r="EE685" i="3"/>
  <c r="EB686" i="3"/>
  <c r="EC686" i="3"/>
  <c r="EQ686" i="3" s="1"/>
  <c r="EE686" i="3"/>
  <c r="EB687" i="3"/>
  <c r="EC687" i="3"/>
  <c r="EE687" i="3"/>
  <c r="EB688" i="3"/>
  <c r="EC688" i="3"/>
  <c r="EE688" i="3"/>
  <c r="EB689" i="3"/>
  <c r="EC689" i="3"/>
  <c r="EE689" i="3"/>
  <c r="EB690" i="3"/>
  <c r="EC690" i="3"/>
  <c r="EE690" i="3"/>
  <c r="EB691" i="3"/>
  <c r="EC691" i="3"/>
  <c r="EE691" i="3"/>
  <c r="EB692" i="3"/>
  <c r="EC692" i="3"/>
  <c r="EE692" i="3"/>
  <c r="EB693" i="3"/>
  <c r="EC693" i="3"/>
  <c r="EE693" i="3"/>
  <c r="EB694" i="3"/>
  <c r="EC694" i="3"/>
  <c r="EE694" i="3"/>
  <c r="EB695" i="3"/>
  <c r="EC695" i="3"/>
  <c r="EE695" i="3"/>
  <c r="EB696" i="3"/>
  <c r="EC696" i="3"/>
  <c r="EE696" i="3"/>
  <c r="EB697" i="3"/>
  <c r="EC697" i="3"/>
  <c r="EE697" i="3"/>
  <c r="EB698" i="3"/>
  <c r="EC698" i="3"/>
  <c r="EE698" i="3"/>
  <c r="EB699" i="3"/>
  <c r="EC699" i="3"/>
  <c r="EE699" i="3"/>
  <c r="EB700" i="3"/>
  <c r="EC700" i="3"/>
  <c r="EE700" i="3"/>
  <c r="EB701" i="3"/>
  <c r="EC701" i="3"/>
  <c r="EE701" i="3"/>
  <c r="EB702" i="3"/>
  <c r="EC702" i="3"/>
  <c r="EQ702" i="3" s="1"/>
  <c r="EE702" i="3"/>
  <c r="EB703" i="3"/>
  <c r="EC703" i="3"/>
  <c r="EE703" i="3"/>
  <c r="EB704" i="3"/>
  <c r="EC704" i="3"/>
  <c r="EE704" i="3"/>
  <c r="EB705" i="3"/>
  <c r="EC705" i="3"/>
  <c r="EE705" i="3"/>
  <c r="EB706" i="3"/>
  <c r="EC706" i="3"/>
  <c r="EE706" i="3"/>
  <c r="EB707" i="3"/>
  <c r="EC707" i="3"/>
  <c r="EE707" i="3"/>
  <c r="EB708" i="3"/>
  <c r="EC708" i="3"/>
  <c r="EE708" i="3"/>
  <c r="EB709" i="3"/>
  <c r="EC709" i="3"/>
  <c r="EE709" i="3"/>
  <c r="EB710" i="3"/>
  <c r="EC710" i="3"/>
  <c r="EE710" i="3"/>
  <c r="EB711" i="3"/>
  <c r="EC711" i="3"/>
  <c r="EE711" i="3"/>
  <c r="EB712" i="3"/>
  <c r="EC712" i="3"/>
  <c r="EE712" i="3"/>
  <c r="EB713" i="3"/>
  <c r="EC713" i="3"/>
  <c r="EE713" i="3"/>
  <c r="EB714" i="3"/>
  <c r="EC714" i="3"/>
  <c r="EE714" i="3"/>
  <c r="EB715" i="3"/>
  <c r="EC715" i="3"/>
  <c r="EE715" i="3"/>
  <c r="EB716" i="3"/>
  <c r="EC716" i="3"/>
  <c r="EE716" i="3"/>
  <c r="EB717" i="3"/>
  <c r="EC717" i="3"/>
  <c r="EE717" i="3"/>
  <c r="EB718" i="3"/>
  <c r="EC718" i="3"/>
  <c r="EQ718" i="3" s="1"/>
  <c r="EE718" i="3"/>
  <c r="EB719" i="3"/>
  <c r="EC719" i="3"/>
  <c r="EE719" i="3"/>
  <c r="EB720" i="3"/>
  <c r="EC720" i="3"/>
  <c r="EE720" i="3"/>
  <c r="EB721" i="3"/>
  <c r="EC721" i="3"/>
  <c r="EE721" i="3"/>
  <c r="EB722" i="3"/>
  <c r="EC722" i="3"/>
  <c r="EE722" i="3"/>
  <c r="EB723" i="3"/>
  <c r="EC723" i="3"/>
  <c r="EE723" i="3"/>
  <c r="EB724" i="3"/>
  <c r="EC724" i="3"/>
  <c r="EE724" i="3"/>
  <c r="EB725" i="3"/>
  <c r="EC725" i="3"/>
  <c r="EE725" i="3"/>
  <c r="EB726" i="3"/>
  <c r="EC726" i="3"/>
  <c r="EE726" i="3"/>
  <c r="EB727" i="3"/>
  <c r="EC727" i="3"/>
  <c r="EE727" i="3"/>
  <c r="EB728" i="3"/>
  <c r="EC728" i="3"/>
  <c r="EE728" i="3"/>
  <c r="EB729" i="3"/>
  <c r="EC729" i="3"/>
  <c r="EE729" i="3"/>
  <c r="EB730" i="3"/>
  <c r="EC730" i="3"/>
  <c r="EE730" i="3"/>
  <c r="EB731" i="3"/>
  <c r="EC731" i="3"/>
  <c r="EE731" i="3"/>
  <c r="EB732" i="3"/>
  <c r="EC732" i="3"/>
  <c r="EE732" i="3"/>
  <c r="EB733" i="3"/>
  <c r="EC733" i="3"/>
  <c r="EE733" i="3"/>
  <c r="EB734" i="3"/>
  <c r="EC734" i="3"/>
  <c r="EQ734" i="3" s="1"/>
  <c r="EE734" i="3"/>
  <c r="EB735" i="3"/>
  <c r="EC735" i="3"/>
  <c r="EE735" i="3"/>
  <c r="EB736" i="3"/>
  <c r="EC736" i="3"/>
  <c r="EE736" i="3"/>
  <c r="EB737" i="3"/>
  <c r="EC737" i="3"/>
  <c r="EE737" i="3"/>
  <c r="EB738" i="3"/>
  <c r="EC738" i="3"/>
  <c r="EE738" i="3"/>
  <c r="EB739" i="3"/>
  <c r="EC739" i="3"/>
  <c r="EE739" i="3"/>
  <c r="EB740" i="3"/>
  <c r="EC740" i="3"/>
  <c r="EE740" i="3"/>
  <c r="EB741" i="3"/>
  <c r="EC741" i="3"/>
  <c r="EE741" i="3"/>
  <c r="EB742" i="3"/>
  <c r="EC742" i="3"/>
  <c r="EE742" i="3"/>
  <c r="EB743" i="3"/>
  <c r="EC743" i="3"/>
  <c r="EE743" i="3"/>
  <c r="EB744" i="3"/>
  <c r="EC744" i="3"/>
  <c r="EE744" i="3"/>
  <c r="EB745" i="3"/>
  <c r="EC745" i="3"/>
  <c r="EE745" i="3"/>
  <c r="EB746" i="3"/>
  <c r="EC746" i="3"/>
  <c r="EE746" i="3"/>
  <c r="EB747" i="3"/>
  <c r="EC747" i="3"/>
  <c r="EE747" i="3"/>
  <c r="EB748" i="3"/>
  <c r="EC748" i="3"/>
  <c r="EE748" i="3"/>
  <c r="EB749" i="3"/>
  <c r="EC749" i="3"/>
  <c r="EE749" i="3"/>
  <c r="EB750" i="3"/>
  <c r="EC750" i="3"/>
  <c r="EQ750" i="3" s="1"/>
  <c r="EE750" i="3"/>
  <c r="EB751" i="3"/>
  <c r="EC751" i="3"/>
  <c r="EE751" i="3"/>
  <c r="EB752" i="3"/>
  <c r="EC752" i="3"/>
  <c r="EE752" i="3"/>
  <c r="EB753" i="3"/>
  <c r="EC753" i="3"/>
  <c r="EE753" i="3"/>
  <c r="EB754" i="3"/>
  <c r="EC754" i="3"/>
  <c r="EE754" i="3"/>
  <c r="EB755" i="3"/>
  <c r="EC755" i="3"/>
  <c r="EE755" i="3"/>
  <c r="EB756" i="3"/>
  <c r="EC756" i="3"/>
  <c r="EE756" i="3"/>
  <c r="EB757" i="3"/>
  <c r="EC757" i="3"/>
  <c r="EE757" i="3"/>
  <c r="EB758" i="3"/>
  <c r="EC758" i="3"/>
  <c r="EE758" i="3"/>
  <c r="EB759" i="3"/>
  <c r="EC759" i="3"/>
  <c r="EE759" i="3"/>
  <c r="EB760" i="3"/>
  <c r="EC760" i="3"/>
  <c r="EE760" i="3"/>
  <c r="EB761" i="3"/>
  <c r="EC761" i="3"/>
  <c r="EE761" i="3"/>
  <c r="EB762" i="3"/>
  <c r="EC762" i="3"/>
  <c r="EE762" i="3"/>
  <c r="EB763" i="3"/>
  <c r="EC763" i="3"/>
  <c r="EE763" i="3"/>
  <c r="EB764" i="3"/>
  <c r="EC764" i="3"/>
  <c r="EE764" i="3"/>
  <c r="EB765" i="3"/>
  <c r="EC765" i="3"/>
  <c r="EE765" i="3"/>
  <c r="EB766" i="3"/>
  <c r="EC766" i="3"/>
  <c r="EQ766" i="3" s="1"/>
  <c r="EE766" i="3"/>
  <c r="EB767" i="3"/>
  <c r="EC767" i="3"/>
  <c r="EE767" i="3"/>
  <c r="EB768" i="3"/>
  <c r="EC768" i="3"/>
  <c r="EE768" i="3"/>
  <c r="EB769" i="3"/>
  <c r="EC769" i="3"/>
  <c r="EE769" i="3"/>
  <c r="EB770" i="3"/>
  <c r="EC770" i="3"/>
  <c r="EE770" i="3"/>
  <c r="EB771" i="3"/>
  <c r="EC771" i="3"/>
  <c r="EE771" i="3"/>
  <c r="EB772" i="3"/>
  <c r="EC772" i="3"/>
  <c r="EE772" i="3"/>
  <c r="EB773" i="3"/>
  <c r="EC773" i="3"/>
  <c r="EE773" i="3"/>
  <c r="EB774" i="3"/>
  <c r="EC774" i="3"/>
  <c r="EE774" i="3"/>
  <c r="EB775" i="3"/>
  <c r="EC775" i="3"/>
  <c r="EE775" i="3"/>
  <c r="EB776" i="3"/>
  <c r="EC776" i="3"/>
  <c r="EE776" i="3"/>
  <c r="EB777" i="3"/>
  <c r="EC777" i="3"/>
  <c r="EE777" i="3"/>
  <c r="EB778" i="3"/>
  <c r="EC778" i="3"/>
  <c r="EE778" i="3"/>
  <c r="EB779" i="3"/>
  <c r="EC779" i="3"/>
  <c r="EE779" i="3"/>
  <c r="EB780" i="3"/>
  <c r="EC780" i="3"/>
  <c r="EE780" i="3"/>
  <c r="EB781" i="3"/>
  <c r="EC781" i="3"/>
  <c r="EE781" i="3"/>
  <c r="EB782" i="3"/>
  <c r="EC782" i="3"/>
  <c r="EQ782" i="3" s="1"/>
  <c r="EE782" i="3"/>
  <c r="EB783" i="3"/>
  <c r="EC783" i="3"/>
  <c r="EE783" i="3"/>
  <c r="EB784" i="3"/>
  <c r="EC784" i="3"/>
  <c r="EE784" i="3"/>
  <c r="EB785" i="3"/>
  <c r="EC785" i="3"/>
  <c r="EE785" i="3"/>
  <c r="EB786" i="3"/>
  <c r="EC786" i="3"/>
  <c r="EE786" i="3"/>
  <c r="EB787" i="3"/>
  <c r="EC787" i="3"/>
  <c r="EE787" i="3"/>
  <c r="EB788" i="3"/>
  <c r="EC788" i="3"/>
  <c r="EE788" i="3"/>
  <c r="EB789" i="3"/>
  <c r="EC789" i="3"/>
  <c r="EE789" i="3"/>
  <c r="EB790" i="3"/>
  <c r="EC790" i="3"/>
  <c r="EE790" i="3"/>
  <c r="EB791" i="3"/>
  <c r="EC791" i="3"/>
  <c r="EE791" i="3"/>
  <c r="EB792" i="3"/>
  <c r="EC792" i="3"/>
  <c r="EE792" i="3"/>
  <c r="EB793" i="3"/>
  <c r="EC793" i="3"/>
  <c r="EE793" i="3"/>
  <c r="EB794" i="3"/>
  <c r="EC794" i="3"/>
  <c r="EE794" i="3"/>
  <c r="EB795" i="3"/>
  <c r="EC795" i="3"/>
  <c r="EE795" i="3"/>
  <c r="EB796" i="3"/>
  <c r="EC796" i="3"/>
  <c r="EE796" i="3"/>
  <c r="EB797" i="3"/>
  <c r="EC797" i="3"/>
  <c r="EE797" i="3"/>
  <c r="EB798" i="3"/>
  <c r="EC798" i="3"/>
  <c r="EQ798" i="3" s="1"/>
  <c r="EE798" i="3"/>
  <c r="EB799" i="3"/>
  <c r="EC799" i="3"/>
  <c r="EE799" i="3"/>
  <c r="EB800" i="3"/>
  <c r="EC800" i="3"/>
  <c r="EE800" i="3"/>
  <c r="EB801" i="3"/>
  <c r="EC801" i="3"/>
  <c r="EE801" i="3"/>
  <c r="EB802" i="3"/>
  <c r="EC802" i="3"/>
  <c r="EE802" i="3"/>
  <c r="EB803" i="3"/>
  <c r="EC803" i="3"/>
  <c r="EE803" i="3"/>
  <c r="EB804" i="3"/>
  <c r="EC804" i="3"/>
  <c r="EE804" i="3"/>
  <c r="EB805" i="3"/>
  <c r="EC805" i="3"/>
  <c r="EE805" i="3"/>
  <c r="EB806" i="3"/>
  <c r="EC806" i="3"/>
  <c r="EE806" i="3"/>
  <c r="EB807" i="3"/>
  <c r="EC807" i="3"/>
  <c r="EE807" i="3"/>
  <c r="EB808" i="3"/>
  <c r="EC808" i="3"/>
  <c r="EE808" i="3"/>
  <c r="EB809" i="3"/>
  <c r="EC809" i="3"/>
  <c r="EE809" i="3"/>
  <c r="EB810" i="3"/>
  <c r="EC810" i="3"/>
  <c r="EE810" i="3"/>
  <c r="EB811" i="3"/>
  <c r="EC811" i="3"/>
  <c r="EE811" i="3"/>
  <c r="EB812" i="3"/>
  <c r="EC812" i="3"/>
  <c r="EE812" i="3"/>
  <c r="EB813" i="3"/>
  <c r="EC813" i="3"/>
  <c r="EE813" i="3"/>
  <c r="EB814" i="3"/>
  <c r="EC814" i="3"/>
  <c r="EQ814" i="3" s="1"/>
  <c r="EE814" i="3"/>
  <c r="EB815" i="3"/>
  <c r="EC815" i="3"/>
  <c r="EE815" i="3"/>
  <c r="EB816" i="3"/>
  <c r="EC816" i="3"/>
  <c r="EE816" i="3"/>
  <c r="EB817" i="3"/>
  <c r="EC817" i="3"/>
  <c r="EE817" i="3"/>
  <c r="EB818" i="3"/>
  <c r="EC818" i="3"/>
  <c r="EE818" i="3"/>
  <c r="EB819" i="3"/>
  <c r="EC819" i="3"/>
  <c r="EE819" i="3"/>
  <c r="EB820" i="3"/>
  <c r="EC820" i="3"/>
  <c r="EE820" i="3"/>
  <c r="EB821" i="3"/>
  <c r="EC821" i="3"/>
  <c r="EE821" i="3"/>
  <c r="EB822" i="3"/>
  <c r="EC822" i="3"/>
  <c r="EE822" i="3"/>
  <c r="EB823" i="3"/>
  <c r="EC823" i="3"/>
  <c r="EE823" i="3"/>
  <c r="EB824" i="3"/>
  <c r="EC824" i="3"/>
  <c r="EE824" i="3"/>
  <c r="EB825" i="3"/>
  <c r="EC825" i="3"/>
  <c r="EE825" i="3"/>
  <c r="EB826" i="3"/>
  <c r="EC826" i="3"/>
  <c r="EE826" i="3"/>
  <c r="EB827" i="3"/>
  <c r="EC827" i="3"/>
  <c r="EE827" i="3"/>
  <c r="EB828" i="3"/>
  <c r="EC828" i="3"/>
  <c r="EE828" i="3"/>
  <c r="EB829" i="3"/>
  <c r="EC829" i="3"/>
  <c r="EE829" i="3"/>
  <c r="EB830" i="3"/>
  <c r="EC830" i="3"/>
  <c r="EQ830" i="3" s="1"/>
  <c r="EE830" i="3"/>
  <c r="EB831" i="3"/>
  <c r="EC831" i="3"/>
  <c r="EE831" i="3"/>
  <c r="EB832" i="3"/>
  <c r="EC832" i="3"/>
  <c r="EE832" i="3"/>
  <c r="EB833" i="3"/>
  <c r="EC833" i="3"/>
  <c r="EE833" i="3"/>
  <c r="EB834" i="3"/>
  <c r="EC834" i="3"/>
  <c r="EE834" i="3"/>
  <c r="EB835" i="3"/>
  <c r="EC835" i="3"/>
  <c r="EE835" i="3"/>
  <c r="EB836" i="3"/>
  <c r="EC836" i="3"/>
  <c r="EE836" i="3"/>
  <c r="EB837" i="3"/>
  <c r="EC837" i="3"/>
  <c r="EE837" i="3"/>
  <c r="EB838" i="3"/>
  <c r="EC838" i="3"/>
  <c r="EE838" i="3"/>
  <c r="EB839" i="3"/>
  <c r="EC839" i="3"/>
  <c r="EE839" i="3"/>
  <c r="EB840" i="3"/>
  <c r="EC840" i="3"/>
  <c r="EE840" i="3"/>
  <c r="EB841" i="3"/>
  <c r="EC841" i="3"/>
  <c r="EE841" i="3"/>
  <c r="EB842" i="3"/>
  <c r="EC842" i="3"/>
  <c r="EE842" i="3"/>
  <c r="EB843" i="3"/>
  <c r="EC843" i="3"/>
  <c r="EE843" i="3"/>
  <c r="EB844" i="3"/>
  <c r="EC844" i="3"/>
  <c r="EE844" i="3"/>
  <c r="EB845" i="3"/>
  <c r="EC845" i="3"/>
  <c r="EE845" i="3"/>
  <c r="EB846" i="3"/>
  <c r="EC846" i="3"/>
  <c r="EQ846" i="3" s="1"/>
  <c r="EE846" i="3"/>
  <c r="EB847" i="3"/>
  <c r="EC847" i="3"/>
  <c r="EE847" i="3"/>
  <c r="EB848" i="3"/>
  <c r="EC848" i="3"/>
  <c r="EE848" i="3"/>
  <c r="EB849" i="3"/>
  <c r="EC849" i="3"/>
  <c r="EE849" i="3"/>
  <c r="EB850" i="3"/>
  <c r="EC850" i="3"/>
  <c r="EE850" i="3"/>
  <c r="EB851" i="3"/>
  <c r="EC851" i="3"/>
  <c r="EE851" i="3"/>
  <c r="EB852" i="3"/>
  <c r="EC852" i="3"/>
  <c r="EE852" i="3"/>
  <c r="EB853" i="3"/>
  <c r="EC853" i="3"/>
  <c r="EE853" i="3"/>
  <c r="EB854" i="3"/>
  <c r="EC854" i="3"/>
  <c r="EE854" i="3"/>
  <c r="EB855" i="3"/>
  <c r="EC855" i="3"/>
  <c r="EE855" i="3"/>
  <c r="EB856" i="3"/>
  <c r="EC856" i="3"/>
  <c r="EE856" i="3"/>
  <c r="EB857" i="3"/>
  <c r="EC857" i="3"/>
  <c r="EE857" i="3"/>
  <c r="EB858" i="3"/>
  <c r="EC858" i="3"/>
  <c r="EE858" i="3"/>
  <c r="EB859" i="3"/>
  <c r="EC859" i="3"/>
  <c r="EE859" i="3"/>
  <c r="EB860" i="3"/>
  <c r="EC860" i="3"/>
  <c r="EE860" i="3"/>
  <c r="EB861" i="3"/>
  <c r="EC861" i="3"/>
  <c r="EE861" i="3"/>
  <c r="EB862" i="3"/>
  <c r="EC862" i="3"/>
  <c r="EQ862" i="3" s="1"/>
  <c r="EE862" i="3"/>
  <c r="EB863" i="3"/>
  <c r="EC863" i="3"/>
  <c r="EE863" i="3"/>
  <c r="EB864" i="3"/>
  <c r="EC864" i="3"/>
  <c r="EE864" i="3"/>
  <c r="EB865" i="3"/>
  <c r="EC865" i="3"/>
  <c r="EE865" i="3"/>
  <c r="EB866" i="3"/>
  <c r="EC866" i="3"/>
  <c r="EE866" i="3"/>
  <c r="EB867" i="3"/>
  <c r="EC867" i="3"/>
  <c r="EE867" i="3"/>
  <c r="EB868" i="3"/>
  <c r="EC868" i="3"/>
  <c r="EE868" i="3"/>
  <c r="EB869" i="3"/>
  <c r="EC869" i="3"/>
  <c r="EE869" i="3"/>
  <c r="EB870" i="3"/>
  <c r="EC870" i="3"/>
  <c r="EE870" i="3"/>
  <c r="EB871" i="3"/>
  <c r="EC871" i="3"/>
  <c r="EE871" i="3"/>
  <c r="EB872" i="3"/>
  <c r="EC872" i="3"/>
  <c r="EE872" i="3"/>
  <c r="EB873" i="3"/>
  <c r="EC873" i="3"/>
  <c r="EE873" i="3"/>
  <c r="EB874" i="3"/>
  <c r="EC874" i="3"/>
  <c r="EE874" i="3"/>
  <c r="EB875" i="3"/>
  <c r="EC875" i="3"/>
  <c r="EE875" i="3"/>
  <c r="EB876" i="3"/>
  <c r="EC876" i="3"/>
  <c r="EE876" i="3"/>
  <c r="EB877" i="3"/>
  <c r="EC877" i="3"/>
  <c r="EE877" i="3"/>
  <c r="EB878" i="3"/>
  <c r="EC878" i="3"/>
  <c r="EQ878" i="3" s="1"/>
  <c r="EE878" i="3"/>
  <c r="EB879" i="3"/>
  <c r="EC879" i="3"/>
  <c r="EE879" i="3"/>
  <c r="EB880" i="3"/>
  <c r="EC880" i="3"/>
  <c r="EE880" i="3"/>
  <c r="EB881" i="3"/>
  <c r="EC881" i="3"/>
  <c r="EE881" i="3"/>
  <c r="EB882" i="3"/>
  <c r="EC882" i="3"/>
  <c r="EE882" i="3"/>
  <c r="EB883" i="3"/>
  <c r="EC883" i="3"/>
  <c r="EE883" i="3"/>
  <c r="EB884" i="3"/>
  <c r="EC884" i="3"/>
  <c r="EE884" i="3"/>
  <c r="EB885" i="3"/>
  <c r="EC885" i="3"/>
  <c r="EE885" i="3"/>
  <c r="EB886" i="3"/>
  <c r="EC886" i="3"/>
  <c r="EE886" i="3"/>
  <c r="EB887" i="3"/>
  <c r="EC887" i="3"/>
  <c r="EE887" i="3"/>
  <c r="EB888" i="3"/>
  <c r="EC888" i="3"/>
  <c r="EE888" i="3"/>
  <c r="EB889" i="3"/>
  <c r="EC889" i="3"/>
  <c r="EE889" i="3"/>
  <c r="EB890" i="3"/>
  <c r="EC890" i="3"/>
  <c r="EE890" i="3"/>
  <c r="EB891" i="3"/>
  <c r="EC891" i="3"/>
  <c r="EE891" i="3"/>
  <c r="EB892" i="3"/>
  <c r="EC892" i="3"/>
  <c r="EE892" i="3"/>
  <c r="EB893" i="3"/>
  <c r="EC893" i="3"/>
  <c r="EE893" i="3"/>
  <c r="EB894" i="3"/>
  <c r="EC894" i="3"/>
  <c r="EQ894" i="3" s="1"/>
  <c r="EE894" i="3"/>
  <c r="EB895" i="3"/>
  <c r="EC895" i="3"/>
  <c r="EE895" i="3"/>
  <c r="EB896" i="3"/>
  <c r="EC896" i="3"/>
  <c r="EE896" i="3"/>
  <c r="EB897" i="3"/>
  <c r="EC897" i="3"/>
  <c r="EE897" i="3"/>
  <c r="EB898" i="3"/>
  <c r="EC898" i="3"/>
  <c r="EE898" i="3"/>
  <c r="EB899" i="3"/>
  <c r="EC899" i="3"/>
  <c r="EE899" i="3"/>
  <c r="EB900" i="3"/>
  <c r="EC900" i="3"/>
  <c r="EE900" i="3"/>
  <c r="EB901" i="3"/>
  <c r="EC901" i="3"/>
  <c r="EE901" i="3"/>
  <c r="EB902" i="3"/>
  <c r="EC902" i="3"/>
  <c r="EE902" i="3"/>
  <c r="EB903" i="3"/>
  <c r="EC903" i="3"/>
  <c r="EE903" i="3"/>
  <c r="EB904" i="3"/>
  <c r="EC904" i="3"/>
  <c r="EE904" i="3"/>
  <c r="EB905" i="3"/>
  <c r="EC905" i="3"/>
  <c r="EE905" i="3"/>
  <c r="EB906" i="3"/>
  <c r="EC906" i="3"/>
  <c r="EE906" i="3"/>
  <c r="EB907" i="3"/>
  <c r="EC907" i="3"/>
  <c r="EE907" i="3"/>
  <c r="EB908" i="3"/>
  <c r="EC908" i="3"/>
  <c r="EE908" i="3"/>
  <c r="EB909" i="3"/>
  <c r="EC909" i="3"/>
  <c r="EE909" i="3"/>
  <c r="EB910" i="3"/>
  <c r="EC910" i="3"/>
  <c r="EQ910" i="3" s="1"/>
  <c r="EE910" i="3"/>
  <c r="EB911" i="3"/>
  <c r="EC911" i="3"/>
  <c r="EE911" i="3"/>
  <c r="EB912" i="3"/>
  <c r="EC912" i="3"/>
  <c r="EE912" i="3"/>
  <c r="EB913" i="3"/>
  <c r="EC913" i="3"/>
  <c r="EE913" i="3"/>
  <c r="EB914" i="3"/>
  <c r="EC914" i="3"/>
  <c r="EE914" i="3"/>
  <c r="EB915" i="3"/>
  <c r="EC915" i="3"/>
  <c r="EE915" i="3"/>
  <c r="EB916" i="3"/>
  <c r="EC916" i="3"/>
  <c r="EE916" i="3"/>
  <c r="EB917" i="3"/>
  <c r="EC917" i="3"/>
  <c r="EE917" i="3"/>
  <c r="EB918" i="3"/>
  <c r="EC918" i="3"/>
  <c r="EE918" i="3"/>
  <c r="EB919" i="3"/>
  <c r="EC919" i="3"/>
  <c r="EE919" i="3"/>
  <c r="EB920" i="3"/>
  <c r="EC920" i="3"/>
  <c r="EE920" i="3"/>
  <c r="EB921" i="3"/>
  <c r="EC921" i="3"/>
  <c r="EE921" i="3"/>
  <c r="EB922" i="3"/>
  <c r="EC922" i="3"/>
  <c r="EE922" i="3"/>
  <c r="EB923" i="3"/>
  <c r="EC923" i="3"/>
  <c r="EE923" i="3"/>
  <c r="EB924" i="3"/>
  <c r="EC924" i="3"/>
  <c r="EE924" i="3"/>
  <c r="EB925" i="3"/>
  <c r="EC925" i="3"/>
  <c r="EE925" i="3"/>
  <c r="EB926" i="3"/>
  <c r="EC926" i="3"/>
  <c r="EQ926" i="3" s="1"/>
  <c r="EE926" i="3"/>
  <c r="EB927" i="3"/>
  <c r="EC927" i="3"/>
  <c r="EE927" i="3"/>
  <c r="EB928" i="3"/>
  <c r="EC928" i="3"/>
  <c r="EE928" i="3"/>
  <c r="EB929" i="3"/>
  <c r="EC929" i="3"/>
  <c r="EE929" i="3"/>
  <c r="EB930" i="3"/>
  <c r="EC930" i="3"/>
  <c r="EE930" i="3"/>
  <c r="EB931" i="3"/>
  <c r="EC931" i="3"/>
  <c r="EE931" i="3"/>
  <c r="EB932" i="3"/>
  <c r="EC932" i="3"/>
  <c r="EE932" i="3"/>
  <c r="EQ918" i="3" l="1"/>
  <c r="EQ902" i="3"/>
  <c r="EQ886" i="3"/>
  <c r="EQ870" i="3"/>
  <c r="EQ854" i="3"/>
  <c r="EQ838" i="3"/>
  <c r="EQ822" i="3"/>
  <c r="EQ806" i="3"/>
  <c r="EQ790" i="3"/>
  <c r="EQ774" i="3"/>
  <c r="EQ758" i="3"/>
  <c r="EQ742" i="3"/>
  <c r="EQ726" i="3"/>
  <c r="EQ710" i="3"/>
  <c r="EQ694" i="3"/>
  <c r="EQ678" i="3"/>
  <c r="EQ662" i="3"/>
  <c r="EQ646" i="3"/>
  <c r="EQ630" i="3"/>
  <c r="EQ614" i="3"/>
  <c r="EQ598" i="3"/>
  <c r="EQ582" i="3"/>
  <c r="EQ566" i="3"/>
  <c r="EQ550" i="3"/>
  <c r="EQ534" i="3"/>
  <c r="EQ518" i="3"/>
  <c r="EQ502" i="3"/>
  <c r="EQ486" i="3"/>
  <c r="EQ470" i="3"/>
  <c r="EQ454" i="3"/>
  <c r="EQ438" i="3"/>
  <c r="EQ422" i="3"/>
  <c r="EQ406" i="3"/>
  <c r="EQ390" i="3"/>
  <c r="EQ374" i="3"/>
  <c r="EQ358" i="3"/>
  <c r="EQ342" i="3"/>
  <c r="EQ326" i="3"/>
  <c r="EQ310" i="3"/>
  <c r="EQ294" i="3"/>
  <c r="EQ278" i="3"/>
  <c r="EQ262" i="3"/>
  <c r="EQ246" i="3"/>
  <c r="EQ230" i="3"/>
  <c r="EQ214" i="3"/>
  <c r="EQ198" i="3"/>
  <c r="EQ182" i="3"/>
  <c r="EQ166" i="3"/>
  <c r="EQ150" i="3"/>
  <c r="EQ134" i="3"/>
  <c r="EQ118" i="3"/>
  <c r="EQ102" i="3"/>
  <c r="EQ86" i="3"/>
  <c r="EQ70" i="3"/>
  <c r="EQ54" i="3"/>
  <c r="EQ46" i="3"/>
  <c r="EQ7" i="3"/>
  <c r="EQ929" i="3"/>
  <c r="EQ921" i="3"/>
  <c r="EQ913" i="3"/>
  <c r="EQ905" i="3"/>
  <c r="EQ897" i="3"/>
  <c r="EQ889" i="3"/>
  <c r="EQ881" i="3"/>
  <c r="EQ873" i="3"/>
  <c r="EQ865" i="3"/>
  <c r="EQ857" i="3"/>
  <c r="EQ849" i="3"/>
  <c r="EQ841" i="3"/>
  <c r="EQ833" i="3"/>
  <c r="EQ825" i="3"/>
  <c r="EQ817" i="3"/>
  <c r="EQ809" i="3"/>
  <c r="EQ801" i="3"/>
  <c r="EQ793" i="3"/>
  <c r="EQ785" i="3"/>
  <c r="EQ777" i="3"/>
  <c r="EQ769" i="3"/>
  <c r="EQ761" i="3"/>
  <c r="EQ753" i="3"/>
  <c r="EQ745" i="3"/>
  <c r="EQ737" i="3"/>
  <c r="EQ8" i="3"/>
  <c r="EQ925" i="3"/>
  <c r="EQ917" i="3"/>
  <c r="EQ909" i="3"/>
  <c r="EQ901" i="3"/>
  <c r="EQ893" i="3"/>
  <c r="EQ885" i="3"/>
  <c r="EQ877" i="3"/>
  <c r="EQ869" i="3"/>
  <c r="EQ861" i="3"/>
  <c r="EQ853" i="3"/>
  <c r="EQ845" i="3"/>
  <c r="EQ837" i="3"/>
  <c r="EQ829" i="3"/>
  <c r="EQ821" i="3"/>
  <c r="EQ813" i="3"/>
  <c r="EQ805" i="3"/>
  <c r="EQ797" i="3"/>
  <c r="EQ789" i="3"/>
  <c r="EQ781" i="3"/>
  <c r="EQ773" i="3"/>
  <c r="EQ765" i="3"/>
  <c r="EQ757" i="3"/>
  <c r="EQ749" i="3"/>
  <c r="EQ741" i="3"/>
  <c r="EQ733" i="3"/>
  <c r="EQ725" i="3"/>
  <c r="EQ717" i="3"/>
  <c r="EQ709" i="3"/>
  <c r="EQ701" i="3"/>
  <c r="EQ693" i="3"/>
  <c r="EQ685" i="3"/>
  <c r="EQ677" i="3"/>
  <c r="EQ669" i="3"/>
  <c r="EQ661" i="3"/>
  <c r="EQ653" i="3"/>
  <c r="EQ645" i="3"/>
  <c r="EQ637" i="3"/>
  <c r="EQ629" i="3"/>
  <c r="EQ621" i="3"/>
  <c r="EQ613" i="3"/>
  <c r="EQ605" i="3"/>
  <c r="EQ597" i="3"/>
  <c r="EQ589" i="3"/>
  <c r="EQ581" i="3"/>
  <c r="EQ573" i="3"/>
  <c r="EQ565" i="3"/>
  <c r="EQ557" i="3"/>
  <c r="EQ549" i="3"/>
  <c r="EQ541" i="3"/>
  <c r="EQ533" i="3"/>
  <c r="EQ525" i="3"/>
  <c r="EQ517" i="3"/>
  <c r="EQ509" i="3"/>
  <c r="EQ501" i="3"/>
  <c r="EQ493" i="3"/>
  <c r="EQ485" i="3"/>
  <c r="EQ477" i="3"/>
  <c r="EQ469" i="3"/>
  <c r="EQ461" i="3"/>
  <c r="EQ453" i="3"/>
  <c r="EQ445" i="3"/>
  <c r="EQ437" i="3"/>
  <c r="EQ429" i="3"/>
  <c r="EQ421" i="3"/>
  <c r="EQ413" i="3"/>
  <c r="EQ405" i="3"/>
  <c r="EQ397" i="3"/>
  <c r="EQ389" i="3"/>
  <c r="EQ381" i="3"/>
  <c r="EQ373" i="3"/>
  <c r="EQ365" i="3"/>
  <c r="EQ357" i="3"/>
  <c r="EQ9" i="3"/>
  <c r="EQ38" i="3"/>
  <c r="EQ29" i="3"/>
  <c r="EQ349" i="3"/>
  <c r="EQ341" i="3"/>
  <c r="EQ333" i="3"/>
  <c r="EQ325" i="3"/>
  <c r="EQ317" i="3"/>
  <c r="EQ309" i="3"/>
  <c r="EQ301" i="3"/>
  <c r="EQ293" i="3"/>
  <c r="EQ285" i="3"/>
  <c r="EQ277" i="3"/>
  <c r="EQ269" i="3"/>
  <c r="EQ261" i="3"/>
  <c r="EQ253" i="3"/>
  <c r="EQ245" i="3"/>
  <c r="EQ237" i="3"/>
  <c r="EQ229" i="3"/>
  <c r="EQ221" i="3"/>
  <c r="EQ213" i="3"/>
  <c r="EQ205" i="3"/>
  <c r="EQ197" i="3"/>
  <c r="EQ189" i="3"/>
  <c r="EQ181" i="3"/>
  <c r="EQ173" i="3"/>
  <c r="EQ165" i="3"/>
  <c r="EQ157" i="3"/>
  <c r="EQ149" i="3"/>
  <c r="EQ141" i="3"/>
  <c r="EQ133" i="3"/>
  <c r="EQ125" i="3"/>
  <c r="EQ117" i="3"/>
  <c r="EQ109" i="3"/>
  <c r="EQ101" i="3"/>
  <c r="EQ93" i="3"/>
  <c r="EQ85" i="3"/>
  <c r="EQ77" i="3"/>
  <c r="EQ69" i="3"/>
  <c r="EQ61" i="3"/>
  <c r="EQ53" i="3"/>
  <c r="EQ45" i="3"/>
  <c r="EQ37" i="3"/>
  <c r="EQ729" i="3"/>
  <c r="EQ927" i="3"/>
  <c r="EQ919" i="3"/>
  <c r="EQ911" i="3"/>
  <c r="EQ903" i="3"/>
  <c r="EQ895" i="3"/>
  <c r="EQ887" i="3"/>
  <c r="EQ879" i="3"/>
  <c r="EQ871" i="3"/>
  <c r="EQ863" i="3"/>
  <c r="EQ855" i="3"/>
  <c r="EQ847" i="3"/>
  <c r="EQ839" i="3"/>
  <c r="EQ831" i="3"/>
  <c r="EQ823" i="3"/>
  <c r="EQ815" i="3"/>
  <c r="EQ807" i="3"/>
  <c r="EQ799" i="3"/>
  <c r="EQ791" i="3"/>
  <c r="EQ783" i="3"/>
  <c r="EQ775" i="3"/>
  <c r="EQ767" i="3"/>
  <c r="EQ759" i="3"/>
  <c r="EQ751" i="3"/>
  <c r="EQ743" i="3"/>
  <c r="EQ735" i="3"/>
  <c r="EQ727" i="3"/>
  <c r="EQ719" i="3"/>
  <c r="EQ711" i="3"/>
  <c r="EQ703" i="3"/>
  <c r="EQ695" i="3"/>
  <c r="EQ721" i="3"/>
  <c r="EQ713" i="3"/>
  <c r="EQ705" i="3"/>
  <c r="EQ697" i="3"/>
  <c r="EQ689" i="3"/>
  <c r="EQ681" i="3"/>
  <c r="EQ673" i="3"/>
  <c r="EQ665" i="3"/>
  <c r="EQ657" i="3"/>
  <c r="EQ649" i="3"/>
  <c r="EQ641" i="3"/>
  <c r="EQ633" i="3"/>
  <c r="EQ625" i="3"/>
  <c r="EQ617" i="3"/>
  <c r="EQ609" i="3"/>
  <c r="EQ601" i="3"/>
  <c r="EQ593" i="3"/>
  <c r="EQ585" i="3"/>
  <c r="EQ577" i="3"/>
  <c r="EQ569" i="3"/>
  <c r="EQ561" i="3"/>
  <c r="EQ553" i="3"/>
  <c r="EQ545" i="3"/>
  <c r="EQ537" i="3"/>
  <c r="EQ529" i="3"/>
  <c r="EQ521" i="3"/>
  <c r="EQ513" i="3"/>
  <c r="EQ505" i="3"/>
  <c r="EQ497" i="3"/>
  <c r="EQ489" i="3"/>
  <c r="EQ481" i="3"/>
  <c r="EQ473" i="3"/>
  <c r="EQ465" i="3"/>
  <c r="EQ449" i="3"/>
  <c r="EQ441" i="3"/>
  <c r="EQ433" i="3"/>
  <c r="EQ425" i="3"/>
  <c r="EQ417" i="3"/>
  <c r="EQ409" i="3"/>
  <c r="EQ401" i="3"/>
  <c r="EQ393" i="3"/>
  <c r="EQ385" i="3"/>
  <c r="EQ377" i="3"/>
  <c r="EQ369" i="3"/>
  <c r="EQ361" i="3"/>
  <c r="EQ353" i="3"/>
  <c r="EQ345" i="3"/>
  <c r="EQ337" i="3"/>
  <c r="EQ329" i="3"/>
  <c r="EQ321" i="3"/>
  <c r="EQ313" i="3"/>
  <c r="EQ305" i="3"/>
  <c r="EQ297" i="3"/>
  <c r="EQ289" i="3"/>
  <c r="EQ281" i="3"/>
  <c r="EQ273" i="3"/>
  <c r="EQ265" i="3"/>
  <c r="EQ257" i="3"/>
  <c r="EQ249" i="3"/>
  <c r="EQ241" i="3"/>
  <c r="EQ233" i="3"/>
  <c r="EQ225" i="3"/>
  <c r="EQ217" i="3"/>
  <c r="EQ209" i="3"/>
  <c r="EQ201" i="3"/>
  <c r="EQ193" i="3"/>
  <c r="EQ185" i="3"/>
  <c r="EQ177" i="3"/>
  <c r="EQ169" i="3"/>
  <c r="EQ161" i="3"/>
  <c r="EQ153" i="3"/>
  <c r="EQ145" i="3"/>
  <c r="EQ137" i="3"/>
  <c r="EQ129" i="3"/>
  <c r="EQ121" i="3"/>
  <c r="EQ113" i="3"/>
  <c r="EQ105" i="3"/>
  <c r="EQ97" i="3"/>
  <c r="EQ89" i="3"/>
  <c r="EQ81" i="3"/>
  <c r="EQ73" i="3"/>
  <c r="EQ65" i="3"/>
  <c r="EQ57" i="3"/>
  <c r="EQ49" i="3"/>
  <c r="EQ41" i="3"/>
  <c r="EQ687" i="3"/>
  <c r="EQ679" i="3"/>
  <c r="EQ671" i="3"/>
  <c r="EQ663" i="3"/>
  <c r="EQ655" i="3"/>
  <c r="EQ647" i="3"/>
  <c r="EQ639" i="3"/>
  <c r="EQ631" i="3"/>
  <c r="EQ623" i="3"/>
  <c r="EQ615" i="3"/>
  <c r="EQ607" i="3"/>
  <c r="EQ599" i="3"/>
  <c r="EQ591" i="3"/>
  <c r="EQ583" i="3"/>
  <c r="EQ575" i="3"/>
  <c r="EQ567" i="3"/>
  <c r="EQ559" i="3"/>
  <c r="EQ551" i="3"/>
  <c r="EQ543" i="3"/>
  <c r="EQ535" i="3"/>
  <c r="EQ527" i="3"/>
  <c r="EQ519" i="3"/>
  <c r="EQ511" i="3"/>
  <c r="EQ503" i="3"/>
  <c r="EQ495" i="3"/>
  <c r="EQ487" i="3"/>
  <c r="EQ479" i="3"/>
  <c r="EQ471" i="3"/>
  <c r="EQ463" i="3"/>
  <c r="EQ455" i="3"/>
  <c r="EQ447" i="3"/>
  <c r="EQ439" i="3"/>
  <c r="EQ431" i="3"/>
  <c r="EQ423" i="3"/>
  <c r="EQ415" i="3"/>
  <c r="EQ407" i="3"/>
  <c r="EQ399" i="3"/>
  <c r="EQ391" i="3"/>
  <c r="EQ383" i="3"/>
  <c r="EQ375" i="3"/>
  <c r="EQ367" i="3"/>
  <c r="EQ359" i="3"/>
  <c r="EQ351" i="3"/>
  <c r="EQ343" i="3"/>
  <c r="EQ335" i="3"/>
  <c r="EQ327" i="3"/>
  <c r="EQ319" i="3"/>
  <c r="EQ311" i="3"/>
  <c r="EQ303" i="3"/>
  <c r="EQ295" i="3"/>
  <c r="EQ287" i="3"/>
  <c r="EQ279" i="3"/>
  <c r="EQ271" i="3"/>
  <c r="EQ263" i="3"/>
  <c r="EQ255" i="3"/>
  <c r="EQ247" i="3"/>
  <c r="EQ239" i="3"/>
  <c r="EQ231" i="3"/>
  <c r="EQ223" i="3"/>
  <c r="EQ215" i="3"/>
  <c r="EQ207" i="3"/>
  <c r="EQ199" i="3"/>
  <c r="EQ191" i="3"/>
  <c r="EQ183" i="3"/>
  <c r="EQ175" i="3"/>
  <c r="EQ167" i="3"/>
  <c r="EQ159" i="3"/>
  <c r="EQ151" i="3"/>
  <c r="EQ143" i="3"/>
  <c r="EQ135" i="3"/>
  <c r="EQ127" i="3"/>
  <c r="EQ119" i="3"/>
  <c r="EQ111" i="3"/>
  <c r="EQ103" i="3"/>
  <c r="EQ95" i="3"/>
  <c r="EQ87" i="3"/>
  <c r="EQ79" i="3"/>
  <c r="EQ71" i="3"/>
  <c r="EQ63" i="3"/>
  <c r="EQ55" i="3"/>
  <c r="EQ47" i="3"/>
  <c r="EQ39" i="3"/>
  <c r="EQ457" i="3"/>
  <c r="EQ930" i="3"/>
  <c r="EQ922" i="3"/>
  <c r="EQ914" i="3"/>
  <c r="EQ906" i="3"/>
  <c r="EQ898" i="3"/>
  <c r="EQ890" i="3"/>
  <c r="EQ882" i="3"/>
  <c r="EQ874" i="3"/>
  <c r="EQ866" i="3"/>
  <c r="EQ858" i="3"/>
  <c r="EQ850" i="3"/>
  <c r="EQ842" i="3"/>
  <c r="EQ834" i="3"/>
  <c r="EQ826" i="3"/>
  <c r="EQ818" i="3"/>
  <c r="EQ810" i="3"/>
  <c r="EQ802" i="3"/>
  <c r="EQ794" i="3"/>
  <c r="EQ786" i="3"/>
  <c r="EQ778" i="3"/>
  <c r="EQ770" i="3"/>
  <c r="EQ762" i="3"/>
  <c r="EQ754" i="3"/>
  <c r="EQ746" i="3"/>
  <c r="EQ738" i="3"/>
  <c r="EQ730" i="3"/>
  <c r="EQ722" i="3"/>
  <c r="EQ714" i="3"/>
  <c r="EQ706" i="3"/>
  <c r="EQ698" i="3"/>
  <c r="EQ690" i="3"/>
  <c r="EQ682" i="3"/>
  <c r="EQ674" i="3"/>
  <c r="EQ666" i="3"/>
  <c r="EQ658" i="3"/>
  <c r="EQ650" i="3"/>
  <c r="EQ642" i="3"/>
  <c r="EQ634" i="3"/>
  <c r="EQ626" i="3"/>
  <c r="EQ618" i="3"/>
  <c r="EQ610" i="3"/>
  <c r="EQ602" i="3"/>
  <c r="EQ594" i="3"/>
  <c r="EQ586" i="3"/>
  <c r="EQ578" i="3"/>
  <c r="EQ570" i="3"/>
  <c r="EQ932" i="3"/>
  <c r="EQ924" i="3"/>
  <c r="EQ916" i="3"/>
  <c r="EQ908" i="3"/>
  <c r="EQ900" i="3"/>
  <c r="EQ892" i="3"/>
  <c r="EQ884" i="3"/>
  <c r="EQ876" i="3"/>
  <c r="EQ868" i="3"/>
  <c r="EQ860" i="3"/>
  <c r="EQ852" i="3"/>
  <c r="EQ844" i="3"/>
  <c r="EQ836" i="3"/>
  <c r="EQ828" i="3"/>
  <c r="EQ820" i="3"/>
  <c r="EQ812" i="3"/>
  <c r="EQ804" i="3"/>
  <c r="EQ796" i="3"/>
  <c r="EQ788" i="3"/>
  <c r="EQ780" i="3"/>
  <c r="EQ772" i="3"/>
  <c r="EQ764" i="3"/>
  <c r="EQ756" i="3"/>
  <c r="EQ748" i="3"/>
  <c r="EQ740" i="3"/>
  <c r="EQ732" i="3"/>
  <c r="EQ724" i="3"/>
  <c r="EQ716" i="3"/>
  <c r="EQ708" i="3"/>
  <c r="EQ700" i="3"/>
  <c r="EQ692" i="3"/>
  <c r="EQ684" i="3"/>
  <c r="EQ676" i="3"/>
  <c r="EQ668" i="3"/>
  <c r="EQ660" i="3"/>
  <c r="EQ652" i="3"/>
  <c r="EQ644" i="3"/>
  <c r="EQ636" i="3"/>
  <c r="EQ628" i="3"/>
  <c r="EQ620" i="3"/>
  <c r="EQ612" i="3"/>
  <c r="EQ604" i="3"/>
  <c r="EQ596" i="3"/>
  <c r="EQ588" i="3"/>
  <c r="EQ580" i="3"/>
  <c r="EQ572" i="3"/>
  <c r="EQ564" i="3"/>
  <c r="EQ931" i="3"/>
  <c r="EQ923" i="3"/>
  <c r="EQ915" i="3"/>
  <c r="EQ907" i="3"/>
  <c r="EQ899" i="3"/>
  <c r="EQ891" i="3"/>
  <c r="EQ883" i="3"/>
  <c r="EQ875" i="3"/>
  <c r="EQ867" i="3"/>
  <c r="EQ859" i="3"/>
  <c r="EQ851" i="3"/>
  <c r="EQ843" i="3"/>
  <c r="EQ835" i="3"/>
  <c r="EQ827" i="3"/>
  <c r="EQ819" i="3"/>
  <c r="EQ811" i="3"/>
  <c r="EQ803" i="3"/>
  <c r="EQ795" i="3"/>
  <c r="EQ787" i="3"/>
  <c r="EQ779" i="3"/>
  <c r="EQ771" i="3"/>
  <c r="EQ763" i="3"/>
  <c r="EQ755" i="3"/>
  <c r="EQ747" i="3"/>
  <c r="EQ739" i="3"/>
  <c r="EQ731" i="3"/>
  <c r="EQ723" i="3"/>
  <c r="EQ715" i="3"/>
  <c r="EQ707" i="3"/>
  <c r="EQ699" i="3"/>
  <c r="EQ691" i="3"/>
  <c r="EQ683" i="3"/>
  <c r="EQ675" i="3"/>
  <c r="EQ667" i="3"/>
  <c r="EQ928" i="3"/>
  <c r="EQ920" i="3"/>
  <c r="EQ912" i="3"/>
  <c r="EQ904" i="3"/>
  <c r="EQ896" i="3"/>
  <c r="EQ888" i="3"/>
  <c r="EQ880" i="3"/>
  <c r="EQ872" i="3"/>
  <c r="EQ864" i="3"/>
  <c r="EQ856" i="3"/>
  <c r="EQ848" i="3"/>
  <c r="EQ840" i="3"/>
  <c r="EQ832" i="3"/>
  <c r="EQ824" i="3"/>
  <c r="EQ816" i="3"/>
  <c r="EQ808" i="3"/>
  <c r="EQ800" i="3"/>
  <c r="EQ792" i="3"/>
  <c r="EQ784" i="3"/>
  <c r="EQ776" i="3"/>
  <c r="EQ768" i="3"/>
  <c r="EQ760" i="3"/>
  <c r="EQ752" i="3"/>
  <c r="EQ744" i="3"/>
  <c r="EQ736" i="3"/>
  <c r="EQ728" i="3"/>
  <c r="EQ720" i="3"/>
  <c r="EQ712" i="3"/>
  <c r="EQ704" i="3"/>
  <c r="EQ696" i="3"/>
  <c r="EQ688" i="3"/>
  <c r="EQ680" i="3"/>
  <c r="EQ672" i="3"/>
  <c r="EQ664" i="3"/>
  <c r="EQ656" i="3"/>
  <c r="EQ648" i="3"/>
  <c r="EQ640" i="3"/>
  <c r="EQ632" i="3"/>
  <c r="EQ624" i="3"/>
  <c r="EQ616" i="3"/>
  <c r="EQ608" i="3"/>
  <c r="EQ600" i="3"/>
  <c r="EQ592" i="3"/>
  <c r="EQ584" i="3"/>
  <c r="EQ576" i="3"/>
  <c r="EQ568" i="3"/>
  <c r="EQ659" i="3"/>
  <c r="EQ651" i="3"/>
  <c r="EQ643" i="3"/>
  <c r="EQ635" i="3"/>
  <c r="EQ627" i="3"/>
  <c r="EQ619" i="3"/>
  <c r="EQ611" i="3"/>
  <c r="EQ603" i="3"/>
  <c r="EQ595" i="3"/>
  <c r="EQ587" i="3"/>
  <c r="EQ579" i="3"/>
  <c r="EQ571" i="3"/>
  <c r="EQ563" i="3"/>
  <c r="EQ555" i="3"/>
  <c r="EQ547" i="3"/>
  <c r="EQ539" i="3"/>
  <c r="EQ531" i="3"/>
  <c r="EQ523" i="3"/>
  <c r="EQ515" i="3"/>
  <c r="EQ507" i="3"/>
  <c r="EQ499" i="3"/>
  <c r="EQ491" i="3"/>
  <c r="EQ483" i="3"/>
  <c r="EQ475" i="3"/>
  <c r="EQ467" i="3"/>
  <c r="EQ459" i="3"/>
  <c r="EQ451" i="3"/>
  <c r="EQ443" i="3"/>
  <c r="EQ435" i="3"/>
  <c r="EQ427" i="3"/>
  <c r="EQ419" i="3"/>
  <c r="EQ411" i="3"/>
  <c r="EQ403" i="3"/>
  <c r="EQ395" i="3"/>
  <c r="EQ387" i="3"/>
  <c r="EQ379" i="3"/>
  <c r="EQ371" i="3"/>
  <c r="EQ363" i="3"/>
  <c r="EQ355" i="3"/>
  <c r="EQ347" i="3"/>
  <c r="EQ339" i="3"/>
  <c r="EQ331" i="3"/>
  <c r="EQ323" i="3"/>
  <c r="EQ315" i="3"/>
  <c r="EQ307" i="3"/>
  <c r="EQ299" i="3"/>
  <c r="EQ291" i="3"/>
  <c r="EQ283" i="3"/>
  <c r="EQ275" i="3"/>
  <c r="EQ267" i="3"/>
  <c r="EQ259" i="3"/>
  <c r="EQ251" i="3"/>
  <c r="EQ243" i="3"/>
  <c r="EQ235" i="3"/>
  <c r="EQ227" i="3"/>
  <c r="EQ219" i="3"/>
  <c r="EQ211" i="3"/>
  <c r="EQ203" i="3"/>
  <c r="EQ195" i="3"/>
  <c r="EQ187" i="3"/>
  <c r="EQ179" i="3"/>
  <c r="EQ171" i="3"/>
  <c r="EQ163" i="3"/>
  <c r="EQ155" i="3"/>
  <c r="EQ147" i="3"/>
  <c r="EQ139" i="3"/>
  <c r="EQ131" i="3"/>
  <c r="EQ123" i="3"/>
  <c r="EQ115" i="3"/>
  <c r="EQ107" i="3"/>
  <c r="EQ99" i="3"/>
  <c r="EQ91" i="3"/>
  <c r="EQ83" i="3"/>
  <c r="EQ75" i="3"/>
  <c r="EQ67" i="3"/>
  <c r="EQ59" i="3"/>
  <c r="EQ51" i="3"/>
  <c r="EQ43" i="3"/>
  <c r="EQ11" i="3"/>
  <c r="EQ560" i="3"/>
  <c r="EQ552" i="3"/>
  <c r="EQ544" i="3"/>
  <c r="EQ536" i="3"/>
  <c r="EQ528" i="3"/>
  <c r="EQ520" i="3"/>
  <c r="EQ512" i="3"/>
  <c r="EQ504" i="3"/>
  <c r="EQ496" i="3"/>
  <c r="EQ488" i="3"/>
  <c r="EQ480" i="3"/>
  <c r="EQ472" i="3"/>
  <c r="EQ464" i="3"/>
  <c r="EQ456" i="3"/>
  <c r="EQ448" i="3"/>
  <c r="EQ440" i="3"/>
  <c r="EQ432" i="3"/>
  <c r="EQ424" i="3"/>
  <c r="EQ416" i="3"/>
  <c r="EQ408" i="3"/>
  <c r="EQ400" i="3"/>
  <c r="EQ392" i="3"/>
  <c r="EQ384" i="3"/>
  <c r="EQ376" i="3"/>
  <c r="EQ368" i="3"/>
  <c r="EQ360" i="3"/>
  <c r="EQ352" i="3"/>
  <c r="EQ344" i="3"/>
  <c r="EQ336" i="3"/>
  <c r="EQ328" i="3"/>
  <c r="EQ320" i="3"/>
  <c r="EQ312" i="3"/>
  <c r="EQ304" i="3"/>
  <c r="EQ296" i="3"/>
  <c r="EQ288" i="3"/>
  <c r="EQ280" i="3"/>
  <c r="EQ272" i="3"/>
  <c r="EQ264" i="3"/>
  <c r="EQ256" i="3"/>
  <c r="EQ248" i="3"/>
  <c r="EQ240" i="3"/>
  <c r="EQ232" i="3"/>
  <c r="EQ224" i="3"/>
  <c r="EQ216" i="3"/>
  <c r="EQ208" i="3"/>
  <c r="EQ200" i="3"/>
  <c r="EQ192" i="3"/>
  <c r="EQ184" i="3"/>
  <c r="EQ176" i="3"/>
  <c r="EQ168" i="3"/>
  <c r="EQ160" i="3"/>
  <c r="EQ152" i="3"/>
  <c r="EQ144" i="3"/>
  <c r="EQ136" i="3"/>
  <c r="EQ128" i="3"/>
  <c r="EQ120" i="3"/>
  <c r="EQ112" i="3"/>
  <c r="EQ104" i="3"/>
  <c r="EQ96" i="3"/>
  <c r="EQ88" i="3"/>
  <c r="EQ80" i="3"/>
  <c r="EQ72" i="3"/>
  <c r="EQ64" i="3"/>
  <c r="EQ56" i="3"/>
  <c r="EQ48" i="3"/>
  <c r="EQ40" i="3"/>
  <c r="EQ562" i="3"/>
  <c r="EQ554" i="3"/>
  <c r="EQ546" i="3"/>
  <c r="EQ538" i="3"/>
  <c r="EQ530" i="3"/>
  <c r="EQ522" i="3"/>
  <c r="EQ514" i="3"/>
  <c r="EQ506" i="3"/>
  <c r="EQ498" i="3"/>
  <c r="EQ490" i="3"/>
  <c r="EQ482" i="3"/>
  <c r="EQ474" i="3"/>
  <c r="EQ466" i="3"/>
  <c r="EQ458" i="3"/>
  <c r="EQ450" i="3"/>
  <c r="EQ442" i="3"/>
  <c r="EQ434" i="3"/>
  <c r="EQ426" i="3"/>
  <c r="EQ418" i="3"/>
  <c r="EQ410" i="3"/>
  <c r="EQ402" i="3"/>
  <c r="EQ394" i="3"/>
  <c r="EQ386" i="3"/>
  <c r="EQ378" i="3"/>
  <c r="EQ370" i="3"/>
  <c r="EQ362" i="3"/>
  <c r="EQ354" i="3"/>
  <c r="EQ346" i="3"/>
  <c r="EQ338" i="3"/>
  <c r="EQ330" i="3"/>
  <c r="EQ322" i="3"/>
  <c r="EQ314" i="3"/>
  <c r="EQ306" i="3"/>
  <c r="EQ298" i="3"/>
  <c r="EQ290" i="3"/>
  <c r="EQ282" i="3"/>
  <c r="EQ274" i="3"/>
  <c r="EQ266" i="3"/>
  <c r="EQ258" i="3"/>
  <c r="EQ250" i="3"/>
  <c r="EQ242" i="3"/>
  <c r="EQ234" i="3"/>
  <c r="EQ226" i="3"/>
  <c r="EQ218" i="3"/>
  <c r="EQ210" i="3"/>
  <c r="EQ202" i="3"/>
  <c r="EQ194" i="3"/>
  <c r="EQ186" i="3"/>
  <c r="EQ178" i="3"/>
  <c r="EQ170" i="3"/>
  <c r="EQ162" i="3"/>
  <c r="EQ154" i="3"/>
  <c r="EQ146" i="3"/>
  <c r="EQ138" i="3"/>
  <c r="EQ130" i="3"/>
  <c r="EQ122" i="3"/>
  <c r="EQ114" i="3"/>
  <c r="EQ106" i="3"/>
  <c r="EQ98" i="3"/>
  <c r="EQ90" i="3"/>
  <c r="EQ82" i="3"/>
  <c r="EQ74" i="3"/>
  <c r="EQ66" i="3"/>
  <c r="EQ58" i="3"/>
  <c r="EQ50" i="3"/>
  <c r="EQ42" i="3"/>
  <c r="EQ26" i="3"/>
  <c r="EQ18" i="3"/>
  <c r="EQ10" i="3"/>
  <c r="EQ556" i="3"/>
  <c r="EQ548" i="3"/>
  <c r="EQ540" i="3"/>
  <c r="EQ532" i="3"/>
  <c r="EQ524" i="3"/>
  <c r="EQ516" i="3"/>
  <c r="EQ508" i="3"/>
  <c r="EQ500" i="3"/>
  <c r="EQ492" i="3"/>
  <c r="EQ484" i="3"/>
  <c r="EQ476" i="3"/>
  <c r="EQ468" i="3"/>
  <c r="EQ460" i="3"/>
  <c r="EQ452" i="3"/>
  <c r="EQ444" i="3"/>
  <c r="EQ436" i="3"/>
  <c r="EQ428" i="3"/>
  <c r="EQ420" i="3"/>
  <c r="EQ412" i="3"/>
  <c r="EQ404" i="3"/>
  <c r="EQ396" i="3"/>
  <c r="EQ388" i="3"/>
  <c r="EQ380" i="3"/>
  <c r="EQ372" i="3"/>
  <c r="EQ364" i="3"/>
  <c r="EQ356" i="3"/>
  <c r="EQ348" i="3"/>
  <c r="EQ340" i="3"/>
  <c r="EQ332" i="3"/>
  <c r="EQ324" i="3"/>
  <c r="EQ316" i="3"/>
  <c r="EQ308" i="3"/>
  <c r="EQ300" i="3"/>
  <c r="EQ292" i="3"/>
  <c r="EQ284" i="3"/>
  <c r="EQ276" i="3"/>
  <c r="EQ268" i="3"/>
  <c r="EQ260" i="3"/>
  <c r="EQ252" i="3"/>
  <c r="EQ244" i="3"/>
  <c r="EQ236" i="3"/>
  <c r="EQ228" i="3"/>
  <c r="EQ220" i="3"/>
  <c r="EQ212" i="3"/>
  <c r="EQ204" i="3"/>
  <c r="EQ196" i="3"/>
  <c r="EQ188" i="3"/>
  <c r="EQ180" i="3"/>
  <c r="EQ172" i="3"/>
  <c r="EQ164" i="3"/>
  <c r="EQ156" i="3"/>
  <c r="EQ148" i="3"/>
  <c r="EQ140" i="3"/>
  <c r="EQ132" i="3"/>
  <c r="EQ124" i="3"/>
  <c r="EQ116" i="3"/>
  <c r="EQ108" i="3"/>
  <c r="EQ100" i="3"/>
  <c r="EQ92" i="3"/>
  <c r="EQ84" i="3"/>
  <c r="EQ76" i="3"/>
  <c r="EQ68" i="3"/>
  <c r="EQ60" i="3"/>
  <c r="EQ52" i="3"/>
  <c r="EQ44" i="3"/>
  <c r="EQ36" i="3"/>
  <c r="EQ20" i="3"/>
  <c r="EQ12" i="3"/>
  <c r="B15" i="8"/>
  <c r="K17" i="8"/>
  <c r="F16" i="8" l="1"/>
  <c r="H16" i="8"/>
  <c r="F14" i="8"/>
  <c r="B14" i="8"/>
  <c r="B13" i="8"/>
  <c r="F13" i="8"/>
  <c r="I13" i="8"/>
  <c r="E20" i="8" l="1"/>
  <c r="I45" i="8"/>
  <c r="I44" i="8"/>
  <c r="I43" i="8"/>
  <c r="I42" i="8"/>
  <c r="I41" i="8"/>
  <c r="I40" i="8"/>
  <c r="I39" i="8"/>
  <c r="I38" i="8"/>
  <c r="I37" i="8"/>
  <c r="I36" i="8"/>
  <c r="I35" i="8"/>
  <c r="I34" i="8"/>
  <c r="I20" i="8"/>
  <c r="I31" i="8"/>
  <c r="I30" i="8"/>
  <c r="I24" i="8"/>
  <c r="I25" i="8"/>
  <c r="I26" i="8"/>
  <c r="I27" i="8"/>
  <c r="I28" i="8"/>
  <c r="I29" i="8"/>
  <c r="I22" i="8"/>
  <c r="I21" i="8"/>
  <c r="H59" i="8"/>
  <c r="G59" i="8"/>
  <c r="F59" i="8"/>
  <c r="H60" i="8"/>
  <c r="G60" i="8"/>
  <c r="F60" i="8"/>
  <c r="C8" i="8"/>
  <c r="J59" i="8" l="1"/>
  <c r="J60" i="8"/>
  <c r="EB32" i="3"/>
  <c r="EK31" i="3"/>
  <c r="EQ31" i="3" s="1"/>
  <c r="EB33" i="3"/>
  <c r="EB27" i="3"/>
  <c r="EB24" i="3"/>
  <c r="EB22" i="3"/>
  <c r="EB19" i="3"/>
  <c r="EB17" i="3"/>
  <c r="EB14" i="3"/>
  <c r="EQ14" i="3" s="1"/>
  <c r="G58" i="8"/>
  <c r="G57" i="8"/>
  <c r="H58" i="8"/>
  <c r="H57" i="8"/>
  <c r="F61" i="8"/>
  <c r="J61" i="8" s="1"/>
  <c r="H56" i="8"/>
  <c r="H21" i="8"/>
  <c r="F49" i="8"/>
  <c r="F45" i="8"/>
  <c r="G27" i="8"/>
  <c r="F48" i="8"/>
  <c r="H49" i="8"/>
  <c r="H48" i="8"/>
  <c r="G49" i="8"/>
  <c r="G48" i="8"/>
  <c r="H45" i="8"/>
  <c r="G45" i="8"/>
  <c r="H53" i="8"/>
  <c r="H51" i="8"/>
  <c r="H50" i="8"/>
  <c r="G51" i="8"/>
  <c r="G50" i="8"/>
  <c r="F53" i="8"/>
  <c r="F51" i="8"/>
  <c r="F50" i="8"/>
  <c r="G53" i="8"/>
  <c r="F44" i="8"/>
  <c r="F43" i="8"/>
  <c r="F42" i="8"/>
  <c r="F41" i="8"/>
  <c r="F40" i="8"/>
  <c r="F39" i="8"/>
  <c r="F38" i="8"/>
  <c r="F37" i="8"/>
  <c r="F36" i="8"/>
  <c r="F35" i="8"/>
  <c r="F34" i="8"/>
  <c r="H44" i="8"/>
  <c r="H43" i="8"/>
  <c r="H42" i="8"/>
  <c r="H41" i="8"/>
  <c r="H40" i="8"/>
  <c r="H39" i="8"/>
  <c r="H38" i="8"/>
  <c r="H37" i="8"/>
  <c r="H36" i="8"/>
  <c r="H35" i="8"/>
  <c r="H34" i="8"/>
  <c r="G44" i="8"/>
  <c r="G43" i="8"/>
  <c r="G42" i="8"/>
  <c r="G41" i="8"/>
  <c r="G40" i="8"/>
  <c r="G39" i="8"/>
  <c r="G38" i="8"/>
  <c r="G37" i="8"/>
  <c r="G36" i="8"/>
  <c r="G35" i="8"/>
  <c r="G34" i="8"/>
  <c r="H31" i="8"/>
  <c r="H30" i="8"/>
  <c r="H29" i="8"/>
  <c r="H28" i="8"/>
  <c r="G29" i="8"/>
  <c r="G28" i="8"/>
  <c r="H27" i="8"/>
  <c r="H26" i="8"/>
  <c r="H25" i="8"/>
  <c r="H24" i="8"/>
  <c r="H23" i="8"/>
  <c r="H22" i="8"/>
  <c r="H20" i="8"/>
  <c r="G20" i="8"/>
  <c r="G31" i="8"/>
  <c r="G30" i="8"/>
  <c r="G26" i="8"/>
  <c r="G25" i="8"/>
  <c r="G22" i="8"/>
  <c r="G21" i="8"/>
  <c r="F23" i="8"/>
  <c r="F21" i="8"/>
  <c r="F20" i="8"/>
  <c r="K54" i="8"/>
  <c r="E52" i="8"/>
  <c r="J52" i="8" s="1"/>
  <c r="K52" i="8" s="1"/>
  <c r="D45" i="8"/>
  <c r="D44" i="8"/>
  <c r="B44" i="8"/>
  <c r="E41" i="8"/>
  <c r="D40" i="8"/>
  <c r="D39" i="8"/>
  <c r="D38" i="8"/>
  <c r="E37" i="8"/>
  <c r="B37" i="8"/>
  <c r="B36" i="8"/>
  <c r="D17" i="8"/>
  <c r="B17" i="8"/>
  <c r="K8" i="8"/>
  <c r="J23" i="8" l="1"/>
  <c r="J20" i="8"/>
  <c r="J22" i="8"/>
  <c r="J21" i="8"/>
  <c r="E48" i="8"/>
  <c r="J48" i="8" s="1"/>
  <c r="EC16" i="3"/>
  <c r="EC30" i="3"/>
  <c r="EK27" i="3"/>
  <c r="EC27" i="3"/>
  <c r="EB13" i="3"/>
  <c r="EQ13" i="3" s="1"/>
  <c r="EB23" i="3"/>
  <c r="EB25" i="3"/>
  <c r="EC15" i="3"/>
  <c r="EK32" i="3"/>
  <c r="EC32" i="3"/>
  <c r="EC28" i="3"/>
  <c r="EC19" i="3"/>
  <c r="EK23" i="3"/>
  <c r="EC23" i="3"/>
  <c r="EK25" i="3"/>
  <c r="EC25" i="3"/>
  <c r="EB21" i="3"/>
  <c r="EK33" i="3"/>
  <c r="EC33" i="3"/>
  <c r="EC17" i="3"/>
  <c r="EB30" i="3"/>
  <c r="EK21" i="3"/>
  <c r="EC21" i="3"/>
  <c r="EK22" i="3"/>
  <c r="EC22" i="3"/>
  <c r="EK24" i="3"/>
  <c r="EC24" i="3"/>
  <c r="EB28" i="3"/>
  <c r="B16" i="8"/>
  <c r="E21" i="8" s="1"/>
  <c r="E34" i="8"/>
  <c r="J34" i="8" s="1"/>
  <c r="I48" i="8"/>
  <c r="B20" i="8"/>
  <c r="B34" i="8" s="1"/>
  <c r="D23" i="8"/>
  <c r="D37" i="8" s="1"/>
  <c r="C7" i="8"/>
  <c r="I49" i="8"/>
  <c r="I51" i="8"/>
  <c r="I50" i="8"/>
  <c r="D28" i="8"/>
  <c r="D42" i="8" s="1"/>
  <c r="J31" i="8"/>
  <c r="K31" i="8" s="1"/>
  <c r="J44" i="8"/>
  <c r="J37" i="8"/>
  <c r="J41" i="8"/>
  <c r="J30" i="8"/>
  <c r="K30" i="8" s="1"/>
  <c r="I53" i="8"/>
  <c r="J45" i="8"/>
  <c r="K45" i="8" s="1"/>
  <c r="J27" i="8"/>
  <c r="D27" i="8"/>
  <c r="D41" i="8" s="1"/>
  <c r="E30" i="8" l="1"/>
  <c r="E44" i="8" s="1"/>
  <c r="K44" i="8"/>
  <c r="K14" i="8"/>
  <c r="E22" i="8"/>
  <c r="E25" i="8"/>
  <c r="E39" i="8" s="1"/>
  <c r="E26" i="8"/>
  <c r="E40" i="8" s="1"/>
  <c r="E29" i="8"/>
  <c r="E43" i="8" s="1"/>
  <c r="E24" i="8"/>
  <c r="E38" i="8" s="1"/>
  <c r="E28" i="8"/>
  <c r="E42" i="8" s="1"/>
  <c r="E31" i="8"/>
  <c r="E45" i="8" s="1"/>
  <c r="K48" i="8"/>
  <c r="E50" i="8"/>
  <c r="J50" i="8" s="1"/>
  <c r="K50" i="8" s="1"/>
  <c r="EQ27" i="3"/>
  <c r="EQ33" i="3"/>
  <c r="EQ21" i="3"/>
  <c r="EQ17" i="3"/>
  <c r="EQ16" i="3"/>
  <c r="EQ24" i="3"/>
  <c r="EQ25" i="3"/>
  <c r="EQ32" i="3"/>
  <c r="EQ22" i="3"/>
  <c r="EQ23" i="3"/>
  <c r="EQ15" i="3"/>
  <c r="EQ30" i="3"/>
  <c r="EQ19" i="3"/>
  <c r="EQ28" i="3"/>
  <c r="E35" i="8"/>
  <c r="D29" i="8"/>
  <c r="D43" i="8" s="1"/>
  <c r="I17" i="8"/>
  <c r="F58" i="8"/>
  <c r="J58" i="8" s="1"/>
  <c r="J29" i="8" l="1"/>
  <c r="J42" i="8"/>
  <c r="J35" i="8"/>
  <c r="J26" i="8"/>
  <c r="J38" i="8"/>
  <c r="J36" i="8"/>
  <c r="J53" i="8"/>
  <c r="K53" i="8" s="1"/>
  <c r="J28" i="8"/>
  <c r="J25" i="8"/>
  <c r="J43" i="8"/>
  <c r="J39" i="8"/>
  <c r="J49" i="8"/>
  <c r="J40" i="8"/>
  <c r="J51" i="8"/>
  <c r="K51" i="8" s="1"/>
  <c r="J24" i="8"/>
  <c r="E53" i="8"/>
  <c r="E36" i="8"/>
  <c r="J32" i="8" l="1"/>
  <c r="K13" i="8"/>
  <c r="E49" i="8"/>
  <c r="E51" i="8" s="1"/>
  <c r="K49" i="8"/>
  <c r="K46" i="8" s="1"/>
  <c r="K15" i="8" s="1"/>
  <c r="J46" i="8"/>
  <c r="F56" i="8"/>
  <c r="J56" i="8" s="1"/>
  <c r="K12" i="8"/>
  <c r="F57" i="8"/>
  <c r="J57" i="8" s="1"/>
  <c r="J18" i="8"/>
  <c r="K9" i="8" l="1"/>
  <c r="J54" i="8"/>
  <c r="K10" i="8" s="1"/>
  <c r="K11" i="8" l="1"/>
</calcChain>
</file>

<file path=xl/sharedStrings.xml><?xml version="1.0" encoding="utf-8"?>
<sst xmlns="http://schemas.openxmlformats.org/spreadsheetml/2006/main" count="346" uniqueCount="202">
  <si>
    <t xml:space="preserve">No.: </t>
  </si>
  <si>
    <t xml:space="preserve">Date: </t>
  </si>
  <si>
    <t>PARTICULAR</t>
  </si>
  <si>
    <t xml:space="preserve">ETD: </t>
  </si>
  <si>
    <t xml:space="preserve">QTY: </t>
  </si>
  <si>
    <t>CBM</t>
  </si>
  <si>
    <t>KG</t>
  </si>
  <si>
    <t>No.</t>
  </si>
  <si>
    <t>Content</t>
  </si>
  <si>
    <t>POL</t>
  </si>
  <si>
    <t>POD</t>
  </si>
  <si>
    <t>POL:</t>
  </si>
  <si>
    <t>POD:</t>
  </si>
  <si>
    <t>SALES</t>
  </si>
  <si>
    <t>SALES:</t>
  </si>
  <si>
    <t>TERM:</t>
  </si>
  <si>
    <t>KEYS</t>
  </si>
  <si>
    <t>AGENT</t>
  </si>
  <si>
    <t>CNEE</t>
  </si>
  <si>
    <t>SHPR</t>
  </si>
  <si>
    <t>LCL</t>
  </si>
  <si>
    <t>WEIGHT</t>
  </si>
  <si>
    <t>ATTN</t>
  </si>
  <si>
    <t>EXECUTOR</t>
  </si>
  <si>
    <t>TIME of BOOKING</t>
  </si>
  <si>
    <t>ETD</t>
  </si>
  <si>
    <t>ETA</t>
  </si>
  <si>
    <t>ATA</t>
  </si>
  <si>
    <t>V.V</t>
  </si>
  <si>
    <t>THC</t>
  </si>
  <si>
    <t>CIC</t>
  </si>
  <si>
    <t>CFS</t>
  </si>
  <si>
    <t>NO.</t>
  </si>
  <si>
    <t>Q'ty</t>
  </si>
  <si>
    <t>COM</t>
  </si>
  <si>
    <t>20'</t>
  </si>
  <si>
    <t>40'</t>
  </si>
  <si>
    <t>LCC at HPH</t>
  </si>
  <si>
    <t>(</t>
  </si>
  <si>
    <t>)</t>
  </si>
  <si>
    <t>O/F</t>
  </si>
  <si>
    <t>O(A)/FREIGHT</t>
  </si>
  <si>
    <t>TERM</t>
  </si>
  <si>
    <t>HAIPHONG</t>
  </si>
  <si>
    <t>Com after TAX</t>
  </si>
  <si>
    <t>OF (0%)</t>
  </si>
  <si>
    <t>TRUCK+CUS</t>
  </si>
  <si>
    <t>TRUCKING</t>
  </si>
  <si>
    <t>CUSTOMS</t>
  </si>
  <si>
    <t>VAT (%)</t>
  </si>
  <si>
    <t>Total  (USD)</t>
  </si>
  <si>
    <t>Total (USD)</t>
  </si>
  <si>
    <t>DTLH</t>
  </si>
  <si>
    <t>LINE</t>
  </si>
  <si>
    <t>ATD</t>
  </si>
  <si>
    <t>T/T</t>
  </si>
  <si>
    <t>x20'</t>
  </si>
  <si>
    <t>x40'</t>
  </si>
  <si>
    <t>General Cost</t>
  </si>
  <si>
    <t>Rate(%)</t>
  </si>
  <si>
    <t>Time (day)</t>
  </si>
  <si>
    <t>Amount ($)</t>
  </si>
  <si>
    <t>Based</t>
  </si>
  <si>
    <t>Total bf tax (USD)</t>
  </si>
  <si>
    <t>KQKD</t>
  </si>
  <si>
    <t>DUYỆT</t>
  </si>
  <si>
    <t>CUSTOMER:</t>
  </si>
  <si>
    <t>Ref No.</t>
  </si>
  <si>
    <t>Profit Rate</t>
  </si>
  <si>
    <t>/SHPT</t>
  </si>
  <si>
    <t>/CBM</t>
  </si>
  <si>
    <t>OTHER</t>
  </si>
  <si>
    <t>TRUCK</t>
  </si>
  <si>
    <t>CUS</t>
  </si>
  <si>
    <t>LCL/AIR</t>
  </si>
  <si>
    <t>BUYING RATE</t>
  </si>
  <si>
    <t>SELLING RATE</t>
  </si>
  <si>
    <t>GENERAL INFORMATION</t>
  </si>
  <si>
    <t>/20'</t>
  </si>
  <si>
    <t>/40'</t>
  </si>
  <si>
    <t>GVDV</t>
  </si>
  <si>
    <t>CP KHÁC</t>
  </si>
  <si>
    <t>CLEAN</t>
  </si>
  <si>
    <t>/CONT</t>
  </si>
  <si>
    <t>CLIENT</t>
  </si>
  <si>
    <t>COM LINE</t>
  </si>
  <si>
    <t>Amount</t>
  </si>
  <si>
    <t>Tax</t>
  </si>
  <si>
    <t>/Unit</t>
  </si>
  <si>
    <t>Tax %</t>
  </si>
  <si>
    <t>Credit (day)</t>
  </si>
  <si>
    <t>CKTM (COM)
after Tax</t>
  </si>
  <si>
    <t>Tỷ giá</t>
  </si>
  <si>
    <t>Lãi suất NH%</t>
  </si>
  <si>
    <t>CPQL%</t>
  </si>
  <si>
    <t>306/2019</t>
  </si>
  <si>
    <t>COM 10%</t>
  </si>
  <si>
    <t>CPCH</t>
  </si>
  <si>
    <t>CP THU HỘ</t>
  </si>
  <si>
    <t>CƯỢC CONT</t>
  </si>
  <si>
    <t>CHI HỘ KHÁC</t>
  </si>
  <si>
    <t>TỶ GIÁ</t>
  </si>
  <si>
    <t>Interest</t>
  </si>
  <si>
    <t>INTEREST
%</t>
  </si>
  <si>
    <t>DO/BILL</t>
  </si>
  <si>
    <t>HDL/TLX BILL/LATE PAYMENT</t>
  </si>
  <si>
    <t>DTLH LCC</t>
  </si>
  <si>
    <t>CPCN 0%</t>
  </si>
  <si>
    <t>CPCN 
CUS+TRUCKING</t>
  </si>
  <si>
    <t>TSLN= TOTAL PROFIT/CPLH</t>
  </si>
  <si>
    <t>KQKD=DTLH-CPLH</t>
  </si>
  <si>
    <t>OVERSEAS</t>
  </si>
  <si>
    <t>PICK UP</t>
  </si>
  <si>
    <t>DELIVERY</t>
  </si>
  <si>
    <t>PICK:</t>
  </si>
  <si>
    <t>DELIVERY:</t>
  </si>
  <si>
    <t>DANANG</t>
  </si>
  <si>
    <t>Total  (VND)/Note</t>
  </si>
  <si>
    <t>Total (VND)/Note</t>
  </si>
  <si>
    <t>Term:</t>
  </si>
  <si>
    <t>FOB, FCA, EXW, CIF, CIF/CC</t>
  </si>
  <si>
    <t>HOCHIMINH</t>
  </si>
  <si>
    <t>NGHISON</t>
  </si>
  <si>
    <t>CHULAI</t>
  </si>
  <si>
    <t>HANOI</t>
  </si>
  <si>
    <t>Code cảng của Vietnam, mn đừng viết tắt nhé</t>
  </si>
  <si>
    <t xml:space="preserve">Term: </t>
  </si>
  <si>
    <t>FOB, FCA, EXW, CIF, CIF/CC (theo điệu kiện giao hàng với agent hoặc carrier/cách thức thanh toán)</t>
  </si>
  <si>
    <t>CNF</t>
  </si>
  <si>
    <t>SITC</t>
  </si>
  <si>
    <t>CPCH LÀ CP CÓ VAT</t>
  </si>
  <si>
    <t>(AGENT)</t>
  </si>
  <si>
    <t>Gía vốn dịch vụ (GVDV)=TOTAL TRẢ ĐẦU VÀO (CHƯA VAT)</t>
  </si>
  <si>
    <t>Doanh thu lô hàng (DTLH)= TOTAL THU KHÁCH (CHƯA VAT)</t>
  </si>
  <si>
    <t>Chi phí Quản lý (CPQL)= CPLH*0%</t>
  </si>
  <si>
    <t>Chiết khấu thương mại (CKTM)</t>
  </si>
  <si>
    <t>Chi phí Công nợ (CPCN)</t>
  </si>
  <si>
    <t>SHIPMENT PROPOSAL</t>
  </si>
  <si>
    <t>SERVICE:</t>
  </si>
  <si>
    <t>OTHERS</t>
  </si>
  <si>
    <t>DTLH OF</t>
  </si>
  <si>
    <t>PAY ON BEHALF (CPCH)</t>
  </si>
  <si>
    <t>CONT DEPOSIT (CPCH)</t>
  </si>
  <si>
    <t>VAT SALES TỰ NHẬP</t>
  </si>
  <si>
    <t>- LCC HÃNG TÀU: 5,26315% (=4/76)</t>
  </si>
  <si>
    <t>REVENUE</t>
  </si>
  <si>
    <t>COST</t>
  </si>
  <si>
    <t>LCC</t>
  </si>
  <si>
    <t>CUS+TRUCK</t>
  </si>
  <si>
    <t>OVS</t>
  </si>
  <si>
    <t>Tax (%)</t>
  </si>
  <si>
    <t>Chi phí lô hàng (CPLH)=GVDV+CKTM+CPCN+CPCH+CP KHÁC</t>
  </si>
  <si>
    <t>Chi phí Chi hộ (CPCH): CP chi hộ, Cược cont</t>
  </si>
  <si>
    <t>CPCN: DTLH CÓ VAT*LÃI SUẤT NH* SỐ NGÀY NỢ/365</t>
  </si>
  <si>
    <t>Interest (%)</t>
  </si>
  <si>
    <t>Exchange rate ($/đ)</t>
  </si>
  <si>
    <t>COM KHÁCH CẮT 20% TỪ 1/8/2020</t>
  </si>
  <si>
    <t>FINANCIAL COST (CPCN) After VAT</t>
  </si>
  <si>
    <t>AMY</t>
  </si>
  <si>
    <t>MANILA</t>
  </si>
  <si>
    <t>MR.A</t>
  </si>
  <si>
    <t>Anh Tuấn duyệt</t>
  </si>
  <si>
    <t>COST &amp; PROFIT</t>
  </si>
  <si>
    <t>I. COST (Gía vốn dịch vụ)</t>
  </si>
  <si>
    <t>II. REVENUE (Doanh thu lô hàng)</t>
  </si>
  <si>
    <t>III. COMMISSION (Chiết khấu thương mại)</t>
  </si>
  <si>
    <t>IV. GENERAL COST (Chi phí chung)</t>
  </si>
  <si>
    <t>- CƯỚC CỦA CPN VAT 8%</t>
  </si>
  <si>
    <t>TAM LAP THANH</t>
  </si>
  <si>
    <t>NEOPRENE SOLUTIONS</t>
  </si>
  <si>
    <t>COTRANSA</t>
  </si>
  <si>
    <t>BILBAO</t>
  </si>
  <si>
    <t>SPAIN</t>
  </si>
  <si>
    <t>CPCN LCC 8%</t>
  </si>
  <si>
    <t>LCC(8%)</t>
  </si>
  <si>
    <t>TRUCK/CUS (8%)</t>
  </si>
  <si>
    <t>ACCREDO ASIA</t>
  </si>
  <si>
    <t>ACCREDO PACKAGING INC.</t>
  </si>
  <si>
    <t>HOUSTON</t>
  </si>
  <si>
    <t>ROYAL CARGO INC USA</t>
  </si>
  <si>
    <t>USA</t>
  </si>
  <si>
    <t xml:space="preserve">COM </t>
  </si>
  <si>
    <t>DEP.</t>
  </si>
  <si>
    <t>/Shpmt</t>
  </si>
  <si>
    <t>DTLH Unstruck</t>
  </si>
  <si>
    <t>Total 
(VND/Note)</t>
  </si>
  <si>
    <t>Total after Tax (USD)</t>
  </si>
  <si>
    <t>Total Profit</t>
  </si>
  <si>
    <t>Sale's Profit</t>
  </si>
  <si>
    <t xml:space="preserve">Profit Rate &lt; 8% </t>
  </si>
  <si>
    <t>Sales Leader duyệt</t>
  </si>
  <si>
    <t>TIN HO</t>
  </si>
  <si>
    <t>LINE/CO-LOADER</t>
  </si>
  <si>
    <t>Kể từ ngày 01/07/2026, tất cả các đơn hàng có chi COM cho khách thì Sales đều phải xin CM phê duyệt trước khi thực hiện</t>
  </si>
  <si>
    <t>SAL</t>
  </si>
  <si>
    <t>ASW-VN000001</t>
  </si>
  <si>
    <t>ASW-VN000002</t>
  </si>
  <si>
    <t>APPROVAL TIER</t>
  </si>
  <si>
    <t>Profit Rate &gt; 15%</t>
  </si>
  <si>
    <t>Sales duyệt</t>
  </si>
  <si>
    <t>8% &lt;= Profit Rate &lt;= 15%</t>
  </si>
  <si>
    <t>THÔNG TIN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</si>
</sst>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(&quot;$&quot;* #,##0_);_(&quot;$&quot;* \(#,##0\);_(&quot;$&quot;* &quot;-&quot;_);_(@_)"/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m/d;@"/>
    <numFmt numFmtId="167" formatCode="_-* #,##0_-;\-* #,##0_-;_-* &quot;-&quot;??_-;_-@_-"/>
    <numFmt numFmtId="168" formatCode="[$-409]d\-mmm\-yy;@"/>
    <numFmt numFmtId="169" formatCode="0.0"/>
    <numFmt numFmtId="170" formatCode="_(* #,##0.00_);_(* \(#,##0.00\);_(* &quot;-&quot;_);_(@_)"/>
    <numFmt numFmtId="171" formatCode="_(* #,##0_);_(* \(#,##0\);_(* &quot;-&quot;??_);_(@_)"/>
    <numFmt numFmtId="172" formatCode="_(* #,##0.0_);_(* \(#,##0.0\);_(* &quot;-&quot;??_);_(@_)"/>
  </numFmts>
  <fonts count="28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  <font>
      <sz val="11"/>
      <color theme="1"/>
      <name val="Calibri"/>
      <family val="2"/>
      <scheme val="minor"/>
    </font>
    <font>
      <sz val="8"/>
      <name val="Verdana"/>
      <family val="2"/>
    </font>
    <font>
      <sz val="10"/>
      <name val="Verdana"/>
      <family val="2"/>
    </font>
    <font>
      <b/>
      <sz val="10"/>
      <color rgb="FF006666"/>
      <name val="Verdana"/>
      <family val="2"/>
    </font>
    <font>
      <sz val="7"/>
      <name val="Verdana"/>
      <family val="2"/>
    </font>
    <font>
      <sz val="9"/>
      <name val="Verdana"/>
      <family val="2"/>
    </font>
    <font>
      <b/>
      <sz val="9"/>
      <name val="Verdana"/>
      <family val="2"/>
    </font>
    <font>
      <b/>
      <sz val="10"/>
      <name val="Verdana"/>
      <family val="2"/>
    </font>
    <font>
      <b/>
      <sz val="8"/>
      <name val="Verdana"/>
      <family val="2"/>
    </font>
    <font>
      <sz val="9"/>
      <color theme="9" tint="0.79998168889431442"/>
      <name val="Verdana"/>
      <family val="2"/>
    </font>
    <font>
      <sz val="8"/>
      <color theme="9" tint="0.79998168889431442"/>
      <name val="Verdana"/>
      <family val="2"/>
    </font>
    <font>
      <sz val="16"/>
      <name val="Verdana"/>
      <family val="2"/>
    </font>
    <font>
      <sz val="20"/>
      <name val="Verdana"/>
      <family val="2"/>
    </font>
    <font>
      <b/>
      <sz val="9"/>
      <color theme="0"/>
      <name val="Verdana"/>
      <family val="2"/>
    </font>
    <font>
      <sz val="9"/>
      <color theme="0"/>
      <name val="Verdana"/>
      <family val="2"/>
    </font>
    <font>
      <i/>
      <sz val="10"/>
      <color rgb="FFFF0000"/>
      <name val="Verdana"/>
      <family val="2"/>
    </font>
    <font>
      <b/>
      <sz val="10"/>
      <color rgb="FFFF0000"/>
      <name val="Verdana"/>
      <family val="2"/>
    </font>
    <font>
      <sz val="10"/>
      <color theme="1"/>
      <name val="Calibri"/>
      <family val="2"/>
      <scheme val="minor"/>
    </font>
    <font>
      <i/>
      <sz val="8"/>
      <name val="Verdana"/>
      <family val="2"/>
    </font>
    <font>
      <sz val="11"/>
      <name val="Verdana"/>
      <family val="2"/>
    </font>
    <font>
      <i/>
      <sz val="8"/>
      <color rgb="FFFF0000"/>
      <name val="Verdana"/>
      <family val="2"/>
    </font>
    <font>
      <sz val="8"/>
      <color rgb="FFFF0000"/>
      <name val="Verdana"/>
      <family val="2"/>
    </font>
    <font>
      <b/>
      <sz val="8"/>
      <color theme="0"/>
      <name val="Verdana"/>
      <family val="2"/>
    </font>
    <font>
      <sz val="8"/>
      <name val="Calibri"/>
      <family val="2"/>
      <scheme val="minor"/>
    </font>
    <font>
      <sz val="14"/>
      <name val="Verdana"/>
      <family val="2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1C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434"/>
        <bgColor indexed="64"/>
      </patternFill>
    </fill>
    <fill>
      <patternFill patternType="solid">
        <fgColor rgb="FFAFFFD3"/>
        <bgColor indexed="64"/>
      </patternFill>
    </fill>
    <fill>
      <patternFill patternType="solid">
        <fgColor rgb="FFB9E0E9"/>
        <bgColor indexed="64"/>
      </patternFill>
    </fill>
    <fill>
      <patternFill patternType="solid">
        <fgColor rgb="FF826300"/>
        <bgColor indexed="64"/>
      </patternFill>
    </fill>
    <fill>
      <patternFill patternType="solid">
        <fgColor rgb="FFFFEEB7"/>
        <bgColor indexed="64"/>
      </patternFill>
    </fill>
    <fill>
      <patternFill patternType="solid">
        <fgColor rgb="FFFFD44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8E1"/>
        <bgColor indexed="64"/>
      </patternFill>
    </fill>
    <fill>
      <patternFill patternType="solid">
        <fgColor rgb="FFFFF7BD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373">
    <xf numFmtId="0" fontId="0" fillId="0" borderId="0" xfId="0"/>
    <xf numFmtId="0" fontId="4" fillId="0" borderId="11" xfId="0" applyFont="1" applyBorder="1" applyAlignment="1" applyProtection="1">
      <alignment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0" xfId="0" applyFont="1" applyFill="1" applyAlignment="1" applyProtection="1">
      <alignment horizontal="right" vertical="center"/>
      <protection locked="0"/>
    </xf>
    <xf numFmtId="43" fontId="4" fillId="0" borderId="0" xfId="1" applyFont="1" applyFill="1" applyBorder="1" applyAlignment="1" applyProtection="1">
      <alignment vertical="center"/>
      <protection locked="0"/>
    </xf>
    <xf numFmtId="2" fontId="4" fillId="0" borderId="0" xfId="0" applyNumberFormat="1" applyFont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43" fontId="11" fillId="15" borderId="25" xfId="1" applyFont="1" applyFill="1" applyBorder="1" applyAlignment="1" applyProtection="1">
      <alignment vertical="center"/>
    </xf>
    <xf numFmtId="43" fontId="4" fillId="15" borderId="25" xfId="1" applyFont="1" applyFill="1" applyBorder="1" applyAlignment="1" applyProtection="1">
      <alignment vertical="center"/>
    </xf>
    <xf numFmtId="43" fontId="16" fillId="18" borderId="54" xfId="1" applyFont="1" applyFill="1" applyBorder="1" applyAlignment="1" applyProtection="1">
      <alignment vertical="center" wrapText="1"/>
    </xf>
    <xf numFmtId="43" fontId="16" fillId="21" borderId="34" xfId="1" applyFont="1" applyFill="1" applyBorder="1" applyAlignment="1" applyProtection="1">
      <alignment vertical="center"/>
    </xf>
    <xf numFmtId="43" fontId="16" fillId="20" borderId="22" xfId="1" applyFont="1" applyFill="1" applyBorder="1" applyAlignment="1" applyProtection="1">
      <alignment vertical="center"/>
    </xf>
    <xf numFmtId="43" fontId="16" fillId="24" borderId="34" xfId="1" applyFont="1" applyFill="1" applyBorder="1" applyAlignment="1" applyProtection="1">
      <alignment vertical="center"/>
    </xf>
    <xf numFmtId="2" fontId="4" fillId="15" borderId="52" xfId="0" applyNumberFormat="1" applyFont="1" applyFill="1" applyBorder="1" applyAlignment="1">
      <alignment vertical="center"/>
    </xf>
    <xf numFmtId="168" fontId="11" fillId="15" borderId="43" xfId="0" applyNumberFormat="1" applyFont="1" applyFill="1" applyBorder="1" applyAlignment="1">
      <alignment horizontal="right" vertical="center"/>
    </xf>
    <xf numFmtId="2" fontId="4" fillId="15" borderId="44" xfId="0" applyNumberFormat="1" applyFont="1" applyFill="1" applyBorder="1" applyAlignment="1">
      <alignment vertical="center"/>
    </xf>
    <xf numFmtId="168" fontId="4" fillId="15" borderId="25" xfId="0" applyNumberFormat="1" applyFont="1" applyFill="1" applyBorder="1" applyAlignment="1">
      <alignment vertical="center"/>
    </xf>
    <xf numFmtId="2" fontId="11" fillId="15" borderId="44" xfId="0" applyNumberFormat="1" applyFont="1" applyFill="1" applyBorder="1" applyAlignment="1">
      <alignment vertical="center"/>
    </xf>
    <xf numFmtId="0" fontId="8" fillId="17" borderId="15" xfId="0" applyFont="1" applyFill="1" applyBorder="1" applyAlignment="1">
      <alignment vertical="center"/>
    </xf>
    <xf numFmtId="43" fontId="9" fillId="17" borderId="0" xfId="1" applyFont="1" applyFill="1" applyBorder="1" applyAlignment="1" applyProtection="1">
      <alignment horizontal="left" vertical="center"/>
    </xf>
    <xf numFmtId="0" fontId="8" fillId="17" borderId="0" xfId="0" applyFont="1" applyFill="1" applyAlignment="1">
      <alignment vertical="center"/>
    </xf>
    <xf numFmtId="0" fontId="9" fillId="17" borderId="0" xfId="0" applyFont="1" applyFill="1" applyAlignment="1">
      <alignment vertical="center"/>
    </xf>
    <xf numFmtId="0" fontId="8" fillId="17" borderId="0" xfId="0" applyFont="1" applyFill="1" applyAlignment="1">
      <alignment horizontal="left" vertical="center"/>
    </xf>
    <xf numFmtId="0" fontId="9" fillId="17" borderId="0" xfId="0" applyFont="1" applyFill="1" applyAlignment="1">
      <alignment horizontal="left" vertical="center"/>
    </xf>
    <xf numFmtId="165" fontId="8" fillId="17" borderId="0" xfId="0" applyNumberFormat="1" applyFont="1" applyFill="1" applyAlignment="1">
      <alignment horizontal="left" vertical="center"/>
    </xf>
    <xf numFmtId="41" fontId="9" fillId="17" borderId="0" xfId="0" applyNumberFormat="1" applyFont="1" applyFill="1" applyAlignment="1">
      <alignment horizontal="center" vertical="center"/>
    </xf>
    <xf numFmtId="164" fontId="11" fillId="17" borderId="0" xfId="1" applyNumberFormat="1" applyFont="1" applyFill="1" applyBorder="1" applyAlignment="1" applyProtection="1">
      <alignment vertical="center"/>
    </xf>
    <xf numFmtId="0" fontId="8" fillId="17" borderId="0" xfId="0" applyFont="1" applyFill="1" applyAlignment="1">
      <alignment horizontal="center" vertical="center"/>
    </xf>
    <xf numFmtId="0" fontId="12" fillId="17" borderId="15" xfId="0" applyFont="1" applyFill="1" applyBorder="1" applyAlignment="1">
      <alignment horizontal="right" vertical="center"/>
    </xf>
    <xf numFmtId="167" fontId="13" fillId="17" borderId="0" xfId="1" applyNumberFormat="1" applyFont="1" applyFill="1" applyBorder="1" applyAlignment="1" applyProtection="1">
      <alignment vertical="center"/>
    </xf>
    <xf numFmtId="0" fontId="12" fillId="17" borderId="0" xfId="0" applyFont="1" applyFill="1" applyAlignment="1">
      <alignment vertical="center"/>
    </xf>
    <xf numFmtId="1" fontId="12" fillId="17" borderId="0" xfId="0" applyNumberFormat="1" applyFont="1" applyFill="1" applyAlignment="1">
      <alignment horizontal="right" vertical="center"/>
    </xf>
    <xf numFmtId="43" fontId="8" fillId="17" borderId="0" xfId="0" applyNumberFormat="1" applyFont="1" applyFill="1" applyAlignment="1">
      <alignment vertical="center"/>
    </xf>
    <xf numFmtId="43" fontId="16" fillId="18" borderId="42" xfId="1" applyFont="1" applyFill="1" applyBorder="1" applyAlignment="1" applyProtection="1">
      <alignment vertical="center" wrapText="1"/>
    </xf>
    <xf numFmtId="0" fontId="4" fillId="19" borderId="35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36" xfId="0" applyFont="1" applyFill="1" applyBorder="1" applyAlignment="1">
      <alignment horizontal="center" vertical="center" wrapText="1"/>
    </xf>
    <xf numFmtId="0" fontId="4" fillId="19" borderId="18" xfId="0" applyFont="1" applyFill="1" applyBorder="1" applyAlignment="1">
      <alignment horizontal="center" vertical="center"/>
    </xf>
    <xf numFmtId="0" fontId="4" fillId="19" borderId="8" xfId="0" applyFont="1" applyFill="1" applyBorder="1" applyAlignment="1">
      <alignment vertical="center"/>
    </xf>
    <xf numFmtId="2" fontId="11" fillId="19" borderId="8" xfId="0" quotePrefix="1" applyNumberFormat="1" applyFont="1" applyFill="1" applyBorder="1" applyAlignment="1">
      <alignment vertical="center"/>
    </xf>
    <xf numFmtId="1" fontId="11" fillId="19" borderId="8" xfId="0" applyNumberFormat="1" applyFont="1" applyFill="1" applyBorder="1" applyAlignment="1">
      <alignment vertical="center"/>
    </xf>
    <xf numFmtId="0" fontId="4" fillId="19" borderId="24" xfId="0" applyFont="1" applyFill="1" applyBorder="1" applyAlignment="1">
      <alignment horizontal="right" vertical="center"/>
    </xf>
    <xf numFmtId="164" fontId="4" fillId="19" borderId="16" xfId="1" applyNumberFormat="1" applyFont="1" applyFill="1" applyBorder="1" applyAlignment="1" applyProtection="1">
      <alignment vertical="center"/>
    </xf>
    <xf numFmtId="1" fontId="4" fillId="19" borderId="38" xfId="2" applyNumberFormat="1" applyFont="1" applyFill="1" applyBorder="1" applyAlignment="1" applyProtection="1">
      <alignment vertical="center"/>
    </xf>
    <xf numFmtId="43" fontId="4" fillId="19" borderId="37" xfId="1" applyFont="1" applyFill="1" applyBorder="1" applyAlignment="1" applyProtection="1">
      <alignment vertical="center"/>
    </xf>
    <xf numFmtId="0" fontId="4" fillId="19" borderId="16" xfId="0" applyFont="1" applyFill="1" applyBorder="1" applyAlignment="1">
      <alignment horizontal="right" vertical="center"/>
    </xf>
    <xf numFmtId="43" fontId="4" fillId="19" borderId="38" xfId="1" applyFont="1" applyFill="1" applyBorder="1" applyAlignment="1" applyProtection="1">
      <alignment vertical="center"/>
    </xf>
    <xf numFmtId="0" fontId="11" fillId="19" borderId="8" xfId="0" applyFont="1" applyFill="1" applyBorder="1" applyAlignment="1">
      <alignment vertical="center"/>
    </xf>
    <xf numFmtId="42" fontId="4" fillId="19" borderId="8" xfId="0" applyNumberFormat="1" applyFont="1" applyFill="1" applyBorder="1" applyAlignment="1">
      <alignment horizontal="left" vertical="center"/>
    </xf>
    <xf numFmtId="2" fontId="4" fillId="19" borderId="38" xfId="2" applyNumberFormat="1" applyFont="1" applyFill="1" applyBorder="1" applyAlignment="1" applyProtection="1">
      <alignment vertical="center"/>
    </xf>
    <xf numFmtId="43" fontId="4" fillId="19" borderId="41" xfId="1" applyFont="1" applyFill="1" applyBorder="1" applyAlignment="1" applyProtection="1">
      <alignment vertical="center"/>
    </xf>
    <xf numFmtId="0" fontId="4" fillId="19" borderId="27" xfId="0" applyFont="1" applyFill="1" applyBorder="1" applyAlignment="1">
      <alignment horizontal="center" vertical="center"/>
    </xf>
    <xf numFmtId="0" fontId="4" fillId="19" borderId="28" xfId="0" applyFont="1" applyFill="1" applyBorder="1" applyAlignment="1">
      <alignment vertical="center"/>
    </xf>
    <xf numFmtId="42" fontId="4" fillId="19" borderId="29" xfId="0" applyNumberFormat="1" applyFont="1" applyFill="1" applyBorder="1" applyAlignment="1">
      <alignment horizontal="left" vertical="center"/>
    </xf>
    <xf numFmtId="0" fontId="4" fillId="19" borderId="30" xfId="0" applyFont="1" applyFill="1" applyBorder="1" applyAlignment="1">
      <alignment horizontal="right" vertical="center"/>
    </xf>
    <xf numFmtId="164" fontId="4" fillId="19" borderId="30" xfId="1" applyNumberFormat="1" applyFont="1" applyFill="1" applyBorder="1" applyAlignment="1" applyProtection="1">
      <alignment vertical="center"/>
    </xf>
    <xf numFmtId="1" fontId="4" fillId="19" borderId="55" xfId="2" applyNumberFormat="1" applyFont="1" applyFill="1" applyBorder="1" applyAlignment="1" applyProtection="1">
      <alignment vertical="center"/>
    </xf>
    <xf numFmtId="43" fontId="4" fillId="19" borderId="55" xfId="1" applyFont="1" applyFill="1" applyBorder="1" applyAlignment="1" applyProtection="1">
      <alignment vertical="center"/>
    </xf>
    <xf numFmtId="0" fontId="16" fillId="24" borderId="42" xfId="0" applyFont="1" applyFill="1" applyBorder="1" applyAlignment="1">
      <alignment vertical="center"/>
    </xf>
    <xf numFmtId="0" fontId="4" fillId="25" borderId="35" xfId="0" applyFont="1" applyFill="1" applyBorder="1" applyAlignment="1">
      <alignment horizontal="center" vertical="center"/>
    </xf>
    <xf numFmtId="0" fontId="4" fillId="25" borderId="11" xfId="0" applyFont="1" applyFill="1" applyBorder="1" applyAlignment="1">
      <alignment horizontal="center" vertical="center" wrapText="1"/>
    </xf>
    <xf numFmtId="0" fontId="4" fillId="25" borderId="36" xfId="0" applyFont="1" applyFill="1" applyBorder="1" applyAlignment="1">
      <alignment horizontal="center" vertical="center" wrapText="1"/>
    </xf>
    <xf numFmtId="0" fontId="4" fillId="25" borderId="18" xfId="0" applyFont="1" applyFill="1" applyBorder="1" applyAlignment="1">
      <alignment horizontal="center" vertical="center"/>
    </xf>
    <xf numFmtId="0" fontId="4" fillId="25" borderId="8" xfId="0" applyFont="1" applyFill="1" applyBorder="1" applyAlignment="1">
      <alignment vertical="center"/>
    </xf>
    <xf numFmtId="2" fontId="11" fillId="25" borderId="8" xfId="0" quotePrefix="1" applyNumberFormat="1" applyFont="1" applyFill="1" applyBorder="1" applyAlignment="1">
      <alignment vertical="center"/>
    </xf>
    <xf numFmtId="2" fontId="11" fillId="25" borderId="8" xfId="0" applyNumberFormat="1" applyFont="1" applyFill="1" applyBorder="1" applyAlignment="1">
      <alignment vertical="center"/>
    </xf>
    <xf numFmtId="0" fontId="4" fillId="25" borderId="24" xfId="0" applyFont="1" applyFill="1" applyBorder="1" applyAlignment="1">
      <alignment horizontal="right" vertical="center"/>
    </xf>
    <xf numFmtId="170" fontId="4" fillId="25" borderId="24" xfId="0" applyNumberFormat="1" applyFont="1" applyFill="1" applyBorder="1" applyAlignment="1">
      <alignment horizontal="right" vertical="center"/>
    </xf>
    <xf numFmtId="1" fontId="4" fillId="25" borderId="16" xfId="2" applyNumberFormat="1" applyFont="1" applyFill="1" applyBorder="1" applyAlignment="1" applyProtection="1">
      <alignment vertical="center"/>
    </xf>
    <xf numFmtId="43" fontId="4" fillId="25" borderId="16" xfId="1" applyFont="1" applyFill="1" applyBorder="1" applyAlignment="1" applyProtection="1">
      <alignment vertical="center"/>
    </xf>
    <xf numFmtId="0" fontId="4" fillId="25" borderId="16" xfId="0" applyFont="1" applyFill="1" applyBorder="1" applyAlignment="1">
      <alignment horizontal="right" vertical="center"/>
    </xf>
    <xf numFmtId="170" fontId="4" fillId="25" borderId="16" xfId="0" applyNumberFormat="1" applyFont="1" applyFill="1" applyBorder="1" applyAlignment="1">
      <alignment horizontal="right" vertical="center"/>
    </xf>
    <xf numFmtId="0" fontId="11" fillId="25" borderId="8" xfId="0" applyFont="1" applyFill="1" applyBorder="1" applyAlignment="1">
      <alignment vertical="center"/>
    </xf>
    <xf numFmtId="42" fontId="4" fillId="25" borderId="8" xfId="0" applyNumberFormat="1" applyFont="1" applyFill="1" applyBorder="1" applyAlignment="1">
      <alignment horizontal="left" vertical="center"/>
    </xf>
    <xf numFmtId="0" fontId="4" fillId="25" borderId="19" xfId="0" applyFont="1" applyFill="1" applyBorder="1" applyAlignment="1">
      <alignment horizontal="center" vertical="center"/>
    </xf>
    <xf numFmtId="0" fontId="4" fillId="25" borderId="23" xfId="0" applyFont="1" applyFill="1" applyBorder="1" applyAlignment="1">
      <alignment vertical="center"/>
    </xf>
    <xf numFmtId="0" fontId="4" fillId="25" borderId="30" xfId="0" applyFont="1" applyFill="1" applyBorder="1" applyAlignment="1">
      <alignment horizontal="right" vertical="center"/>
    </xf>
    <xf numFmtId="43" fontId="16" fillId="21" borderId="14" xfId="1" applyFont="1" applyFill="1" applyBorder="1" applyAlignment="1" applyProtection="1">
      <alignment vertical="center"/>
    </xf>
    <xf numFmtId="0" fontId="4" fillId="22" borderId="35" xfId="0" applyFont="1" applyFill="1" applyBorder="1" applyAlignment="1">
      <alignment horizontal="center" vertical="center"/>
    </xf>
    <xf numFmtId="0" fontId="4" fillId="22" borderId="11" xfId="0" applyFont="1" applyFill="1" applyBorder="1" applyAlignment="1">
      <alignment horizontal="center" vertical="center" wrapText="1"/>
    </xf>
    <xf numFmtId="0" fontId="4" fillId="22" borderId="36" xfId="0" applyFont="1" applyFill="1" applyBorder="1" applyAlignment="1">
      <alignment horizontal="center" vertical="center" wrapText="1"/>
    </xf>
    <xf numFmtId="0" fontId="4" fillId="22" borderId="18" xfId="0" applyFont="1" applyFill="1" applyBorder="1" applyAlignment="1">
      <alignment horizontal="center" vertical="center"/>
    </xf>
    <xf numFmtId="0" fontId="4" fillId="22" borderId="8" xfId="0" applyFont="1" applyFill="1" applyBorder="1" applyAlignment="1">
      <alignment vertical="center"/>
    </xf>
    <xf numFmtId="9" fontId="11" fillId="22" borderId="8" xfId="2" quotePrefix="1" applyFont="1" applyFill="1" applyBorder="1" applyAlignment="1" applyProtection="1">
      <alignment vertical="center"/>
    </xf>
    <xf numFmtId="9" fontId="4" fillId="22" borderId="8" xfId="2" applyFont="1" applyFill="1" applyBorder="1" applyAlignment="1" applyProtection="1">
      <alignment vertical="center"/>
    </xf>
    <xf numFmtId="0" fontId="4" fillId="22" borderId="39" xfId="0" applyFont="1" applyFill="1" applyBorder="1" applyAlignment="1">
      <alignment horizontal="right" vertical="center"/>
    </xf>
    <xf numFmtId="43" fontId="4" fillId="22" borderId="16" xfId="1" applyFont="1" applyFill="1" applyBorder="1" applyAlignment="1" applyProtection="1">
      <alignment vertical="center"/>
    </xf>
    <xf numFmtId="0" fontId="4" fillId="22" borderId="39" xfId="0" quotePrefix="1" applyFont="1" applyFill="1" applyBorder="1" applyAlignment="1">
      <alignment vertical="center"/>
    </xf>
    <xf numFmtId="43" fontId="4" fillId="22" borderId="43" xfId="1" applyFont="1" applyFill="1" applyBorder="1" applyAlignment="1" applyProtection="1">
      <alignment vertical="center"/>
    </xf>
    <xf numFmtId="0" fontId="4" fillId="22" borderId="33" xfId="0" applyFont="1" applyFill="1" applyBorder="1" applyAlignment="1">
      <alignment horizontal="center" vertical="center"/>
    </xf>
    <xf numFmtId="0" fontId="4" fillId="22" borderId="16" xfId="0" applyFont="1" applyFill="1" applyBorder="1" applyAlignment="1">
      <alignment horizontal="right" vertical="center"/>
    </xf>
    <xf numFmtId="0" fontId="4" fillId="22" borderId="0" xfId="0" applyFont="1" applyFill="1" applyAlignment="1">
      <alignment vertical="center"/>
    </xf>
    <xf numFmtId="9" fontId="11" fillId="22" borderId="32" xfId="2" quotePrefix="1" applyFont="1" applyFill="1" applyBorder="1" applyAlignment="1" applyProtection="1">
      <alignment vertical="center"/>
    </xf>
    <xf numFmtId="2" fontId="4" fillId="22" borderId="32" xfId="0" applyNumberFormat="1" applyFont="1" applyFill="1" applyBorder="1" applyAlignment="1">
      <alignment vertical="center"/>
    </xf>
    <xf numFmtId="0" fontId="4" fillId="22" borderId="32" xfId="0" applyFont="1" applyFill="1" applyBorder="1" applyAlignment="1">
      <alignment vertical="center"/>
    </xf>
    <xf numFmtId="167" fontId="4" fillId="22" borderId="16" xfId="1" applyNumberFormat="1" applyFont="1" applyFill="1" applyBorder="1" applyAlignment="1" applyProtection="1">
      <alignment vertical="center"/>
    </xf>
    <xf numFmtId="43" fontId="17" fillId="20" borderId="47" xfId="1" applyFont="1" applyFill="1" applyBorder="1" applyAlignment="1" applyProtection="1">
      <alignment vertical="center"/>
    </xf>
    <xf numFmtId="0" fontId="4" fillId="23" borderId="35" xfId="0" applyFont="1" applyFill="1" applyBorder="1" applyAlignment="1">
      <alignment horizontal="center" vertical="center"/>
    </xf>
    <xf numFmtId="0" fontId="4" fillId="23" borderId="18" xfId="0" applyFont="1" applyFill="1" applyBorder="1" applyAlignment="1">
      <alignment horizontal="center" vertical="center"/>
    </xf>
    <xf numFmtId="0" fontId="4" fillId="23" borderId="8" xfId="0" applyFont="1" applyFill="1" applyBorder="1" applyAlignment="1">
      <alignment vertical="center"/>
    </xf>
    <xf numFmtId="9" fontId="11" fillId="23" borderId="8" xfId="2" quotePrefix="1" applyFont="1" applyFill="1" applyBorder="1" applyAlignment="1" applyProtection="1">
      <alignment vertical="center"/>
    </xf>
    <xf numFmtId="9" fontId="4" fillId="23" borderId="8" xfId="2" applyFont="1" applyFill="1" applyBorder="1" applyAlignment="1" applyProtection="1">
      <alignment vertical="center"/>
    </xf>
    <xf numFmtId="0" fontId="4" fillId="23" borderId="39" xfId="0" applyFont="1" applyFill="1" applyBorder="1" applyAlignment="1">
      <alignment horizontal="left" vertical="center"/>
    </xf>
    <xf numFmtId="43" fontId="4" fillId="23" borderId="16" xfId="1" applyFont="1" applyFill="1" applyBorder="1" applyAlignment="1" applyProtection="1">
      <alignment vertical="center"/>
    </xf>
    <xf numFmtId="0" fontId="4" fillId="23" borderId="39" xfId="0" quotePrefix="1" applyFont="1" applyFill="1" applyBorder="1" applyAlignment="1">
      <alignment vertical="center"/>
    </xf>
    <xf numFmtId="2" fontId="4" fillId="23" borderId="43" xfId="0" applyNumberFormat="1" applyFont="1" applyFill="1" applyBorder="1" applyAlignment="1">
      <alignment vertical="center"/>
    </xf>
    <xf numFmtId="0" fontId="4" fillId="23" borderId="19" xfId="0" applyFont="1" applyFill="1" applyBorder="1" applyAlignment="1">
      <alignment horizontal="center" vertical="center"/>
    </xf>
    <xf numFmtId="0" fontId="4" fillId="23" borderId="23" xfId="0" applyFont="1" applyFill="1" applyBorder="1" applyAlignment="1">
      <alignment vertical="center"/>
    </xf>
    <xf numFmtId="9" fontId="11" fillId="23" borderId="23" xfId="2" quotePrefix="1" applyFont="1" applyFill="1" applyBorder="1" applyAlignment="1" applyProtection="1">
      <alignment vertical="center"/>
    </xf>
    <xf numFmtId="9" fontId="4" fillId="23" borderId="23" xfId="2" applyFont="1" applyFill="1" applyBorder="1" applyAlignment="1" applyProtection="1">
      <alignment vertical="center"/>
    </xf>
    <xf numFmtId="0" fontId="4" fillId="23" borderId="20" xfId="0" applyFont="1" applyFill="1" applyBorder="1" applyAlignment="1">
      <alignment horizontal="left" vertical="center"/>
    </xf>
    <xf numFmtId="43" fontId="4" fillId="23" borderId="30" xfId="1" applyFont="1" applyFill="1" applyBorder="1" applyAlignment="1" applyProtection="1">
      <alignment vertical="center"/>
    </xf>
    <xf numFmtId="0" fontId="4" fillId="23" borderId="20" xfId="0" quotePrefix="1" applyFont="1" applyFill="1" applyBorder="1" applyAlignment="1">
      <alignment vertical="center"/>
    </xf>
    <xf numFmtId="2" fontId="4" fillId="23" borderId="26" xfId="0" applyNumberFormat="1" applyFont="1" applyFill="1" applyBorder="1" applyAlignment="1">
      <alignment vertical="center"/>
    </xf>
    <xf numFmtId="0" fontId="5" fillId="2" borderId="0" xfId="0" applyFont="1" applyFill="1" applyAlignment="1" applyProtection="1">
      <alignment horizontal="left" vertical="center"/>
      <protection locked="0"/>
    </xf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right" vertical="center"/>
      <protection locked="0"/>
    </xf>
    <xf numFmtId="0" fontId="10" fillId="0" borderId="0" xfId="0" applyFont="1" applyAlignment="1" applyProtection="1">
      <alignment vertical="center"/>
      <protection locked="0"/>
    </xf>
    <xf numFmtId="2" fontId="5" fillId="0" borderId="0" xfId="0" applyNumberFormat="1" applyFont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2" fillId="0" borderId="0" xfId="0" quotePrefix="1" applyFont="1" applyAlignment="1" applyProtection="1">
      <alignment vertical="center"/>
      <protection locked="0"/>
    </xf>
    <xf numFmtId="0" fontId="4" fillId="0" borderId="0" xfId="0" quotePrefix="1" applyFont="1" applyAlignment="1" applyProtection="1">
      <alignment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2" fontId="11" fillId="0" borderId="0" xfId="0" quotePrefix="1" applyNumberFormat="1" applyFont="1" applyAlignment="1" applyProtection="1">
      <alignment vertical="center"/>
      <protection locked="0"/>
    </xf>
    <xf numFmtId="167" fontId="4" fillId="0" borderId="0" xfId="1" applyNumberFormat="1" applyFont="1" applyFill="1" applyBorder="1" applyAlignment="1" applyProtection="1">
      <alignment vertical="center"/>
      <protection locked="0"/>
    </xf>
    <xf numFmtId="169" fontId="4" fillId="0" borderId="0" xfId="2" applyNumberFormat="1" applyFont="1" applyFill="1" applyBorder="1" applyAlignment="1" applyProtection="1">
      <alignment vertical="center"/>
      <protection locked="0"/>
    </xf>
    <xf numFmtId="0" fontId="11" fillId="0" borderId="0" xfId="0" applyFont="1" applyAlignment="1" applyProtection="1">
      <alignment vertical="center"/>
      <protection locked="0"/>
    </xf>
    <xf numFmtId="2" fontId="4" fillId="11" borderId="11" xfId="0" quotePrefix="1" applyNumberFormat="1" applyFont="1" applyFill="1" applyBorder="1" applyAlignment="1">
      <alignment vertical="center"/>
    </xf>
    <xf numFmtId="171" fontId="4" fillId="19" borderId="25" xfId="1" applyNumberFormat="1" applyFont="1" applyFill="1" applyBorder="1" applyAlignment="1" applyProtection="1">
      <alignment vertical="center"/>
    </xf>
    <xf numFmtId="171" fontId="4" fillId="25" borderId="25" xfId="1" applyNumberFormat="1" applyFont="1" applyFill="1" applyBorder="1" applyAlignment="1" applyProtection="1">
      <alignment vertical="center"/>
    </xf>
    <xf numFmtId="0" fontId="9" fillId="14" borderId="0" xfId="0" applyFont="1" applyFill="1" applyAlignment="1" applyProtection="1">
      <alignment horizontal="center" vertical="center"/>
      <protection locked="0"/>
    </xf>
    <xf numFmtId="2" fontId="19" fillId="11" borderId="44" xfId="0" applyNumberFormat="1" applyFont="1" applyFill="1" applyBorder="1" applyAlignment="1">
      <alignment vertical="center"/>
    </xf>
    <xf numFmtId="10" fontId="19" fillId="11" borderId="25" xfId="2" applyNumberFormat="1" applyFont="1" applyFill="1" applyBorder="1" applyAlignment="1" applyProtection="1">
      <alignment vertical="center"/>
    </xf>
    <xf numFmtId="2" fontId="4" fillId="23" borderId="36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1" fillId="0" borderId="0" xfId="0" applyFont="1" applyAlignment="1" applyProtection="1">
      <alignment vertical="center"/>
      <protection locked="0"/>
    </xf>
    <xf numFmtId="0" fontId="1" fillId="0" borderId="0" xfId="0" quotePrefix="1" applyFont="1" applyAlignment="1" applyProtection="1">
      <alignment vertical="center"/>
      <protection locked="0"/>
    </xf>
    <xf numFmtId="2" fontId="11" fillId="15" borderId="53" xfId="0" applyNumberFormat="1" applyFont="1" applyFill="1" applyBorder="1" applyAlignment="1">
      <alignment vertical="center"/>
    </xf>
    <xf numFmtId="43" fontId="11" fillId="15" borderId="31" xfId="1" applyFont="1" applyFill="1" applyBorder="1" applyAlignment="1" applyProtection="1">
      <alignment vertical="center"/>
    </xf>
    <xf numFmtId="0" fontId="8" fillId="17" borderId="12" xfId="0" applyFont="1" applyFill="1" applyBorder="1" applyAlignment="1">
      <alignment vertical="center"/>
    </xf>
    <xf numFmtId="0" fontId="8" fillId="17" borderId="13" xfId="0" applyFont="1" applyFill="1" applyBorder="1" applyAlignment="1">
      <alignment vertical="center"/>
    </xf>
    <xf numFmtId="0" fontId="5" fillId="17" borderId="15" xfId="0" applyFont="1" applyFill="1" applyBorder="1" applyAlignment="1">
      <alignment vertical="center"/>
    </xf>
    <xf numFmtId="0" fontId="5" fillId="17" borderId="0" xfId="0" applyFont="1" applyFill="1" applyAlignment="1">
      <alignment vertical="center"/>
    </xf>
    <xf numFmtId="0" fontId="4" fillId="23" borderId="11" xfId="0" applyFont="1" applyFill="1" applyBorder="1" applyAlignment="1">
      <alignment horizontal="center" vertical="center"/>
    </xf>
    <xf numFmtId="43" fontId="4" fillId="23" borderId="11" xfId="1" applyFont="1" applyFill="1" applyBorder="1" applyAlignment="1" applyProtection="1">
      <alignment horizontal="center" vertical="center"/>
    </xf>
    <xf numFmtId="167" fontId="4" fillId="23" borderId="11" xfId="1" applyNumberFormat="1" applyFont="1" applyFill="1" applyBorder="1" applyAlignment="1" applyProtection="1">
      <alignment horizontal="center" vertical="center"/>
    </xf>
    <xf numFmtId="2" fontId="4" fillId="23" borderId="11" xfId="0" applyNumberFormat="1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vertical="center" wrapText="1"/>
      <protection locked="0"/>
    </xf>
    <xf numFmtId="0" fontId="11" fillId="11" borderId="48" xfId="0" applyFont="1" applyFill="1" applyBorder="1" applyAlignment="1" applyProtection="1">
      <alignment vertical="center" wrapText="1"/>
      <protection locked="0"/>
    </xf>
    <xf numFmtId="0" fontId="11" fillId="11" borderId="49" xfId="0" applyFont="1" applyFill="1" applyBorder="1" applyAlignment="1" applyProtection="1">
      <alignment vertical="center" wrapText="1"/>
      <protection locked="0"/>
    </xf>
    <xf numFmtId="1" fontId="11" fillId="10" borderId="11" xfId="2" applyNumberFormat="1" applyFont="1" applyFill="1" applyBorder="1" applyAlignment="1" applyProtection="1">
      <alignment vertical="center"/>
      <protection locked="0"/>
    </xf>
    <xf numFmtId="0" fontId="11" fillId="0" borderId="5" xfId="0" applyFont="1" applyBorder="1" applyAlignment="1" applyProtection="1">
      <alignment horizontal="center" vertic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9" fontId="11" fillId="4" borderId="11" xfId="0" applyNumberFormat="1" applyFont="1" applyFill="1" applyBorder="1" applyAlignment="1" applyProtection="1">
      <alignment horizontal="center" vertical="center"/>
      <protection locked="0"/>
    </xf>
    <xf numFmtId="0" fontId="11" fillId="4" borderId="11" xfId="0" applyFont="1" applyFill="1" applyBorder="1" applyAlignment="1" applyProtection="1">
      <alignment vertical="center"/>
      <protection locked="0"/>
    </xf>
    <xf numFmtId="1" fontId="11" fillId="10" borderId="51" xfId="2" applyNumberFormat="1" applyFont="1" applyFill="1" applyBorder="1" applyAlignment="1" applyProtection="1">
      <alignment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21" fillId="12" borderId="11" xfId="0" applyFont="1" applyFill="1" applyBorder="1" applyAlignment="1" applyProtection="1">
      <alignment horizontal="center" vertical="center"/>
      <protection locked="0"/>
    </xf>
    <xf numFmtId="1" fontId="21" fillId="12" borderId="11" xfId="0" applyNumberFormat="1" applyFont="1" applyFill="1" applyBorder="1" applyAlignment="1" applyProtection="1">
      <alignment horizontal="center" vertical="center"/>
      <protection locked="0"/>
    </xf>
    <xf numFmtId="0" fontId="21" fillId="12" borderId="0" xfId="0" applyFont="1" applyFill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vertical="center"/>
      <protection locked="0"/>
    </xf>
    <xf numFmtId="0" fontId="11" fillId="0" borderId="11" xfId="0" applyFont="1" applyBorder="1" applyAlignment="1" applyProtection="1">
      <alignment horizontal="left" vertical="center"/>
      <protection locked="0"/>
    </xf>
    <xf numFmtId="165" fontId="4" fillId="0" borderId="11" xfId="0" applyNumberFormat="1" applyFont="1" applyBorder="1" applyAlignment="1" applyProtection="1">
      <alignment vertical="center"/>
      <protection locked="0"/>
    </xf>
    <xf numFmtId="2" fontId="4" fillId="0" borderId="11" xfId="1" applyNumberFormat="1" applyFont="1" applyFill="1" applyBorder="1" applyAlignment="1" applyProtection="1">
      <alignment vertical="center"/>
      <protection locked="0"/>
    </xf>
    <xf numFmtId="166" fontId="4" fillId="0" borderId="11" xfId="0" applyNumberFormat="1" applyFont="1" applyBorder="1" applyAlignment="1" applyProtection="1">
      <alignment horizontal="right" vertical="center"/>
      <protection locked="0"/>
    </xf>
    <xf numFmtId="1" fontId="4" fillId="0" borderId="11" xfId="0" applyNumberFormat="1" applyFont="1" applyBorder="1" applyAlignment="1" applyProtection="1">
      <alignment horizontal="right" vertical="center"/>
      <protection locked="0"/>
    </xf>
    <xf numFmtId="0" fontId="4" fillId="4" borderId="11" xfId="0" applyFont="1" applyFill="1" applyBorder="1" applyAlignment="1" applyProtection="1">
      <alignment vertical="center"/>
      <protection locked="0"/>
    </xf>
    <xf numFmtId="0" fontId="4" fillId="5" borderId="11" xfId="0" applyFont="1" applyFill="1" applyBorder="1" applyAlignment="1" applyProtection="1">
      <alignment vertical="center"/>
      <protection locked="0"/>
    </xf>
    <xf numFmtId="0" fontId="4" fillId="7" borderId="11" xfId="0" applyFont="1" applyFill="1" applyBorder="1" applyAlignment="1" applyProtection="1">
      <alignment vertical="center"/>
      <protection locked="0"/>
    </xf>
    <xf numFmtId="0" fontId="4" fillId="8" borderId="11" xfId="0" applyFont="1" applyFill="1" applyBorder="1" applyAlignment="1" applyProtection="1">
      <alignment vertical="center"/>
      <protection locked="0"/>
    </xf>
    <xf numFmtId="0" fontId="4" fillId="9" borderId="11" xfId="0" applyFont="1" applyFill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1" fontId="4" fillId="10" borderId="11" xfId="2" applyNumberFormat="1" applyFont="1" applyFill="1" applyBorder="1" applyAlignment="1" applyProtection="1">
      <alignment vertical="center"/>
      <protection locked="0"/>
    </xf>
    <xf numFmtId="2" fontId="4" fillId="11" borderId="11" xfId="0" applyNumberFormat="1" applyFont="1" applyFill="1" applyBorder="1" applyAlignment="1">
      <alignment vertical="center"/>
    </xf>
    <xf numFmtId="2" fontId="4" fillId="0" borderId="11" xfId="0" applyNumberFormat="1" applyFont="1" applyBorder="1" applyAlignment="1" applyProtection="1">
      <alignment vertical="center"/>
      <protection locked="0"/>
    </xf>
    <xf numFmtId="2" fontId="4" fillId="12" borderId="11" xfId="0" applyNumberFormat="1" applyFont="1" applyFill="1" applyBorder="1" applyAlignment="1" applyProtection="1">
      <alignment vertical="center"/>
      <protection locked="0"/>
    </xf>
    <xf numFmtId="171" fontId="4" fillId="0" borderId="11" xfId="1" applyNumberFormat="1" applyFont="1" applyFill="1" applyBorder="1" applyAlignment="1" applyProtection="1">
      <alignment vertical="center"/>
      <protection locked="0"/>
    </xf>
    <xf numFmtId="0" fontId="22" fillId="0" borderId="11" xfId="0" quotePrefix="1" applyFont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right" vertical="center"/>
      <protection locked="0"/>
    </xf>
    <xf numFmtId="0" fontId="4" fillId="11" borderId="11" xfId="0" applyFont="1" applyFill="1" applyBorder="1" applyAlignment="1">
      <alignment vertical="center"/>
    </xf>
    <xf numFmtId="0" fontId="4" fillId="11" borderId="11" xfId="0" applyFont="1" applyFill="1" applyBorder="1" applyAlignment="1" applyProtection="1">
      <alignment vertical="center"/>
      <protection locked="0"/>
    </xf>
    <xf numFmtId="0" fontId="4" fillId="12" borderId="11" xfId="0" applyFont="1" applyFill="1" applyBorder="1" applyAlignment="1" applyProtection="1">
      <alignment vertical="center"/>
      <protection locked="0"/>
    </xf>
    <xf numFmtId="2" fontId="4" fillId="11" borderId="11" xfId="0" applyNumberFormat="1" applyFont="1" applyFill="1" applyBorder="1" applyAlignment="1" applyProtection="1">
      <alignment vertical="center"/>
      <protection locked="0"/>
    </xf>
    <xf numFmtId="0" fontId="11" fillId="3" borderId="9" xfId="0" applyFont="1" applyFill="1" applyBorder="1" applyAlignment="1" applyProtection="1">
      <alignment horizontal="center" vertical="center"/>
      <protection locked="0"/>
    </xf>
    <xf numFmtId="171" fontId="11" fillId="3" borderId="10" xfId="1" applyNumberFormat="1" applyFont="1" applyFill="1" applyBorder="1" applyAlignment="1" applyProtection="1">
      <alignment horizontal="center" vertical="center"/>
      <protection locked="0"/>
    </xf>
    <xf numFmtId="0" fontId="11" fillId="3" borderId="10" xfId="0" applyFont="1" applyFill="1" applyBorder="1" applyAlignment="1" applyProtection="1">
      <alignment horizontal="center" vertical="center"/>
      <protection locked="0"/>
    </xf>
    <xf numFmtId="1" fontId="11" fillId="3" borderId="10" xfId="0" applyNumberFormat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 applyProtection="1">
      <alignment horizontal="center" vertical="center" wrapText="1"/>
      <protection locked="0"/>
    </xf>
    <xf numFmtId="0" fontId="11" fillId="11" borderId="2" xfId="0" applyFont="1" applyFill="1" applyBorder="1" applyAlignment="1" applyProtection="1">
      <alignment horizontal="center" vertical="center" wrapText="1"/>
      <protection locked="0"/>
    </xf>
    <xf numFmtId="0" fontId="11" fillId="11" borderId="3" xfId="0" applyFont="1" applyFill="1" applyBorder="1" applyAlignment="1" applyProtection="1">
      <alignment horizontal="center" vertical="center" wrapText="1"/>
      <protection locked="0"/>
    </xf>
    <xf numFmtId="0" fontId="23" fillId="12" borderId="11" xfId="0" applyFont="1" applyFill="1" applyBorder="1" applyAlignment="1" applyProtection="1">
      <alignment horizontal="center" vertical="center"/>
      <protection locked="0"/>
    </xf>
    <xf numFmtId="0" fontId="24" fillId="0" borderId="11" xfId="0" applyFont="1" applyBorder="1" applyAlignment="1" applyProtection="1">
      <alignment vertical="center"/>
      <protection locked="0"/>
    </xf>
    <xf numFmtId="172" fontId="4" fillId="4" borderId="11" xfId="1" applyNumberFormat="1" applyFont="1" applyFill="1" applyBorder="1" applyAlignment="1" applyProtection="1">
      <alignment vertical="center"/>
      <protection locked="0"/>
    </xf>
    <xf numFmtId="172" fontId="4" fillId="10" borderId="11" xfId="1" applyNumberFormat="1" applyFont="1" applyFill="1" applyBorder="1" applyAlignment="1" applyProtection="1">
      <alignment vertical="center"/>
      <protection locked="0"/>
    </xf>
    <xf numFmtId="0" fontId="4" fillId="0" borderId="11" xfId="0" applyFont="1" applyBorder="1" applyAlignment="1" applyProtection="1">
      <alignment horizontal="center" vertical="center"/>
      <protection locked="0"/>
    </xf>
    <xf numFmtId="0" fontId="24" fillId="0" borderId="11" xfId="0" applyFont="1" applyBorder="1" applyAlignment="1" applyProtection="1">
      <alignment horizontal="right" vertical="center"/>
      <protection locked="0"/>
    </xf>
    <xf numFmtId="9" fontId="11" fillId="25" borderId="11" xfId="0" applyNumberFormat="1" applyFont="1" applyFill="1" applyBorder="1" applyAlignment="1" applyProtection="1">
      <alignment horizontal="center" vertical="center"/>
      <protection locked="0"/>
    </xf>
    <xf numFmtId="0" fontId="11" fillId="25" borderId="11" xfId="0" applyFont="1" applyFill="1" applyBorder="1" applyAlignment="1" applyProtection="1">
      <alignment vertical="center"/>
      <protection locked="0"/>
    </xf>
    <xf numFmtId="0" fontId="21" fillId="25" borderId="11" xfId="0" applyFont="1" applyFill="1" applyBorder="1" applyAlignment="1" applyProtection="1">
      <alignment horizontal="center" vertical="center"/>
      <protection locked="0"/>
    </xf>
    <xf numFmtId="172" fontId="4" fillId="25" borderId="11" xfId="1" applyNumberFormat="1" applyFont="1" applyFill="1" applyBorder="1" applyAlignment="1" applyProtection="1">
      <alignment vertical="center"/>
      <protection locked="0"/>
    </xf>
    <xf numFmtId="9" fontId="11" fillId="27" borderId="11" xfId="0" applyNumberFormat="1" applyFont="1" applyFill="1" applyBorder="1" applyAlignment="1" applyProtection="1">
      <alignment horizontal="center" vertical="center"/>
      <protection locked="0"/>
    </xf>
    <xf numFmtId="0" fontId="11" fillId="27" borderId="11" xfId="0" applyFont="1" applyFill="1" applyBorder="1" applyAlignment="1" applyProtection="1">
      <alignment vertical="center"/>
      <protection locked="0"/>
    </xf>
    <xf numFmtId="0" fontId="21" fillId="27" borderId="11" xfId="0" applyFont="1" applyFill="1" applyBorder="1" applyAlignment="1" applyProtection="1">
      <alignment horizontal="center" vertical="center"/>
      <protection locked="0"/>
    </xf>
    <xf numFmtId="172" fontId="4" fillId="27" borderId="11" xfId="1" applyNumberFormat="1" applyFont="1" applyFill="1" applyBorder="1" applyAlignment="1" applyProtection="1">
      <alignment vertical="center"/>
      <protection locked="0"/>
    </xf>
    <xf numFmtId="0" fontId="4" fillId="0" borderId="50" xfId="0" applyFont="1" applyBorder="1" applyAlignment="1" applyProtection="1">
      <alignment horizontal="center" vertical="center"/>
      <protection locked="0"/>
    </xf>
    <xf numFmtId="0" fontId="4" fillId="0" borderId="50" xfId="0" applyFont="1" applyBorder="1" applyAlignment="1" applyProtection="1">
      <alignment vertical="center"/>
      <protection locked="0"/>
    </xf>
    <xf numFmtId="0" fontId="24" fillId="0" borderId="50" xfId="0" applyFont="1" applyBorder="1" applyAlignment="1" applyProtection="1">
      <alignment vertical="center"/>
      <protection locked="0"/>
    </xf>
    <xf numFmtId="0" fontId="4" fillId="0" borderId="50" xfId="0" applyFont="1" applyBorder="1" applyAlignment="1" applyProtection="1">
      <alignment horizontal="right" vertical="center"/>
      <protection locked="0"/>
    </xf>
    <xf numFmtId="172" fontId="4" fillId="4" borderId="50" xfId="1" applyNumberFormat="1" applyFont="1" applyFill="1" applyBorder="1" applyAlignment="1" applyProtection="1">
      <alignment vertical="center"/>
      <protection locked="0"/>
    </xf>
    <xf numFmtId="172" fontId="4" fillId="27" borderId="50" xfId="1" applyNumberFormat="1" applyFont="1" applyFill="1" applyBorder="1" applyAlignment="1" applyProtection="1">
      <alignment vertical="center"/>
      <protection locked="0"/>
    </xf>
    <xf numFmtId="172" fontId="4" fillId="25" borderId="50" xfId="1" applyNumberFormat="1" applyFont="1" applyFill="1" applyBorder="1" applyAlignment="1" applyProtection="1">
      <alignment vertical="center"/>
      <protection locked="0"/>
    </xf>
    <xf numFmtId="172" fontId="4" fillId="10" borderId="50" xfId="1" applyNumberFormat="1" applyFont="1" applyFill="1" applyBorder="1" applyAlignment="1" applyProtection="1">
      <alignment vertical="center"/>
      <protection locked="0"/>
    </xf>
    <xf numFmtId="2" fontId="4" fillId="11" borderId="50" xfId="0" applyNumberFormat="1" applyFont="1" applyFill="1" applyBorder="1" applyAlignment="1">
      <alignment vertical="center"/>
    </xf>
    <xf numFmtId="2" fontId="4" fillId="11" borderId="50" xfId="0" quotePrefix="1" applyNumberFormat="1" applyFont="1" applyFill="1" applyBorder="1" applyAlignment="1">
      <alignment vertical="center"/>
    </xf>
    <xf numFmtId="2" fontId="4" fillId="0" borderId="50" xfId="0" applyNumberFormat="1" applyFont="1" applyBorder="1" applyAlignment="1" applyProtection="1">
      <alignment vertical="center"/>
      <protection locked="0"/>
    </xf>
    <xf numFmtId="2" fontId="4" fillId="12" borderId="50" xfId="0" applyNumberFormat="1" applyFont="1" applyFill="1" applyBorder="1" applyAlignment="1" applyProtection="1">
      <alignment vertical="center"/>
      <protection locked="0"/>
    </xf>
    <xf numFmtId="171" fontId="4" fillId="0" borderId="50" xfId="1" applyNumberFormat="1" applyFont="1" applyFill="1" applyBorder="1" applyAlignment="1" applyProtection="1">
      <alignment vertical="center"/>
      <protection locked="0"/>
    </xf>
    <xf numFmtId="0" fontId="4" fillId="0" borderId="51" xfId="0" applyFont="1" applyBorder="1" applyAlignment="1" applyProtection="1">
      <alignment horizontal="center" vertical="center"/>
      <protection locked="0"/>
    </xf>
    <xf numFmtId="0" fontId="4" fillId="0" borderId="51" xfId="0" applyFont="1" applyBorder="1" applyAlignment="1" applyProtection="1">
      <alignment vertical="center"/>
      <protection locked="0"/>
    </xf>
    <xf numFmtId="0" fontId="24" fillId="0" borderId="51" xfId="0" applyFont="1" applyBorder="1" applyAlignment="1" applyProtection="1">
      <alignment vertical="center"/>
      <protection locked="0"/>
    </xf>
    <xf numFmtId="0" fontId="4" fillId="0" borderId="51" xfId="0" applyFont="1" applyBorder="1" applyAlignment="1" applyProtection="1">
      <alignment horizontal="right" vertical="center"/>
      <protection locked="0"/>
    </xf>
    <xf numFmtId="0" fontId="4" fillId="4" borderId="51" xfId="0" applyFont="1" applyFill="1" applyBorder="1" applyAlignment="1" applyProtection="1">
      <alignment vertical="center"/>
      <protection locked="0"/>
    </xf>
    <xf numFmtId="0" fontId="4" fillId="5" borderId="51" xfId="0" applyFont="1" applyFill="1" applyBorder="1" applyAlignment="1" applyProtection="1">
      <alignment vertical="center"/>
      <protection locked="0"/>
    </xf>
    <xf numFmtId="0" fontId="4" fillId="7" borderId="51" xfId="0" applyFont="1" applyFill="1" applyBorder="1" applyAlignment="1" applyProtection="1">
      <alignment vertical="center"/>
      <protection locked="0"/>
    </xf>
    <xf numFmtId="0" fontId="4" fillId="8" borderId="51" xfId="0" applyFont="1" applyFill="1" applyBorder="1" applyAlignment="1" applyProtection="1">
      <alignment vertical="center"/>
      <protection locked="0"/>
    </xf>
    <xf numFmtId="0" fontId="4" fillId="9" borderId="51" xfId="0" applyFont="1" applyFill="1" applyBorder="1" applyAlignment="1" applyProtection="1">
      <alignment vertical="center"/>
      <protection locked="0"/>
    </xf>
    <xf numFmtId="0" fontId="4" fillId="10" borderId="51" xfId="0" applyFont="1" applyFill="1" applyBorder="1" applyAlignment="1" applyProtection="1">
      <alignment vertical="center"/>
      <protection locked="0"/>
    </xf>
    <xf numFmtId="1" fontId="4" fillId="10" borderId="51" xfId="2" applyNumberFormat="1" applyFont="1" applyFill="1" applyBorder="1" applyAlignment="1" applyProtection="1">
      <alignment vertical="center"/>
      <protection locked="0"/>
    </xf>
    <xf numFmtId="2" fontId="4" fillId="11" borderId="51" xfId="0" applyNumberFormat="1" applyFont="1" applyFill="1" applyBorder="1" applyAlignment="1">
      <alignment vertical="center"/>
    </xf>
    <xf numFmtId="0" fontId="4" fillId="11" borderId="51" xfId="0" applyFont="1" applyFill="1" applyBorder="1" applyAlignment="1">
      <alignment vertical="center"/>
    </xf>
    <xf numFmtId="0" fontId="4" fillId="11" borderId="51" xfId="0" applyFont="1" applyFill="1" applyBorder="1" applyAlignment="1" applyProtection="1">
      <alignment vertical="center"/>
      <protection locked="0"/>
    </xf>
    <xf numFmtId="0" fontId="4" fillId="12" borderId="51" xfId="0" applyFont="1" applyFill="1" applyBorder="1" applyAlignment="1" applyProtection="1">
      <alignment vertical="center"/>
      <protection locked="0"/>
    </xf>
    <xf numFmtId="0" fontId="24" fillId="0" borderId="0" xfId="0" applyFont="1" applyAlignment="1" applyProtection="1">
      <alignment vertical="center"/>
      <protection locked="0"/>
    </xf>
    <xf numFmtId="172" fontId="4" fillId="0" borderId="0" xfId="1" applyNumberFormat="1" applyFont="1" applyFill="1" applyBorder="1" applyAlignment="1" applyProtection="1">
      <alignment vertical="center"/>
      <protection locked="0"/>
    </xf>
    <xf numFmtId="2" fontId="4" fillId="0" borderId="0" xfId="0" applyNumberFormat="1" applyFont="1" applyAlignment="1">
      <alignment vertical="center"/>
    </xf>
    <xf numFmtId="2" fontId="4" fillId="0" borderId="0" xfId="0" quotePrefix="1" applyNumberFormat="1" applyFont="1" applyAlignment="1">
      <alignment vertical="center"/>
    </xf>
    <xf numFmtId="171" fontId="4" fillId="0" borderId="0" xfId="1" applyNumberFormat="1" applyFont="1" applyFill="1" applyBorder="1" applyAlignment="1" applyProtection="1">
      <alignment vertical="center"/>
      <protection locked="0"/>
    </xf>
    <xf numFmtId="1" fontId="4" fillId="0" borderId="0" xfId="2" applyNumberFormat="1" applyFont="1" applyFill="1" applyBorder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22" fillId="0" borderId="0" xfId="0" applyFont="1" applyAlignment="1" applyProtection="1">
      <alignment vertical="center"/>
      <protection locked="0"/>
    </xf>
    <xf numFmtId="0" fontId="11" fillId="3" borderId="59" xfId="0" applyFont="1" applyFill="1" applyBorder="1" applyAlignment="1" applyProtection="1">
      <alignment horizontal="center" vertical="center"/>
      <protection locked="0"/>
    </xf>
    <xf numFmtId="9" fontId="11" fillId="29" borderId="11" xfId="0" applyNumberFormat="1" applyFont="1" applyFill="1" applyBorder="1" applyAlignment="1" applyProtection="1">
      <alignment horizontal="center" vertical="center"/>
      <protection locked="0"/>
    </xf>
    <xf numFmtId="0" fontId="11" fillId="29" borderId="11" xfId="0" applyFont="1" applyFill="1" applyBorder="1" applyAlignment="1" applyProtection="1">
      <alignment vertical="center"/>
      <protection locked="0"/>
    </xf>
    <xf numFmtId="0" fontId="21" fillId="29" borderId="11" xfId="0" applyFont="1" applyFill="1" applyBorder="1" applyAlignment="1" applyProtection="1">
      <alignment horizontal="center" vertical="center"/>
      <protection locked="0"/>
    </xf>
    <xf numFmtId="172" fontId="4" fillId="29" borderId="11" xfId="1" applyNumberFormat="1" applyFont="1" applyFill="1" applyBorder="1" applyAlignment="1" applyProtection="1">
      <alignment vertical="center"/>
      <protection locked="0"/>
    </xf>
    <xf numFmtId="172" fontId="4" fillId="29" borderId="50" xfId="1" applyNumberFormat="1" applyFont="1" applyFill="1" applyBorder="1" applyAlignment="1" applyProtection="1">
      <alignment vertical="center"/>
      <protection locked="0"/>
    </xf>
    <xf numFmtId="9" fontId="11" fillId="30" borderId="11" xfId="0" applyNumberFormat="1" applyFont="1" applyFill="1" applyBorder="1" applyAlignment="1" applyProtection="1">
      <alignment horizontal="center" vertical="center"/>
      <protection locked="0"/>
    </xf>
    <xf numFmtId="0" fontId="11" fillId="30" borderId="11" xfId="0" applyFont="1" applyFill="1" applyBorder="1" applyAlignment="1" applyProtection="1">
      <alignment vertical="center"/>
      <protection locked="0"/>
    </xf>
    <xf numFmtId="0" fontId="21" fillId="30" borderId="11" xfId="0" applyFont="1" applyFill="1" applyBorder="1" applyAlignment="1" applyProtection="1">
      <alignment horizontal="center" vertical="center"/>
      <protection locked="0"/>
    </xf>
    <xf numFmtId="172" fontId="4" fillId="30" borderId="11" xfId="1" applyNumberFormat="1" applyFont="1" applyFill="1" applyBorder="1" applyAlignment="1" applyProtection="1">
      <alignment vertical="center"/>
      <protection locked="0"/>
    </xf>
    <xf numFmtId="172" fontId="4" fillId="30" borderId="50" xfId="1" applyNumberFormat="1" applyFont="1" applyFill="1" applyBorder="1" applyAlignment="1" applyProtection="1">
      <alignment vertical="center"/>
      <protection locked="0"/>
    </xf>
    <xf numFmtId="9" fontId="11" fillId="31" borderId="11" xfId="0" applyNumberFormat="1" applyFont="1" applyFill="1" applyBorder="1" applyAlignment="1" applyProtection="1">
      <alignment horizontal="center" vertical="center"/>
      <protection locked="0"/>
    </xf>
    <xf numFmtId="0" fontId="11" fillId="31" borderId="11" xfId="0" applyFont="1" applyFill="1" applyBorder="1" applyAlignment="1" applyProtection="1">
      <alignment vertical="center"/>
      <protection locked="0"/>
    </xf>
    <xf numFmtId="0" fontId="21" fillId="31" borderId="11" xfId="0" applyFont="1" applyFill="1" applyBorder="1" applyAlignment="1" applyProtection="1">
      <alignment horizontal="center" vertical="center"/>
      <protection locked="0"/>
    </xf>
    <xf numFmtId="172" fontId="4" fillId="31" borderId="11" xfId="1" applyNumberFormat="1" applyFont="1" applyFill="1" applyBorder="1" applyAlignment="1" applyProtection="1">
      <alignment vertical="center"/>
      <protection locked="0"/>
    </xf>
    <xf numFmtId="172" fontId="4" fillId="31" borderId="50" xfId="1" applyNumberFormat="1" applyFont="1" applyFill="1" applyBorder="1" applyAlignment="1" applyProtection="1">
      <alignment vertical="center"/>
      <protection locked="0"/>
    </xf>
    <xf numFmtId="0" fontId="4" fillId="25" borderId="5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16" fillId="21" borderId="12" xfId="0" applyFont="1" applyFill="1" applyBorder="1" applyAlignment="1">
      <alignment horizontal="left" vertical="center"/>
    </xf>
    <xf numFmtId="0" fontId="16" fillId="21" borderId="13" xfId="0" applyFont="1" applyFill="1" applyBorder="1" applyAlignment="1">
      <alignment horizontal="left" vertical="center"/>
    </xf>
    <xf numFmtId="0" fontId="16" fillId="21" borderId="40" xfId="0" applyFont="1" applyFill="1" applyBorder="1" applyAlignment="1">
      <alignment horizontal="left" vertical="center"/>
    </xf>
    <xf numFmtId="0" fontId="4" fillId="22" borderId="5" xfId="0" applyFont="1" applyFill="1" applyBorder="1" applyAlignment="1">
      <alignment horizontal="center" vertical="center"/>
    </xf>
    <xf numFmtId="0" fontId="4" fillId="22" borderId="6" xfId="0" applyFont="1" applyFill="1" applyBorder="1" applyAlignment="1">
      <alignment horizontal="center" vertical="center"/>
    </xf>
    <xf numFmtId="0" fontId="16" fillId="20" borderId="45" xfId="0" applyFont="1" applyFill="1" applyBorder="1" applyAlignment="1">
      <alignment horizontal="left" vertical="center"/>
    </xf>
    <xf numFmtId="0" fontId="16" fillId="20" borderId="21" xfId="0" applyFont="1" applyFill="1" applyBorder="1" applyAlignment="1">
      <alignment horizontal="left" vertical="center"/>
    </xf>
    <xf numFmtId="0" fontId="16" fillId="20" borderId="46" xfId="0" applyFont="1" applyFill="1" applyBorder="1" applyAlignment="1">
      <alignment horizontal="left" vertical="center"/>
    </xf>
    <xf numFmtId="0" fontId="4" fillId="23" borderId="5" xfId="0" applyFont="1" applyFill="1" applyBorder="1" applyAlignment="1">
      <alignment horizontal="center" vertical="center"/>
    </xf>
    <xf numFmtId="0" fontId="4" fillId="23" borderId="6" xfId="0" applyFont="1" applyFill="1" applyBorder="1" applyAlignment="1">
      <alignment horizontal="center" vertical="center"/>
    </xf>
    <xf numFmtId="0" fontId="4" fillId="23" borderId="7" xfId="0" applyFont="1" applyFill="1" applyBorder="1" applyAlignment="1">
      <alignment horizontal="center" vertical="center"/>
    </xf>
    <xf numFmtId="0" fontId="5" fillId="0" borderId="0" xfId="0" applyFont="1" applyAlignment="1" applyProtection="1">
      <alignment horizontal="left" vertical="center" wrapText="1"/>
      <protection locked="0"/>
    </xf>
    <xf numFmtId="0" fontId="16" fillId="24" borderId="45" xfId="0" applyFont="1" applyFill="1" applyBorder="1" applyAlignment="1">
      <alignment horizontal="left" vertical="center"/>
    </xf>
    <xf numFmtId="0" fontId="16" fillId="24" borderId="21" xfId="0" applyFont="1" applyFill="1" applyBorder="1" applyAlignment="1">
      <alignment horizontal="left" vertical="center"/>
    </xf>
    <xf numFmtId="0" fontId="16" fillId="24" borderId="46" xfId="0" applyFont="1" applyFill="1" applyBorder="1" applyAlignment="1">
      <alignment horizontal="left" vertical="center"/>
    </xf>
    <xf numFmtId="0" fontId="6" fillId="2" borderId="0" xfId="0" applyFont="1" applyFill="1" applyAlignment="1" applyProtection="1">
      <alignment horizontal="right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9" fillId="16" borderId="35" xfId="0" applyFont="1" applyFill="1" applyBorder="1" applyAlignment="1">
      <alignment horizontal="center" vertical="center"/>
    </xf>
    <xf numFmtId="0" fontId="9" fillId="16" borderId="11" xfId="0" applyFont="1" applyFill="1" applyBorder="1" applyAlignment="1">
      <alignment horizontal="center" vertical="center"/>
    </xf>
    <xf numFmtId="0" fontId="9" fillId="16" borderId="5" xfId="0" applyFont="1" applyFill="1" applyBorder="1" applyAlignment="1">
      <alignment horizontal="center" vertical="center"/>
    </xf>
    <xf numFmtId="168" fontId="9" fillId="17" borderId="0" xfId="0" applyNumberFormat="1" applyFont="1" applyFill="1" applyAlignment="1">
      <alignment horizontal="center" vertical="center"/>
    </xf>
    <xf numFmtId="0" fontId="16" fillId="18" borderId="12" xfId="0" applyFont="1" applyFill="1" applyBorder="1" applyAlignment="1">
      <alignment horizontal="left" vertical="center" wrapText="1"/>
    </xf>
    <xf numFmtId="0" fontId="16" fillId="18" borderId="13" xfId="0" applyFont="1" applyFill="1" applyBorder="1" applyAlignment="1">
      <alignment horizontal="left" vertical="center" wrapText="1"/>
    </xf>
    <xf numFmtId="0" fontId="4" fillId="19" borderId="5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15" fillId="0" borderId="0" xfId="0" applyFont="1" applyAlignment="1" applyProtection="1">
      <alignment horizontal="center" vertical="center"/>
      <protection locked="0"/>
    </xf>
    <xf numFmtId="2" fontId="10" fillId="14" borderId="12" xfId="0" applyNumberFormat="1" applyFont="1" applyFill="1" applyBorder="1" applyAlignment="1">
      <alignment horizontal="center" vertical="center"/>
    </xf>
    <xf numFmtId="2" fontId="10" fillId="14" borderId="14" xfId="0" applyNumberFormat="1" applyFont="1" applyFill="1" applyBorder="1" applyAlignment="1">
      <alignment horizontal="center" vertical="center"/>
    </xf>
    <xf numFmtId="2" fontId="10" fillId="14" borderId="56" xfId="0" applyNumberFormat="1" applyFont="1" applyFill="1" applyBorder="1" applyAlignment="1">
      <alignment horizontal="center" vertical="center"/>
    </xf>
    <xf numFmtId="2" fontId="10" fillId="14" borderId="57" xfId="0" applyNumberFormat="1" applyFont="1" applyFill="1" applyBorder="1" applyAlignment="1">
      <alignment horizontal="center" vertical="center"/>
    </xf>
    <xf numFmtId="0" fontId="11" fillId="28" borderId="58" xfId="0" applyFont="1" applyFill="1" applyBorder="1" applyAlignment="1" applyProtection="1">
      <alignment horizontal="center" vertical="center"/>
      <protection locked="0"/>
    </xf>
    <xf numFmtId="0" fontId="11" fillId="28" borderId="6" xfId="0" applyFont="1" applyFill="1" applyBorder="1" applyAlignment="1" applyProtection="1">
      <alignment horizontal="center" vertical="center"/>
      <protection locked="0"/>
    </xf>
    <xf numFmtId="0" fontId="11" fillId="28" borderId="7" xfId="0" applyFont="1" applyFill="1" applyBorder="1" applyAlignment="1" applyProtection="1">
      <alignment horizontal="center" vertical="center"/>
      <protection locked="0"/>
    </xf>
    <xf numFmtId="0" fontId="11" fillId="3" borderId="11" xfId="0" applyFont="1" applyFill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/>
      <protection locked="0"/>
    </xf>
    <xf numFmtId="0" fontId="11" fillId="0" borderId="11" xfId="0" applyFont="1" applyBorder="1" applyAlignment="1" applyProtection="1">
      <alignment horizontal="center" vertical="center" wrapText="1"/>
      <protection locked="0"/>
    </xf>
    <xf numFmtId="0" fontId="25" fillId="18" borderId="11" xfId="0" applyFont="1" applyFill="1" applyBorder="1" applyAlignment="1" applyProtection="1">
      <alignment horizontal="center" vertical="center"/>
      <protection locked="0"/>
    </xf>
    <xf numFmtId="0" fontId="11" fillId="4" borderId="11" xfId="0" applyFont="1" applyFill="1" applyBorder="1" applyAlignment="1" applyProtection="1">
      <alignment horizontal="center" vertical="center"/>
      <protection locked="0"/>
    </xf>
    <xf numFmtId="166" fontId="11" fillId="0" borderId="11" xfId="0" applyNumberFormat="1" applyFont="1" applyBorder="1" applyAlignment="1" applyProtection="1">
      <alignment horizontal="center" vertical="center" wrapText="1"/>
      <protection locked="0"/>
    </xf>
    <xf numFmtId="0" fontId="11" fillId="0" borderId="51" xfId="0" applyFont="1" applyBorder="1" applyAlignment="1" applyProtection="1">
      <alignment horizontal="center" vertical="center"/>
      <protection locked="0"/>
    </xf>
    <xf numFmtId="0" fontId="11" fillId="6" borderId="5" xfId="0" applyFont="1" applyFill="1" applyBorder="1" applyAlignment="1" applyProtection="1">
      <alignment horizontal="center" vertical="center"/>
      <protection locked="0"/>
    </xf>
    <xf numFmtId="0" fontId="11" fillId="6" borderId="6" xfId="0" applyFont="1" applyFill="1" applyBorder="1" applyAlignment="1" applyProtection="1">
      <alignment horizontal="center" vertical="center"/>
      <protection locked="0"/>
    </xf>
    <xf numFmtId="0" fontId="11" fillId="6" borderId="7" xfId="0" applyFont="1" applyFill="1" applyBorder="1" applyAlignment="1" applyProtection="1">
      <alignment horizontal="center" vertical="center"/>
      <protection locked="0"/>
    </xf>
    <xf numFmtId="0" fontId="11" fillId="27" borderId="11" xfId="0" applyFont="1" applyFill="1" applyBorder="1" applyAlignment="1" applyProtection="1">
      <alignment horizontal="center" vertical="center"/>
      <protection locked="0"/>
    </xf>
    <xf numFmtId="9" fontId="11" fillId="27" borderId="11" xfId="0" applyNumberFormat="1" applyFont="1" applyFill="1" applyBorder="1" applyAlignment="1" applyProtection="1">
      <alignment horizontal="center" vertical="center"/>
      <protection locked="0"/>
    </xf>
    <xf numFmtId="9" fontId="11" fillId="4" borderId="11" xfId="0" applyNumberFormat="1" applyFont="1" applyFill="1" applyBorder="1" applyAlignment="1" applyProtection="1">
      <alignment horizontal="center" vertical="center"/>
      <protection locked="0"/>
    </xf>
    <xf numFmtId="0" fontId="11" fillId="27" borderId="5" xfId="0" applyFont="1" applyFill="1" applyBorder="1" applyAlignment="1" applyProtection="1">
      <alignment horizontal="center" vertical="center"/>
      <protection locked="0"/>
    </xf>
    <xf numFmtId="0" fontId="11" fillId="27" borderId="6" xfId="0" applyFont="1" applyFill="1" applyBorder="1" applyAlignment="1" applyProtection="1">
      <alignment horizontal="center" vertical="center"/>
      <protection locked="0"/>
    </xf>
    <xf numFmtId="0" fontId="11" fillId="27" borderId="7" xfId="0" applyFont="1" applyFill="1" applyBorder="1" applyAlignment="1" applyProtection="1">
      <alignment horizontal="center" vertical="center"/>
      <protection locked="0"/>
    </xf>
    <xf numFmtId="0" fontId="11" fillId="29" borderId="11" xfId="0" applyFont="1" applyFill="1" applyBorder="1" applyAlignment="1" applyProtection="1">
      <alignment horizontal="center" vertical="center"/>
      <protection locked="0"/>
    </xf>
    <xf numFmtId="0" fontId="11" fillId="29" borderId="11" xfId="0" applyFont="1" applyFill="1" applyBorder="1" applyAlignment="1" applyProtection="1">
      <alignment horizontal="center" vertical="center" wrapText="1"/>
      <protection locked="0"/>
    </xf>
    <xf numFmtId="0" fontId="11" fillId="11" borderId="50" xfId="0" applyFont="1" applyFill="1" applyBorder="1" applyAlignment="1" applyProtection="1">
      <alignment horizontal="center" vertical="center" wrapText="1"/>
      <protection locked="0"/>
    </xf>
    <xf numFmtId="0" fontId="11" fillId="11" borderId="51" xfId="0" applyFont="1" applyFill="1" applyBorder="1" applyAlignment="1" applyProtection="1">
      <alignment horizontal="center" vertical="center" wrapText="1"/>
      <protection locked="0"/>
    </xf>
    <xf numFmtId="0" fontId="11" fillId="0" borderId="50" xfId="0" applyFont="1" applyBorder="1" applyAlignment="1" applyProtection="1">
      <alignment horizontal="center" vertical="center" wrapText="1"/>
      <protection locked="0"/>
    </xf>
    <xf numFmtId="0" fontId="11" fillId="0" borderId="51" xfId="0" applyFont="1" applyBorder="1" applyAlignment="1" applyProtection="1">
      <alignment horizontal="center" vertical="center" wrapText="1"/>
      <protection locked="0"/>
    </xf>
    <xf numFmtId="0" fontId="11" fillId="11" borderId="2" xfId="0" applyFont="1" applyFill="1" applyBorder="1" applyAlignment="1" applyProtection="1">
      <alignment horizontal="center" vertical="center" wrapText="1"/>
      <protection locked="0"/>
    </xf>
    <xf numFmtId="0" fontId="11" fillId="11" borderId="48" xfId="0" applyFont="1" applyFill="1" applyBorder="1" applyAlignment="1" applyProtection="1">
      <alignment horizontal="center" vertical="center" wrapText="1"/>
      <protection locked="0"/>
    </xf>
    <xf numFmtId="0" fontId="11" fillId="31" borderId="5" xfId="0" applyFont="1" applyFill="1" applyBorder="1" applyAlignment="1" applyProtection="1">
      <alignment horizontal="center" vertical="center"/>
      <protection locked="0"/>
    </xf>
    <xf numFmtId="0" fontId="11" fillId="31" borderId="6" xfId="0" applyFont="1" applyFill="1" applyBorder="1" applyAlignment="1" applyProtection="1">
      <alignment horizontal="center" vertical="center"/>
      <protection locked="0"/>
    </xf>
    <xf numFmtId="0" fontId="11" fillId="31" borderId="7" xfId="0" applyFont="1" applyFill="1" applyBorder="1" applyAlignment="1" applyProtection="1">
      <alignment horizontal="center" vertical="center"/>
      <protection locked="0"/>
    </xf>
    <xf numFmtId="0" fontId="11" fillId="31" borderId="11" xfId="0" applyFont="1" applyFill="1" applyBorder="1" applyAlignment="1" applyProtection="1">
      <alignment horizontal="center" vertical="center"/>
      <protection locked="0"/>
    </xf>
    <xf numFmtId="0" fontId="11" fillId="30" borderId="11" xfId="0" applyFont="1" applyFill="1" applyBorder="1" applyAlignment="1" applyProtection="1">
      <alignment horizontal="center" vertical="center" wrapText="1"/>
      <protection locked="0"/>
    </xf>
    <xf numFmtId="0" fontId="11" fillId="30" borderId="11" xfId="0" applyFont="1" applyFill="1" applyBorder="1" applyAlignment="1" applyProtection="1">
      <alignment horizontal="center" vertical="center"/>
      <protection locked="0"/>
    </xf>
    <xf numFmtId="9" fontId="11" fillId="30" borderId="11" xfId="0" applyNumberFormat="1" applyFont="1" applyFill="1" applyBorder="1" applyAlignment="1" applyProtection="1">
      <alignment horizontal="center" vertical="center" wrapText="1"/>
      <protection locked="0"/>
    </xf>
    <xf numFmtId="9" fontId="11" fillId="30" borderId="11" xfId="0" applyNumberFormat="1" applyFont="1" applyFill="1" applyBorder="1" applyAlignment="1" applyProtection="1">
      <alignment horizontal="center" vertical="center"/>
      <protection locked="0"/>
    </xf>
    <xf numFmtId="0" fontId="11" fillId="31" borderId="11" xfId="0" applyFont="1" applyFill="1" applyBorder="1" applyAlignment="1" applyProtection="1">
      <alignment horizontal="center" vertical="center" wrapText="1"/>
      <protection locked="0"/>
    </xf>
    <xf numFmtId="9" fontId="11" fillId="31" borderId="11" xfId="0" applyNumberFormat="1" applyFont="1" applyFill="1" applyBorder="1" applyAlignment="1" applyProtection="1">
      <alignment horizontal="center" vertical="center"/>
      <protection locked="0"/>
    </xf>
    <xf numFmtId="9" fontId="11" fillId="31" borderId="11" xfId="0" applyNumberFormat="1" applyFont="1" applyFill="1" applyBorder="1" applyAlignment="1" applyProtection="1">
      <alignment horizontal="center" vertical="center" wrapText="1"/>
      <protection locked="0"/>
    </xf>
    <xf numFmtId="0" fontId="11" fillId="30" borderId="5" xfId="0" applyFont="1" applyFill="1" applyBorder="1" applyAlignment="1" applyProtection="1">
      <alignment horizontal="center" vertical="center"/>
      <protection locked="0"/>
    </xf>
    <xf numFmtId="0" fontId="11" fillId="30" borderId="6" xfId="0" applyFont="1" applyFill="1" applyBorder="1" applyAlignment="1" applyProtection="1">
      <alignment horizontal="center" vertical="center"/>
      <protection locked="0"/>
    </xf>
    <xf numFmtId="0" fontId="11" fillId="30" borderId="7" xfId="0" applyFont="1" applyFill="1" applyBorder="1" applyAlignment="1" applyProtection="1">
      <alignment horizontal="center" vertical="center"/>
      <protection locked="0"/>
    </xf>
    <xf numFmtId="0" fontId="11" fillId="11" borderId="11" xfId="0" applyFont="1" applyFill="1" applyBorder="1" applyAlignment="1" applyProtection="1">
      <alignment horizontal="center" vertical="center"/>
      <protection locked="0"/>
    </xf>
    <xf numFmtId="0" fontId="11" fillId="11" borderId="50" xfId="0" applyFont="1" applyFill="1" applyBorder="1" applyAlignment="1" applyProtection="1">
      <alignment horizontal="center" vertical="center"/>
      <protection locked="0"/>
    </xf>
    <xf numFmtId="0" fontId="11" fillId="11" borderId="17" xfId="0" applyFont="1" applyFill="1" applyBorder="1" applyAlignment="1" applyProtection="1">
      <alignment horizontal="center" vertical="center"/>
      <protection locked="0"/>
    </xf>
    <xf numFmtId="0" fontId="11" fillId="11" borderId="51" xfId="0" applyFont="1" applyFill="1" applyBorder="1" applyAlignment="1" applyProtection="1">
      <alignment horizontal="center" vertical="center"/>
      <protection locked="0"/>
    </xf>
    <xf numFmtId="0" fontId="11" fillId="25" borderId="11" xfId="0" applyFont="1" applyFill="1" applyBorder="1" applyAlignment="1" applyProtection="1">
      <alignment horizontal="center" vertical="center"/>
      <protection locked="0"/>
    </xf>
    <xf numFmtId="9" fontId="11" fillId="29" borderId="11" xfId="0" applyNumberFormat="1" applyFont="1" applyFill="1" applyBorder="1" applyAlignment="1" applyProtection="1">
      <alignment horizontal="center" vertical="center" wrapText="1"/>
      <protection locked="0"/>
    </xf>
    <xf numFmtId="9" fontId="11" fillId="29" borderId="11" xfId="0" applyNumberFormat="1" applyFont="1" applyFill="1" applyBorder="1" applyAlignment="1" applyProtection="1">
      <alignment horizontal="center" vertical="center"/>
      <protection locked="0"/>
    </xf>
    <xf numFmtId="0" fontId="11" fillId="4" borderId="5" xfId="0" applyFont="1" applyFill="1" applyBorder="1" applyAlignment="1" applyProtection="1">
      <alignment horizontal="center" vertical="center"/>
      <protection locked="0"/>
    </xf>
    <xf numFmtId="0" fontId="11" fillId="4" borderId="7" xfId="0" applyFont="1" applyFill="1" applyBorder="1" applyAlignment="1" applyProtection="1">
      <alignment horizontal="center" vertical="center"/>
      <protection locked="0"/>
    </xf>
    <xf numFmtId="0" fontId="11" fillId="29" borderId="5" xfId="0" applyFont="1" applyFill="1" applyBorder="1" applyAlignment="1" applyProtection="1">
      <alignment horizontal="center" vertical="center"/>
      <protection locked="0"/>
    </xf>
    <xf numFmtId="0" fontId="11" fillId="29" borderId="7" xfId="0" applyFont="1" applyFill="1" applyBorder="1" applyAlignment="1" applyProtection="1">
      <alignment horizontal="center" vertical="center"/>
      <protection locked="0"/>
    </xf>
    <xf numFmtId="0" fontId="11" fillId="4" borderId="11" xfId="0" applyFont="1" applyFill="1" applyBorder="1" applyAlignment="1" applyProtection="1">
      <alignment horizontal="center" vertical="center" wrapText="1"/>
      <protection locked="0"/>
    </xf>
    <xf numFmtId="9" fontId="11" fillId="4" borderId="11" xfId="0" applyNumberFormat="1" applyFont="1" applyFill="1" applyBorder="1" applyAlignment="1" applyProtection="1">
      <alignment horizontal="center" vertical="center" wrapText="1"/>
      <protection locked="0"/>
    </xf>
    <xf numFmtId="9" fontId="11" fillId="25" borderId="11" xfId="0" applyNumberFormat="1" applyFont="1" applyFill="1" applyBorder="1" applyAlignment="1" applyProtection="1">
      <alignment horizontal="center" vertical="center"/>
      <protection locked="0"/>
    </xf>
    <xf numFmtId="0" fontId="11" fillId="25" borderId="5" xfId="0" applyFont="1" applyFill="1" applyBorder="1" applyAlignment="1" applyProtection="1">
      <alignment horizontal="center" vertical="center"/>
      <protection locked="0"/>
    </xf>
    <xf numFmtId="0" fontId="11" fillId="25" borderId="6" xfId="0" applyFont="1" applyFill="1" applyBorder="1" applyAlignment="1" applyProtection="1">
      <alignment horizontal="center" vertical="center"/>
      <protection locked="0"/>
    </xf>
    <xf numFmtId="0" fontId="11" fillId="25" borderId="7" xfId="0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 applyProtection="1">
      <alignment horizontal="center" vertical="center"/>
      <protection locked="0"/>
    </xf>
    <xf numFmtId="1" fontId="11" fillId="0" borderId="11" xfId="0" applyNumberFormat="1" applyFont="1" applyBorder="1" applyAlignment="1" applyProtection="1">
      <alignment horizontal="center" vertical="center"/>
      <protection locked="0"/>
    </xf>
    <xf numFmtId="166" fontId="11" fillId="0" borderId="11" xfId="0" applyNumberFormat="1" applyFont="1" applyBorder="1" applyAlignment="1" applyProtection="1">
      <alignment horizontal="center" vertical="center"/>
      <protection locked="0"/>
    </xf>
    <xf numFmtId="2" fontId="11" fillId="0" borderId="11" xfId="1" applyNumberFormat="1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 applyProtection="1">
      <alignment horizontal="center" vertical="center"/>
      <protection locked="0"/>
    </xf>
    <xf numFmtId="0" fontId="11" fillId="11" borderId="3" xfId="0" applyFont="1" applyFill="1" applyBorder="1" applyAlignment="1" applyProtection="1">
      <alignment horizontal="center" vertical="center"/>
      <protection locked="0"/>
    </xf>
    <xf numFmtId="0" fontId="11" fillId="11" borderId="4" xfId="0" applyFont="1" applyFill="1" applyBorder="1" applyAlignment="1" applyProtection="1">
      <alignment horizontal="center" vertical="center"/>
      <protection locked="0"/>
    </xf>
    <xf numFmtId="0" fontId="11" fillId="11" borderId="49" xfId="0" applyFont="1" applyFill="1" applyBorder="1" applyAlignment="1" applyProtection="1">
      <alignment horizontal="center" vertical="center"/>
      <protection locked="0"/>
    </xf>
    <xf numFmtId="0" fontId="11" fillId="11" borderId="1" xfId="0" applyFont="1" applyFill="1" applyBorder="1" applyAlignment="1" applyProtection="1">
      <alignment horizontal="center" vertical="center" wrapText="1"/>
      <protection locked="0"/>
    </xf>
    <xf numFmtId="0" fontId="11" fillId="11" borderId="3" xfId="0" applyFont="1" applyFill="1" applyBorder="1" applyAlignment="1" applyProtection="1">
      <alignment horizontal="center" vertical="center" wrapText="1"/>
      <protection locked="0"/>
    </xf>
    <xf numFmtId="0" fontId="11" fillId="11" borderId="4" xfId="0" applyFont="1" applyFill="1" applyBorder="1" applyAlignment="1" applyProtection="1">
      <alignment horizontal="center" vertical="center" wrapText="1"/>
      <protection locked="0"/>
    </xf>
    <xf numFmtId="0" fontId="11" fillId="11" borderId="49" xfId="0" applyFont="1" applyFill="1" applyBorder="1" applyAlignment="1" applyProtection="1">
      <alignment horizontal="center" vertical="center" wrapText="1"/>
      <protection locked="0"/>
    </xf>
    <xf numFmtId="0" fontId="11" fillId="12" borderId="50" xfId="0" applyFont="1" applyFill="1" applyBorder="1" applyAlignment="1" applyProtection="1">
      <alignment horizontal="center" vertical="center" wrapText="1"/>
      <protection locked="0"/>
    </xf>
    <xf numFmtId="0" fontId="11" fillId="12" borderId="51" xfId="0" applyFont="1" applyFill="1" applyBorder="1" applyAlignment="1" applyProtection="1">
      <alignment horizontal="center" vertical="center" wrapText="1"/>
      <protection locked="0"/>
    </xf>
    <xf numFmtId="1" fontId="11" fillId="10" borderId="11" xfId="2" applyNumberFormat="1" applyFont="1" applyFill="1" applyBorder="1" applyAlignment="1" applyProtection="1">
      <alignment horizontal="center" vertical="center"/>
      <protection locked="0"/>
    </xf>
    <xf numFmtId="1" fontId="11" fillId="13" borderId="1" xfId="2" applyNumberFormat="1" applyFont="1" applyFill="1" applyBorder="1" applyAlignment="1" applyProtection="1">
      <alignment horizontal="center" vertical="center"/>
      <protection locked="0"/>
    </xf>
    <xf numFmtId="1" fontId="11" fillId="13" borderId="2" xfId="2" applyNumberFormat="1" applyFont="1" applyFill="1" applyBorder="1" applyAlignment="1" applyProtection="1">
      <alignment horizontal="center" vertical="center"/>
      <protection locked="0"/>
    </xf>
    <xf numFmtId="1" fontId="11" fillId="13" borderId="3" xfId="2" applyNumberFormat="1" applyFont="1" applyFill="1" applyBorder="1" applyAlignment="1" applyProtection="1">
      <alignment horizontal="center" vertical="center"/>
      <protection locked="0"/>
    </xf>
    <xf numFmtId="0" fontId="11" fillId="26" borderId="11" xfId="0" applyFont="1" applyFill="1" applyBorder="1" applyAlignment="1" applyProtection="1">
      <alignment horizontal="center" vertical="center"/>
      <protection locked="0"/>
    </xf>
    <xf numFmtId="2" fontId="11" fillId="11" borderId="50" xfId="0" applyNumberFormat="1" applyFont="1" applyFill="1" applyBorder="1" applyAlignment="1" applyProtection="1">
      <alignment horizontal="center" vertical="center"/>
      <protection locked="0"/>
    </xf>
    <xf numFmtId="2" fontId="11" fillId="11" borderId="17" xfId="0" applyNumberFormat="1" applyFont="1" applyFill="1" applyBorder="1" applyAlignment="1" applyProtection="1">
      <alignment horizontal="center" vertical="center"/>
      <protection locked="0"/>
    </xf>
    <xf numFmtId="2" fontId="11" fillId="11" borderId="51" xfId="0" applyNumberFormat="1" applyFont="1" applyFill="1" applyBorder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left" vertical="center" wrapText="1"/>
      <protection locked="0"/>
    </xf>
    <xf numFmtId="0" fontId="27" fillId="0" borderId="0" xfId="0" applyFont="1" applyAlignment="1" applyProtection="1">
      <alignment vertical="center"/>
      <protection locked="0"/>
    </xf>
  </cellXfs>
  <cellStyles count="3">
    <cellStyle name="Comma" xfId="1" builtinId="3"/>
    <cellStyle name="Normal" xfId="0" builtinId="0"/>
    <cellStyle name="Percent" xfId="2" builtinId="5"/>
  </cellStyles>
  <dxfs count="1">
    <dxf>
      <fill>
        <patternFill>
          <bgColor rgb="FFFFFF00"/>
        </patternFill>
      </fill>
    </dxf>
  </dxfs>
  <tableStyles count="0" defaultTableStyle="TableStyleMedium2" defaultPivotStyle="PivotStyleMedium9"/>
  <colors>
    <mruColors>
      <color rgb="FFFFF7BD"/>
      <color rgb="FFFFF8E1"/>
      <color rgb="FFFFF6D9"/>
      <color rgb="FFFFEEB7"/>
      <color rgb="FFB3EBFF"/>
      <color rgb="FFFFFFDD"/>
      <color rgb="FFFFFFAB"/>
      <color rgb="FFFFD44B"/>
      <color rgb="FF826300"/>
      <color rgb="FFB9E0E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</xdr:colOff>
      <xdr:row>0</xdr:row>
      <xdr:rowOff>182880</xdr:rowOff>
    </xdr:from>
    <xdr:to>
      <xdr:col>4</xdr:col>
      <xdr:colOff>67408</xdr:colOff>
      <xdr:row>2</xdr:row>
      <xdr:rowOff>129540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D496C2-A543-8406-E8C4-B581EB53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" y="182880"/>
          <a:ext cx="2513428" cy="4876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S300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3" sqref="D13"/>
    </sheetView>
  </sheetViews>
  <sheetFormatPr defaultColWidth="9.33203125" defaultRowHeight="10.199999999999999" x14ac:dyDescent="0.3"/>
  <cols>
    <col min="1" max="1" width="4.33203125" style="197" customWidth="1"/>
    <col min="2" max="2" width="5.21875" style="1" customWidth="1"/>
    <col min="3" max="3" width="13.77734375" style="1" customWidth="1"/>
    <col min="4" max="4" width="22" style="1" customWidth="1"/>
    <col min="5" max="5" width="23" style="1" customWidth="1"/>
    <col min="6" max="6" width="17.21875" style="1" customWidth="1"/>
    <col min="7" max="7" width="11.77734375" style="1" customWidth="1"/>
    <col min="8" max="8" width="12.6640625" style="1" customWidth="1"/>
    <col min="9" max="9" width="12" style="1" customWidth="1"/>
    <col min="10" max="10" width="12.109375" style="1" customWidth="1"/>
    <col min="11" max="11" width="6.5546875" style="1" customWidth="1"/>
    <col min="12" max="12" width="6.33203125" style="1" customWidth="1"/>
    <col min="13" max="13" width="6.6640625" style="1" customWidth="1"/>
    <col min="14" max="14" width="8.44140625" style="1" customWidth="1"/>
    <col min="15" max="15" width="13.33203125" style="194" customWidth="1"/>
    <col min="16" max="16" width="8.33203125" style="1" customWidth="1"/>
    <col min="17" max="17" width="10.77734375" style="1" customWidth="1"/>
    <col min="18" max="18" width="10.88671875" style="1" customWidth="1"/>
    <col min="19" max="19" width="7.44140625" style="1" customWidth="1"/>
    <col min="20" max="20" width="8.6640625" style="1" customWidth="1"/>
    <col min="21" max="21" width="4.88671875" style="1" customWidth="1"/>
    <col min="22" max="23" width="5.6640625" style="1" customWidth="1"/>
    <col min="24" max="24" width="5.88671875" style="181" customWidth="1"/>
    <col min="25" max="25" width="5.77734375" style="181" customWidth="1"/>
    <col min="26" max="26" width="6.44140625" style="1" customWidth="1"/>
    <col min="27" max="27" width="5.88671875" style="1" hidden="1" customWidth="1"/>
    <col min="28" max="28" width="7.88671875" style="169" customWidth="1"/>
    <col min="29" max="29" width="7.6640625" style="169" customWidth="1"/>
    <col min="30" max="30" width="5.88671875" style="169" customWidth="1"/>
    <col min="31" max="31" width="8" style="169" customWidth="1"/>
    <col min="32" max="32" width="7.109375" style="169" customWidth="1"/>
    <col min="33" max="34" width="5.5546875" style="169" customWidth="1"/>
    <col min="35" max="35" width="13" style="169" customWidth="1"/>
    <col min="36" max="36" width="6" style="169" customWidth="1"/>
    <col min="37" max="37" width="6.5546875" style="169" customWidth="1"/>
    <col min="38" max="39" width="5.5546875" style="169" customWidth="1"/>
    <col min="40" max="40" width="8.33203125" style="169" customWidth="1"/>
    <col min="41" max="41" width="7.6640625" style="169" customWidth="1"/>
    <col min="42" max="43" width="5.5546875" style="170" customWidth="1"/>
    <col min="44" max="44" width="8.5546875" style="170" customWidth="1"/>
    <col min="45" max="45" width="5.5546875" style="170" customWidth="1"/>
    <col min="46" max="46" width="7.44140625" style="170" customWidth="1"/>
    <col min="47" max="49" width="5.5546875" style="170" customWidth="1"/>
    <col min="50" max="50" width="6.33203125" style="170" customWidth="1"/>
    <col min="51" max="51" width="6.5546875" style="170" customWidth="1"/>
    <col min="52" max="52" width="6.44140625" style="170" customWidth="1"/>
    <col min="53" max="55" width="5.5546875" style="170" customWidth="1"/>
    <col min="56" max="69" width="5.5546875" style="171" customWidth="1"/>
    <col min="70" max="73" width="5.5546875" style="172" customWidth="1"/>
    <col min="74" max="74" width="6.44140625" style="172" customWidth="1"/>
    <col min="75" max="77" width="5.5546875" style="172" customWidth="1"/>
    <col min="78" max="78" width="6.44140625" style="172" customWidth="1"/>
    <col min="79" max="79" width="6.6640625" style="172" customWidth="1"/>
    <col min="80" max="80" width="8" style="172" customWidth="1"/>
    <col min="81" max="81" width="8.33203125" style="172" customWidth="1"/>
    <col min="82" max="82" width="6.5546875" style="172" customWidth="1"/>
    <col min="83" max="83" width="7.44140625" style="172" customWidth="1"/>
    <col min="84" max="84" width="6.44140625" style="172" customWidth="1"/>
    <col min="85" max="87" width="5.5546875" style="172" hidden="1" customWidth="1"/>
    <col min="88" max="88" width="6.21875" style="173" customWidth="1"/>
    <col min="89" max="89" width="6.33203125" style="173" customWidth="1"/>
    <col min="90" max="90" width="7.6640625" style="173" customWidth="1"/>
    <col min="91" max="91" width="5.5546875" style="173" customWidth="1"/>
    <col min="92" max="92" width="7.109375" style="173" customWidth="1"/>
    <col min="93" max="95" width="5.5546875" style="173" customWidth="1"/>
    <col min="96" max="96" width="6.5546875" style="173" customWidth="1"/>
    <col min="97" max="97" width="6.44140625" style="173" customWidth="1"/>
    <col min="98" max="98" width="8.33203125" style="173" customWidth="1"/>
    <col min="99" max="100" width="5.5546875" style="173" customWidth="1"/>
    <col min="101" max="101" width="7.109375" style="173" customWidth="1"/>
    <col min="102" max="102" width="5.5546875" style="173" customWidth="1"/>
    <col min="103" max="105" width="5.5546875" style="173" hidden="1" customWidth="1"/>
    <col min="106" max="120" width="5.5546875" style="174" customWidth="1"/>
    <col min="121" max="123" width="5.5546875" style="174" hidden="1" customWidth="1"/>
    <col min="124" max="126" width="4.5546875" style="175" customWidth="1"/>
    <col min="127" max="127" width="5.109375" style="175" customWidth="1"/>
    <col min="128" max="129" width="4.5546875" style="175" customWidth="1"/>
    <col min="130" max="130" width="6.88671875" style="175" customWidth="1"/>
    <col min="131" max="131" width="5" style="175" customWidth="1"/>
    <col min="132" max="132" width="9.33203125" style="185"/>
    <col min="133" max="133" width="9.33203125" style="183"/>
    <col min="134" max="134" width="6.33203125" style="183" customWidth="1"/>
    <col min="135" max="135" width="6.6640625" style="183" customWidth="1"/>
    <col min="136" max="136" width="5.88671875" style="1" customWidth="1"/>
    <col min="137" max="137" width="9.33203125" style="183"/>
    <col min="138" max="138" width="5.88671875" style="1" customWidth="1"/>
    <col min="139" max="139" width="9.33203125" style="183"/>
    <col min="140" max="140" width="5.88671875" style="1" customWidth="1"/>
    <col min="141" max="141" width="9.33203125" style="183" customWidth="1"/>
    <col min="142" max="142" width="9.33203125" style="183"/>
    <col min="143" max="143" width="7.5546875" style="1" customWidth="1"/>
    <col min="144" max="144" width="6.6640625" style="184" customWidth="1"/>
    <col min="145" max="145" width="9" style="1" customWidth="1"/>
    <col min="146" max="146" width="5.44140625" style="1" customWidth="1"/>
    <col min="147" max="147" width="9.33203125" style="183"/>
    <col min="148" max="149" width="9.33203125" style="1"/>
    <col min="150" max="16384" width="9.33203125" style="121"/>
  </cols>
  <sheetData>
    <row r="1" spans="1:149" s="124" customFormat="1" ht="14.4" customHeight="1" thickBot="1" x14ac:dyDescent="0.35">
      <c r="A1" s="294"/>
      <c r="B1" s="294"/>
      <c r="C1" s="243" t="s">
        <v>92</v>
      </c>
      <c r="D1" s="187">
        <v>23300</v>
      </c>
      <c r="E1" s="186" t="s">
        <v>93</v>
      </c>
      <c r="F1" s="188">
        <v>7.5</v>
      </c>
      <c r="G1" s="186" t="s">
        <v>94</v>
      </c>
      <c r="H1" s="189">
        <v>3</v>
      </c>
      <c r="I1" s="291" t="s">
        <v>77</v>
      </c>
      <c r="J1" s="292"/>
      <c r="K1" s="292"/>
      <c r="L1" s="292"/>
      <c r="M1" s="292"/>
      <c r="N1" s="292"/>
      <c r="O1" s="292"/>
      <c r="P1" s="292"/>
      <c r="Q1" s="292"/>
      <c r="R1" s="292"/>
      <c r="S1" s="292"/>
      <c r="T1" s="292"/>
      <c r="U1" s="292"/>
      <c r="V1" s="292"/>
      <c r="W1" s="292"/>
      <c r="X1" s="292"/>
      <c r="Y1" s="292"/>
      <c r="Z1" s="292"/>
      <c r="AA1" s="293"/>
      <c r="AB1" s="301" t="s">
        <v>75</v>
      </c>
      <c r="AC1" s="302"/>
      <c r="AD1" s="302"/>
      <c r="AE1" s="302"/>
      <c r="AF1" s="302"/>
      <c r="AG1" s="302"/>
      <c r="AH1" s="302"/>
      <c r="AI1" s="302"/>
      <c r="AJ1" s="302"/>
      <c r="AK1" s="302"/>
      <c r="AL1" s="302"/>
      <c r="AM1" s="302"/>
      <c r="AN1" s="302"/>
      <c r="AO1" s="302"/>
      <c r="AP1" s="302"/>
      <c r="AQ1" s="302"/>
      <c r="AR1" s="302"/>
      <c r="AS1" s="302"/>
      <c r="AT1" s="302"/>
      <c r="AU1" s="302"/>
      <c r="AV1" s="302"/>
      <c r="AW1" s="302"/>
      <c r="AX1" s="302"/>
      <c r="AY1" s="302"/>
      <c r="AZ1" s="302"/>
      <c r="BA1" s="302"/>
      <c r="BB1" s="302"/>
      <c r="BC1" s="302"/>
      <c r="BD1" s="302"/>
      <c r="BE1" s="302"/>
      <c r="BF1" s="302"/>
      <c r="BG1" s="302"/>
      <c r="BH1" s="302"/>
      <c r="BI1" s="302"/>
      <c r="BJ1" s="302"/>
      <c r="BK1" s="302"/>
      <c r="BL1" s="302"/>
      <c r="BM1" s="302"/>
      <c r="BN1" s="302"/>
      <c r="BO1" s="302"/>
      <c r="BP1" s="302"/>
      <c r="BQ1" s="303"/>
      <c r="BR1" s="367" t="s">
        <v>76</v>
      </c>
      <c r="BS1" s="367"/>
      <c r="BT1" s="367"/>
      <c r="BU1" s="367"/>
      <c r="BV1" s="367"/>
      <c r="BW1" s="367"/>
      <c r="BX1" s="367"/>
      <c r="BY1" s="367"/>
      <c r="BZ1" s="367"/>
      <c r="CA1" s="367"/>
      <c r="CB1" s="367"/>
      <c r="CC1" s="367"/>
      <c r="CD1" s="367"/>
      <c r="CE1" s="367"/>
      <c r="CF1" s="367"/>
      <c r="CG1" s="367"/>
      <c r="CH1" s="367"/>
      <c r="CI1" s="367"/>
      <c r="CJ1" s="367"/>
      <c r="CK1" s="367"/>
      <c r="CL1" s="367"/>
      <c r="CM1" s="367"/>
      <c r="CN1" s="367"/>
      <c r="CO1" s="367"/>
      <c r="CP1" s="367"/>
      <c r="CQ1" s="367"/>
      <c r="CR1" s="367"/>
      <c r="CS1" s="367"/>
      <c r="CT1" s="367"/>
      <c r="CU1" s="367"/>
      <c r="CV1" s="367"/>
      <c r="CW1" s="367"/>
      <c r="CX1" s="367"/>
      <c r="CY1" s="367"/>
      <c r="CZ1" s="367"/>
      <c r="DA1" s="367"/>
      <c r="DB1" s="367"/>
      <c r="DC1" s="367"/>
      <c r="DD1" s="367"/>
      <c r="DE1" s="367"/>
      <c r="DF1" s="367"/>
      <c r="DG1" s="367"/>
      <c r="DH1" s="367"/>
      <c r="DI1" s="367"/>
      <c r="DJ1" s="367"/>
      <c r="DK1" s="367"/>
      <c r="DL1" s="367"/>
      <c r="DM1" s="367"/>
      <c r="DN1" s="367"/>
      <c r="DO1" s="367"/>
      <c r="DP1" s="367"/>
      <c r="DQ1" s="367"/>
      <c r="DR1" s="367"/>
      <c r="DS1" s="367"/>
      <c r="DT1" s="364" t="s">
        <v>49</v>
      </c>
      <c r="DU1" s="365"/>
      <c r="DV1" s="365"/>
      <c r="DW1" s="365"/>
      <c r="DX1" s="365"/>
      <c r="DY1" s="365"/>
      <c r="DZ1" s="365"/>
      <c r="EA1" s="366"/>
      <c r="EB1" s="368" t="s">
        <v>80</v>
      </c>
      <c r="EC1" s="332" t="s">
        <v>52</v>
      </c>
      <c r="ED1" s="357" t="s">
        <v>91</v>
      </c>
      <c r="EE1" s="358"/>
      <c r="EF1" s="353" t="s">
        <v>107</v>
      </c>
      <c r="EG1" s="354"/>
      <c r="EH1" s="353" t="s">
        <v>173</v>
      </c>
      <c r="EI1" s="354"/>
      <c r="EJ1" s="357" t="s">
        <v>108</v>
      </c>
      <c r="EK1" s="358"/>
      <c r="EL1" s="333" t="s">
        <v>81</v>
      </c>
      <c r="EM1" s="190"/>
      <c r="EN1" s="191"/>
      <c r="EO1" s="316" t="s">
        <v>98</v>
      </c>
      <c r="EP1" s="192"/>
      <c r="EQ1" s="332" t="s">
        <v>64</v>
      </c>
      <c r="ER1" s="295" t="s">
        <v>101</v>
      </c>
      <c r="ES1" s="296" t="s">
        <v>103</v>
      </c>
    </row>
    <row r="2" spans="1:149" ht="13.8" customHeight="1" x14ac:dyDescent="0.3">
      <c r="A2" s="349" t="s">
        <v>32</v>
      </c>
      <c r="B2" s="300" t="s">
        <v>182</v>
      </c>
      <c r="C2" s="300" t="s">
        <v>16</v>
      </c>
      <c r="D2" s="300" t="s">
        <v>19</v>
      </c>
      <c r="E2" s="300" t="s">
        <v>18</v>
      </c>
      <c r="F2" s="300" t="s">
        <v>17</v>
      </c>
      <c r="G2" s="300" t="s">
        <v>9</v>
      </c>
      <c r="H2" s="300" t="s">
        <v>10</v>
      </c>
      <c r="I2" s="295" t="s">
        <v>112</v>
      </c>
      <c r="J2" s="295" t="s">
        <v>113</v>
      </c>
      <c r="K2" s="295" t="s">
        <v>35</v>
      </c>
      <c r="L2" s="295" t="s">
        <v>36</v>
      </c>
      <c r="M2" s="352" t="s">
        <v>20</v>
      </c>
      <c r="N2" s="352" t="s">
        <v>21</v>
      </c>
      <c r="O2" s="297" t="s">
        <v>13</v>
      </c>
      <c r="P2" s="295" t="s">
        <v>22</v>
      </c>
      <c r="Q2" s="295" t="s">
        <v>23</v>
      </c>
      <c r="R2" s="296" t="s">
        <v>192</v>
      </c>
      <c r="S2" s="295" t="s">
        <v>53</v>
      </c>
      <c r="T2" s="299" t="s">
        <v>24</v>
      </c>
      <c r="U2" s="351" t="s">
        <v>25</v>
      </c>
      <c r="V2" s="351" t="s">
        <v>26</v>
      </c>
      <c r="W2" s="351" t="s">
        <v>54</v>
      </c>
      <c r="X2" s="350" t="s">
        <v>27</v>
      </c>
      <c r="Y2" s="350" t="s">
        <v>55</v>
      </c>
      <c r="Z2" s="295" t="s">
        <v>42</v>
      </c>
      <c r="AA2" s="295" t="s">
        <v>28</v>
      </c>
      <c r="AB2" s="298" t="s">
        <v>35</v>
      </c>
      <c r="AC2" s="298"/>
      <c r="AD2" s="298"/>
      <c r="AE2" s="298"/>
      <c r="AF2" s="298"/>
      <c r="AG2" s="298"/>
      <c r="AH2" s="298"/>
      <c r="AI2" s="298"/>
      <c r="AJ2" s="298"/>
      <c r="AK2" s="298"/>
      <c r="AL2" s="298"/>
      <c r="AM2" s="298"/>
      <c r="AN2" s="298"/>
      <c r="AO2" s="298"/>
      <c r="AP2" s="310" t="s">
        <v>36</v>
      </c>
      <c r="AQ2" s="310"/>
      <c r="AR2" s="310"/>
      <c r="AS2" s="310"/>
      <c r="AT2" s="310"/>
      <c r="AU2" s="310"/>
      <c r="AV2" s="310"/>
      <c r="AW2" s="310"/>
      <c r="AX2" s="310"/>
      <c r="AY2" s="310"/>
      <c r="AZ2" s="310"/>
      <c r="BA2" s="310"/>
      <c r="BB2" s="310"/>
      <c r="BC2" s="310"/>
      <c r="BD2" s="307" t="s">
        <v>74</v>
      </c>
      <c r="BE2" s="308"/>
      <c r="BF2" s="308"/>
      <c r="BG2" s="308"/>
      <c r="BH2" s="308"/>
      <c r="BI2" s="308"/>
      <c r="BJ2" s="308"/>
      <c r="BK2" s="308"/>
      <c r="BL2" s="308"/>
      <c r="BM2" s="308"/>
      <c r="BN2" s="308"/>
      <c r="BO2" s="308"/>
      <c r="BP2" s="308"/>
      <c r="BQ2" s="309"/>
      <c r="BR2" s="323" t="s">
        <v>35</v>
      </c>
      <c r="BS2" s="323"/>
      <c r="BT2" s="323"/>
      <c r="BU2" s="323"/>
      <c r="BV2" s="323"/>
      <c r="BW2" s="323"/>
      <c r="BX2" s="323"/>
      <c r="BY2" s="323"/>
      <c r="BZ2" s="323"/>
      <c r="CA2" s="323"/>
      <c r="CB2" s="323"/>
      <c r="CC2" s="323"/>
      <c r="CD2" s="323"/>
      <c r="CE2" s="323"/>
      <c r="CF2" s="323"/>
      <c r="CG2" s="323"/>
      <c r="CH2" s="323"/>
      <c r="CI2" s="323"/>
      <c r="CJ2" s="321" t="s">
        <v>36</v>
      </c>
      <c r="CK2" s="321"/>
      <c r="CL2" s="321"/>
      <c r="CM2" s="321"/>
      <c r="CN2" s="321"/>
      <c r="CO2" s="321"/>
      <c r="CP2" s="321"/>
      <c r="CQ2" s="321"/>
      <c r="CR2" s="321"/>
      <c r="CS2" s="321"/>
      <c r="CT2" s="321"/>
      <c r="CU2" s="321"/>
      <c r="CV2" s="321"/>
      <c r="CW2" s="321"/>
      <c r="CX2" s="321"/>
      <c r="CY2" s="321"/>
      <c r="CZ2" s="321"/>
      <c r="DA2" s="321"/>
      <c r="DB2" s="336" t="s">
        <v>74</v>
      </c>
      <c r="DC2" s="336"/>
      <c r="DD2" s="336"/>
      <c r="DE2" s="336"/>
      <c r="DF2" s="336"/>
      <c r="DG2" s="336"/>
      <c r="DH2" s="336"/>
      <c r="DI2" s="336"/>
      <c r="DJ2" s="336"/>
      <c r="DK2" s="336"/>
      <c r="DL2" s="336"/>
      <c r="DM2" s="336"/>
      <c r="DN2" s="336"/>
      <c r="DO2" s="336"/>
      <c r="DP2" s="336"/>
      <c r="DQ2" s="336"/>
      <c r="DR2" s="336"/>
      <c r="DS2" s="336"/>
      <c r="DT2" s="363" t="s">
        <v>146</v>
      </c>
      <c r="DU2" s="363"/>
      <c r="DV2" s="363"/>
      <c r="DW2" s="363"/>
      <c r="DX2" s="363" t="s">
        <v>145</v>
      </c>
      <c r="DY2" s="363"/>
      <c r="DZ2" s="363"/>
      <c r="EA2" s="363"/>
      <c r="EB2" s="369"/>
      <c r="EC2" s="332"/>
      <c r="ED2" s="359"/>
      <c r="EE2" s="360"/>
      <c r="EF2" s="355"/>
      <c r="EG2" s="356"/>
      <c r="EH2" s="355"/>
      <c r="EI2" s="356"/>
      <c r="EJ2" s="359"/>
      <c r="EK2" s="360"/>
      <c r="EL2" s="334"/>
      <c r="EM2" s="150"/>
      <c r="EN2" s="151"/>
      <c r="EO2" s="317"/>
      <c r="EP2" s="152"/>
      <c r="EQ2" s="332"/>
      <c r="ER2" s="295"/>
      <c r="ES2" s="295"/>
    </row>
    <row r="3" spans="1:149" s="155" customFormat="1" ht="14.4" customHeight="1" x14ac:dyDescent="0.3">
      <c r="A3" s="349"/>
      <c r="B3" s="295"/>
      <c r="C3" s="295"/>
      <c r="D3" s="295"/>
      <c r="E3" s="295"/>
      <c r="F3" s="295"/>
      <c r="G3" s="295"/>
      <c r="H3" s="295"/>
      <c r="I3" s="295"/>
      <c r="J3" s="295"/>
      <c r="K3" s="295"/>
      <c r="L3" s="295"/>
      <c r="M3" s="352"/>
      <c r="N3" s="352"/>
      <c r="O3" s="297"/>
      <c r="P3" s="295"/>
      <c r="Q3" s="295"/>
      <c r="R3" s="296"/>
      <c r="S3" s="295"/>
      <c r="T3" s="299"/>
      <c r="U3" s="351"/>
      <c r="V3" s="351"/>
      <c r="W3" s="351"/>
      <c r="X3" s="350"/>
      <c r="Y3" s="350"/>
      <c r="Z3" s="295"/>
      <c r="AA3" s="295"/>
      <c r="AB3" s="306" t="s">
        <v>111</v>
      </c>
      <c r="AC3" s="306"/>
      <c r="AD3" s="306" t="s">
        <v>40</v>
      </c>
      <c r="AE3" s="344" t="s">
        <v>104</v>
      </c>
      <c r="AF3" s="306" t="s">
        <v>29</v>
      </c>
      <c r="AG3" s="298" t="s">
        <v>31</v>
      </c>
      <c r="AH3" s="298" t="s">
        <v>30</v>
      </c>
      <c r="AI3" s="343" t="s">
        <v>105</v>
      </c>
      <c r="AJ3" s="298" t="s">
        <v>82</v>
      </c>
      <c r="AK3" s="298" t="s">
        <v>71</v>
      </c>
      <c r="AL3" s="298" t="s">
        <v>72</v>
      </c>
      <c r="AM3" s="298" t="s">
        <v>73</v>
      </c>
      <c r="AN3" s="339" t="s">
        <v>85</v>
      </c>
      <c r="AO3" s="340"/>
      <c r="AP3" s="338" t="s">
        <v>111</v>
      </c>
      <c r="AQ3" s="338"/>
      <c r="AR3" s="338" t="s">
        <v>40</v>
      </c>
      <c r="AS3" s="337" t="s">
        <v>104</v>
      </c>
      <c r="AT3" s="338" t="s">
        <v>29</v>
      </c>
      <c r="AU3" s="310" t="s">
        <v>31</v>
      </c>
      <c r="AV3" s="310" t="s">
        <v>30</v>
      </c>
      <c r="AW3" s="311" t="s">
        <v>105</v>
      </c>
      <c r="AX3" s="311" t="s">
        <v>82</v>
      </c>
      <c r="AY3" s="311" t="s">
        <v>71</v>
      </c>
      <c r="AZ3" s="311" t="s">
        <v>72</v>
      </c>
      <c r="BA3" s="310" t="s">
        <v>73</v>
      </c>
      <c r="BB3" s="341" t="s">
        <v>85</v>
      </c>
      <c r="BC3" s="342"/>
      <c r="BD3" s="305" t="s">
        <v>111</v>
      </c>
      <c r="BE3" s="305"/>
      <c r="BF3" s="305" t="s">
        <v>40</v>
      </c>
      <c r="BG3" s="305" t="s">
        <v>104</v>
      </c>
      <c r="BH3" s="305" t="s">
        <v>29</v>
      </c>
      <c r="BI3" s="304" t="s">
        <v>31</v>
      </c>
      <c r="BJ3" s="304" t="s">
        <v>30</v>
      </c>
      <c r="BK3" s="304" t="s">
        <v>105</v>
      </c>
      <c r="BL3" s="304" t="s">
        <v>82</v>
      </c>
      <c r="BM3" s="304" t="s">
        <v>71</v>
      </c>
      <c r="BN3" s="304" t="s">
        <v>72</v>
      </c>
      <c r="BO3" s="304" t="s">
        <v>73</v>
      </c>
      <c r="BP3" s="307" t="s">
        <v>85</v>
      </c>
      <c r="BQ3" s="309"/>
      <c r="BR3" s="325" t="s">
        <v>111</v>
      </c>
      <c r="BS3" s="325"/>
      <c r="BT3" s="325" t="s">
        <v>40</v>
      </c>
      <c r="BU3" s="324" t="s">
        <v>104</v>
      </c>
      <c r="BV3" s="325" t="s">
        <v>29</v>
      </c>
      <c r="BW3" s="323" t="s">
        <v>31</v>
      </c>
      <c r="BX3" s="323" t="s">
        <v>30</v>
      </c>
      <c r="BY3" s="322" t="s">
        <v>105</v>
      </c>
      <c r="BZ3" s="322" t="s">
        <v>82</v>
      </c>
      <c r="CA3" s="322" t="s">
        <v>71</v>
      </c>
      <c r="CB3" s="322" t="s">
        <v>72</v>
      </c>
      <c r="CC3" s="323" t="s">
        <v>73</v>
      </c>
      <c r="CD3" s="329" t="s">
        <v>181</v>
      </c>
      <c r="CE3" s="330"/>
      <c r="CF3" s="331"/>
      <c r="CG3" s="329" t="s">
        <v>96</v>
      </c>
      <c r="CH3" s="330"/>
      <c r="CI3" s="331"/>
      <c r="CJ3" s="327" t="s">
        <v>111</v>
      </c>
      <c r="CK3" s="327"/>
      <c r="CL3" s="327" t="s">
        <v>40</v>
      </c>
      <c r="CM3" s="328" t="s">
        <v>104</v>
      </c>
      <c r="CN3" s="327" t="s">
        <v>29</v>
      </c>
      <c r="CO3" s="321" t="s">
        <v>31</v>
      </c>
      <c r="CP3" s="321" t="s">
        <v>30</v>
      </c>
      <c r="CQ3" s="321" t="s">
        <v>105</v>
      </c>
      <c r="CR3" s="326" t="s">
        <v>82</v>
      </c>
      <c r="CS3" s="326" t="s">
        <v>71</v>
      </c>
      <c r="CT3" s="321" t="s">
        <v>72</v>
      </c>
      <c r="CU3" s="321" t="s">
        <v>73</v>
      </c>
      <c r="CV3" s="318" t="s">
        <v>34</v>
      </c>
      <c r="CW3" s="319"/>
      <c r="CX3" s="320"/>
      <c r="CY3" s="318" t="s">
        <v>96</v>
      </c>
      <c r="CZ3" s="319"/>
      <c r="DA3" s="320"/>
      <c r="DB3" s="345" t="s">
        <v>111</v>
      </c>
      <c r="DC3" s="345"/>
      <c r="DD3" s="345" t="s">
        <v>40</v>
      </c>
      <c r="DE3" s="345" t="s">
        <v>104</v>
      </c>
      <c r="DF3" s="345" t="s">
        <v>29</v>
      </c>
      <c r="DG3" s="336" t="s">
        <v>31</v>
      </c>
      <c r="DH3" s="336" t="s">
        <v>30</v>
      </c>
      <c r="DI3" s="336" t="s">
        <v>105</v>
      </c>
      <c r="DJ3" s="336" t="s">
        <v>82</v>
      </c>
      <c r="DK3" s="336" t="s">
        <v>71</v>
      </c>
      <c r="DL3" s="336" t="s">
        <v>72</v>
      </c>
      <c r="DM3" s="336" t="s">
        <v>73</v>
      </c>
      <c r="DN3" s="346" t="s">
        <v>181</v>
      </c>
      <c r="DO3" s="347"/>
      <c r="DP3" s="348"/>
      <c r="DQ3" s="346" t="s">
        <v>96</v>
      </c>
      <c r="DR3" s="347"/>
      <c r="DS3" s="348"/>
      <c r="DT3" s="153">
        <v>1</v>
      </c>
      <c r="DU3" s="153">
        <v>2</v>
      </c>
      <c r="DV3" s="153">
        <v>3</v>
      </c>
      <c r="DW3" s="153">
        <v>4</v>
      </c>
      <c r="DX3" s="153">
        <v>1</v>
      </c>
      <c r="DY3" s="153">
        <v>2</v>
      </c>
      <c r="DZ3" s="153">
        <v>3</v>
      </c>
      <c r="EA3" s="153">
        <v>4</v>
      </c>
      <c r="EB3" s="369"/>
      <c r="EC3" s="332"/>
      <c r="ED3" s="332" t="s">
        <v>53</v>
      </c>
      <c r="EE3" s="332" t="s">
        <v>84</v>
      </c>
      <c r="EF3" s="314" t="s">
        <v>90</v>
      </c>
      <c r="EG3" s="312" t="s">
        <v>102</v>
      </c>
      <c r="EH3" s="314" t="s">
        <v>90</v>
      </c>
      <c r="EI3" s="312" t="s">
        <v>102</v>
      </c>
      <c r="EJ3" s="314" t="s">
        <v>90</v>
      </c>
      <c r="EK3" s="312" t="s">
        <v>102</v>
      </c>
      <c r="EL3" s="334"/>
      <c r="EM3" s="154" t="s">
        <v>99</v>
      </c>
      <c r="EN3" s="361" t="s">
        <v>90</v>
      </c>
      <c r="EO3" s="154" t="s">
        <v>100</v>
      </c>
      <c r="EP3" s="314" t="s">
        <v>90</v>
      </c>
      <c r="EQ3" s="332"/>
      <c r="ER3" s="295"/>
      <c r="ES3" s="295"/>
    </row>
    <row r="4" spans="1:149" s="155" customFormat="1" ht="14.4" customHeight="1" x14ac:dyDescent="0.3">
      <c r="A4" s="300"/>
      <c r="B4" s="295"/>
      <c r="C4" s="295"/>
      <c r="D4" s="295"/>
      <c r="E4" s="295"/>
      <c r="F4" s="295"/>
      <c r="G4" s="295"/>
      <c r="H4" s="295"/>
      <c r="I4" s="295"/>
      <c r="J4" s="295"/>
      <c r="K4" s="295"/>
      <c r="L4" s="295"/>
      <c r="M4" s="352"/>
      <c r="N4" s="352"/>
      <c r="O4" s="297"/>
      <c r="P4" s="295"/>
      <c r="Q4" s="295"/>
      <c r="R4" s="296"/>
      <c r="S4" s="295"/>
      <c r="T4" s="299"/>
      <c r="U4" s="351"/>
      <c r="V4" s="351"/>
      <c r="W4" s="351"/>
      <c r="X4" s="350"/>
      <c r="Y4" s="350"/>
      <c r="Z4" s="295"/>
      <c r="AA4" s="295"/>
      <c r="AB4" s="156" t="s">
        <v>69</v>
      </c>
      <c r="AC4" s="156" t="s">
        <v>78</v>
      </c>
      <c r="AD4" s="306"/>
      <c r="AE4" s="344"/>
      <c r="AF4" s="306"/>
      <c r="AG4" s="298"/>
      <c r="AH4" s="298"/>
      <c r="AI4" s="343"/>
      <c r="AJ4" s="298"/>
      <c r="AK4" s="298"/>
      <c r="AL4" s="298"/>
      <c r="AM4" s="298"/>
      <c r="AN4" s="157" t="s">
        <v>86</v>
      </c>
      <c r="AO4" s="157" t="s">
        <v>89</v>
      </c>
      <c r="AP4" s="244" t="s">
        <v>69</v>
      </c>
      <c r="AQ4" s="244" t="s">
        <v>79</v>
      </c>
      <c r="AR4" s="338"/>
      <c r="AS4" s="337"/>
      <c r="AT4" s="338"/>
      <c r="AU4" s="310"/>
      <c r="AV4" s="310"/>
      <c r="AW4" s="311"/>
      <c r="AX4" s="311"/>
      <c r="AY4" s="311"/>
      <c r="AZ4" s="311"/>
      <c r="BA4" s="310"/>
      <c r="BB4" s="245" t="s">
        <v>86</v>
      </c>
      <c r="BC4" s="245" t="s">
        <v>87</v>
      </c>
      <c r="BD4" s="203" t="s">
        <v>69</v>
      </c>
      <c r="BE4" s="203" t="s">
        <v>70</v>
      </c>
      <c r="BF4" s="305"/>
      <c r="BG4" s="305"/>
      <c r="BH4" s="305"/>
      <c r="BI4" s="304"/>
      <c r="BJ4" s="304"/>
      <c r="BK4" s="304"/>
      <c r="BL4" s="304"/>
      <c r="BM4" s="304"/>
      <c r="BN4" s="304"/>
      <c r="BO4" s="304"/>
      <c r="BP4" s="204" t="s">
        <v>86</v>
      </c>
      <c r="BQ4" s="204" t="s">
        <v>87</v>
      </c>
      <c r="BR4" s="249" t="s">
        <v>69</v>
      </c>
      <c r="BS4" s="249" t="s">
        <v>78</v>
      </c>
      <c r="BT4" s="325"/>
      <c r="BU4" s="324"/>
      <c r="BV4" s="325"/>
      <c r="BW4" s="323"/>
      <c r="BX4" s="323"/>
      <c r="BY4" s="322"/>
      <c r="BZ4" s="322"/>
      <c r="CA4" s="322"/>
      <c r="CB4" s="322"/>
      <c r="CC4" s="323"/>
      <c r="CD4" s="250" t="s">
        <v>69</v>
      </c>
      <c r="CE4" s="250" t="s">
        <v>83</v>
      </c>
      <c r="CF4" s="250" t="s">
        <v>89</v>
      </c>
      <c r="CG4" s="250" t="s">
        <v>69</v>
      </c>
      <c r="CH4" s="250" t="s">
        <v>83</v>
      </c>
      <c r="CI4" s="250" t="s">
        <v>89</v>
      </c>
      <c r="CJ4" s="254" t="s">
        <v>69</v>
      </c>
      <c r="CK4" s="254" t="s">
        <v>79</v>
      </c>
      <c r="CL4" s="327"/>
      <c r="CM4" s="328"/>
      <c r="CN4" s="327"/>
      <c r="CO4" s="321"/>
      <c r="CP4" s="321"/>
      <c r="CQ4" s="321"/>
      <c r="CR4" s="326"/>
      <c r="CS4" s="326"/>
      <c r="CT4" s="321"/>
      <c r="CU4" s="321"/>
      <c r="CV4" s="255" t="s">
        <v>69</v>
      </c>
      <c r="CW4" s="255" t="s">
        <v>83</v>
      </c>
      <c r="CX4" s="255" t="s">
        <v>89</v>
      </c>
      <c r="CY4" s="255" t="s">
        <v>69</v>
      </c>
      <c r="CZ4" s="255" t="s">
        <v>83</v>
      </c>
      <c r="DA4" s="255" t="s">
        <v>89</v>
      </c>
      <c r="DB4" s="199" t="s">
        <v>69</v>
      </c>
      <c r="DC4" s="199" t="s">
        <v>70</v>
      </c>
      <c r="DD4" s="345"/>
      <c r="DE4" s="345"/>
      <c r="DF4" s="345"/>
      <c r="DG4" s="336"/>
      <c r="DH4" s="336"/>
      <c r="DI4" s="336"/>
      <c r="DJ4" s="336"/>
      <c r="DK4" s="336"/>
      <c r="DL4" s="336"/>
      <c r="DM4" s="336"/>
      <c r="DN4" s="200" t="s">
        <v>69</v>
      </c>
      <c r="DO4" s="200" t="s">
        <v>70</v>
      </c>
      <c r="DP4" s="200" t="s">
        <v>89</v>
      </c>
      <c r="DQ4" s="200" t="s">
        <v>69</v>
      </c>
      <c r="DR4" s="200" t="s">
        <v>70</v>
      </c>
      <c r="DS4" s="200" t="s">
        <v>89</v>
      </c>
      <c r="DT4" s="158" t="s">
        <v>149</v>
      </c>
      <c r="DU4" s="158" t="s">
        <v>40</v>
      </c>
      <c r="DV4" s="158" t="s">
        <v>147</v>
      </c>
      <c r="DW4" s="158" t="s">
        <v>148</v>
      </c>
      <c r="DX4" s="158" t="s">
        <v>149</v>
      </c>
      <c r="DY4" s="158" t="s">
        <v>40</v>
      </c>
      <c r="DZ4" s="158" t="s">
        <v>147</v>
      </c>
      <c r="EA4" s="158" t="s">
        <v>148</v>
      </c>
      <c r="EB4" s="370"/>
      <c r="EC4" s="332"/>
      <c r="ED4" s="332"/>
      <c r="EE4" s="332"/>
      <c r="EF4" s="315"/>
      <c r="EG4" s="313"/>
      <c r="EH4" s="315"/>
      <c r="EI4" s="313"/>
      <c r="EJ4" s="315"/>
      <c r="EK4" s="313"/>
      <c r="EL4" s="335"/>
      <c r="EM4" s="159" t="s">
        <v>69</v>
      </c>
      <c r="EN4" s="362"/>
      <c r="EO4" s="159" t="s">
        <v>69</v>
      </c>
      <c r="EP4" s="315"/>
      <c r="EQ4" s="332"/>
      <c r="ER4" s="295"/>
      <c r="ES4" s="295"/>
    </row>
    <row r="5" spans="1:149" s="162" customFormat="1" x14ac:dyDescent="0.3">
      <c r="A5" s="160">
        <v>1</v>
      </c>
      <c r="B5" s="160"/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60">
        <v>10</v>
      </c>
      <c r="L5" s="160">
        <v>11</v>
      </c>
      <c r="M5" s="160">
        <v>12</v>
      </c>
      <c r="N5" s="160">
        <v>13</v>
      </c>
      <c r="O5" s="193">
        <v>14</v>
      </c>
      <c r="P5" s="160">
        <v>15</v>
      </c>
      <c r="Q5" s="160">
        <v>16</v>
      </c>
      <c r="R5" s="160">
        <v>17</v>
      </c>
      <c r="S5" s="160">
        <v>18</v>
      </c>
      <c r="T5" s="160">
        <v>19</v>
      </c>
      <c r="U5" s="160">
        <v>20</v>
      </c>
      <c r="V5" s="160">
        <v>21</v>
      </c>
      <c r="W5" s="160">
        <v>22</v>
      </c>
      <c r="X5" s="160">
        <v>23</v>
      </c>
      <c r="Y5" s="160">
        <v>24</v>
      </c>
      <c r="Z5" s="160">
        <v>25</v>
      </c>
      <c r="AA5" s="160">
        <v>26</v>
      </c>
      <c r="AB5" s="160">
        <v>27</v>
      </c>
      <c r="AC5" s="160">
        <v>28</v>
      </c>
      <c r="AD5" s="160">
        <v>29</v>
      </c>
      <c r="AE5" s="160">
        <v>30</v>
      </c>
      <c r="AF5" s="160">
        <v>31</v>
      </c>
      <c r="AG5" s="160">
        <v>32</v>
      </c>
      <c r="AH5" s="160">
        <v>33</v>
      </c>
      <c r="AI5" s="160">
        <v>34</v>
      </c>
      <c r="AJ5" s="160">
        <v>35</v>
      </c>
      <c r="AK5" s="160">
        <v>36</v>
      </c>
      <c r="AL5" s="160">
        <v>37</v>
      </c>
      <c r="AM5" s="160">
        <v>38</v>
      </c>
      <c r="AN5" s="160">
        <v>39</v>
      </c>
      <c r="AO5" s="160">
        <v>40</v>
      </c>
      <c r="AP5" s="246">
        <v>41</v>
      </c>
      <c r="AQ5" s="246">
        <v>42</v>
      </c>
      <c r="AR5" s="246">
        <v>43</v>
      </c>
      <c r="AS5" s="246">
        <v>44</v>
      </c>
      <c r="AT5" s="246">
        <v>45</v>
      </c>
      <c r="AU5" s="246">
        <v>46</v>
      </c>
      <c r="AV5" s="246">
        <v>47</v>
      </c>
      <c r="AW5" s="246">
        <v>48</v>
      </c>
      <c r="AX5" s="246">
        <v>49</v>
      </c>
      <c r="AY5" s="246">
        <v>50</v>
      </c>
      <c r="AZ5" s="246">
        <v>51</v>
      </c>
      <c r="BA5" s="246">
        <v>52</v>
      </c>
      <c r="BB5" s="246">
        <v>53</v>
      </c>
      <c r="BC5" s="246">
        <v>54</v>
      </c>
      <c r="BD5" s="205">
        <v>55</v>
      </c>
      <c r="BE5" s="205">
        <v>56</v>
      </c>
      <c r="BF5" s="205">
        <v>57</v>
      </c>
      <c r="BG5" s="205">
        <v>58</v>
      </c>
      <c r="BH5" s="205">
        <v>59</v>
      </c>
      <c r="BI5" s="205">
        <v>60</v>
      </c>
      <c r="BJ5" s="205">
        <v>61</v>
      </c>
      <c r="BK5" s="205">
        <v>62</v>
      </c>
      <c r="BL5" s="205">
        <v>63</v>
      </c>
      <c r="BM5" s="205">
        <v>64</v>
      </c>
      <c r="BN5" s="205">
        <v>65</v>
      </c>
      <c r="BO5" s="205">
        <v>66</v>
      </c>
      <c r="BP5" s="205">
        <v>67</v>
      </c>
      <c r="BQ5" s="205">
        <v>68</v>
      </c>
      <c r="BR5" s="251">
        <v>69</v>
      </c>
      <c r="BS5" s="251">
        <v>70</v>
      </c>
      <c r="BT5" s="251">
        <v>71</v>
      </c>
      <c r="BU5" s="251">
        <v>72</v>
      </c>
      <c r="BV5" s="251">
        <v>73</v>
      </c>
      <c r="BW5" s="251">
        <v>74</v>
      </c>
      <c r="BX5" s="251">
        <v>75</v>
      </c>
      <c r="BY5" s="251">
        <v>76</v>
      </c>
      <c r="BZ5" s="251">
        <v>77</v>
      </c>
      <c r="CA5" s="251">
        <v>78</v>
      </c>
      <c r="CB5" s="251">
        <v>79</v>
      </c>
      <c r="CC5" s="251">
        <v>80</v>
      </c>
      <c r="CD5" s="251">
        <v>81</v>
      </c>
      <c r="CE5" s="251">
        <v>82</v>
      </c>
      <c r="CF5" s="251">
        <v>83</v>
      </c>
      <c r="CG5" s="251">
        <v>84</v>
      </c>
      <c r="CH5" s="251">
        <v>85</v>
      </c>
      <c r="CI5" s="251">
        <v>86</v>
      </c>
      <c r="CJ5" s="256">
        <v>87</v>
      </c>
      <c r="CK5" s="256">
        <v>88</v>
      </c>
      <c r="CL5" s="256">
        <v>89</v>
      </c>
      <c r="CM5" s="256">
        <v>90</v>
      </c>
      <c r="CN5" s="256">
        <v>91</v>
      </c>
      <c r="CO5" s="256">
        <v>92</v>
      </c>
      <c r="CP5" s="256">
        <v>93</v>
      </c>
      <c r="CQ5" s="256">
        <v>94</v>
      </c>
      <c r="CR5" s="256">
        <v>95</v>
      </c>
      <c r="CS5" s="256">
        <v>96</v>
      </c>
      <c r="CT5" s="256">
        <v>97</v>
      </c>
      <c r="CU5" s="256">
        <v>98</v>
      </c>
      <c r="CV5" s="256">
        <v>99</v>
      </c>
      <c r="CW5" s="256">
        <v>100</v>
      </c>
      <c r="CX5" s="256">
        <v>101</v>
      </c>
      <c r="CY5" s="256">
        <v>102</v>
      </c>
      <c r="CZ5" s="256">
        <v>103</v>
      </c>
      <c r="DA5" s="256">
        <v>104</v>
      </c>
      <c r="DB5" s="201">
        <v>105</v>
      </c>
      <c r="DC5" s="201">
        <v>106</v>
      </c>
      <c r="DD5" s="201">
        <v>107</v>
      </c>
      <c r="DE5" s="201">
        <v>108</v>
      </c>
      <c r="DF5" s="201">
        <v>109</v>
      </c>
      <c r="DG5" s="201">
        <v>110</v>
      </c>
      <c r="DH5" s="201">
        <v>111</v>
      </c>
      <c r="DI5" s="201">
        <v>112</v>
      </c>
      <c r="DJ5" s="201">
        <v>113</v>
      </c>
      <c r="DK5" s="201">
        <v>114</v>
      </c>
      <c r="DL5" s="201">
        <v>115</v>
      </c>
      <c r="DM5" s="201">
        <v>116</v>
      </c>
      <c r="DN5" s="201">
        <v>117</v>
      </c>
      <c r="DO5" s="201">
        <v>118</v>
      </c>
      <c r="DP5" s="201">
        <v>119</v>
      </c>
      <c r="DQ5" s="201">
        <v>120</v>
      </c>
      <c r="DR5" s="201">
        <v>121</v>
      </c>
      <c r="DS5" s="201">
        <v>122</v>
      </c>
      <c r="DT5" s="161">
        <v>123</v>
      </c>
      <c r="DU5" s="161">
        <v>124</v>
      </c>
      <c r="DV5" s="161">
        <v>125</v>
      </c>
      <c r="DW5" s="161">
        <v>126</v>
      </c>
      <c r="DX5" s="161">
        <v>127</v>
      </c>
      <c r="DY5" s="161">
        <v>128</v>
      </c>
      <c r="DZ5" s="161">
        <v>129</v>
      </c>
      <c r="EA5" s="161">
        <v>130</v>
      </c>
      <c r="EB5" s="160">
        <v>131</v>
      </c>
      <c r="EC5" s="160">
        <v>132</v>
      </c>
      <c r="ED5" s="160">
        <v>133</v>
      </c>
      <c r="EE5" s="160">
        <v>134</v>
      </c>
      <c r="EF5" s="160">
        <v>135</v>
      </c>
      <c r="EG5" s="160">
        <v>136</v>
      </c>
      <c r="EH5" s="160">
        <v>137</v>
      </c>
      <c r="EI5" s="160">
        <v>138</v>
      </c>
      <c r="EJ5" s="160">
        <v>139</v>
      </c>
      <c r="EK5" s="160">
        <v>140</v>
      </c>
      <c r="EL5" s="160">
        <v>141</v>
      </c>
      <c r="EM5" s="160">
        <v>142</v>
      </c>
      <c r="EN5" s="160">
        <v>143</v>
      </c>
      <c r="EO5" s="160">
        <v>144</v>
      </c>
      <c r="EP5" s="160">
        <v>145</v>
      </c>
      <c r="EQ5" s="160">
        <v>146</v>
      </c>
      <c r="ER5" s="160">
        <v>147</v>
      </c>
      <c r="ES5" s="160">
        <v>148</v>
      </c>
    </row>
    <row r="6" spans="1:149" x14ac:dyDescent="0.3">
      <c r="A6" s="197">
        <v>1</v>
      </c>
      <c r="B6" s="1" t="s">
        <v>194</v>
      </c>
      <c r="C6" s="1" t="s">
        <v>195</v>
      </c>
      <c r="D6" s="163" t="s">
        <v>168</v>
      </c>
      <c r="E6" s="163" t="s">
        <v>169</v>
      </c>
      <c r="F6" s="164" t="s">
        <v>170</v>
      </c>
      <c r="G6" s="1" t="s">
        <v>121</v>
      </c>
      <c r="H6" s="1" t="s">
        <v>171</v>
      </c>
      <c r="I6" s="1" t="s">
        <v>121</v>
      </c>
      <c r="J6" s="1" t="s">
        <v>172</v>
      </c>
      <c r="K6" s="1">
        <v>1</v>
      </c>
      <c r="M6" s="165"/>
      <c r="N6" s="166"/>
      <c r="O6" s="198" t="s">
        <v>191</v>
      </c>
      <c r="R6" s="1" t="s">
        <v>129</v>
      </c>
      <c r="T6" s="167"/>
      <c r="U6" s="167">
        <v>46173</v>
      </c>
      <c r="V6" s="167">
        <v>46234</v>
      </c>
      <c r="W6" s="167"/>
      <c r="X6" s="168"/>
      <c r="Y6" s="168"/>
      <c r="AB6" s="195"/>
      <c r="AC6" s="195"/>
      <c r="AD6" s="195"/>
      <c r="AE6" s="195">
        <v>32.619999999999997</v>
      </c>
      <c r="AF6" s="195">
        <v>103.15</v>
      </c>
      <c r="AG6" s="195"/>
      <c r="AH6" s="195"/>
      <c r="AI6" s="195"/>
      <c r="AJ6" s="195"/>
      <c r="AK6" s="195">
        <v>38.22</v>
      </c>
      <c r="AL6" s="195"/>
      <c r="AM6" s="195"/>
      <c r="AN6" s="195">
        <v>20</v>
      </c>
      <c r="AO6" s="195"/>
      <c r="AP6" s="247"/>
      <c r="AQ6" s="247"/>
      <c r="AR6" s="247"/>
      <c r="AS6" s="247"/>
      <c r="AT6" s="247"/>
      <c r="AU6" s="247"/>
      <c r="AV6" s="247"/>
      <c r="AW6" s="247"/>
      <c r="AX6" s="247"/>
      <c r="AY6" s="247"/>
      <c r="AZ6" s="247"/>
      <c r="BA6" s="247"/>
      <c r="BB6" s="247"/>
      <c r="BC6" s="247"/>
      <c r="BD6" s="206"/>
      <c r="BE6" s="206"/>
      <c r="BF6" s="206"/>
      <c r="BG6" s="206"/>
      <c r="BH6" s="206"/>
      <c r="BI6" s="206"/>
      <c r="BJ6" s="206"/>
      <c r="BK6" s="206"/>
      <c r="BL6" s="206"/>
      <c r="BM6" s="206"/>
      <c r="BN6" s="206"/>
      <c r="BO6" s="206"/>
      <c r="BP6" s="206"/>
      <c r="BQ6" s="206"/>
      <c r="BR6" s="252"/>
      <c r="BS6" s="252"/>
      <c r="BT6" s="252"/>
      <c r="BU6" s="252">
        <v>50.09</v>
      </c>
      <c r="BV6" s="252">
        <v>135.22999999999999</v>
      </c>
      <c r="BW6" s="252"/>
      <c r="BX6" s="252"/>
      <c r="BY6" s="252">
        <v>58</v>
      </c>
      <c r="BZ6" s="252"/>
      <c r="CA6" s="252">
        <v>50.09</v>
      </c>
      <c r="CB6" s="252"/>
      <c r="CC6" s="252"/>
      <c r="CD6" s="252"/>
      <c r="CE6" s="252">
        <v>20</v>
      </c>
      <c r="CF6" s="252"/>
      <c r="CG6" s="252"/>
      <c r="CH6" s="252"/>
      <c r="CI6" s="252"/>
      <c r="CJ6" s="257"/>
      <c r="CK6" s="257"/>
      <c r="CL6" s="257"/>
      <c r="CM6" s="257"/>
      <c r="CN6" s="257"/>
      <c r="CO6" s="257"/>
      <c r="CP6" s="257"/>
      <c r="CQ6" s="257"/>
      <c r="CR6" s="257"/>
      <c r="CS6" s="257"/>
      <c r="CT6" s="257"/>
      <c r="CU6" s="257"/>
      <c r="CV6" s="257"/>
      <c r="CW6" s="257"/>
      <c r="CX6" s="257"/>
      <c r="CY6" s="257"/>
      <c r="CZ6" s="257"/>
      <c r="DA6" s="257"/>
      <c r="DB6" s="202"/>
      <c r="DC6" s="202"/>
      <c r="DD6" s="202"/>
      <c r="DE6" s="202"/>
      <c r="DF6" s="202"/>
      <c r="DG6" s="202"/>
      <c r="DH6" s="202"/>
      <c r="DI6" s="202"/>
      <c r="DJ6" s="202"/>
      <c r="DK6" s="202"/>
      <c r="DL6" s="202"/>
      <c r="DM6" s="202"/>
      <c r="DN6" s="202">
        <v>30</v>
      </c>
      <c r="DO6" s="202"/>
      <c r="DP6" s="202">
        <v>10</v>
      </c>
      <c r="DQ6" s="202"/>
      <c r="DR6" s="202"/>
      <c r="DS6" s="202"/>
      <c r="DT6" s="196"/>
      <c r="DU6" s="196"/>
      <c r="DV6" s="196"/>
      <c r="DW6" s="196"/>
      <c r="DX6" s="196"/>
      <c r="DY6" s="196"/>
      <c r="DZ6" s="196"/>
      <c r="EA6" s="196"/>
      <c r="EB6" s="176">
        <f t="shared" ref="EB6:EB69" si="0">AB6+AC6*K6+AD6*K6+((AF6+AG6+AH6+AJ6+AK6)*K6+AE6+AI6+AL6*K6+AM6*K6)+AP6+AQ6*L6+AR6*L6+((AT6+AU6+AV6+AX6+AY6)*L6+AS6+AW6+AZ6*L6+BA6*L6)+IF(AND(M6&gt;0,MAX(M6,N6/1000)&lt;1),BD6+1*(BE6+BF6)+(1*(BH6+BI6+BJ6+BL6+BM6)+BG6+BK6+BN6+BO6),IF(AND(M6&gt;0,MAX(M6,N6/1000)&gt;1),BD6+MAX(M6,N6/1000)*(BE6+BF6)+(MAX(M6,N6/1000)*(BH6+BI6+BJ6+BL6+BM6)+BG6+BK6+BN6+BO6),IF(AND(K6="",L6="",M6=""),BD6+N6*(BE6+BF6)+((BH6+BI6+BJ6+BL6+BM6)*N6+BG6+BK6+BN6+BO6),0)))</f>
        <v>173.99</v>
      </c>
      <c r="EC6" s="176">
        <f t="shared" ref="EC6:EC69" si="1">BR6+BS6*K6+BT6*K6+((BV6+BW6+BX6+BZ6+CA6)*K6+BU6+BY6+CB6*K6+CC6*K6)+CJ6+CK6*L6+CL6*L6+((CN6+CO6+CP6+CR6+CS6)*L6+CM6+CQ6+CT6*L6+CU6*L6)+IF(AND(M6&gt;0,MAX(M6,N6/1000)&lt;1),DB6+1*(DC6+DD6)+(1*(DF6+DG6+DH6+DJ6+DK6)+DE6+DI6+DL6+DM6),IF(AND(M6&gt;0,MAX(M6,N6/1000)&gt;1),DB6+MAX(M6,N6/1000)*(DC6+DD6)+(MAX(M6,N6/1000)*(DF6+DG6+DH6+DJ6+DK6)+DE6+DI6+DL6+DM6),IF(AND(K6="",L6="",M6=""),DB6+N6*(DC6+DD6)+((DF6+DG6+DH6+DJ6+DK6)*N6+DE6+DI6+DL6+DM6),0)))</f>
        <v>293.40999999999997</v>
      </c>
      <c r="ED6" s="176">
        <f t="shared" ref="ED6:ED69" si="2">AN6*K6*(1-AO6%)+BB6*L6*(1-BC6%)+BP6*IF(AND(M6&gt;0,M6&lt;1),1,IF(M6&gt;1,MAX(M6,N6/1000),N6))*(1-BQ6%)</f>
        <v>20</v>
      </c>
      <c r="EE6" s="176">
        <f t="shared" ref="EE6:EE69" si="3">(CD6+CE6*K6)*(1-CF6%)+(CG6+CH6*K6)*(1-CI6%)+(CV6+CW6*L6)*(1-CX6%)+(CY6+CZ6*L6)*(1-DA6%)+(DN6+DO6*IF(AND(M6&gt;0,M6&lt;1),1,IF(M6&gt;1,MAX(M6,N6/1000),N6)))*(1-DP6%)+(DQ6+DR6*IF(AND(M6&gt;0,M6&lt;1),1,IF(M6&gt;1,MAX(M6,N6/1000),N6)))*(1-DS6%)</f>
        <v>47</v>
      </c>
      <c r="EG6" s="129">
        <f t="shared" ref="EG6:EG69" si="4">((BR6+BS6*K6+BT6*K6)+(CJ6+CK6*L6*+CL6*L6)+IF(AND(M6&gt;0,MAX(M6,N6/1000)&lt;1),DB6+DC6+DD6,IF(AND(M6&gt;0,MAX(M6,N6/1000)&gt;1),DB6+DC6*M6+DD6*M6,IF(AND(M6&gt;0,MAX(M6,N6/1000)&gt;1),DB6+MAX(M6,N6/1000)*DC6+MAX(M6,N6/1000)*DD6+IF(AND(K6="",L6="",M6=""),DB6+DC6*N6+DD6*N6,0)))))*EF6/365*ES6%</f>
        <v>0</v>
      </c>
      <c r="EI6" s="176">
        <f t="shared" ref="EI6:EI69" si="5">(((BV6+BW6+BX6+BZ6+CA6)*K6+BU6+BY6)*1.08+CJ6+CK6*L6+CL6*L6+((CN6+CO6+CP6+CR6+CS6)*L6+CM6+CQ6)*1.08+IF(AND(M6&gt;0,MAX(M6,N6/1000)&lt;1),DB6+1*(DC6+DD6)+(1*(DF6+DG6+DH6+DJ6+DK6)+DE6+DI6)*1.08,IF(AND(M6&gt;0,MAX(M6,N6/1000)&gt;1),DB6+MAX(M6,N6/1000)*(DC6+DD6)+(MAX(M6,N6/1000)*(DF6+DG6+DH6+DJ6+DK6)+DE6+DI6)*1.08,IF(AND(K6="",L6="",M6=""),DB6+N6*(DC6+DD6)+((DF6+DG6+DH6+DJ6+DK6)*N6+DE6+DI6)*1.08,0))))*EH6/365*ES6%</f>
        <v>0</v>
      </c>
      <c r="EK6" s="176">
        <f t="shared" ref="EK6:EK69" si="6">((CB6*K6+CC6*K6)*1.1+(CT6*L6+CU6*L6)*1.1+(DL6+DM6)*1.1)*EJ6/365*ES6%</f>
        <v>0</v>
      </c>
      <c r="EL6" s="176"/>
      <c r="EM6" s="177">
        <v>0</v>
      </c>
      <c r="EN6" s="178"/>
      <c r="EO6" s="177">
        <v>0</v>
      </c>
      <c r="EP6" s="177"/>
      <c r="EQ6" s="176">
        <f t="shared" ref="EQ6:EQ69" si="7">EC6-EB6-EG6-EI6-EK6-(AN6*K6+BB6*L6+BP6*IF(AND(M6&gt;0,M6&lt;1),1,IF(M6&gt;1,MAX(M6,N6/1000),N6))+CD6+CE6*K6+CV6+CW6*L6+DN6+DO6*IF(AND(M6&gt;0,M6&lt;1),1,IF(M6&gt;1,MAX(M6,N6/1000),N6))+CG6+CH6*K6+CY6+CZ6*L6+DQ6+DR6*IF(AND(M6&gt;0,M6&lt;1),1,IF(M6&gt;1,MAX(M6,N6/1000),N6)))-EL6-EM6*EN6/365*ES6%-EO6*EP6/365*ES6%</f>
        <v>49.419999999999959</v>
      </c>
      <c r="ER6" s="179">
        <v>23300</v>
      </c>
      <c r="ES6" s="177">
        <v>7.5</v>
      </c>
    </row>
    <row r="7" spans="1:149" x14ac:dyDescent="0.3">
      <c r="A7" s="197">
        <v>2</v>
      </c>
      <c r="B7" s="1" t="s">
        <v>194</v>
      </c>
      <c r="C7" s="1" t="s">
        <v>196</v>
      </c>
      <c r="D7" s="163" t="s">
        <v>176</v>
      </c>
      <c r="E7" s="163" t="s">
        <v>177</v>
      </c>
      <c r="F7" s="164" t="s">
        <v>179</v>
      </c>
      <c r="G7" s="1" t="s">
        <v>121</v>
      </c>
      <c r="H7" s="1" t="s">
        <v>178</v>
      </c>
      <c r="I7" s="1" t="s">
        <v>121</v>
      </c>
      <c r="J7" s="1" t="s">
        <v>180</v>
      </c>
      <c r="L7" s="1">
        <v>5</v>
      </c>
      <c r="M7" s="165"/>
      <c r="N7" s="166"/>
      <c r="O7" s="198"/>
      <c r="T7" s="167"/>
      <c r="U7" s="167">
        <v>46147</v>
      </c>
      <c r="V7" s="167">
        <v>46184</v>
      </c>
      <c r="W7" s="167"/>
      <c r="X7" s="168"/>
      <c r="Y7" s="168"/>
      <c r="AB7" s="195"/>
      <c r="AC7" s="195"/>
      <c r="AD7" s="195"/>
      <c r="AE7" s="195"/>
      <c r="AF7" s="195"/>
      <c r="AG7" s="195"/>
      <c r="AH7" s="195"/>
      <c r="AI7" s="195"/>
      <c r="AJ7" s="195"/>
      <c r="AK7" s="195"/>
      <c r="AL7" s="195"/>
      <c r="AM7" s="195"/>
      <c r="AN7" s="195"/>
      <c r="AO7" s="195"/>
      <c r="AP7" s="247"/>
      <c r="AQ7" s="247"/>
      <c r="AR7" s="247">
        <v>13774.72</v>
      </c>
      <c r="AS7" s="247">
        <v>49.55</v>
      </c>
      <c r="AT7" s="247">
        <v>188.29</v>
      </c>
      <c r="AU7" s="247"/>
      <c r="AV7" s="247"/>
      <c r="AW7" s="247">
        <v>34.68</v>
      </c>
      <c r="AX7" s="247"/>
      <c r="AY7" s="247">
        <v>49.55</v>
      </c>
      <c r="AZ7" s="247"/>
      <c r="BA7" s="247"/>
      <c r="BB7" s="247"/>
      <c r="BC7" s="247"/>
      <c r="BD7" s="206"/>
      <c r="BE7" s="206"/>
      <c r="BF7" s="206"/>
      <c r="BG7" s="206"/>
      <c r="BH7" s="206"/>
      <c r="BI7" s="206"/>
      <c r="BJ7" s="206"/>
      <c r="BK7" s="206"/>
      <c r="BL7" s="206"/>
      <c r="BM7" s="206"/>
      <c r="BN7" s="206"/>
      <c r="BO7" s="206"/>
      <c r="BP7" s="206"/>
      <c r="BQ7" s="206"/>
      <c r="BR7" s="252"/>
      <c r="BS7" s="252"/>
      <c r="BT7" s="252"/>
      <c r="BU7" s="252"/>
      <c r="BV7" s="252"/>
      <c r="BW7" s="252"/>
      <c r="BX7" s="252"/>
      <c r="BY7" s="252"/>
      <c r="BZ7" s="252"/>
      <c r="CA7" s="252"/>
      <c r="CB7" s="252"/>
      <c r="CC7" s="252"/>
      <c r="CD7" s="252"/>
      <c r="CE7" s="252"/>
      <c r="CF7" s="252"/>
      <c r="CG7" s="252"/>
      <c r="CH7" s="252"/>
      <c r="CI7" s="252"/>
      <c r="CJ7" s="257"/>
      <c r="CK7" s="257"/>
      <c r="CL7" s="257">
        <v>14666.609442060086</v>
      </c>
      <c r="CM7" s="257">
        <v>39.639484978540771</v>
      </c>
      <c r="CN7" s="257">
        <v>183.33261802575106</v>
      </c>
      <c r="CO7" s="257"/>
      <c r="CP7" s="257"/>
      <c r="CQ7" s="257">
        <v>34.684549356223179</v>
      </c>
      <c r="CR7" s="257"/>
      <c r="CS7" s="257">
        <v>44.594420600858371</v>
      </c>
      <c r="CT7" s="257"/>
      <c r="CU7" s="257"/>
      <c r="CV7" s="257"/>
      <c r="CW7" s="257">
        <v>260.60085836909872</v>
      </c>
      <c r="CX7" s="257">
        <v>20</v>
      </c>
      <c r="CY7" s="257"/>
      <c r="CZ7" s="257"/>
      <c r="DA7" s="257"/>
      <c r="DB7" s="202"/>
      <c r="DC7" s="202"/>
      <c r="DD7" s="202"/>
      <c r="DE7" s="202"/>
      <c r="DF7" s="202"/>
      <c r="DG7" s="202"/>
      <c r="DH7" s="202"/>
      <c r="DI7" s="202"/>
      <c r="DJ7" s="202"/>
      <c r="DK7" s="202"/>
      <c r="DL7" s="202"/>
      <c r="DM7" s="202"/>
      <c r="DN7" s="202"/>
      <c r="DO7" s="202"/>
      <c r="DP7" s="202"/>
      <c r="DQ7" s="202"/>
      <c r="DR7" s="202"/>
      <c r="DS7" s="202"/>
      <c r="DT7" s="196"/>
      <c r="DU7" s="196"/>
      <c r="DV7" s="196">
        <v>8</v>
      </c>
      <c r="DW7" s="196"/>
      <c r="DX7" s="196"/>
      <c r="DY7" s="196"/>
      <c r="DZ7" s="196">
        <v>8</v>
      </c>
      <c r="EA7" s="196"/>
      <c r="EB7" s="176">
        <f t="shared" si="0"/>
        <v>70147.029999999984</v>
      </c>
      <c r="EC7" s="176">
        <f t="shared" si="1"/>
        <v>74547.006437768243</v>
      </c>
      <c r="ED7" s="176">
        <f t="shared" si="2"/>
        <v>0</v>
      </c>
      <c r="EE7" s="176">
        <f t="shared" si="3"/>
        <v>1042.4034334763949</v>
      </c>
      <c r="EG7" s="129">
        <f t="shared" si="4"/>
        <v>0</v>
      </c>
      <c r="EI7" s="176">
        <f t="shared" si="5"/>
        <v>0</v>
      </c>
      <c r="EK7" s="176">
        <f t="shared" si="6"/>
        <v>0</v>
      </c>
      <c r="EL7" s="176"/>
      <c r="EM7" s="177"/>
      <c r="EN7" s="178"/>
      <c r="EO7" s="177"/>
      <c r="EP7" s="177"/>
      <c r="EQ7" s="176">
        <f t="shared" si="7"/>
        <v>3096.9721459227649</v>
      </c>
      <c r="ER7" s="179">
        <v>23300</v>
      </c>
      <c r="ES7" s="177">
        <v>7.5</v>
      </c>
    </row>
    <row r="8" spans="1:149" x14ac:dyDescent="0.3">
      <c r="A8" s="197">
        <v>3</v>
      </c>
      <c r="D8" s="163"/>
      <c r="E8" s="163"/>
      <c r="F8" s="164"/>
      <c r="I8" s="163"/>
      <c r="M8" s="165"/>
      <c r="N8" s="166"/>
      <c r="O8" s="198"/>
      <c r="T8" s="167"/>
      <c r="U8" s="167"/>
      <c r="V8" s="167"/>
      <c r="W8" s="167"/>
      <c r="X8" s="168"/>
      <c r="Y8" s="168"/>
      <c r="AB8" s="195"/>
      <c r="AC8" s="195"/>
      <c r="AD8" s="195"/>
      <c r="AE8" s="195"/>
      <c r="AF8" s="195"/>
      <c r="AG8" s="195"/>
      <c r="AH8" s="195"/>
      <c r="AI8" s="195"/>
      <c r="AJ8" s="195"/>
      <c r="AK8" s="195"/>
      <c r="AL8" s="195"/>
      <c r="AM8" s="195"/>
      <c r="AN8" s="195"/>
      <c r="AO8" s="195"/>
      <c r="AP8" s="247"/>
      <c r="AQ8" s="247"/>
      <c r="AR8" s="247"/>
      <c r="AS8" s="247"/>
      <c r="AT8" s="247"/>
      <c r="AU8" s="247"/>
      <c r="AV8" s="247"/>
      <c r="AW8" s="247"/>
      <c r="AX8" s="247"/>
      <c r="AY8" s="247"/>
      <c r="AZ8" s="247"/>
      <c r="BA8" s="247"/>
      <c r="BB8" s="247"/>
      <c r="BC8" s="247"/>
      <c r="BD8" s="206"/>
      <c r="BE8" s="206"/>
      <c r="BF8" s="206"/>
      <c r="BG8" s="206"/>
      <c r="BH8" s="206"/>
      <c r="BI8" s="206"/>
      <c r="BJ8" s="206"/>
      <c r="BK8" s="206"/>
      <c r="BL8" s="206"/>
      <c r="BM8" s="206"/>
      <c r="BN8" s="206"/>
      <c r="BO8" s="206"/>
      <c r="BP8" s="206"/>
      <c r="BQ8" s="206"/>
      <c r="BR8" s="252"/>
      <c r="BS8" s="252"/>
      <c r="BT8" s="252"/>
      <c r="BU8" s="252"/>
      <c r="BV8" s="252"/>
      <c r="BW8" s="252"/>
      <c r="BX8" s="252"/>
      <c r="BY8" s="252"/>
      <c r="BZ8" s="252"/>
      <c r="CA8" s="252"/>
      <c r="CB8" s="252"/>
      <c r="CC8" s="252"/>
      <c r="CD8" s="252"/>
      <c r="CE8" s="252"/>
      <c r="CF8" s="252"/>
      <c r="CG8" s="252"/>
      <c r="CH8" s="252"/>
      <c r="CI8" s="252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02"/>
      <c r="DC8" s="202"/>
      <c r="DD8" s="202"/>
      <c r="DE8" s="202"/>
      <c r="DF8" s="202"/>
      <c r="DG8" s="202"/>
      <c r="DH8" s="202"/>
      <c r="DI8" s="202"/>
      <c r="DJ8" s="202"/>
      <c r="DK8" s="202"/>
      <c r="DL8" s="202"/>
      <c r="DM8" s="202"/>
      <c r="DN8" s="202"/>
      <c r="DO8" s="202"/>
      <c r="DP8" s="202"/>
      <c r="DQ8" s="202"/>
      <c r="DR8" s="202"/>
      <c r="DS8" s="202"/>
      <c r="DT8" s="196"/>
      <c r="DU8" s="196"/>
      <c r="DV8" s="196"/>
      <c r="DW8" s="196"/>
      <c r="DX8" s="196"/>
      <c r="DY8" s="196"/>
      <c r="DZ8" s="196"/>
      <c r="EA8" s="196"/>
      <c r="EB8" s="176">
        <f t="shared" si="0"/>
        <v>0</v>
      </c>
      <c r="EC8" s="176">
        <f t="shared" si="1"/>
        <v>0</v>
      </c>
      <c r="ED8" s="176">
        <f t="shared" si="2"/>
        <v>0</v>
      </c>
      <c r="EE8" s="176">
        <f t="shared" si="3"/>
        <v>0</v>
      </c>
      <c r="EG8" s="129">
        <f t="shared" si="4"/>
        <v>0</v>
      </c>
      <c r="EI8" s="176">
        <f t="shared" si="5"/>
        <v>0</v>
      </c>
      <c r="EK8" s="176">
        <f t="shared" si="6"/>
        <v>0</v>
      </c>
      <c r="EL8" s="176"/>
      <c r="EM8" s="177"/>
      <c r="EN8" s="178"/>
      <c r="EO8" s="177"/>
      <c r="EP8" s="177"/>
      <c r="EQ8" s="176">
        <f t="shared" si="7"/>
        <v>0</v>
      </c>
      <c r="ER8" s="179">
        <v>23300</v>
      </c>
      <c r="ES8" s="177">
        <v>7.5</v>
      </c>
    </row>
    <row r="9" spans="1:149" x14ac:dyDescent="0.3">
      <c r="A9" s="197">
        <v>4</v>
      </c>
      <c r="D9" s="163"/>
      <c r="E9" s="163"/>
      <c r="F9" s="164"/>
      <c r="I9" s="163"/>
      <c r="M9" s="165"/>
      <c r="N9" s="166"/>
      <c r="O9" s="198"/>
      <c r="T9" s="167"/>
      <c r="U9" s="167"/>
      <c r="V9" s="167"/>
      <c r="W9" s="167"/>
      <c r="X9" s="168"/>
      <c r="Y9" s="168"/>
      <c r="AB9" s="195"/>
      <c r="AC9" s="195"/>
      <c r="AD9" s="195"/>
      <c r="AE9" s="195"/>
      <c r="AF9" s="195"/>
      <c r="AG9" s="195"/>
      <c r="AH9" s="195"/>
      <c r="AI9" s="195"/>
      <c r="AJ9" s="195"/>
      <c r="AK9" s="195"/>
      <c r="AL9" s="195"/>
      <c r="AM9" s="195"/>
      <c r="AN9" s="195"/>
      <c r="AO9" s="195"/>
      <c r="AP9" s="247"/>
      <c r="AQ9" s="247"/>
      <c r="AR9" s="247"/>
      <c r="AS9" s="247"/>
      <c r="AT9" s="247"/>
      <c r="AU9" s="247"/>
      <c r="AV9" s="247"/>
      <c r="AW9" s="247"/>
      <c r="AX9" s="247"/>
      <c r="AY9" s="247"/>
      <c r="AZ9" s="247"/>
      <c r="BA9" s="247"/>
      <c r="BB9" s="247"/>
      <c r="BC9" s="247"/>
      <c r="BD9" s="206"/>
      <c r="BE9" s="206"/>
      <c r="BF9" s="206"/>
      <c r="BG9" s="206"/>
      <c r="BH9" s="206"/>
      <c r="BI9" s="206"/>
      <c r="BJ9" s="206"/>
      <c r="BK9" s="206"/>
      <c r="BL9" s="206"/>
      <c r="BM9" s="206"/>
      <c r="BN9" s="206"/>
      <c r="BO9" s="206"/>
      <c r="BP9" s="206"/>
      <c r="BQ9" s="206"/>
      <c r="BR9" s="252"/>
      <c r="BS9" s="252"/>
      <c r="BT9" s="252"/>
      <c r="BU9" s="252"/>
      <c r="BV9" s="252"/>
      <c r="BW9" s="252"/>
      <c r="BX9" s="252"/>
      <c r="BY9" s="252"/>
      <c r="BZ9" s="252"/>
      <c r="CA9" s="252"/>
      <c r="CB9" s="252"/>
      <c r="CC9" s="252"/>
      <c r="CD9" s="252"/>
      <c r="CE9" s="252"/>
      <c r="CF9" s="252"/>
      <c r="CG9" s="252"/>
      <c r="CH9" s="252"/>
      <c r="CI9" s="252"/>
      <c r="CJ9" s="257"/>
      <c r="CK9" s="257"/>
      <c r="CL9" s="257"/>
      <c r="CM9" s="257"/>
      <c r="CN9" s="257"/>
      <c r="CO9" s="257"/>
      <c r="CP9" s="257"/>
      <c r="CQ9" s="257"/>
      <c r="CR9" s="257"/>
      <c r="CS9" s="257"/>
      <c r="CT9" s="257"/>
      <c r="CU9" s="257"/>
      <c r="CV9" s="257"/>
      <c r="CW9" s="257"/>
      <c r="CX9" s="257"/>
      <c r="CY9" s="257"/>
      <c r="CZ9" s="257"/>
      <c r="DA9" s="257"/>
      <c r="DB9" s="202"/>
      <c r="DC9" s="202"/>
      <c r="DD9" s="202"/>
      <c r="DE9" s="202"/>
      <c r="DF9" s="202"/>
      <c r="DG9" s="202"/>
      <c r="DH9" s="202"/>
      <c r="DI9" s="202"/>
      <c r="DJ9" s="202"/>
      <c r="DK9" s="202"/>
      <c r="DL9" s="202"/>
      <c r="DM9" s="202"/>
      <c r="DN9" s="202"/>
      <c r="DO9" s="202"/>
      <c r="DP9" s="202"/>
      <c r="DQ9" s="202"/>
      <c r="DR9" s="202"/>
      <c r="DS9" s="202"/>
      <c r="DT9" s="196"/>
      <c r="DU9" s="196"/>
      <c r="DV9" s="196"/>
      <c r="DW9" s="196"/>
      <c r="DX9" s="196"/>
      <c r="DY9" s="196"/>
      <c r="DZ9" s="196"/>
      <c r="EA9" s="196"/>
      <c r="EB9" s="176">
        <f t="shared" si="0"/>
        <v>0</v>
      </c>
      <c r="EC9" s="176">
        <f t="shared" si="1"/>
        <v>0</v>
      </c>
      <c r="ED9" s="176">
        <f t="shared" si="2"/>
        <v>0</v>
      </c>
      <c r="EE9" s="176">
        <f t="shared" si="3"/>
        <v>0</v>
      </c>
      <c r="EG9" s="129">
        <f t="shared" si="4"/>
        <v>0</v>
      </c>
      <c r="EI9" s="176">
        <f t="shared" si="5"/>
        <v>0</v>
      </c>
      <c r="EK9" s="176">
        <f t="shared" si="6"/>
        <v>0</v>
      </c>
      <c r="EL9" s="176"/>
      <c r="EM9" s="177"/>
      <c r="EN9" s="178"/>
      <c r="EO9" s="177"/>
      <c r="EP9" s="177"/>
      <c r="EQ9" s="176">
        <f t="shared" si="7"/>
        <v>0</v>
      </c>
      <c r="ER9" s="179">
        <v>23300</v>
      </c>
      <c r="ES9" s="177">
        <v>7.5</v>
      </c>
    </row>
    <row r="10" spans="1:149" x14ac:dyDescent="0.3">
      <c r="A10" s="197">
        <v>5</v>
      </c>
      <c r="D10" s="163"/>
      <c r="E10" s="163"/>
      <c r="F10" s="164"/>
      <c r="I10" s="163"/>
      <c r="M10" s="165"/>
      <c r="N10" s="166"/>
      <c r="O10" s="198"/>
      <c r="T10" s="167"/>
      <c r="U10" s="167"/>
      <c r="V10" s="167"/>
      <c r="W10" s="167"/>
      <c r="X10" s="168"/>
      <c r="Y10" s="168"/>
      <c r="AB10" s="195"/>
      <c r="AC10" s="195"/>
      <c r="AD10" s="195"/>
      <c r="AE10" s="195"/>
      <c r="AF10" s="195"/>
      <c r="AG10" s="195"/>
      <c r="AH10" s="195"/>
      <c r="AI10" s="195"/>
      <c r="AJ10" s="195"/>
      <c r="AK10" s="195"/>
      <c r="AL10" s="195"/>
      <c r="AM10" s="195"/>
      <c r="AN10" s="195"/>
      <c r="AO10" s="195"/>
      <c r="AP10" s="247"/>
      <c r="AQ10" s="247"/>
      <c r="AR10" s="247"/>
      <c r="AS10" s="247"/>
      <c r="AT10" s="247"/>
      <c r="AU10" s="247"/>
      <c r="AV10" s="247"/>
      <c r="AW10" s="247"/>
      <c r="AX10" s="247"/>
      <c r="AY10" s="247"/>
      <c r="AZ10" s="247"/>
      <c r="BA10" s="247"/>
      <c r="BB10" s="247"/>
      <c r="BC10" s="247"/>
      <c r="BD10" s="206"/>
      <c r="BE10" s="206"/>
      <c r="BF10" s="206"/>
      <c r="BG10" s="206"/>
      <c r="BH10" s="206"/>
      <c r="BI10" s="206"/>
      <c r="BJ10" s="206"/>
      <c r="BK10" s="206"/>
      <c r="BL10" s="206"/>
      <c r="BM10" s="206"/>
      <c r="BN10" s="206"/>
      <c r="BO10" s="206"/>
      <c r="BP10" s="206"/>
      <c r="BQ10" s="206"/>
      <c r="BR10" s="252"/>
      <c r="BS10" s="252"/>
      <c r="BT10" s="252"/>
      <c r="BU10" s="252"/>
      <c r="BV10" s="252"/>
      <c r="BW10" s="252"/>
      <c r="BX10" s="252"/>
      <c r="BY10" s="252"/>
      <c r="BZ10" s="252"/>
      <c r="CA10" s="252"/>
      <c r="CB10" s="252"/>
      <c r="CC10" s="252"/>
      <c r="CD10" s="252"/>
      <c r="CE10" s="252"/>
      <c r="CF10" s="252"/>
      <c r="CG10" s="252"/>
      <c r="CH10" s="252"/>
      <c r="CI10" s="252"/>
      <c r="CJ10" s="257"/>
      <c r="CK10" s="257"/>
      <c r="CL10" s="257"/>
      <c r="CM10" s="257"/>
      <c r="CN10" s="257"/>
      <c r="CO10" s="257"/>
      <c r="CP10" s="257"/>
      <c r="CQ10" s="257"/>
      <c r="CR10" s="257"/>
      <c r="CS10" s="257"/>
      <c r="CT10" s="257"/>
      <c r="CU10" s="257"/>
      <c r="CV10" s="257"/>
      <c r="CW10" s="257"/>
      <c r="CX10" s="257"/>
      <c r="CY10" s="257"/>
      <c r="CZ10" s="257"/>
      <c r="DA10" s="257"/>
      <c r="DB10" s="202"/>
      <c r="DC10" s="202"/>
      <c r="DD10" s="202"/>
      <c r="DE10" s="202"/>
      <c r="DF10" s="202"/>
      <c r="DG10" s="202"/>
      <c r="DH10" s="202"/>
      <c r="DI10" s="202"/>
      <c r="DJ10" s="202"/>
      <c r="DK10" s="202"/>
      <c r="DL10" s="202"/>
      <c r="DM10" s="202"/>
      <c r="DN10" s="202"/>
      <c r="DO10" s="202"/>
      <c r="DP10" s="202"/>
      <c r="DQ10" s="202"/>
      <c r="DR10" s="202"/>
      <c r="DS10" s="202"/>
      <c r="DT10" s="196"/>
      <c r="DU10" s="196"/>
      <c r="DV10" s="196"/>
      <c r="DW10" s="196"/>
      <c r="DX10" s="196"/>
      <c r="DY10" s="196"/>
      <c r="DZ10" s="196"/>
      <c r="EA10" s="196"/>
      <c r="EB10" s="176">
        <f t="shared" si="0"/>
        <v>0</v>
      </c>
      <c r="EC10" s="176">
        <f t="shared" si="1"/>
        <v>0</v>
      </c>
      <c r="ED10" s="176">
        <f t="shared" si="2"/>
        <v>0</v>
      </c>
      <c r="EE10" s="176">
        <f t="shared" si="3"/>
        <v>0</v>
      </c>
      <c r="EG10" s="129">
        <f t="shared" si="4"/>
        <v>0</v>
      </c>
      <c r="EI10" s="176">
        <f t="shared" si="5"/>
        <v>0</v>
      </c>
      <c r="EK10" s="176">
        <f t="shared" si="6"/>
        <v>0</v>
      </c>
      <c r="EL10" s="176"/>
      <c r="EM10" s="177"/>
      <c r="EN10" s="178"/>
      <c r="EO10" s="177"/>
      <c r="EP10" s="177"/>
      <c r="EQ10" s="176">
        <f t="shared" si="7"/>
        <v>0</v>
      </c>
      <c r="ER10" s="179">
        <v>23300</v>
      </c>
      <c r="ES10" s="177">
        <v>7.5</v>
      </c>
    </row>
    <row r="11" spans="1:149" x14ac:dyDescent="0.3">
      <c r="A11" s="197">
        <v>6</v>
      </c>
      <c r="D11" s="163"/>
      <c r="E11" s="163"/>
      <c r="F11" s="164"/>
      <c r="I11" s="163"/>
      <c r="M11" s="165"/>
      <c r="N11" s="166"/>
      <c r="O11" s="198"/>
      <c r="T11" s="167"/>
      <c r="U11" s="167"/>
      <c r="V11" s="167"/>
      <c r="W11" s="167"/>
      <c r="X11" s="168"/>
      <c r="Y11" s="168"/>
      <c r="AB11" s="195"/>
      <c r="AC11" s="195"/>
      <c r="AD11" s="195"/>
      <c r="AE11" s="195"/>
      <c r="AF11" s="195"/>
      <c r="AG11" s="195"/>
      <c r="AH11" s="195"/>
      <c r="AI11" s="195"/>
      <c r="AJ11" s="195"/>
      <c r="AK11" s="195"/>
      <c r="AL11" s="195"/>
      <c r="AM11" s="195"/>
      <c r="AN11" s="195"/>
      <c r="AO11" s="195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06"/>
      <c r="BE11" s="206"/>
      <c r="BF11" s="206"/>
      <c r="BG11" s="206"/>
      <c r="BH11" s="206"/>
      <c r="BI11" s="206"/>
      <c r="BJ11" s="206"/>
      <c r="BK11" s="206"/>
      <c r="BL11" s="206"/>
      <c r="BM11" s="206"/>
      <c r="BN11" s="206"/>
      <c r="BO11" s="206"/>
      <c r="BP11" s="206"/>
      <c r="BQ11" s="206"/>
      <c r="BR11" s="252"/>
      <c r="BS11" s="252"/>
      <c r="BT11" s="252"/>
      <c r="BU11" s="252"/>
      <c r="BV11" s="252"/>
      <c r="BW11" s="252"/>
      <c r="BX11" s="252"/>
      <c r="BY11" s="252"/>
      <c r="BZ11" s="252"/>
      <c r="CA11" s="252"/>
      <c r="CB11" s="252"/>
      <c r="CC11" s="252"/>
      <c r="CD11" s="252"/>
      <c r="CE11" s="252"/>
      <c r="CF11" s="252"/>
      <c r="CG11" s="252"/>
      <c r="CH11" s="252"/>
      <c r="CI11" s="252"/>
      <c r="CJ11" s="257"/>
      <c r="CK11" s="257"/>
      <c r="CL11" s="257"/>
      <c r="CM11" s="257"/>
      <c r="CN11" s="257"/>
      <c r="CO11" s="257"/>
      <c r="CP11" s="257"/>
      <c r="CQ11" s="257"/>
      <c r="CR11" s="257"/>
      <c r="CS11" s="257"/>
      <c r="CT11" s="257"/>
      <c r="CU11" s="257"/>
      <c r="CV11" s="257"/>
      <c r="CW11" s="257"/>
      <c r="CX11" s="257"/>
      <c r="CY11" s="257"/>
      <c r="CZ11" s="257"/>
      <c r="DA11" s="257"/>
      <c r="DB11" s="202"/>
      <c r="DC11" s="202"/>
      <c r="DD11" s="202"/>
      <c r="DE11" s="202"/>
      <c r="DF11" s="202"/>
      <c r="DG11" s="202"/>
      <c r="DH11" s="202"/>
      <c r="DI11" s="202"/>
      <c r="DJ11" s="202"/>
      <c r="DK11" s="202"/>
      <c r="DL11" s="202"/>
      <c r="DM11" s="202"/>
      <c r="DN11" s="202"/>
      <c r="DO11" s="202"/>
      <c r="DP11" s="202"/>
      <c r="DQ11" s="202"/>
      <c r="DR11" s="202"/>
      <c r="DS11" s="202"/>
      <c r="DT11" s="196"/>
      <c r="DU11" s="196"/>
      <c r="DV11" s="196"/>
      <c r="DW11" s="196"/>
      <c r="DX11" s="196"/>
      <c r="DY11" s="196"/>
      <c r="DZ11" s="196"/>
      <c r="EA11" s="196"/>
      <c r="EB11" s="176">
        <f t="shared" si="0"/>
        <v>0</v>
      </c>
      <c r="EC11" s="176">
        <f t="shared" si="1"/>
        <v>0</v>
      </c>
      <c r="ED11" s="176">
        <f t="shared" si="2"/>
        <v>0</v>
      </c>
      <c r="EE11" s="176">
        <f t="shared" si="3"/>
        <v>0</v>
      </c>
      <c r="EG11" s="129">
        <f t="shared" si="4"/>
        <v>0</v>
      </c>
      <c r="EI11" s="176">
        <f t="shared" si="5"/>
        <v>0</v>
      </c>
      <c r="EK11" s="176">
        <f t="shared" si="6"/>
        <v>0</v>
      </c>
      <c r="EL11" s="176"/>
      <c r="EM11" s="177"/>
      <c r="EN11" s="178"/>
      <c r="EO11" s="177"/>
      <c r="EP11" s="177"/>
      <c r="EQ11" s="176">
        <f t="shared" si="7"/>
        <v>0</v>
      </c>
      <c r="ER11" s="179">
        <v>23300</v>
      </c>
      <c r="ES11" s="177">
        <v>7.5</v>
      </c>
    </row>
    <row r="12" spans="1:149" x14ac:dyDescent="0.3">
      <c r="A12" s="197">
        <v>7</v>
      </c>
      <c r="D12" s="163"/>
      <c r="E12" s="163"/>
      <c r="F12" s="164"/>
      <c r="I12" s="163"/>
      <c r="M12" s="165"/>
      <c r="N12" s="166"/>
      <c r="O12" s="198"/>
      <c r="T12" s="167"/>
      <c r="U12" s="167"/>
      <c r="V12" s="167"/>
      <c r="W12" s="167"/>
      <c r="X12" s="168"/>
      <c r="Y12" s="168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195"/>
      <c r="AM12" s="195"/>
      <c r="AN12" s="195"/>
      <c r="AO12" s="195"/>
      <c r="AP12" s="247"/>
      <c r="AQ12" s="247"/>
      <c r="AR12" s="247"/>
      <c r="AS12" s="247"/>
      <c r="AT12" s="247"/>
      <c r="AU12" s="247"/>
      <c r="AV12" s="247"/>
      <c r="AW12" s="247"/>
      <c r="AX12" s="247"/>
      <c r="AY12" s="247"/>
      <c r="AZ12" s="247"/>
      <c r="BA12" s="247"/>
      <c r="BB12" s="247"/>
      <c r="BC12" s="247"/>
      <c r="BD12" s="206"/>
      <c r="BE12" s="206"/>
      <c r="BF12" s="206"/>
      <c r="BG12" s="206"/>
      <c r="BH12" s="206"/>
      <c r="BI12" s="206"/>
      <c r="BJ12" s="206"/>
      <c r="BK12" s="206"/>
      <c r="BL12" s="206"/>
      <c r="BM12" s="206"/>
      <c r="BN12" s="206"/>
      <c r="BO12" s="206"/>
      <c r="BP12" s="206"/>
      <c r="BQ12" s="206"/>
      <c r="BR12" s="252"/>
      <c r="BS12" s="252"/>
      <c r="BT12" s="252"/>
      <c r="BU12" s="252"/>
      <c r="BV12" s="252"/>
      <c r="BW12" s="252"/>
      <c r="BX12" s="252"/>
      <c r="BY12" s="252"/>
      <c r="BZ12" s="252"/>
      <c r="CA12" s="252"/>
      <c r="CB12" s="252"/>
      <c r="CC12" s="252"/>
      <c r="CD12" s="252"/>
      <c r="CE12" s="252"/>
      <c r="CF12" s="252"/>
      <c r="CG12" s="252"/>
      <c r="CH12" s="252"/>
      <c r="CI12" s="252"/>
      <c r="CJ12" s="257"/>
      <c r="CK12" s="257"/>
      <c r="CL12" s="257"/>
      <c r="CM12" s="257"/>
      <c r="CN12" s="257"/>
      <c r="CO12" s="257"/>
      <c r="CP12" s="257"/>
      <c r="CQ12" s="257"/>
      <c r="CR12" s="257"/>
      <c r="CS12" s="257"/>
      <c r="CT12" s="257"/>
      <c r="CU12" s="257"/>
      <c r="CV12" s="257"/>
      <c r="CW12" s="257"/>
      <c r="CX12" s="257"/>
      <c r="CY12" s="257"/>
      <c r="CZ12" s="257"/>
      <c r="DA12" s="257"/>
      <c r="DB12" s="202"/>
      <c r="DC12" s="202"/>
      <c r="DD12" s="202"/>
      <c r="DE12" s="202"/>
      <c r="DF12" s="202"/>
      <c r="DG12" s="202"/>
      <c r="DH12" s="202"/>
      <c r="DI12" s="202"/>
      <c r="DJ12" s="202"/>
      <c r="DK12" s="202"/>
      <c r="DL12" s="202"/>
      <c r="DM12" s="202"/>
      <c r="DN12" s="202"/>
      <c r="DO12" s="202"/>
      <c r="DP12" s="202"/>
      <c r="DQ12" s="202"/>
      <c r="DR12" s="202"/>
      <c r="DS12" s="202"/>
      <c r="DT12" s="196"/>
      <c r="DU12" s="196"/>
      <c r="DV12" s="196"/>
      <c r="DW12" s="196"/>
      <c r="DX12" s="196"/>
      <c r="DY12" s="196"/>
      <c r="DZ12" s="196"/>
      <c r="EA12" s="196"/>
      <c r="EB12" s="176">
        <f t="shared" si="0"/>
        <v>0</v>
      </c>
      <c r="EC12" s="176">
        <f t="shared" si="1"/>
        <v>0</v>
      </c>
      <c r="ED12" s="176">
        <f t="shared" si="2"/>
        <v>0</v>
      </c>
      <c r="EE12" s="176">
        <f t="shared" si="3"/>
        <v>0</v>
      </c>
      <c r="EG12" s="129">
        <f t="shared" si="4"/>
        <v>0</v>
      </c>
      <c r="EI12" s="176">
        <f t="shared" si="5"/>
        <v>0</v>
      </c>
      <c r="EK12" s="176">
        <f t="shared" si="6"/>
        <v>0</v>
      </c>
      <c r="EL12" s="176"/>
      <c r="EM12" s="177"/>
      <c r="EN12" s="178"/>
      <c r="EO12" s="177"/>
      <c r="EP12" s="177"/>
      <c r="EQ12" s="176">
        <f t="shared" si="7"/>
        <v>0</v>
      </c>
      <c r="ER12" s="179">
        <v>23300</v>
      </c>
      <c r="ES12" s="177">
        <v>7.5</v>
      </c>
    </row>
    <row r="13" spans="1:149" x14ac:dyDescent="0.3">
      <c r="A13" s="197">
        <v>8</v>
      </c>
      <c r="D13" s="163"/>
      <c r="E13" s="163"/>
      <c r="F13" s="164"/>
      <c r="I13" s="163"/>
      <c r="M13" s="165"/>
      <c r="N13" s="166"/>
      <c r="O13" s="198"/>
      <c r="T13" s="167"/>
      <c r="U13" s="167"/>
      <c r="V13" s="167"/>
      <c r="W13" s="167"/>
      <c r="X13" s="168"/>
      <c r="Y13" s="168"/>
      <c r="AB13" s="195"/>
      <c r="AC13" s="195"/>
      <c r="AD13" s="195"/>
      <c r="AE13" s="195"/>
      <c r="AF13" s="195"/>
      <c r="AG13" s="195"/>
      <c r="AH13" s="195"/>
      <c r="AI13" s="195"/>
      <c r="AJ13" s="195"/>
      <c r="AK13" s="195"/>
      <c r="AL13" s="195"/>
      <c r="AM13" s="195"/>
      <c r="AN13" s="195"/>
      <c r="AO13" s="195"/>
      <c r="AP13" s="247"/>
      <c r="AQ13" s="247"/>
      <c r="AR13" s="247"/>
      <c r="AS13" s="247"/>
      <c r="AT13" s="247"/>
      <c r="AU13" s="247"/>
      <c r="AV13" s="247"/>
      <c r="AW13" s="247"/>
      <c r="AX13" s="247"/>
      <c r="AY13" s="247"/>
      <c r="AZ13" s="247"/>
      <c r="BA13" s="247"/>
      <c r="BB13" s="247"/>
      <c r="BC13" s="247"/>
      <c r="BD13" s="206"/>
      <c r="BE13" s="206"/>
      <c r="BF13" s="206"/>
      <c r="BG13" s="206"/>
      <c r="BH13" s="206"/>
      <c r="BI13" s="206"/>
      <c r="BJ13" s="206"/>
      <c r="BK13" s="206"/>
      <c r="BL13" s="206"/>
      <c r="BM13" s="206"/>
      <c r="BN13" s="206"/>
      <c r="BO13" s="206"/>
      <c r="BP13" s="206"/>
      <c r="BQ13" s="206"/>
      <c r="BR13" s="252"/>
      <c r="BS13" s="252"/>
      <c r="BT13" s="252"/>
      <c r="BU13" s="252"/>
      <c r="BV13" s="252"/>
      <c r="BW13" s="252"/>
      <c r="BX13" s="252"/>
      <c r="BY13" s="252"/>
      <c r="BZ13" s="252"/>
      <c r="CA13" s="252"/>
      <c r="CB13" s="252"/>
      <c r="CC13" s="252"/>
      <c r="CD13" s="252"/>
      <c r="CE13" s="252"/>
      <c r="CF13" s="252"/>
      <c r="CG13" s="252"/>
      <c r="CH13" s="252"/>
      <c r="CI13" s="252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02"/>
      <c r="DC13" s="202"/>
      <c r="DD13" s="202"/>
      <c r="DE13" s="202"/>
      <c r="DF13" s="202"/>
      <c r="DG13" s="202"/>
      <c r="DH13" s="202"/>
      <c r="DI13" s="202"/>
      <c r="DJ13" s="202"/>
      <c r="DK13" s="202"/>
      <c r="DL13" s="202"/>
      <c r="DM13" s="202"/>
      <c r="DN13" s="202"/>
      <c r="DO13" s="202"/>
      <c r="DP13" s="202"/>
      <c r="DQ13" s="202"/>
      <c r="DR13" s="202"/>
      <c r="DS13" s="202"/>
      <c r="DT13" s="196"/>
      <c r="DU13" s="196"/>
      <c r="DV13" s="196"/>
      <c r="DW13" s="196"/>
      <c r="DX13" s="196"/>
      <c r="DY13" s="196"/>
      <c r="DZ13" s="196"/>
      <c r="EA13" s="196"/>
      <c r="EB13" s="176">
        <f t="shared" si="0"/>
        <v>0</v>
      </c>
      <c r="EC13" s="176">
        <f t="shared" si="1"/>
        <v>0</v>
      </c>
      <c r="ED13" s="176">
        <f t="shared" si="2"/>
        <v>0</v>
      </c>
      <c r="EE13" s="176">
        <f t="shared" si="3"/>
        <v>0</v>
      </c>
      <c r="EG13" s="129">
        <f t="shared" si="4"/>
        <v>0</v>
      </c>
      <c r="EI13" s="176">
        <f t="shared" si="5"/>
        <v>0</v>
      </c>
      <c r="EK13" s="176">
        <f t="shared" si="6"/>
        <v>0</v>
      </c>
      <c r="EL13" s="176"/>
      <c r="EM13" s="177"/>
      <c r="EN13" s="178"/>
      <c r="EO13" s="177"/>
      <c r="EP13" s="177"/>
      <c r="EQ13" s="176">
        <f t="shared" si="7"/>
        <v>0</v>
      </c>
      <c r="ER13" s="179">
        <v>23300</v>
      </c>
      <c r="ES13" s="177">
        <v>7.5</v>
      </c>
    </row>
    <row r="14" spans="1:149" x14ac:dyDescent="0.3">
      <c r="A14" s="197">
        <v>9</v>
      </c>
      <c r="D14" s="163"/>
      <c r="E14" s="163"/>
      <c r="F14" s="164"/>
      <c r="I14" s="163"/>
      <c r="M14" s="165"/>
      <c r="N14" s="166"/>
      <c r="O14" s="198"/>
      <c r="T14" s="167"/>
      <c r="U14" s="167"/>
      <c r="V14" s="167"/>
      <c r="W14" s="167"/>
      <c r="X14" s="168"/>
      <c r="Y14" s="168"/>
      <c r="AB14" s="195"/>
      <c r="AC14" s="195"/>
      <c r="AD14" s="195"/>
      <c r="AE14" s="195"/>
      <c r="AF14" s="195"/>
      <c r="AG14" s="195"/>
      <c r="AH14" s="195"/>
      <c r="AI14" s="195"/>
      <c r="AJ14" s="195"/>
      <c r="AK14" s="195"/>
      <c r="AL14" s="195"/>
      <c r="AM14" s="195"/>
      <c r="AN14" s="195"/>
      <c r="AO14" s="195"/>
      <c r="AP14" s="247"/>
      <c r="AQ14" s="247"/>
      <c r="AR14" s="247"/>
      <c r="AS14" s="247"/>
      <c r="AT14" s="247"/>
      <c r="AU14" s="247"/>
      <c r="AV14" s="247"/>
      <c r="AW14" s="247"/>
      <c r="AX14" s="247"/>
      <c r="AY14" s="247"/>
      <c r="AZ14" s="247"/>
      <c r="BA14" s="247"/>
      <c r="BB14" s="247"/>
      <c r="BC14" s="247"/>
      <c r="BD14" s="206"/>
      <c r="BE14" s="206"/>
      <c r="BF14" s="206"/>
      <c r="BG14" s="206"/>
      <c r="BH14" s="206"/>
      <c r="BI14" s="206"/>
      <c r="BJ14" s="206"/>
      <c r="BK14" s="206"/>
      <c r="BL14" s="206"/>
      <c r="BM14" s="206"/>
      <c r="BN14" s="206"/>
      <c r="BO14" s="206"/>
      <c r="BP14" s="206"/>
      <c r="BQ14" s="206"/>
      <c r="BR14" s="252"/>
      <c r="BS14" s="252"/>
      <c r="BT14" s="252"/>
      <c r="BU14" s="252"/>
      <c r="BV14" s="252"/>
      <c r="BW14" s="252"/>
      <c r="BX14" s="252"/>
      <c r="BY14" s="252"/>
      <c r="BZ14" s="252"/>
      <c r="CA14" s="252"/>
      <c r="CB14" s="252"/>
      <c r="CC14" s="252"/>
      <c r="CD14" s="252"/>
      <c r="CE14" s="252"/>
      <c r="CF14" s="252"/>
      <c r="CG14" s="252"/>
      <c r="CH14" s="252"/>
      <c r="CI14" s="252"/>
      <c r="CJ14" s="257"/>
      <c r="CK14" s="257"/>
      <c r="CL14" s="257"/>
      <c r="CM14" s="257"/>
      <c r="CN14" s="257"/>
      <c r="CO14" s="257"/>
      <c r="CP14" s="257"/>
      <c r="CQ14" s="257"/>
      <c r="CR14" s="257"/>
      <c r="CS14" s="257"/>
      <c r="CT14" s="257"/>
      <c r="CU14" s="257"/>
      <c r="CV14" s="257"/>
      <c r="CW14" s="257"/>
      <c r="CX14" s="257"/>
      <c r="CY14" s="257"/>
      <c r="CZ14" s="257"/>
      <c r="DA14" s="257"/>
      <c r="DB14" s="202"/>
      <c r="DC14" s="202"/>
      <c r="DD14" s="202"/>
      <c r="DE14" s="202"/>
      <c r="DF14" s="202"/>
      <c r="DG14" s="202"/>
      <c r="DH14" s="202"/>
      <c r="DI14" s="202"/>
      <c r="DJ14" s="202"/>
      <c r="DK14" s="202"/>
      <c r="DL14" s="202"/>
      <c r="DM14" s="202"/>
      <c r="DN14" s="202"/>
      <c r="DO14" s="202"/>
      <c r="DP14" s="202"/>
      <c r="DQ14" s="202"/>
      <c r="DR14" s="202"/>
      <c r="DS14" s="202"/>
      <c r="DT14" s="196"/>
      <c r="DU14" s="196"/>
      <c r="DV14" s="196"/>
      <c r="DW14" s="196"/>
      <c r="DX14" s="196"/>
      <c r="DY14" s="196"/>
      <c r="DZ14" s="196"/>
      <c r="EA14" s="196"/>
      <c r="EB14" s="176">
        <f t="shared" si="0"/>
        <v>0</v>
      </c>
      <c r="EC14" s="176">
        <f t="shared" si="1"/>
        <v>0</v>
      </c>
      <c r="ED14" s="176">
        <f t="shared" si="2"/>
        <v>0</v>
      </c>
      <c r="EE14" s="176">
        <f t="shared" si="3"/>
        <v>0</v>
      </c>
      <c r="EG14" s="129">
        <f t="shared" si="4"/>
        <v>0</v>
      </c>
      <c r="EI14" s="176">
        <f t="shared" si="5"/>
        <v>0</v>
      </c>
      <c r="EK14" s="176">
        <f t="shared" si="6"/>
        <v>0</v>
      </c>
      <c r="EL14" s="176"/>
      <c r="EM14" s="177"/>
      <c r="EN14" s="178"/>
      <c r="EO14" s="177"/>
      <c r="EP14" s="177"/>
      <c r="EQ14" s="176">
        <f t="shared" si="7"/>
        <v>0</v>
      </c>
      <c r="ER14" s="179">
        <v>23300</v>
      </c>
      <c r="ES14" s="177">
        <v>7.5</v>
      </c>
    </row>
    <row r="15" spans="1:149" x14ac:dyDescent="0.3">
      <c r="A15" s="197">
        <v>10</v>
      </c>
      <c r="D15" s="163"/>
      <c r="E15" s="163"/>
      <c r="F15" s="164"/>
      <c r="I15" s="163"/>
      <c r="M15" s="165"/>
      <c r="N15" s="166"/>
      <c r="O15" s="198"/>
      <c r="T15" s="167"/>
      <c r="U15" s="167"/>
      <c r="V15" s="167"/>
      <c r="W15" s="167"/>
      <c r="X15" s="168"/>
      <c r="Y15" s="168"/>
      <c r="AB15" s="195"/>
      <c r="AC15" s="195"/>
      <c r="AD15" s="195"/>
      <c r="AE15" s="195"/>
      <c r="AF15" s="195"/>
      <c r="AG15" s="195"/>
      <c r="AH15" s="195"/>
      <c r="AI15" s="195"/>
      <c r="AJ15" s="195"/>
      <c r="AK15" s="195"/>
      <c r="AL15" s="195"/>
      <c r="AM15" s="195"/>
      <c r="AN15" s="195"/>
      <c r="AO15" s="195"/>
      <c r="AP15" s="247"/>
      <c r="AQ15" s="247"/>
      <c r="AR15" s="247"/>
      <c r="AS15" s="247"/>
      <c r="AT15" s="247"/>
      <c r="AU15" s="247"/>
      <c r="AV15" s="247"/>
      <c r="AW15" s="247"/>
      <c r="AX15" s="247"/>
      <c r="AY15" s="247"/>
      <c r="AZ15" s="247"/>
      <c r="BA15" s="247"/>
      <c r="BB15" s="247"/>
      <c r="BC15" s="247"/>
      <c r="BD15" s="206"/>
      <c r="BE15" s="206"/>
      <c r="BF15" s="206"/>
      <c r="BG15" s="206"/>
      <c r="BH15" s="206"/>
      <c r="BI15" s="206"/>
      <c r="BJ15" s="206"/>
      <c r="BK15" s="206"/>
      <c r="BL15" s="206"/>
      <c r="BM15" s="206"/>
      <c r="BN15" s="206"/>
      <c r="BO15" s="206"/>
      <c r="BP15" s="206"/>
      <c r="BQ15" s="206"/>
      <c r="BR15" s="252"/>
      <c r="BS15" s="252"/>
      <c r="BT15" s="252"/>
      <c r="BU15" s="252"/>
      <c r="BV15" s="252"/>
      <c r="BW15" s="252"/>
      <c r="BX15" s="252"/>
      <c r="BY15" s="252"/>
      <c r="BZ15" s="252"/>
      <c r="CA15" s="252"/>
      <c r="CB15" s="252"/>
      <c r="CC15" s="252"/>
      <c r="CD15" s="252"/>
      <c r="CE15" s="252"/>
      <c r="CF15" s="252"/>
      <c r="CG15" s="252"/>
      <c r="CH15" s="252"/>
      <c r="CI15" s="252"/>
      <c r="CJ15" s="257"/>
      <c r="CK15" s="257"/>
      <c r="CL15" s="257"/>
      <c r="CM15" s="257"/>
      <c r="CN15" s="257"/>
      <c r="CO15" s="257"/>
      <c r="CP15" s="257"/>
      <c r="CQ15" s="257"/>
      <c r="CR15" s="257"/>
      <c r="CS15" s="257"/>
      <c r="CT15" s="257"/>
      <c r="CU15" s="257"/>
      <c r="CV15" s="257"/>
      <c r="CW15" s="257"/>
      <c r="CX15" s="257"/>
      <c r="CY15" s="257"/>
      <c r="CZ15" s="257"/>
      <c r="DA15" s="257"/>
      <c r="DB15" s="202"/>
      <c r="DC15" s="202"/>
      <c r="DD15" s="202"/>
      <c r="DE15" s="202"/>
      <c r="DF15" s="202"/>
      <c r="DG15" s="202"/>
      <c r="DH15" s="202"/>
      <c r="DI15" s="202"/>
      <c r="DJ15" s="202"/>
      <c r="DK15" s="202"/>
      <c r="DL15" s="202"/>
      <c r="DM15" s="202"/>
      <c r="DN15" s="202"/>
      <c r="DO15" s="202"/>
      <c r="DP15" s="202"/>
      <c r="DQ15" s="202"/>
      <c r="DR15" s="202"/>
      <c r="DS15" s="202"/>
      <c r="DT15" s="196"/>
      <c r="DU15" s="196"/>
      <c r="DV15" s="196"/>
      <c r="DW15" s="196"/>
      <c r="DX15" s="196"/>
      <c r="DY15" s="196"/>
      <c r="DZ15" s="196"/>
      <c r="EA15" s="196"/>
      <c r="EB15" s="176">
        <f t="shared" si="0"/>
        <v>0</v>
      </c>
      <c r="EC15" s="176">
        <f t="shared" si="1"/>
        <v>0</v>
      </c>
      <c r="ED15" s="176">
        <f t="shared" si="2"/>
        <v>0</v>
      </c>
      <c r="EE15" s="176">
        <f t="shared" si="3"/>
        <v>0</v>
      </c>
      <c r="EG15" s="129">
        <f t="shared" si="4"/>
        <v>0</v>
      </c>
      <c r="EI15" s="176">
        <f t="shared" si="5"/>
        <v>0</v>
      </c>
      <c r="EK15" s="176">
        <f t="shared" si="6"/>
        <v>0</v>
      </c>
      <c r="EL15" s="176"/>
      <c r="EM15" s="177"/>
      <c r="EN15" s="178"/>
      <c r="EO15" s="177"/>
      <c r="EP15" s="177"/>
      <c r="EQ15" s="176">
        <f t="shared" si="7"/>
        <v>0</v>
      </c>
      <c r="ER15" s="179">
        <v>23300</v>
      </c>
      <c r="ES15" s="177">
        <v>7.5</v>
      </c>
    </row>
    <row r="16" spans="1:149" ht="12.75" customHeight="1" x14ac:dyDescent="0.3">
      <c r="A16" s="197">
        <v>11</v>
      </c>
      <c r="D16" s="163"/>
      <c r="E16" s="163"/>
      <c r="F16" s="164"/>
      <c r="I16" s="163"/>
      <c r="J16" s="180"/>
      <c r="M16" s="165"/>
      <c r="N16" s="166"/>
      <c r="O16" s="198"/>
      <c r="T16" s="167"/>
      <c r="U16" s="167"/>
      <c r="V16" s="167"/>
      <c r="W16" s="167"/>
      <c r="X16" s="168"/>
      <c r="Y16" s="168"/>
      <c r="AB16" s="195"/>
      <c r="AC16" s="195"/>
      <c r="AD16" s="195"/>
      <c r="AE16" s="195"/>
      <c r="AF16" s="195"/>
      <c r="AG16" s="195"/>
      <c r="AH16" s="195"/>
      <c r="AI16" s="195"/>
      <c r="AJ16" s="195"/>
      <c r="AK16" s="195"/>
      <c r="AL16" s="195"/>
      <c r="AM16" s="195"/>
      <c r="AN16" s="195"/>
      <c r="AO16" s="195"/>
      <c r="AP16" s="247"/>
      <c r="AQ16" s="247"/>
      <c r="AR16" s="247"/>
      <c r="AS16" s="247"/>
      <c r="AT16" s="247"/>
      <c r="AU16" s="247"/>
      <c r="AV16" s="247"/>
      <c r="AW16" s="247"/>
      <c r="AX16" s="247"/>
      <c r="AY16" s="247"/>
      <c r="AZ16" s="247"/>
      <c r="BA16" s="247"/>
      <c r="BB16" s="247"/>
      <c r="BC16" s="247"/>
      <c r="BD16" s="206"/>
      <c r="BE16" s="206"/>
      <c r="BF16" s="206"/>
      <c r="BG16" s="206"/>
      <c r="BH16" s="206"/>
      <c r="BI16" s="206"/>
      <c r="BJ16" s="206"/>
      <c r="BK16" s="206"/>
      <c r="BL16" s="206"/>
      <c r="BM16" s="206"/>
      <c r="BN16" s="206"/>
      <c r="BO16" s="206"/>
      <c r="BP16" s="206"/>
      <c r="BQ16" s="206"/>
      <c r="BR16" s="252"/>
      <c r="BS16" s="252"/>
      <c r="BT16" s="252"/>
      <c r="BU16" s="252"/>
      <c r="BV16" s="252"/>
      <c r="BW16" s="252"/>
      <c r="BX16" s="252"/>
      <c r="BY16" s="252"/>
      <c r="BZ16" s="252"/>
      <c r="CA16" s="252"/>
      <c r="CB16" s="252"/>
      <c r="CC16" s="252"/>
      <c r="CD16" s="252"/>
      <c r="CE16" s="252"/>
      <c r="CF16" s="252"/>
      <c r="CG16" s="252"/>
      <c r="CH16" s="252"/>
      <c r="CI16" s="252"/>
      <c r="CJ16" s="257"/>
      <c r="CK16" s="257"/>
      <c r="CL16" s="257"/>
      <c r="CM16" s="257"/>
      <c r="CN16" s="257"/>
      <c r="CO16" s="257"/>
      <c r="CP16" s="257"/>
      <c r="CQ16" s="257"/>
      <c r="CR16" s="257"/>
      <c r="CS16" s="257"/>
      <c r="CT16" s="257"/>
      <c r="CU16" s="257"/>
      <c r="CV16" s="257"/>
      <c r="CW16" s="257"/>
      <c r="CX16" s="257"/>
      <c r="CY16" s="257"/>
      <c r="CZ16" s="257"/>
      <c r="DA16" s="257"/>
      <c r="DB16" s="202"/>
      <c r="DC16" s="202"/>
      <c r="DD16" s="202"/>
      <c r="DE16" s="202"/>
      <c r="DF16" s="202"/>
      <c r="DG16" s="202"/>
      <c r="DH16" s="202"/>
      <c r="DI16" s="202"/>
      <c r="DJ16" s="202"/>
      <c r="DK16" s="202"/>
      <c r="DL16" s="202"/>
      <c r="DM16" s="202"/>
      <c r="DN16" s="202"/>
      <c r="DO16" s="202"/>
      <c r="DP16" s="202"/>
      <c r="DQ16" s="202"/>
      <c r="DR16" s="202"/>
      <c r="DS16" s="202"/>
      <c r="DT16" s="196"/>
      <c r="DU16" s="196"/>
      <c r="DV16" s="196"/>
      <c r="DW16" s="196"/>
      <c r="DX16" s="196"/>
      <c r="DY16" s="196"/>
      <c r="DZ16" s="196"/>
      <c r="EA16" s="196"/>
      <c r="EB16" s="176">
        <f t="shared" si="0"/>
        <v>0</v>
      </c>
      <c r="EC16" s="176">
        <f t="shared" si="1"/>
        <v>0</v>
      </c>
      <c r="ED16" s="176">
        <f t="shared" si="2"/>
        <v>0</v>
      </c>
      <c r="EE16" s="176">
        <f t="shared" si="3"/>
        <v>0</v>
      </c>
      <c r="EG16" s="129">
        <f t="shared" si="4"/>
        <v>0</v>
      </c>
      <c r="EI16" s="176">
        <f t="shared" si="5"/>
        <v>0</v>
      </c>
      <c r="EK16" s="176">
        <f t="shared" si="6"/>
        <v>0</v>
      </c>
      <c r="EL16" s="176"/>
      <c r="EM16" s="177"/>
      <c r="EN16" s="178"/>
      <c r="EO16" s="177"/>
      <c r="EP16" s="177"/>
      <c r="EQ16" s="176">
        <f t="shared" si="7"/>
        <v>0</v>
      </c>
      <c r="ER16" s="179">
        <v>23300</v>
      </c>
      <c r="ES16" s="177">
        <v>7.5</v>
      </c>
    </row>
    <row r="17" spans="1:149" x14ac:dyDescent="0.3">
      <c r="A17" s="197">
        <v>12</v>
      </c>
      <c r="D17" s="163"/>
      <c r="E17" s="163"/>
      <c r="F17" s="164"/>
      <c r="I17" s="163"/>
      <c r="M17" s="165"/>
      <c r="N17" s="166"/>
      <c r="O17" s="198"/>
      <c r="T17" s="167"/>
      <c r="U17" s="167"/>
      <c r="V17" s="167"/>
      <c r="W17" s="167"/>
      <c r="X17" s="168"/>
      <c r="Y17" s="168"/>
      <c r="AB17" s="195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5"/>
      <c r="AO17" s="195"/>
      <c r="AP17" s="247"/>
      <c r="AQ17" s="247"/>
      <c r="AR17" s="247"/>
      <c r="AS17" s="247"/>
      <c r="AT17" s="247"/>
      <c r="AU17" s="247"/>
      <c r="AV17" s="247"/>
      <c r="AW17" s="247"/>
      <c r="AX17" s="247"/>
      <c r="AY17" s="247"/>
      <c r="AZ17" s="247"/>
      <c r="BA17" s="247"/>
      <c r="BB17" s="247"/>
      <c r="BC17" s="247"/>
      <c r="BD17" s="206"/>
      <c r="BE17" s="206"/>
      <c r="BF17" s="206"/>
      <c r="BG17" s="206"/>
      <c r="BH17" s="206"/>
      <c r="BI17" s="206"/>
      <c r="BJ17" s="206"/>
      <c r="BK17" s="206"/>
      <c r="BL17" s="206"/>
      <c r="BM17" s="206"/>
      <c r="BN17" s="206"/>
      <c r="BO17" s="206"/>
      <c r="BP17" s="206"/>
      <c r="BQ17" s="206"/>
      <c r="BR17" s="252"/>
      <c r="BS17" s="252"/>
      <c r="BT17" s="252"/>
      <c r="BU17" s="252"/>
      <c r="BV17" s="252"/>
      <c r="BW17" s="252"/>
      <c r="BX17" s="252"/>
      <c r="BY17" s="252"/>
      <c r="BZ17" s="252"/>
      <c r="CA17" s="252"/>
      <c r="CB17" s="252"/>
      <c r="CC17" s="252"/>
      <c r="CD17" s="252"/>
      <c r="CE17" s="252"/>
      <c r="CF17" s="252"/>
      <c r="CG17" s="252"/>
      <c r="CH17" s="252"/>
      <c r="CI17" s="252"/>
      <c r="CJ17" s="257"/>
      <c r="CK17" s="257"/>
      <c r="CL17" s="257"/>
      <c r="CM17" s="257"/>
      <c r="CN17" s="257"/>
      <c r="CO17" s="257"/>
      <c r="CP17" s="257"/>
      <c r="CQ17" s="257"/>
      <c r="CR17" s="257"/>
      <c r="CS17" s="257"/>
      <c r="CT17" s="257"/>
      <c r="CU17" s="257"/>
      <c r="CV17" s="257"/>
      <c r="CW17" s="257"/>
      <c r="CX17" s="257"/>
      <c r="CY17" s="257"/>
      <c r="CZ17" s="257"/>
      <c r="DA17" s="257"/>
      <c r="DB17" s="202"/>
      <c r="DC17" s="202"/>
      <c r="DD17" s="202"/>
      <c r="DE17" s="202"/>
      <c r="DF17" s="202"/>
      <c r="DG17" s="202"/>
      <c r="DH17" s="202"/>
      <c r="DI17" s="202"/>
      <c r="DJ17" s="202"/>
      <c r="DK17" s="202"/>
      <c r="DL17" s="202"/>
      <c r="DM17" s="202"/>
      <c r="DN17" s="202"/>
      <c r="DO17" s="202"/>
      <c r="DP17" s="202"/>
      <c r="DQ17" s="202"/>
      <c r="DR17" s="202"/>
      <c r="DS17" s="202"/>
      <c r="DT17" s="196"/>
      <c r="DU17" s="196"/>
      <c r="DV17" s="196"/>
      <c r="DW17" s="196"/>
      <c r="DX17" s="196"/>
      <c r="DY17" s="196"/>
      <c r="DZ17" s="196"/>
      <c r="EA17" s="196"/>
      <c r="EB17" s="176">
        <f t="shared" si="0"/>
        <v>0</v>
      </c>
      <c r="EC17" s="176">
        <f t="shared" si="1"/>
        <v>0</v>
      </c>
      <c r="ED17" s="176">
        <f t="shared" si="2"/>
        <v>0</v>
      </c>
      <c r="EE17" s="176">
        <f t="shared" si="3"/>
        <v>0</v>
      </c>
      <c r="EG17" s="129">
        <f t="shared" si="4"/>
        <v>0</v>
      </c>
      <c r="EI17" s="176">
        <f t="shared" si="5"/>
        <v>0</v>
      </c>
      <c r="EK17" s="176">
        <f t="shared" si="6"/>
        <v>0</v>
      </c>
      <c r="EL17" s="176"/>
      <c r="EM17" s="177"/>
      <c r="EN17" s="178"/>
      <c r="EO17" s="177"/>
      <c r="EP17" s="177"/>
      <c r="EQ17" s="176">
        <f t="shared" si="7"/>
        <v>0</v>
      </c>
      <c r="ER17" s="179">
        <v>23300</v>
      </c>
      <c r="ES17" s="177">
        <v>7.5</v>
      </c>
    </row>
    <row r="18" spans="1:149" x14ac:dyDescent="0.3">
      <c r="A18" s="197">
        <v>13</v>
      </c>
      <c r="D18" s="163"/>
      <c r="E18" s="163"/>
      <c r="F18" s="164"/>
      <c r="I18" s="163"/>
      <c r="M18" s="165"/>
      <c r="N18" s="166"/>
      <c r="O18" s="198"/>
      <c r="T18" s="167"/>
      <c r="U18" s="167"/>
      <c r="V18" s="167"/>
      <c r="W18" s="167"/>
      <c r="X18" s="168"/>
      <c r="Y18" s="168"/>
      <c r="AB18" s="195"/>
      <c r="AC18" s="195"/>
      <c r="AD18" s="195"/>
      <c r="AE18" s="195"/>
      <c r="AF18" s="195"/>
      <c r="AG18" s="195"/>
      <c r="AH18" s="195"/>
      <c r="AI18" s="195"/>
      <c r="AJ18" s="195"/>
      <c r="AK18" s="195"/>
      <c r="AL18" s="195"/>
      <c r="AM18" s="195"/>
      <c r="AN18" s="195"/>
      <c r="AO18" s="195"/>
      <c r="AP18" s="247"/>
      <c r="AQ18" s="247"/>
      <c r="AR18" s="247"/>
      <c r="AS18" s="247"/>
      <c r="AT18" s="247"/>
      <c r="AU18" s="247"/>
      <c r="AV18" s="247"/>
      <c r="AW18" s="247"/>
      <c r="AX18" s="247"/>
      <c r="AY18" s="247"/>
      <c r="AZ18" s="247"/>
      <c r="BA18" s="247"/>
      <c r="BB18" s="247"/>
      <c r="BC18" s="247"/>
      <c r="BD18" s="206"/>
      <c r="BE18" s="206"/>
      <c r="BF18" s="206"/>
      <c r="BG18" s="206"/>
      <c r="BH18" s="206"/>
      <c r="BI18" s="206"/>
      <c r="BJ18" s="206"/>
      <c r="BK18" s="206"/>
      <c r="BL18" s="206"/>
      <c r="BM18" s="206"/>
      <c r="BN18" s="206"/>
      <c r="BO18" s="206"/>
      <c r="BP18" s="206"/>
      <c r="BQ18" s="206"/>
      <c r="BR18" s="252"/>
      <c r="BS18" s="252"/>
      <c r="BT18" s="252"/>
      <c r="BU18" s="252"/>
      <c r="BV18" s="252"/>
      <c r="BW18" s="252"/>
      <c r="BX18" s="252"/>
      <c r="BY18" s="252"/>
      <c r="BZ18" s="252"/>
      <c r="CA18" s="252"/>
      <c r="CB18" s="252"/>
      <c r="CC18" s="252"/>
      <c r="CD18" s="252"/>
      <c r="CE18" s="252"/>
      <c r="CF18" s="252"/>
      <c r="CG18" s="252"/>
      <c r="CH18" s="252"/>
      <c r="CI18" s="252"/>
      <c r="CJ18" s="257"/>
      <c r="CK18" s="257"/>
      <c r="CL18" s="257"/>
      <c r="CM18" s="257"/>
      <c r="CN18" s="257"/>
      <c r="CO18" s="257"/>
      <c r="CP18" s="257"/>
      <c r="CQ18" s="257"/>
      <c r="CR18" s="257"/>
      <c r="CS18" s="257"/>
      <c r="CT18" s="257"/>
      <c r="CU18" s="257"/>
      <c r="CV18" s="257"/>
      <c r="CW18" s="257"/>
      <c r="CX18" s="257"/>
      <c r="CY18" s="257"/>
      <c r="CZ18" s="257"/>
      <c r="DA18" s="257"/>
      <c r="DB18" s="202"/>
      <c r="DC18" s="202"/>
      <c r="DD18" s="202"/>
      <c r="DE18" s="202"/>
      <c r="DF18" s="202"/>
      <c r="DG18" s="202"/>
      <c r="DH18" s="202"/>
      <c r="DI18" s="202"/>
      <c r="DJ18" s="202"/>
      <c r="DK18" s="202"/>
      <c r="DL18" s="202"/>
      <c r="DM18" s="202"/>
      <c r="DN18" s="202"/>
      <c r="DO18" s="202"/>
      <c r="DP18" s="202"/>
      <c r="DQ18" s="202"/>
      <c r="DR18" s="202"/>
      <c r="DS18" s="202"/>
      <c r="DT18" s="196"/>
      <c r="DU18" s="196"/>
      <c r="DV18" s="196"/>
      <c r="DW18" s="196"/>
      <c r="DX18" s="196"/>
      <c r="DY18" s="196"/>
      <c r="DZ18" s="196"/>
      <c r="EA18" s="196"/>
      <c r="EB18" s="176">
        <f t="shared" si="0"/>
        <v>0</v>
      </c>
      <c r="EC18" s="176">
        <f t="shared" si="1"/>
        <v>0</v>
      </c>
      <c r="ED18" s="176">
        <f t="shared" si="2"/>
        <v>0</v>
      </c>
      <c r="EE18" s="176">
        <f t="shared" si="3"/>
        <v>0</v>
      </c>
      <c r="EG18" s="129">
        <f t="shared" si="4"/>
        <v>0</v>
      </c>
      <c r="EI18" s="176">
        <f t="shared" si="5"/>
        <v>0</v>
      </c>
      <c r="EK18" s="176">
        <f t="shared" si="6"/>
        <v>0</v>
      </c>
      <c r="EL18" s="176"/>
      <c r="EM18" s="177"/>
      <c r="EN18" s="178"/>
      <c r="EO18" s="177"/>
      <c r="EP18" s="177"/>
      <c r="EQ18" s="176">
        <f t="shared" si="7"/>
        <v>0</v>
      </c>
      <c r="ER18" s="179">
        <v>23300</v>
      </c>
      <c r="ES18" s="177">
        <v>7.5</v>
      </c>
    </row>
    <row r="19" spans="1:149" x14ac:dyDescent="0.3">
      <c r="A19" s="197">
        <v>14</v>
      </c>
      <c r="D19" s="163"/>
      <c r="E19" s="163"/>
      <c r="F19" s="164"/>
      <c r="I19" s="163"/>
      <c r="M19" s="165"/>
      <c r="N19" s="166"/>
      <c r="O19" s="198"/>
      <c r="T19" s="167"/>
      <c r="U19" s="167"/>
      <c r="V19" s="167"/>
      <c r="W19" s="167"/>
      <c r="X19" s="168"/>
      <c r="Y19" s="168"/>
      <c r="AB19" s="195"/>
      <c r="AC19" s="195"/>
      <c r="AD19" s="195"/>
      <c r="AE19" s="195"/>
      <c r="AF19" s="195"/>
      <c r="AG19" s="195"/>
      <c r="AH19" s="195"/>
      <c r="AI19" s="195"/>
      <c r="AJ19" s="195"/>
      <c r="AK19" s="195"/>
      <c r="AL19" s="195"/>
      <c r="AM19" s="195"/>
      <c r="AN19" s="195"/>
      <c r="AO19" s="195"/>
      <c r="AP19" s="247"/>
      <c r="AQ19" s="247"/>
      <c r="AR19" s="247"/>
      <c r="AS19" s="247"/>
      <c r="AT19" s="247"/>
      <c r="AU19" s="247"/>
      <c r="AV19" s="247"/>
      <c r="AW19" s="247"/>
      <c r="AX19" s="247"/>
      <c r="AY19" s="247"/>
      <c r="AZ19" s="247"/>
      <c r="BA19" s="247"/>
      <c r="BB19" s="247"/>
      <c r="BC19" s="247"/>
      <c r="BD19" s="206"/>
      <c r="BE19" s="206"/>
      <c r="BF19" s="206"/>
      <c r="BG19" s="206"/>
      <c r="BH19" s="206"/>
      <c r="BI19" s="206"/>
      <c r="BJ19" s="206"/>
      <c r="BK19" s="206"/>
      <c r="BL19" s="206"/>
      <c r="BM19" s="206"/>
      <c r="BN19" s="206"/>
      <c r="BO19" s="206"/>
      <c r="BP19" s="206"/>
      <c r="BQ19" s="206"/>
      <c r="BR19" s="252"/>
      <c r="BS19" s="252"/>
      <c r="BT19" s="252"/>
      <c r="BU19" s="252"/>
      <c r="BV19" s="252"/>
      <c r="BW19" s="252"/>
      <c r="BX19" s="252"/>
      <c r="BY19" s="252"/>
      <c r="BZ19" s="252"/>
      <c r="CA19" s="252"/>
      <c r="CB19" s="252"/>
      <c r="CC19" s="252"/>
      <c r="CD19" s="252"/>
      <c r="CE19" s="252"/>
      <c r="CF19" s="252"/>
      <c r="CG19" s="252"/>
      <c r="CH19" s="252"/>
      <c r="CI19" s="252"/>
      <c r="CJ19" s="257"/>
      <c r="CK19" s="257"/>
      <c r="CL19" s="257"/>
      <c r="CM19" s="257"/>
      <c r="CN19" s="257"/>
      <c r="CO19" s="257"/>
      <c r="CP19" s="257"/>
      <c r="CQ19" s="257"/>
      <c r="CR19" s="257"/>
      <c r="CS19" s="257"/>
      <c r="CT19" s="257"/>
      <c r="CU19" s="257"/>
      <c r="CV19" s="257"/>
      <c r="CW19" s="257"/>
      <c r="CX19" s="257"/>
      <c r="CY19" s="257"/>
      <c r="CZ19" s="257"/>
      <c r="DA19" s="257"/>
      <c r="DB19" s="202"/>
      <c r="DC19" s="202"/>
      <c r="DD19" s="202"/>
      <c r="DE19" s="202"/>
      <c r="DF19" s="202"/>
      <c r="DG19" s="202"/>
      <c r="DH19" s="202"/>
      <c r="DI19" s="202"/>
      <c r="DJ19" s="202"/>
      <c r="DK19" s="202"/>
      <c r="DL19" s="202"/>
      <c r="DM19" s="202"/>
      <c r="DN19" s="202"/>
      <c r="DO19" s="202"/>
      <c r="DP19" s="202"/>
      <c r="DQ19" s="202"/>
      <c r="DR19" s="202"/>
      <c r="DS19" s="202"/>
      <c r="DT19" s="196"/>
      <c r="DU19" s="196"/>
      <c r="DV19" s="196"/>
      <c r="DW19" s="196"/>
      <c r="DX19" s="196"/>
      <c r="DY19" s="196"/>
      <c r="DZ19" s="196"/>
      <c r="EA19" s="196"/>
      <c r="EB19" s="176">
        <f t="shared" si="0"/>
        <v>0</v>
      </c>
      <c r="EC19" s="176">
        <f t="shared" si="1"/>
        <v>0</v>
      </c>
      <c r="ED19" s="176">
        <f t="shared" si="2"/>
        <v>0</v>
      </c>
      <c r="EE19" s="176">
        <f t="shared" si="3"/>
        <v>0</v>
      </c>
      <c r="EG19" s="129">
        <f t="shared" si="4"/>
        <v>0</v>
      </c>
      <c r="EI19" s="176">
        <f t="shared" si="5"/>
        <v>0</v>
      </c>
      <c r="EK19" s="176">
        <f t="shared" si="6"/>
        <v>0</v>
      </c>
      <c r="EL19" s="176"/>
      <c r="EM19" s="177"/>
      <c r="EN19" s="178"/>
      <c r="EO19" s="177"/>
      <c r="EP19" s="177"/>
      <c r="EQ19" s="176">
        <f t="shared" si="7"/>
        <v>0</v>
      </c>
      <c r="ER19" s="179">
        <v>23300</v>
      </c>
      <c r="ES19" s="177">
        <v>7.5</v>
      </c>
    </row>
    <row r="20" spans="1:149" x14ac:dyDescent="0.3">
      <c r="A20" s="197">
        <v>15</v>
      </c>
      <c r="D20" s="163"/>
      <c r="E20" s="163"/>
      <c r="F20" s="164"/>
      <c r="I20" s="163"/>
      <c r="M20" s="165"/>
      <c r="N20" s="166"/>
      <c r="O20" s="198"/>
      <c r="T20" s="167"/>
      <c r="U20" s="167"/>
      <c r="V20" s="167"/>
      <c r="W20" s="167"/>
      <c r="X20" s="168"/>
      <c r="Y20" s="168"/>
      <c r="AB20" s="195"/>
      <c r="AC20" s="195"/>
      <c r="AD20" s="195"/>
      <c r="AE20" s="195"/>
      <c r="AF20" s="195"/>
      <c r="AG20" s="195"/>
      <c r="AH20" s="195"/>
      <c r="AI20" s="195"/>
      <c r="AJ20" s="195"/>
      <c r="AK20" s="195"/>
      <c r="AL20" s="195"/>
      <c r="AM20" s="195"/>
      <c r="AN20" s="195"/>
      <c r="AO20" s="195"/>
      <c r="AP20" s="247"/>
      <c r="AQ20" s="247"/>
      <c r="AR20" s="247"/>
      <c r="AS20" s="247"/>
      <c r="AT20" s="247"/>
      <c r="AU20" s="247"/>
      <c r="AV20" s="247"/>
      <c r="AW20" s="247"/>
      <c r="AX20" s="247"/>
      <c r="AY20" s="247"/>
      <c r="AZ20" s="247"/>
      <c r="BA20" s="247"/>
      <c r="BB20" s="247"/>
      <c r="BC20" s="247"/>
      <c r="BD20" s="206"/>
      <c r="BE20" s="206"/>
      <c r="BF20" s="206"/>
      <c r="BG20" s="206"/>
      <c r="BH20" s="206"/>
      <c r="BI20" s="206"/>
      <c r="BJ20" s="206"/>
      <c r="BK20" s="206"/>
      <c r="BL20" s="206"/>
      <c r="BM20" s="206"/>
      <c r="BN20" s="206"/>
      <c r="BO20" s="206"/>
      <c r="BP20" s="206"/>
      <c r="BQ20" s="206"/>
      <c r="BR20" s="252"/>
      <c r="BS20" s="252"/>
      <c r="BT20" s="252"/>
      <c r="BU20" s="252"/>
      <c r="BV20" s="252"/>
      <c r="BW20" s="252"/>
      <c r="BX20" s="252"/>
      <c r="BY20" s="252"/>
      <c r="BZ20" s="252"/>
      <c r="CA20" s="252"/>
      <c r="CB20" s="252"/>
      <c r="CC20" s="252"/>
      <c r="CD20" s="252"/>
      <c r="CE20" s="252"/>
      <c r="CF20" s="252"/>
      <c r="CG20" s="252"/>
      <c r="CH20" s="252"/>
      <c r="CI20" s="252"/>
      <c r="CJ20" s="257"/>
      <c r="CK20" s="257"/>
      <c r="CL20" s="257"/>
      <c r="CM20" s="257"/>
      <c r="CN20" s="257"/>
      <c r="CO20" s="257"/>
      <c r="CP20" s="257"/>
      <c r="CQ20" s="257"/>
      <c r="CR20" s="257"/>
      <c r="CS20" s="257"/>
      <c r="CT20" s="257"/>
      <c r="CU20" s="257"/>
      <c r="CV20" s="257"/>
      <c r="CW20" s="257"/>
      <c r="CX20" s="257"/>
      <c r="CY20" s="257"/>
      <c r="CZ20" s="257"/>
      <c r="DA20" s="257"/>
      <c r="DB20" s="202"/>
      <c r="DC20" s="202"/>
      <c r="DD20" s="202"/>
      <c r="DE20" s="202"/>
      <c r="DF20" s="202"/>
      <c r="DG20" s="202"/>
      <c r="DH20" s="202"/>
      <c r="DI20" s="202"/>
      <c r="DJ20" s="202"/>
      <c r="DK20" s="202"/>
      <c r="DL20" s="202"/>
      <c r="DM20" s="202"/>
      <c r="DN20" s="202"/>
      <c r="DO20" s="202"/>
      <c r="DP20" s="202"/>
      <c r="DQ20" s="202"/>
      <c r="DR20" s="202"/>
      <c r="DS20" s="202"/>
      <c r="DT20" s="196"/>
      <c r="DU20" s="196"/>
      <c r="DV20" s="196"/>
      <c r="DW20" s="196"/>
      <c r="DX20" s="196"/>
      <c r="DY20" s="196"/>
      <c r="DZ20" s="196"/>
      <c r="EA20" s="196"/>
      <c r="EB20" s="176">
        <f t="shared" si="0"/>
        <v>0</v>
      </c>
      <c r="EC20" s="176">
        <f t="shared" si="1"/>
        <v>0</v>
      </c>
      <c r="ED20" s="176">
        <f t="shared" si="2"/>
        <v>0</v>
      </c>
      <c r="EE20" s="176">
        <f t="shared" si="3"/>
        <v>0</v>
      </c>
      <c r="EG20" s="129">
        <f t="shared" si="4"/>
        <v>0</v>
      </c>
      <c r="EI20" s="176">
        <f t="shared" si="5"/>
        <v>0</v>
      </c>
      <c r="EK20" s="176">
        <f t="shared" si="6"/>
        <v>0</v>
      </c>
      <c r="EL20" s="176"/>
      <c r="EM20" s="177"/>
      <c r="EN20" s="178"/>
      <c r="EO20" s="177"/>
      <c r="EP20" s="177"/>
      <c r="EQ20" s="176">
        <f t="shared" si="7"/>
        <v>0</v>
      </c>
      <c r="ER20" s="179">
        <v>23300</v>
      </c>
      <c r="ES20" s="177">
        <v>7.5</v>
      </c>
    </row>
    <row r="21" spans="1:149" x14ac:dyDescent="0.3">
      <c r="A21" s="197">
        <v>16</v>
      </c>
      <c r="D21" s="163"/>
      <c r="E21" s="163"/>
      <c r="F21" s="164"/>
      <c r="I21" s="163"/>
      <c r="M21" s="165"/>
      <c r="N21" s="166"/>
      <c r="O21" s="198"/>
      <c r="T21" s="167"/>
      <c r="U21" s="167"/>
      <c r="V21" s="167"/>
      <c r="W21" s="167"/>
      <c r="X21" s="168"/>
      <c r="Y21" s="168"/>
      <c r="AB21" s="195"/>
      <c r="AC21" s="195"/>
      <c r="AD21" s="195"/>
      <c r="AE21" s="195"/>
      <c r="AF21" s="195"/>
      <c r="AG21" s="195"/>
      <c r="AH21" s="195"/>
      <c r="AI21" s="195"/>
      <c r="AJ21" s="195"/>
      <c r="AK21" s="195"/>
      <c r="AL21" s="195"/>
      <c r="AM21" s="195"/>
      <c r="AN21" s="195"/>
      <c r="AO21" s="195"/>
      <c r="AP21" s="247"/>
      <c r="AQ21" s="247"/>
      <c r="AR21" s="247"/>
      <c r="AS21" s="247"/>
      <c r="AT21" s="247"/>
      <c r="AU21" s="247"/>
      <c r="AV21" s="247"/>
      <c r="AW21" s="247"/>
      <c r="AX21" s="247"/>
      <c r="AY21" s="247"/>
      <c r="AZ21" s="247"/>
      <c r="BA21" s="247"/>
      <c r="BB21" s="247"/>
      <c r="BC21" s="247"/>
      <c r="BD21" s="206"/>
      <c r="BE21" s="206"/>
      <c r="BF21" s="206"/>
      <c r="BG21" s="206"/>
      <c r="BH21" s="206"/>
      <c r="BI21" s="206"/>
      <c r="BJ21" s="206"/>
      <c r="BK21" s="206"/>
      <c r="BL21" s="206"/>
      <c r="BM21" s="206"/>
      <c r="BN21" s="206"/>
      <c r="BO21" s="206"/>
      <c r="BP21" s="206"/>
      <c r="BQ21" s="206"/>
      <c r="BR21" s="252"/>
      <c r="BS21" s="252"/>
      <c r="BT21" s="252"/>
      <c r="BU21" s="252"/>
      <c r="BV21" s="252"/>
      <c r="BW21" s="252"/>
      <c r="BX21" s="252"/>
      <c r="BY21" s="252"/>
      <c r="BZ21" s="252"/>
      <c r="CA21" s="252"/>
      <c r="CB21" s="252"/>
      <c r="CC21" s="252"/>
      <c r="CD21" s="252"/>
      <c r="CE21" s="252"/>
      <c r="CF21" s="252"/>
      <c r="CG21" s="252"/>
      <c r="CH21" s="252"/>
      <c r="CI21" s="252"/>
      <c r="CJ21" s="257"/>
      <c r="CK21" s="257"/>
      <c r="CL21" s="257"/>
      <c r="CM21" s="257"/>
      <c r="CN21" s="257"/>
      <c r="CO21" s="257"/>
      <c r="CP21" s="257"/>
      <c r="CQ21" s="257"/>
      <c r="CR21" s="257"/>
      <c r="CS21" s="257"/>
      <c r="CT21" s="257"/>
      <c r="CU21" s="257"/>
      <c r="CV21" s="257"/>
      <c r="CW21" s="257"/>
      <c r="CX21" s="257"/>
      <c r="CY21" s="257"/>
      <c r="CZ21" s="257"/>
      <c r="DA21" s="257"/>
      <c r="DB21" s="202"/>
      <c r="DC21" s="202"/>
      <c r="DD21" s="202"/>
      <c r="DE21" s="202"/>
      <c r="DF21" s="202"/>
      <c r="DG21" s="202"/>
      <c r="DH21" s="202"/>
      <c r="DI21" s="202"/>
      <c r="DJ21" s="202"/>
      <c r="DK21" s="202"/>
      <c r="DL21" s="202"/>
      <c r="DM21" s="202"/>
      <c r="DN21" s="202"/>
      <c r="DO21" s="202"/>
      <c r="DP21" s="202"/>
      <c r="DQ21" s="202"/>
      <c r="DR21" s="202"/>
      <c r="DS21" s="202"/>
      <c r="DT21" s="196"/>
      <c r="DU21" s="196"/>
      <c r="DV21" s="196"/>
      <c r="DW21" s="196"/>
      <c r="DX21" s="196"/>
      <c r="DY21" s="196"/>
      <c r="DZ21" s="196"/>
      <c r="EA21" s="196"/>
      <c r="EB21" s="176">
        <f t="shared" si="0"/>
        <v>0</v>
      </c>
      <c r="EC21" s="176">
        <f t="shared" si="1"/>
        <v>0</v>
      </c>
      <c r="ED21" s="176">
        <f t="shared" si="2"/>
        <v>0</v>
      </c>
      <c r="EE21" s="176">
        <f t="shared" si="3"/>
        <v>0</v>
      </c>
      <c r="EG21" s="129">
        <f t="shared" si="4"/>
        <v>0</v>
      </c>
      <c r="EI21" s="176">
        <f t="shared" si="5"/>
        <v>0</v>
      </c>
      <c r="EK21" s="176">
        <f t="shared" si="6"/>
        <v>0</v>
      </c>
      <c r="EL21" s="176"/>
      <c r="EM21" s="177"/>
      <c r="EN21" s="178"/>
      <c r="EO21" s="177"/>
      <c r="EP21" s="177"/>
      <c r="EQ21" s="176">
        <f t="shared" si="7"/>
        <v>0</v>
      </c>
      <c r="ER21" s="179">
        <v>23300</v>
      </c>
      <c r="ES21" s="177">
        <v>7.5</v>
      </c>
    </row>
    <row r="22" spans="1:149" x14ac:dyDescent="0.3">
      <c r="A22" s="197">
        <v>17</v>
      </c>
      <c r="D22" s="163"/>
      <c r="E22" s="163"/>
      <c r="F22" s="164"/>
      <c r="I22" s="163"/>
      <c r="M22" s="165"/>
      <c r="N22" s="166"/>
      <c r="T22" s="167"/>
      <c r="U22" s="167"/>
      <c r="V22" s="167"/>
      <c r="W22" s="167"/>
      <c r="X22" s="168"/>
      <c r="Y22" s="168"/>
      <c r="AB22" s="195"/>
      <c r="AC22" s="195"/>
      <c r="AD22" s="195"/>
      <c r="AE22" s="195"/>
      <c r="AF22" s="195"/>
      <c r="AG22" s="195"/>
      <c r="AH22" s="195"/>
      <c r="AI22" s="195"/>
      <c r="AJ22" s="195"/>
      <c r="AK22" s="195"/>
      <c r="AL22" s="195"/>
      <c r="AM22" s="195"/>
      <c r="AN22" s="195"/>
      <c r="AO22" s="195"/>
      <c r="AP22" s="247"/>
      <c r="AQ22" s="247"/>
      <c r="AR22" s="247"/>
      <c r="AS22" s="247"/>
      <c r="AT22" s="247"/>
      <c r="AU22" s="247"/>
      <c r="AV22" s="247"/>
      <c r="AW22" s="247"/>
      <c r="AX22" s="247"/>
      <c r="AY22" s="247"/>
      <c r="AZ22" s="247"/>
      <c r="BA22" s="247"/>
      <c r="BB22" s="247"/>
      <c r="BC22" s="247"/>
      <c r="BD22" s="206"/>
      <c r="BE22" s="206"/>
      <c r="BF22" s="206"/>
      <c r="BG22" s="206"/>
      <c r="BH22" s="206"/>
      <c r="BI22" s="206"/>
      <c r="BJ22" s="206"/>
      <c r="BK22" s="206"/>
      <c r="BL22" s="206"/>
      <c r="BM22" s="206"/>
      <c r="BN22" s="206"/>
      <c r="BO22" s="206"/>
      <c r="BP22" s="206"/>
      <c r="BQ22" s="206"/>
      <c r="BR22" s="252"/>
      <c r="BS22" s="252"/>
      <c r="BT22" s="252"/>
      <c r="BU22" s="252"/>
      <c r="BV22" s="252"/>
      <c r="BW22" s="252"/>
      <c r="BX22" s="252"/>
      <c r="BY22" s="252"/>
      <c r="BZ22" s="252"/>
      <c r="CA22" s="252"/>
      <c r="CB22" s="252"/>
      <c r="CC22" s="252"/>
      <c r="CD22" s="252"/>
      <c r="CE22" s="252"/>
      <c r="CF22" s="252"/>
      <c r="CG22" s="252"/>
      <c r="CH22" s="252"/>
      <c r="CI22" s="252"/>
      <c r="CJ22" s="257"/>
      <c r="CK22" s="257"/>
      <c r="CL22" s="257"/>
      <c r="CM22" s="257"/>
      <c r="CN22" s="257"/>
      <c r="CO22" s="257"/>
      <c r="CP22" s="257"/>
      <c r="CQ22" s="257"/>
      <c r="CR22" s="257"/>
      <c r="CS22" s="257"/>
      <c r="CT22" s="257"/>
      <c r="CU22" s="257"/>
      <c r="CV22" s="257"/>
      <c r="CW22" s="257"/>
      <c r="CX22" s="257"/>
      <c r="CY22" s="257"/>
      <c r="CZ22" s="257"/>
      <c r="DA22" s="257"/>
      <c r="DB22" s="202"/>
      <c r="DC22" s="202"/>
      <c r="DD22" s="202"/>
      <c r="DE22" s="202"/>
      <c r="DF22" s="202"/>
      <c r="DG22" s="202"/>
      <c r="DH22" s="202"/>
      <c r="DI22" s="202"/>
      <c r="DJ22" s="202"/>
      <c r="DK22" s="202"/>
      <c r="DL22" s="202"/>
      <c r="DM22" s="202"/>
      <c r="DN22" s="202"/>
      <c r="DO22" s="202"/>
      <c r="DP22" s="202"/>
      <c r="DQ22" s="202"/>
      <c r="DR22" s="202"/>
      <c r="DS22" s="202"/>
      <c r="DT22" s="196"/>
      <c r="DU22" s="196"/>
      <c r="DV22" s="196"/>
      <c r="DW22" s="196"/>
      <c r="DX22" s="196"/>
      <c r="DY22" s="196"/>
      <c r="DZ22" s="196"/>
      <c r="EA22" s="196"/>
      <c r="EB22" s="176">
        <f t="shared" si="0"/>
        <v>0</v>
      </c>
      <c r="EC22" s="176">
        <f t="shared" si="1"/>
        <v>0</v>
      </c>
      <c r="ED22" s="176">
        <f t="shared" si="2"/>
        <v>0</v>
      </c>
      <c r="EE22" s="176">
        <f t="shared" si="3"/>
        <v>0</v>
      </c>
      <c r="EG22" s="129">
        <f t="shared" si="4"/>
        <v>0</v>
      </c>
      <c r="EI22" s="176">
        <f t="shared" si="5"/>
        <v>0</v>
      </c>
      <c r="EK22" s="176">
        <f t="shared" si="6"/>
        <v>0</v>
      </c>
      <c r="EL22" s="176"/>
      <c r="EM22" s="177"/>
      <c r="EN22" s="178"/>
      <c r="EO22" s="177"/>
      <c r="EP22" s="177"/>
      <c r="EQ22" s="176">
        <f t="shared" si="7"/>
        <v>0</v>
      </c>
      <c r="ER22" s="179">
        <v>23300</v>
      </c>
      <c r="ES22" s="177">
        <v>7.5</v>
      </c>
    </row>
    <row r="23" spans="1:149" x14ac:dyDescent="0.3">
      <c r="A23" s="197">
        <v>18</v>
      </c>
      <c r="D23" s="163"/>
      <c r="E23" s="163"/>
      <c r="F23" s="164"/>
      <c r="I23" s="163"/>
      <c r="M23" s="165"/>
      <c r="N23" s="166"/>
      <c r="T23" s="167"/>
      <c r="U23" s="167"/>
      <c r="V23" s="167"/>
      <c r="W23" s="167"/>
      <c r="X23" s="168"/>
      <c r="Y23" s="168"/>
      <c r="AB23" s="195"/>
      <c r="AC23" s="195"/>
      <c r="AD23" s="195"/>
      <c r="AE23" s="195"/>
      <c r="AF23" s="195"/>
      <c r="AG23" s="195"/>
      <c r="AH23" s="195"/>
      <c r="AI23" s="195"/>
      <c r="AJ23" s="195"/>
      <c r="AK23" s="195"/>
      <c r="AL23" s="195"/>
      <c r="AM23" s="195"/>
      <c r="AN23" s="195"/>
      <c r="AO23" s="195"/>
      <c r="AP23" s="247"/>
      <c r="AQ23" s="247"/>
      <c r="AR23" s="247"/>
      <c r="AS23" s="247"/>
      <c r="AT23" s="247"/>
      <c r="AU23" s="247"/>
      <c r="AV23" s="247"/>
      <c r="AW23" s="247"/>
      <c r="AX23" s="247"/>
      <c r="AY23" s="247"/>
      <c r="AZ23" s="247"/>
      <c r="BA23" s="247"/>
      <c r="BB23" s="247"/>
      <c r="BC23" s="247"/>
      <c r="BD23" s="206"/>
      <c r="BE23" s="206"/>
      <c r="BF23" s="206"/>
      <c r="BG23" s="206"/>
      <c r="BH23" s="206"/>
      <c r="BI23" s="206"/>
      <c r="BJ23" s="206"/>
      <c r="BK23" s="206"/>
      <c r="BL23" s="206"/>
      <c r="BM23" s="206"/>
      <c r="BN23" s="206"/>
      <c r="BO23" s="206"/>
      <c r="BP23" s="206"/>
      <c r="BQ23" s="206"/>
      <c r="BR23" s="252"/>
      <c r="BS23" s="252"/>
      <c r="BT23" s="252"/>
      <c r="BU23" s="252"/>
      <c r="BV23" s="252"/>
      <c r="BW23" s="252"/>
      <c r="BX23" s="252"/>
      <c r="BY23" s="252"/>
      <c r="BZ23" s="252"/>
      <c r="CA23" s="252"/>
      <c r="CB23" s="252"/>
      <c r="CC23" s="252"/>
      <c r="CD23" s="252"/>
      <c r="CE23" s="252"/>
      <c r="CF23" s="252"/>
      <c r="CG23" s="252"/>
      <c r="CH23" s="252"/>
      <c r="CI23" s="252"/>
      <c r="CJ23" s="257"/>
      <c r="CK23" s="257"/>
      <c r="CL23" s="257"/>
      <c r="CM23" s="257"/>
      <c r="CN23" s="257"/>
      <c r="CO23" s="257"/>
      <c r="CP23" s="257"/>
      <c r="CQ23" s="257"/>
      <c r="CR23" s="257"/>
      <c r="CS23" s="257"/>
      <c r="CT23" s="257"/>
      <c r="CU23" s="257"/>
      <c r="CV23" s="257"/>
      <c r="CW23" s="257"/>
      <c r="CX23" s="257"/>
      <c r="CY23" s="257"/>
      <c r="CZ23" s="257"/>
      <c r="DA23" s="257"/>
      <c r="DB23" s="202"/>
      <c r="DC23" s="202"/>
      <c r="DD23" s="202"/>
      <c r="DE23" s="202"/>
      <c r="DF23" s="202"/>
      <c r="DG23" s="202"/>
      <c r="DH23" s="202"/>
      <c r="DI23" s="202"/>
      <c r="DJ23" s="202"/>
      <c r="DK23" s="202"/>
      <c r="DL23" s="202"/>
      <c r="DM23" s="202"/>
      <c r="DN23" s="202"/>
      <c r="DO23" s="202"/>
      <c r="DP23" s="202"/>
      <c r="DQ23" s="202"/>
      <c r="DR23" s="202"/>
      <c r="DS23" s="202"/>
      <c r="DT23" s="196"/>
      <c r="DU23" s="196"/>
      <c r="DV23" s="196"/>
      <c r="DW23" s="196"/>
      <c r="DX23" s="196"/>
      <c r="DY23" s="196"/>
      <c r="DZ23" s="196"/>
      <c r="EA23" s="196"/>
      <c r="EB23" s="176">
        <f t="shared" si="0"/>
        <v>0</v>
      </c>
      <c r="EC23" s="176">
        <f t="shared" si="1"/>
        <v>0</v>
      </c>
      <c r="ED23" s="176">
        <f t="shared" si="2"/>
        <v>0</v>
      </c>
      <c r="EE23" s="176">
        <f t="shared" si="3"/>
        <v>0</v>
      </c>
      <c r="EG23" s="129">
        <f t="shared" si="4"/>
        <v>0</v>
      </c>
      <c r="EI23" s="176">
        <f t="shared" si="5"/>
        <v>0</v>
      </c>
      <c r="EK23" s="176">
        <f t="shared" si="6"/>
        <v>0</v>
      </c>
      <c r="EL23" s="176"/>
      <c r="EM23" s="177"/>
      <c r="EN23" s="178"/>
      <c r="EO23" s="177"/>
      <c r="EP23" s="177"/>
      <c r="EQ23" s="176">
        <f t="shared" si="7"/>
        <v>0</v>
      </c>
      <c r="ER23" s="179">
        <v>23300</v>
      </c>
      <c r="ES23" s="177">
        <v>7.5</v>
      </c>
    </row>
    <row r="24" spans="1:149" x14ac:dyDescent="0.3">
      <c r="A24" s="197">
        <v>19</v>
      </c>
      <c r="D24" s="163"/>
      <c r="E24" s="163"/>
      <c r="F24" s="164"/>
      <c r="I24" s="163"/>
      <c r="M24" s="165"/>
      <c r="N24" s="166"/>
      <c r="T24" s="167"/>
      <c r="U24" s="167"/>
      <c r="V24" s="167"/>
      <c r="W24" s="167"/>
      <c r="X24" s="168"/>
      <c r="Y24" s="168"/>
      <c r="AB24" s="195"/>
      <c r="AC24" s="195"/>
      <c r="AD24" s="195"/>
      <c r="AE24" s="195"/>
      <c r="AF24" s="195"/>
      <c r="AG24" s="195"/>
      <c r="AH24" s="195"/>
      <c r="AI24" s="195"/>
      <c r="AJ24" s="195"/>
      <c r="AK24" s="195"/>
      <c r="AL24" s="195"/>
      <c r="AM24" s="195"/>
      <c r="AN24" s="195"/>
      <c r="AO24" s="195"/>
      <c r="AP24" s="247"/>
      <c r="AQ24" s="247"/>
      <c r="AR24" s="247"/>
      <c r="AS24" s="247"/>
      <c r="AT24" s="247"/>
      <c r="AU24" s="247"/>
      <c r="AV24" s="247"/>
      <c r="AW24" s="247"/>
      <c r="AX24" s="247"/>
      <c r="AY24" s="247"/>
      <c r="AZ24" s="247"/>
      <c r="BA24" s="247"/>
      <c r="BB24" s="247"/>
      <c r="BC24" s="247"/>
      <c r="BD24" s="206"/>
      <c r="BE24" s="206"/>
      <c r="BF24" s="206"/>
      <c r="BG24" s="206"/>
      <c r="BH24" s="206"/>
      <c r="BI24" s="206"/>
      <c r="BJ24" s="206"/>
      <c r="BK24" s="206"/>
      <c r="BL24" s="206"/>
      <c r="BM24" s="206"/>
      <c r="BN24" s="206"/>
      <c r="BO24" s="206"/>
      <c r="BP24" s="206"/>
      <c r="BQ24" s="206"/>
      <c r="BR24" s="252"/>
      <c r="BS24" s="252"/>
      <c r="BT24" s="252"/>
      <c r="BU24" s="252"/>
      <c r="BV24" s="252"/>
      <c r="BW24" s="252"/>
      <c r="BX24" s="252"/>
      <c r="BY24" s="252"/>
      <c r="BZ24" s="252"/>
      <c r="CA24" s="252"/>
      <c r="CB24" s="252"/>
      <c r="CC24" s="252"/>
      <c r="CD24" s="252"/>
      <c r="CE24" s="252"/>
      <c r="CF24" s="252"/>
      <c r="CG24" s="252"/>
      <c r="CH24" s="252"/>
      <c r="CI24" s="252"/>
      <c r="CJ24" s="257"/>
      <c r="CK24" s="257"/>
      <c r="CL24" s="257"/>
      <c r="CM24" s="257"/>
      <c r="CN24" s="257"/>
      <c r="CO24" s="257"/>
      <c r="CP24" s="257"/>
      <c r="CQ24" s="257"/>
      <c r="CR24" s="257"/>
      <c r="CS24" s="257"/>
      <c r="CT24" s="257"/>
      <c r="CU24" s="257"/>
      <c r="CV24" s="257"/>
      <c r="CW24" s="257"/>
      <c r="CX24" s="257"/>
      <c r="CY24" s="257"/>
      <c r="CZ24" s="257"/>
      <c r="DA24" s="257"/>
      <c r="DB24" s="202"/>
      <c r="DC24" s="202"/>
      <c r="DD24" s="202"/>
      <c r="DE24" s="202"/>
      <c r="DF24" s="202"/>
      <c r="DG24" s="202"/>
      <c r="DH24" s="202"/>
      <c r="DI24" s="202"/>
      <c r="DJ24" s="202"/>
      <c r="DK24" s="202"/>
      <c r="DL24" s="202"/>
      <c r="DM24" s="202"/>
      <c r="DN24" s="202"/>
      <c r="DO24" s="202"/>
      <c r="DP24" s="202"/>
      <c r="DQ24" s="202"/>
      <c r="DR24" s="202"/>
      <c r="DS24" s="202"/>
      <c r="DT24" s="196"/>
      <c r="DU24" s="196"/>
      <c r="DV24" s="196"/>
      <c r="DW24" s="196"/>
      <c r="DX24" s="196"/>
      <c r="DY24" s="196"/>
      <c r="DZ24" s="196"/>
      <c r="EA24" s="196"/>
      <c r="EB24" s="176">
        <f t="shared" si="0"/>
        <v>0</v>
      </c>
      <c r="EC24" s="176">
        <f t="shared" si="1"/>
        <v>0</v>
      </c>
      <c r="ED24" s="176">
        <f t="shared" si="2"/>
        <v>0</v>
      </c>
      <c r="EE24" s="176">
        <f t="shared" si="3"/>
        <v>0</v>
      </c>
      <c r="EG24" s="129">
        <f t="shared" si="4"/>
        <v>0</v>
      </c>
      <c r="EI24" s="176">
        <f t="shared" si="5"/>
        <v>0</v>
      </c>
      <c r="EK24" s="176">
        <f t="shared" si="6"/>
        <v>0</v>
      </c>
      <c r="EL24" s="176"/>
      <c r="EM24" s="177"/>
      <c r="EN24" s="178"/>
      <c r="EO24" s="177"/>
      <c r="EP24" s="177"/>
      <c r="EQ24" s="176">
        <f t="shared" si="7"/>
        <v>0</v>
      </c>
      <c r="ER24" s="179">
        <v>23300</v>
      </c>
      <c r="ES24" s="177">
        <v>7.5</v>
      </c>
    </row>
    <row r="25" spans="1:149" x14ac:dyDescent="0.3">
      <c r="A25" s="197">
        <v>20</v>
      </c>
      <c r="D25" s="163"/>
      <c r="E25" s="163"/>
      <c r="F25" s="164"/>
      <c r="I25" s="163"/>
      <c r="M25" s="165"/>
      <c r="N25" s="166"/>
      <c r="T25" s="167"/>
      <c r="U25" s="167"/>
      <c r="V25" s="167"/>
      <c r="W25" s="167"/>
      <c r="X25" s="168"/>
      <c r="Y25" s="168"/>
      <c r="AB25" s="195"/>
      <c r="AC25" s="195"/>
      <c r="AD25" s="195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247"/>
      <c r="AQ25" s="247"/>
      <c r="AR25" s="247"/>
      <c r="AS25" s="247"/>
      <c r="AT25" s="247"/>
      <c r="AU25" s="247"/>
      <c r="AV25" s="247"/>
      <c r="AW25" s="247"/>
      <c r="AX25" s="247"/>
      <c r="AY25" s="247"/>
      <c r="AZ25" s="247"/>
      <c r="BA25" s="247"/>
      <c r="BB25" s="247"/>
      <c r="BC25" s="247"/>
      <c r="BD25" s="206"/>
      <c r="BE25" s="206"/>
      <c r="BF25" s="206"/>
      <c r="BG25" s="206"/>
      <c r="BH25" s="206"/>
      <c r="BI25" s="206"/>
      <c r="BJ25" s="206"/>
      <c r="BK25" s="206"/>
      <c r="BL25" s="206"/>
      <c r="BM25" s="206"/>
      <c r="BN25" s="206"/>
      <c r="BO25" s="206"/>
      <c r="BP25" s="206"/>
      <c r="BQ25" s="206"/>
      <c r="BR25" s="252"/>
      <c r="BS25" s="252"/>
      <c r="BT25" s="252"/>
      <c r="BU25" s="252"/>
      <c r="BV25" s="252"/>
      <c r="BW25" s="252"/>
      <c r="BX25" s="252"/>
      <c r="BY25" s="252"/>
      <c r="BZ25" s="252"/>
      <c r="CA25" s="252"/>
      <c r="CB25" s="252"/>
      <c r="CC25" s="252"/>
      <c r="CD25" s="252"/>
      <c r="CE25" s="252"/>
      <c r="CF25" s="252"/>
      <c r="CG25" s="252"/>
      <c r="CH25" s="252"/>
      <c r="CI25" s="252"/>
      <c r="CJ25" s="257"/>
      <c r="CK25" s="257"/>
      <c r="CL25" s="257"/>
      <c r="CM25" s="257"/>
      <c r="CN25" s="257"/>
      <c r="CO25" s="257"/>
      <c r="CP25" s="257"/>
      <c r="CQ25" s="257"/>
      <c r="CR25" s="257"/>
      <c r="CS25" s="257"/>
      <c r="CT25" s="257"/>
      <c r="CU25" s="257"/>
      <c r="CV25" s="257"/>
      <c r="CW25" s="257"/>
      <c r="CX25" s="257"/>
      <c r="CY25" s="257"/>
      <c r="CZ25" s="257"/>
      <c r="DA25" s="257"/>
      <c r="DB25" s="202"/>
      <c r="DC25" s="202"/>
      <c r="DD25" s="202"/>
      <c r="DE25" s="202"/>
      <c r="DF25" s="202"/>
      <c r="DG25" s="202"/>
      <c r="DH25" s="202"/>
      <c r="DI25" s="202"/>
      <c r="DJ25" s="202"/>
      <c r="DK25" s="202"/>
      <c r="DL25" s="202"/>
      <c r="DM25" s="202"/>
      <c r="DN25" s="202"/>
      <c r="DO25" s="202"/>
      <c r="DP25" s="202"/>
      <c r="DQ25" s="202"/>
      <c r="DR25" s="202"/>
      <c r="DS25" s="202"/>
      <c r="DT25" s="196"/>
      <c r="DU25" s="196"/>
      <c r="DV25" s="196"/>
      <c r="DW25" s="196"/>
      <c r="DX25" s="196"/>
      <c r="DY25" s="196"/>
      <c r="DZ25" s="196"/>
      <c r="EA25" s="196"/>
      <c r="EB25" s="176">
        <f t="shared" si="0"/>
        <v>0</v>
      </c>
      <c r="EC25" s="176">
        <f t="shared" si="1"/>
        <v>0</v>
      </c>
      <c r="ED25" s="176">
        <f t="shared" si="2"/>
        <v>0</v>
      </c>
      <c r="EE25" s="176">
        <f t="shared" si="3"/>
        <v>0</v>
      </c>
      <c r="EG25" s="129">
        <f t="shared" si="4"/>
        <v>0</v>
      </c>
      <c r="EI25" s="176">
        <f t="shared" si="5"/>
        <v>0</v>
      </c>
      <c r="EK25" s="176">
        <f t="shared" si="6"/>
        <v>0</v>
      </c>
      <c r="EL25" s="176"/>
      <c r="EM25" s="177"/>
      <c r="EN25" s="178"/>
      <c r="EO25" s="177"/>
      <c r="EP25" s="177"/>
      <c r="EQ25" s="176">
        <f t="shared" si="7"/>
        <v>0</v>
      </c>
      <c r="ER25" s="179">
        <v>23300</v>
      </c>
      <c r="ES25" s="177">
        <v>7.5</v>
      </c>
    </row>
    <row r="26" spans="1:149" x14ac:dyDescent="0.3">
      <c r="A26" s="197">
        <v>21</v>
      </c>
      <c r="D26" s="163"/>
      <c r="E26" s="163"/>
      <c r="F26" s="164"/>
      <c r="I26" s="163"/>
      <c r="M26" s="165"/>
      <c r="N26" s="166"/>
      <c r="T26" s="167"/>
      <c r="U26" s="167"/>
      <c r="V26" s="167"/>
      <c r="W26" s="167"/>
      <c r="X26" s="168"/>
      <c r="Y26" s="168"/>
      <c r="AB26" s="195"/>
      <c r="AC26" s="195"/>
      <c r="AD26" s="195"/>
      <c r="AE26" s="195"/>
      <c r="AF26" s="195"/>
      <c r="AG26" s="195"/>
      <c r="AH26" s="195"/>
      <c r="AI26" s="195"/>
      <c r="AJ26" s="195"/>
      <c r="AK26" s="195"/>
      <c r="AL26" s="195"/>
      <c r="AM26" s="195"/>
      <c r="AN26" s="195"/>
      <c r="AO26" s="195"/>
      <c r="AP26" s="247"/>
      <c r="AQ26" s="247"/>
      <c r="AR26" s="247"/>
      <c r="AS26" s="247"/>
      <c r="AT26" s="247"/>
      <c r="AU26" s="247"/>
      <c r="AV26" s="247"/>
      <c r="AW26" s="247"/>
      <c r="AX26" s="247"/>
      <c r="AY26" s="247"/>
      <c r="AZ26" s="247"/>
      <c r="BA26" s="247"/>
      <c r="BB26" s="247"/>
      <c r="BC26" s="247"/>
      <c r="BD26" s="206"/>
      <c r="BE26" s="206"/>
      <c r="BF26" s="206"/>
      <c r="BG26" s="206"/>
      <c r="BH26" s="206"/>
      <c r="BI26" s="206"/>
      <c r="BJ26" s="206"/>
      <c r="BK26" s="206"/>
      <c r="BL26" s="206"/>
      <c r="BM26" s="206"/>
      <c r="BN26" s="206"/>
      <c r="BO26" s="206"/>
      <c r="BP26" s="206"/>
      <c r="BQ26" s="206"/>
      <c r="BR26" s="252"/>
      <c r="BS26" s="252"/>
      <c r="BT26" s="252"/>
      <c r="BU26" s="252"/>
      <c r="BV26" s="252"/>
      <c r="BW26" s="252"/>
      <c r="BX26" s="252"/>
      <c r="BY26" s="252"/>
      <c r="BZ26" s="252"/>
      <c r="CA26" s="252"/>
      <c r="CB26" s="252"/>
      <c r="CC26" s="252"/>
      <c r="CD26" s="252"/>
      <c r="CE26" s="252"/>
      <c r="CF26" s="252"/>
      <c r="CG26" s="252"/>
      <c r="CH26" s="252"/>
      <c r="CI26" s="252"/>
      <c r="CJ26" s="257"/>
      <c r="CK26" s="257"/>
      <c r="CL26" s="257"/>
      <c r="CM26" s="257"/>
      <c r="CN26" s="257"/>
      <c r="CO26" s="257"/>
      <c r="CP26" s="257"/>
      <c r="CQ26" s="257"/>
      <c r="CR26" s="257"/>
      <c r="CS26" s="257"/>
      <c r="CT26" s="257"/>
      <c r="CU26" s="257"/>
      <c r="CV26" s="257"/>
      <c r="CW26" s="257"/>
      <c r="CX26" s="257"/>
      <c r="CY26" s="257"/>
      <c r="CZ26" s="257"/>
      <c r="DA26" s="257"/>
      <c r="DB26" s="202"/>
      <c r="DC26" s="202"/>
      <c r="DD26" s="202"/>
      <c r="DE26" s="202"/>
      <c r="DF26" s="202"/>
      <c r="DG26" s="202"/>
      <c r="DH26" s="202"/>
      <c r="DI26" s="202"/>
      <c r="DJ26" s="202"/>
      <c r="DK26" s="202"/>
      <c r="DL26" s="202"/>
      <c r="DM26" s="202"/>
      <c r="DN26" s="202"/>
      <c r="DO26" s="202"/>
      <c r="DP26" s="202"/>
      <c r="DQ26" s="202"/>
      <c r="DR26" s="202"/>
      <c r="DS26" s="202"/>
      <c r="DT26" s="196"/>
      <c r="DU26" s="196"/>
      <c r="DV26" s="196"/>
      <c r="DW26" s="196"/>
      <c r="DX26" s="196"/>
      <c r="DY26" s="196"/>
      <c r="DZ26" s="196"/>
      <c r="EA26" s="196"/>
      <c r="EB26" s="176">
        <f t="shared" si="0"/>
        <v>0</v>
      </c>
      <c r="EC26" s="176">
        <f t="shared" si="1"/>
        <v>0</v>
      </c>
      <c r="ED26" s="176">
        <f t="shared" si="2"/>
        <v>0</v>
      </c>
      <c r="EE26" s="176">
        <f t="shared" si="3"/>
        <v>0</v>
      </c>
      <c r="EG26" s="129">
        <f t="shared" si="4"/>
        <v>0</v>
      </c>
      <c r="EI26" s="176">
        <f t="shared" si="5"/>
        <v>0</v>
      </c>
      <c r="EK26" s="176">
        <f t="shared" si="6"/>
        <v>0</v>
      </c>
      <c r="EL26" s="176"/>
      <c r="EM26" s="177"/>
      <c r="EN26" s="178"/>
      <c r="EO26" s="177"/>
      <c r="EP26" s="177"/>
      <c r="EQ26" s="176">
        <f t="shared" si="7"/>
        <v>0</v>
      </c>
      <c r="ER26" s="179">
        <v>23300</v>
      </c>
      <c r="ES26" s="177">
        <v>7.5</v>
      </c>
    </row>
    <row r="27" spans="1:149" x14ac:dyDescent="0.3">
      <c r="A27" s="197">
        <v>22</v>
      </c>
      <c r="D27" s="163"/>
      <c r="E27" s="163"/>
      <c r="F27" s="164"/>
      <c r="I27" s="163"/>
      <c r="M27" s="165"/>
      <c r="N27" s="166"/>
      <c r="T27" s="167"/>
      <c r="U27" s="167"/>
      <c r="V27" s="167"/>
      <c r="W27" s="167"/>
      <c r="X27" s="168"/>
      <c r="Y27" s="168"/>
      <c r="AB27" s="195"/>
      <c r="AC27" s="195"/>
      <c r="AD27" s="195"/>
      <c r="AE27" s="195"/>
      <c r="AF27" s="195"/>
      <c r="AG27" s="195"/>
      <c r="AH27" s="195"/>
      <c r="AI27" s="195"/>
      <c r="AJ27" s="195"/>
      <c r="AK27" s="195"/>
      <c r="AL27" s="195"/>
      <c r="AM27" s="195"/>
      <c r="AN27" s="195"/>
      <c r="AO27" s="195"/>
      <c r="AP27" s="247"/>
      <c r="AQ27" s="247"/>
      <c r="AR27" s="247"/>
      <c r="AS27" s="247"/>
      <c r="AT27" s="247"/>
      <c r="AU27" s="247"/>
      <c r="AV27" s="247"/>
      <c r="AW27" s="247"/>
      <c r="AX27" s="247"/>
      <c r="AY27" s="247"/>
      <c r="AZ27" s="247"/>
      <c r="BA27" s="247"/>
      <c r="BB27" s="247"/>
      <c r="BC27" s="247"/>
      <c r="BD27" s="206"/>
      <c r="BE27" s="206"/>
      <c r="BF27" s="206"/>
      <c r="BG27" s="206"/>
      <c r="BH27" s="206"/>
      <c r="BI27" s="206"/>
      <c r="BJ27" s="206"/>
      <c r="BK27" s="206"/>
      <c r="BL27" s="206"/>
      <c r="BM27" s="206"/>
      <c r="BN27" s="206"/>
      <c r="BO27" s="206"/>
      <c r="BP27" s="206"/>
      <c r="BQ27" s="206"/>
      <c r="BR27" s="252"/>
      <c r="BS27" s="252"/>
      <c r="BT27" s="252"/>
      <c r="BU27" s="252"/>
      <c r="BV27" s="252"/>
      <c r="BW27" s="252"/>
      <c r="BX27" s="252"/>
      <c r="BY27" s="252"/>
      <c r="BZ27" s="252"/>
      <c r="CA27" s="252"/>
      <c r="CB27" s="252"/>
      <c r="CC27" s="252"/>
      <c r="CD27" s="252"/>
      <c r="CE27" s="252"/>
      <c r="CF27" s="252"/>
      <c r="CG27" s="252"/>
      <c r="CH27" s="252"/>
      <c r="CI27" s="252"/>
      <c r="CJ27" s="257"/>
      <c r="CK27" s="257"/>
      <c r="CL27" s="257"/>
      <c r="CM27" s="257"/>
      <c r="CN27" s="257"/>
      <c r="CO27" s="257"/>
      <c r="CP27" s="257"/>
      <c r="CQ27" s="257"/>
      <c r="CR27" s="257"/>
      <c r="CS27" s="257"/>
      <c r="CT27" s="257"/>
      <c r="CU27" s="257"/>
      <c r="CV27" s="257"/>
      <c r="CW27" s="257"/>
      <c r="CX27" s="257"/>
      <c r="CY27" s="257"/>
      <c r="CZ27" s="257"/>
      <c r="DA27" s="257"/>
      <c r="DB27" s="202"/>
      <c r="DC27" s="202"/>
      <c r="DD27" s="202"/>
      <c r="DE27" s="202"/>
      <c r="DF27" s="202"/>
      <c r="DG27" s="202"/>
      <c r="DH27" s="202"/>
      <c r="DI27" s="202"/>
      <c r="DJ27" s="202"/>
      <c r="DK27" s="202"/>
      <c r="DL27" s="202"/>
      <c r="DM27" s="202"/>
      <c r="DN27" s="202"/>
      <c r="DO27" s="202"/>
      <c r="DP27" s="202"/>
      <c r="DQ27" s="202"/>
      <c r="DR27" s="202"/>
      <c r="DS27" s="202"/>
      <c r="DT27" s="196"/>
      <c r="DU27" s="196"/>
      <c r="DV27" s="196"/>
      <c r="DW27" s="196"/>
      <c r="DX27" s="196"/>
      <c r="DY27" s="196"/>
      <c r="DZ27" s="196"/>
      <c r="EA27" s="196"/>
      <c r="EB27" s="176">
        <f t="shared" si="0"/>
        <v>0</v>
      </c>
      <c r="EC27" s="176">
        <f t="shared" si="1"/>
        <v>0</v>
      </c>
      <c r="ED27" s="176">
        <f t="shared" si="2"/>
        <v>0</v>
      </c>
      <c r="EE27" s="176">
        <f t="shared" si="3"/>
        <v>0</v>
      </c>
      <c r="EG27" s="129">
        <f t="shared" si="4"/>
        <v>0</v>
      </c>
      <c r="EI27" s="176">
        <f t="shared" si="5"/>
        <v>0</v>
      </c>
      <c r="EK27" s="176">
        <f t="shared" si="6"/>
        <v>0</v>
      </c>
      <c r="EL27" s="176"/>
      <c r="EM27" s="177"/>
      <c r="EN27" s="178"/>
      <c r="EO27" s="177"/>
      <c r="EP27" s="177"/>
      <c r="EQ27" s="176">
        <f t="shared" si="7"/>
        <v>0</v>
      </c>
      <c r="ER27" s="179">
        <v>23300</v>
      </c>
      <c r="ES27" s="177">
        <v>7.5</v>
      </c>
    </row>
    <row r="28" spans="1:149" x14ac:dyDescent="0.3">
      <c r="A28" s="197">
        <v>23</v>
      </c>
      <c r="D28" s="163"/>
      <c r="E28" s="163"/>
      <c r="F28" s="164"/>
      <c r="I28" s="163"/>
      <c r="M28" s="165"/>
      <c r="N28" s="166"/>
      <c r="T28" s="167"/>
      <c r="U28" s="167"/>
      <c r="V28" s="167"/>
      <c r="W28" s="167"/>
      <c r="X28" s="168"/>
      <c r="Y28" s="168"/>
      <c r="AB28" s="195"/>
      <c r="AC28" s="195"/>
      <c r="AD28" s="195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247"/>
      <c r="AQ28" s="247"/>
      <c r="AR28" s="247"/>
      <c r="AS28" s="247"/>
      <c r="AT28" s="247"/>
      <c r="AU28" s="247"/>
      <c r="AV28" s="247"/>
      <c r="AW28" s="247"/>
      <c r="AX28" s="247"/>
      <c r="AY28" s="247"/>
      <c r="AZ28" s="247"/>
      <c r="BA28" s="247"/>
      <c r="BB28" s="247"/>
      <c r="BC28" s="247"/>
      <c r="BD28" s="206"/>
      <c r="BE28" s="206"/>
      <c r="BF28" s="206"/>
      <c r="BG28" s="206"/>
      <c r="BH28" s="206"/>
      <c r="BI28" s="206"/>
      <c r="BJ28" s="206"/>
      <c r="BK28" s="206"/>
      <c r="BL28" s="206"/>
      <c r="BM28" s="206"/>
      <c r="BN28" s="206"/>
      <c r="BO28" s="206"/>
      <c r="BP28" s="206"/>
      <c r="BQ28" s="206"/>
      <c r="BR28" s="252"/>
      <c r="BS28" s="252"/>
      <c r="BT28" s="252"/>
      <c r="BU28" s="252"/>
      <c r="BV28" s="252"/>
      <c r="BW28" s="252"/>
      <c r="BX28" s="252"/>
      <c r="BY28" s="252"/>
      <c r="BZ28" s="252"/>
      <c r="CA28" s="252"/>
      <c r="CB28" s="252"/>
      <c r="CC28" s="252"/>
      <c r="CD28" s="252"/>
      <c r="CE28" s="252"/>
      <c r="CF28" s="252"/>
      <c r="CG28" s="252"/>
      <c r="CH28" s="252"/>
      <c r="CI28" s="252"/>
      <c r="CJ28" s="257"/>
      <c r="CK28" s="257"/>
      <c r="CL28" s="257"/>
      <c r="CM28" s="257"/>
      <c r="CN28" s="257"/>
      <c r="CO28" s="257"/>
      <c r="CP28" s="257"/>
      <c r="CQ28" s="257"/>
      <c r="CR28" s="257"/>
      <c r="CS28" s="257"/>
      <c r="CT28" s="257"/>
      <c r="CU28" s="257"/>
      <c r="CV28" s="257"/>
      <c r="CW28" s="257"/>
      <c r="CX28" s="257"/>
      <c r="CY28" s="257"/>
      <c r="CZ28" s="257"/>
      <c r="DA28" s="257"/>
      <c r="DB28" s="202"/>
      <c r="DC28" s="202"/>
      <c r="DD28" s="202"/>
      <c r="DE28" s="202"/>
      <c r="DF28" s="202"/>
      <c r="DG28" s="202"/>
      <c r="DH28" s="202"/>
      <c r="DI28" s="202"/>
      <c r="DJ28" s="202"/>
      <c r="DK28" s="202"/>
      <c r="DL28" s="202"/>
      <c r="DM28" s="202"/>
      <c r="DN28" s="202"/>
      <c r="DO28" s="202"/>
      <c r="DP28" s="202"/>
      <c r="DQ28" s="202"/>
      <c r="DR28" s="202"/>
      <c r="DS28" s="202"/>
      <c r="DT28" s="196"/>
      <c r="DU28" s="196"/>
      <c r="DV28" s="196"/>
      <c r="DW28" s="196"/>
      <c r="DX28" s="196"/>
      <c r="DY28" s="196"/>
      <c r="DZ28" s="196"/>
      <c r="EA28" s="196"/>
      <c r="EB28" s="176">
        <f t="shared" si="0"/>
        <v>0</v>
      </c>
      <c r="EC28" s="176">
        <f t="shared" si="1"/>
        <v>0</v>
      </c>
      <c r="ED28" s="176">
        <f t="shared" si="2"/>
        <v>0</v>
      </c>
      <c r="EE28" s="176">
        <f t="shared" si="3"/>
        <v>0</v>
      </c>
      <c r="EG28" s="129">
        <f t="shared" si="4"/>
        <v>0</v>
      </c>
      <c r="EI28" s="176">
        <f t="shared" si="5"/>
        <v>0</v>
      </c>
      <c r="EK28" s="176">
        <f t="shared" si="6"/>
        <v>0</v>
      </c>
      <c r="EL28" s="176"/>
      <c r="EM28" s="177"/>
      <c r="EN28" s="178"/>
      <c r="EO28" s="177"/>
      <c r="EP28" s="177"/>
      <c r="EQ28" s="176">
        <f t="shared" si="7"/>
        <v>0</v>
      </c>
      <c r="ER28" s="179">
        <v>23300</v>
      </c>
      <c r="ES28" s="177">
        <v>7.5</v>
      </c>
    </row>
    <row r="29" spans="1:149" x14ac:dyDescent="0.3">
      <c r="A29" s="197">
        <v>24</v>
      </c>
      <c r="D29" s="163"/>
      <c r="E29" s="163"/>
      <c r="F29" s="164"/>
      <c r="I29" s="163"/>
      <c r="M29" s="165"/>
      <c r="N29" s="166"/>
      <c r="T29" s="167"/>
      <c r="U29" s="167"/>
      <c r="V29" s="167"/>
      <c r="W29" s="167"/>
      <c r="X29" s="168"/>
      <c r="Y29" s="168"/>
      <c r="AB29" s="195"/>
      <c r="AC29" s="195"/>
      <c r="AD29" s="195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247"/>
      <c r="AQ29" s="247"/>
      <c r="AR29" s="247"/>
      <c r="AS29" s="247"/>
      <c r="AT29" s="247"/>
      <c r="AU29" s="247"/>
      <c r="AV29" s="247"/>
      <c r="AW29" s="247"/>
      <c r="AX29" s="247"/>
      <c r="AY29" s="247"/>
      <c r="AZ29" s="247"/>
      <c r="BA29" s="247"/>
      <c r="BB29" s="247"/>
      <c r="BC29" s="247"/>
      <c r="BD29" s="206"/>
      <c r="BE29" s="206"/>
      <c r="BF29" s="206"/>
      <c r="BG29" s="206"/>
      <c r="BH29" s="206"/>
      <c r="BI29" s="206"/>
      <c r="BJ29" s="206"/>
      <c r="BK29" s="206"/>
      <c r="BL29" s="206"/>
      <c r="BM29" s="206"/>
      <c r="BN29" s="206"/>
      <c r="BO29" s="206"/>
      <c r="BP29" s="206"/>
      <c r="BQ29" s="206"/>
      <c r="BR29" s="252"/>
      <c r="BS29" s="252"/>
      <c r="BT29" s="252"/>
      <c r="BU29" s="252"/>
      <c r="BV29" s="252"/>
      <c r="BW29" s="252"/>
      <c r="BX29" s="252"/>
      <c r="BY29" s="252"/>
      <c r="BZ29" s="252"/>
      <c r="CA29" s="252"/>
      <c r="CB29" s="252"/>
      <c r="CC29" s="252"/>
      <c r="CD29" s="252"/>
      <c r="CE29" s="252"/>
      <c r="CF29" s="252"/>
      <c r="CG29" s="252"/>
      <c r="CH29" s="252"/>
      <c r="CI29" s="252"/>
      <c r="CJ29" s="257"/>
      <c r="CK29" s="257"/>
      <c r="CL29" s="257"/>
      <c r="CM29" s="257"/>
      <c r="CN29" s="257"/>
      <c r="CO29" s="257"/>
      <c r="CP29" s="257"/>
      <c r="CQ29" s="257"/>
      <c r="CR29" s="257"/>
      <c r="CS29" s="257"/>
      <c r="CT29" s="257"/>
      <c r="CU29" s="257"/>
      <c r="CV29" s="257"/>
      <c r="CW29" s="257"/>
      <c r="CX29" s="257"/>
      <c r="CY29" s="257"/>
      <c r="CZ29" s="257"/>
      <c r="DA29" s="257"/>
      <c r="DB29" s="202"/>
      <c r="DC29" s="202"/>
      <c r="DD29" s="202"/>
      <c r="DE29" s="202"/>
      <c r="DF29" s="202"/>
      <c r="DG29" s="202"/>
      <c r="DH29" s="202"/>
      <c r="DI29" s="202"/>
      <c r="DJ29" s="202"/>
      <c r="DK29" s="202"/>
      <c r="DL29" s="202"/>
      <c r="DM29" s="202"/>
      <c r="DN29" s="202"/>
      <c r="DO29" s="202"/>
      <c r="DP29" s="202"/>
      <c r="DQ29" s="202"/>
      <c r="DR29" s="202"/>
      <c r="DS29" s="202"/>
      <c r="DT29" s="196"/>
      <c r="DU29" s="196"/>
      <c r="DV29" s="196"/>
      <c r="DW29" s="196"/>
      <c r="DX29" s="196"/>
      <c r="DY29" s="196"/>
      <c r="DZ29" s="196"/>
      <c r="EA29" s="196"/>
      <c r="EB29" s="176">
        <f t="shared" si="0"/>
        <v>0</v>
      </c>
      <c r="EC29" s="176">
        <f t="shared" si="1"/>
        <v>0</v>
      </c>
      <c r="ED29" s="176">
        <f t="shared" si="2"/>
        <v>0</v>
      </c>
      <c r="EE29" s="176">
        <f t="shared" si="3"/>
        <v>0</v>
      </c>
      <c r="EG29" s="129">
        <f t="shared" si="4"/>
        <v>0</v>
      </c>
      <c r="EI29" s="176">
        <f t="shared" si="5"/>
        <v>0</v>
      </c>
      <c r="EK29" s="176">
        <f t="shared" si="6"/>
        <v>0</v>
      </c>
      <c r="EL29" s="176"/>
      <c r="EM29" s="177"/>
      <c r="EN29" s="178"/>
      <c r="EO29" s="177"/>
      <c r="EP29" s="177"/>
      <c r="EQ29" s="176">
        <f t="shared" si="7"/>
        <v>0</v>
      </c>
      <c r="ER29" s="179">
        <v>23300</v>
      </c>
      <c r="ES29" s="177">
        <v>7.5</v>
      </c>
    </row>
    <row r="30" spans="1:149" x14ac:dyDescent="0.3">
      <c r="A30" s="197">
        <v>25</v>
      </c>
      <c r="D30" s="163"/>
      <c r="E30" s="163"/>
      <c r="F30" s="164"/>
      <c r="I30" s="163"/>
      <c r="M30" s="165"/>
      <c r="N30" s="166"/>
      <c r="T30" s="167"/>
      <c r="U30" s="167"/>
      <c r="V30" s="167"/>
      <c r="W30" s="167"/>
      <c r="X30" s="168"/>
      <c r="Y30" s="168"/>
      <c r="AB30" s="195"/>
      <c r="AC30" s="195"/>
      <c r="AD30" s="195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247"/>
      <c r="AQ30" s="247"/>
      <c r="AR30" s="247"/>
      <c r="AS30" s="247"/>
      <c r="AT30" s="247"/>
      <c r="AU30" s="247"/>
      <c r="AV30" s="247"/>
      <c r="AW30" s="247"/>
      <c r="AX30" s="247"/>
      <c r="AY30" s="247"/>
      <c r="AZ30" s="247"/>
      <c r="BA30" s="247"/>
      <c r="BB30" s="247"/>
      <c r="BC30" s="247"/>
      <c r="BD30" s="206"/>
      <c r="BE30" s="206"/>
      <c r="BF30" s="206"/>
      <c r="BG30" s="206"/>
      <c r="BH30" s="206"/>
      <c r="BI30" s="206"/>
      <c r="BJ30" s="206"/>
      <c r="BK30" s="206"/>
      <c r="BL30" s="206"/>
      <c r="BM30" s="206"/>
      <c r="BN30" s="206"/>
      <c r="BO30" s="206"/>
      <c r="BP30" s="206"/>
      <c r="BQ30" s="206"/>
      <c r="BR30" s="252"/>
      <c r="BS30" s="252"/>
      <c r="BT30" s="252"/>
      <c r="BU30" s="252"/>
      <c r="BV30" s="252"/>
      <c r="BW30" s="252"/>
      <c r="BX30" s="252"/>
      <c r="BY30" s="252"/>
      <c r="BZ30" s="252"/>
      <c r="CA30" s="252"/>
      <c r="CB30" s="252"/>
      <c r="CC30" s="252"/>
      <c r="CD30" s="252"/>
      <c r="CE30" s="252"/>
      <c r="CF30" s="252"/>
      <c r="CG30" s="252"/>
      <c r="CH30" s="252"/>
      <c r="CI30" s="252"/>
      <c r="CJ30" s="257"/>
      <c r="CK30" s="257"/>
      <c r="CL30" s="257"/>
      <c r="CM30" s="257"/>
      <c r="CN30" s="257"/>
      <c r="CO30" s="257"/>
      <c r="CP30" s="257"/>
      <c r="CQ30" s="257"/>
      <c r="CR30" s="257"/>
      <c r="CS30" s="257"/>
      <c r="CT30" s="257"/>
      <c r="CU30" s="257"/>
      <c r="CV30" s="257"/>
      <c r="CW30" s="257"/>
      <c r="CX30" s="257"/>
      <c r="CY30" s="257"/>
      <c r="CZ30" s="257"/>
      <c r="DA30" s="257"/>
      <c r="DB30" s="202"/>
      <c r="DC30" s="202"/>
      <c r="DD30" s="202"/>
      <c r="DE30" s="202"/>
      <c r="DF30" s="202"/>
      <c r="DG30" s="202"/>
      <c r="DH30" s="202"/>
      <c r="DI30" s="202"/>
      <c r="DJ30" s="202"/>
      <c r="DK30" s="202"/>
      <c r="DL30" s="202"/>
      <c r="DM30" s="202"/>
      <c r="DN30" s="202"/>
      <c r="DO30" s="202"/>
      <c r="DP30" s="202"/>
      <c r="DQ30" s="202"/>
      <c r="DR30" s="202"/>
      <c r="DS30" s="202"/>
      <c r="DT30" s="196"/>
      <c r="DU30" s="196"/>
      <c r="DV30" s="196"/>
      <c r="DW30" s="196"/>
      <c r="DX30" s="196"/>
      <c r="DY30" s="196"/>
      <c r="DZ30" s="196"/>
      <c r="EA30" s="196"/>
      <c r="EB30" s="176">
        <f t="shared" si="0"/>
        <v>0</v>
      </c>
      <c r="EC30" s="176">
        <f t="shared" si="1"/>
        <v>0</v>
      </c>
      <c r="ED30" s="176">
        <f t="shared" si="2"/>
        <v>0</v>
      </c>
      <c r="EE30" s="176">
        <f t="shared" si="3"/>
        <v>0</v>
      </c>
      <c r="EG30" s="129">
        <f t="shared" si="4"/>
        <v>0</v>
      </c>
      <c r="EI30" s="176">
        <f t="shared" si="5"/>
        <v>0</v>
      </c>
      <c r="EK30" s="176">
        <f t="shared" si="6"/>
        <v>0</v>
      </c>
      <c r="EL30" s="176"/>
      <c r="EM30" s="177"/>
      <c r="EN30" s="178"/>
      <c r="EO30" s="177"/>
      <c r="EP30" s="177"/>
      <c r="EQ30" s="176">
        <f t="shared" si="7"/>
        <v>0</v>
      </c>
      <c r="ER30" s="179">
        <v>23300</v>
      </c>
      <c r="ES30" s="177">
        <v>7.5</v>
      </c>
    </row>
    <row r="31" spans="1:149" x14ac:dyDescent="0.3">
      <c r="A31" s="197">
        <v>26</v>
      </c>
      <c r="D31" s="163"/>
      <c r="E31" s="163"/>
      <c r="F31" s="164"/>
      <c r="I31" s="163"/>
      <c r="M31" s="165"/>
      <c r="N31" s="166"/>
      <c r="T31" s="167"/>
      <c r="U31" s="167"/>
      <c r="V31" s="167"/>
      <c r="W31" s="167"/>
      <c r="X31" s="168"/>
      <c r="Y31" s="168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247"/>
      <c r="AQ31" s="247"/>
      <c r="AR31" s="247"/>
      <c r="AS31" s="247"/>
      <c r="AT31" s="247"/>
      <c r="AU31" s="247"/>
      <c r="AV31" s="247"/>
      <c r="AW31" s="247"/>
      <c r="AX31" s="247"/>
      <c r="AY31" s="247"/>
      <c r="AZ31" s="247"/>
      <c r="BA31" s="247"/>
      <c r="BB31" s="247"/>
      <c r="BC31" s="247"/>
      <c r="BD31" s="206"/>
      <c r="BE31" s="206"/>
      <c r="BF31" s="206"/>
      <c r="BG31" s="206"/>
      <c r="BH31" s="206"/>
      <c r="BI31" s="206"/>
      <c r="BJ31" s="206"/>
      <c r="BK31" s="206"/>
      <c r="BL31" s="206"/>
      <c r="BM31" s="206"/>
      <c r="BN31" s="206"/>
      <c r="BO31" s="206"/>
      <c r="BP31" s="206"/>
      <c r="BQ31" s="206"/>
      <c r="BR31" s="252"/>
      <c r="BS31" s="252"/>
      <c r="BT31" s="252"/>
      <c r="BU31" s="252"/>
      <c r="BV31" s="252"/>
      <c r="BW31" s="252"/>
      <c r="BX31" s="252"/>
      <c r="BY31" s="252"/>
      <c r="BZ31" s="252"/>
      <c r="CA31" s="252"/>
      <c r="CB31" s="252"/>
      <c r="CC31" s="252"/>
      <c r="CD31" s="252"/>
      <c r="CE31" s="252"/>
      <c r="CF31" s="252"/>
      <c r="CG31" s="252"/>
      <c r="CH31" s="252"/>
      <c r="CI31" s="252"/>
      <c r="CJ31" s="257"/>
      <c r="CK31" s="257"/>
      <c r="CL31" s="257"/>
      <c r="CM31" s="257"/>
      <c r="CN31" s="257"/>
      <c r="CO31" s="257"/>
      <c r="CP31" s="257"/>
      <c r="CQ31" s="257"/>
      <c r="CR31" s="257"/>
      <c r="CS31" s="257"/>
      <c r="CT31" s="257"/>
      <c r="CU31" s="257"/>
      <c r="CV31" s="257"/>
      <c r="CW31" s="257"/>
      <c r="CX31" s="257"/>
      <c r="CY31" s="257"/>
      <c r="CZ31" s="257"/>
      <c r="DA31" s="257"/>
      <c r="DB31" s="202"/>
      <c r="DC31" s="202"/>
      <c r="DD31" s="202"/>
      <c r="DE31" s="202"/>
      <c r="DF31" s="202"/>
      <c r="DG31" s="202"/>
      <c r="DH31" s="202"/>
      <c r="DI31" s="202"/>
      <c r="DJ31" s="202"/>
      <c r="DK31" s="202"/>
      <c r="DL31" s="202"/>
      <c r="DM31" s="202"/>
      <c r="DN31" s="202"/>
      <c r="DO31" s="202"/>
      <c r="DP31" s="202"/>
      <c r="DQ31" s="202"/>
      <c r="DR31" s="202"/>
      <c r="DS31" s="202"/>
      <c r="DT31" s="196"/>
      <c r="DU31" s="196"/>
      <c r="DV31" s="196"/>
      <c r="DW31" s="196"/>
      <c r="DX31" s="196"/>
      <c r="DY31" s="196"/>
      <c r="DZ31" s="196"/>
      <c r="EA31" s="196"/>
      <c r="EB31" s="176">
        <f t="shared" si="0"/>
        <v>0</v>
      </c>
      <c r="EC31" s="176">
        <f t="shared" si="1"/>
        <v>0</v>
      </c>
      <c r="ED31" s="176">
        <f t="shared" si="2"/>
        <v>0</v>
      </c>
      <c r="EE31" s="176">
        <f t="shared" si="3"/>
        <v>0</v>
      </c>
      <c r="EG31" s="129">
        <f t="shared" si="4"/>
        <v>0</v>
      </c>
      <c r="EI31" s="176">
        <f t="shared" si="5"/>
        <v>0</v>
      </c>
      <c r="EK31" s="176">
        <f t="shared" si="6"/>
        <v>0</v>
      </c>
      <c r="EL31" s="176"/>
      <c r="EM31" s="177"/>
      <c r="EN31" s="178"/>
      <c r="EO31" s="177"/>
      <c r="EP31" s="177"/>
      <c r="EQ31" s="176">
        <f t="shared" si="7"/>
        <v>0</v>
      </c>
      <c r="ER31" s="179">
        <v>23300</v>
      </c>
      <c r="ES31" s="177">
        <v>7.5</v>
      </c>
    </row>
    <row r="32" spans="1:149" x14ac:dyDescent="0.3">
      <c r="A32" s="197">
        <v>27</v>
      </c>
      <c r="D32" s="163"/>
      <c r="E32" s="163"/>
      <c r="F32" s="164"/>
      <c r="I32" s="163"/>
      <c r="M32" s="165"/>
      <c r="N32" s="166"/>
      <c r="T32" s="167"/>
      <c r="U32" s="167"/>
      <c r="V32" s="167"/>
      <c r="W32" s="167"/>
      <c r="X32" s="168"/>
      <c r="Y32" s="168"/>
      <c r="AB32" s="195"/>
      <c r="AC32" s="195"/>
      <c r="AD32" s="195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247"/>
      <c r="AQ32" s="247"/>
      <c r="AR32" s="247"/>
      <c r="AS32" s="247"/>
      <c r="AT32" s="247"/>
      <c r="AU32" s="247"/>
      <c r="AV32" s="247"/>
      <c r="AW32" s="247"/>
      <c r="AX32" s="247"/>
      <c r="AY32" s="247"/>
      <c r="AZ32" s="247"/>
      <c r="BA32" s="247"/>
      <c r="BB32" s="247"/>
      <c r="BC32" s="247"/>
      <c r="BD32" s="206"/>
      <c r="BE32" s="206"/>
      <c r="BF32" s="206"/>
      <c r="BG32" s="206"/>
      <c r="BH32" s="206"/>
      <c r="BI32" s="206"/>
      <c r="BJ32" s="206"/>
      <c r="BK32" s="206"/>
      <c r="BL32" s="206"/>
      <c r="BM32" s="206"/>
      <c r="BN32" s="206"/>
      <c r="BO32" s="206"/>
      <c r="BP32" s="206"/>
      <c r="BQ32" s="206"/>
      <c r="BR32" s="252"/>
      <c r="BS32" s="252"/>
      <c r="BT32" s="252"/>
      <c r="BU32" s="252"/>
      <c r="BV32" s="252"/>
      <c r="BW32" s="252"/>
      <c r="BX32" s="252"/>
      <c r="BY32" s="252"/>
      <c r="BZ32" s="252"/>
      <c r="CA32" s="252"/>
      <c r="CB32" s="252"/>
      <c r="CC32" s="252"/>
      <c r="CD32" s="252"/>
      <c r="CE32" s="252"/>
      <c r="CF32" s="252"/>
      <c r="CG32" s="252"/>
      <c r="CH32" s="252"/>
      <c r="CI32" s="252"/>
      <c r="CJ32" s="257"/>
      <c r="CK32" s="257"/>
      <c r="CL32" s="257"/>
      <c r="CM32" s="257"/>
      <c r="CN32" s="257"/>
      <c r="CO32" s="257"/>
      <c r="CP32" s="257"/>
      <c r="CQ32" s="257"/>
      <c r="CR32" s="257"/>
      <c r="CS32" s="257"/>
      <c r="CT32" s="257"/>
      <c r="CU32" s="257"/>
      <c r="CV32" s="257"/>
      <c r="CW32" s="257"/>
      <c r="CX32" s="257"/>
      <c r="CY32" s="257"/>
      <c r="CZ32" s="257"/>
      <c r="DA32" s="257"/>
      <c r="DB32" s="202"/>
      <c r="DC32" s="202"/>
      <c r="DD32" s="202"/>
      <c r="DE32" s="202"/>
      <c r="DF32" s="202"/>
      <c r="DG32" s="202"/>
      <c r="DH32" s="202"/>
      <c r="DI32" s="202"/>
      <c r="DJ32" s="202"/>
      <c r="DK32" s="202"/>
      <c r="DL32" s="202"/>
      <c r="DM32" s="202"/>
      <c r="DN32" s="202"/>
      <c r="DO32" s="202"/>
      <c r="DP32" s="202"/>
      <c r="DQ32" s="202"/>
      <c r="DR32" s="202"/>
      <c r="DS32" s="202"/>
      <c r="DT32" s="196"/>
      <c r="DU32" s="196"/>
      <c r="DV32" s="196"/>
      <c r="DW32" s="196"/>
      <c r="DX32" s="196"/>
      <c r="DY32" s="196"/>
      <c r="DZ32" s="196"/>
      <c r="EA32" s="196"/>
      <c r="EB32" s="176">
        <f t="shared" si="0"/>
        <v>0</v>
      </c>
      <c r="EC32" s="176">
        <f t="shared" si="1"/>
        <v>0</v>
      </c>
      <c r="ED32" s="176">
        <f t="shared" si="2"/>
        <v>0</v>
      </c>
      <c r="EE32" s="176">
        <f t="shared" si="3"/>
        <v>0</v>
      </c>
      <c r="EG32" s="129">
        <f t="shared" si="4"/>
        <v>0</v>
      </c>
      <c r="EI32" s="176">
        <f t="shared" si="5"/>
        <v>0</v>
      </c>
      <c r="EK32" s="176">
        <f t="shared" si="6"/>
        <v>0</v>
      </c>
      <c r="EL32" s="176"/>
      <c r="EM32" s="177"/>
      <c r="EN32" s="178"/>
      <c r="EO32" s="177"/>
      <c r="EP32" s="177"/>
      <c r="EQ32" s="176">
        <f t="shared" si="7"/>
        <v>0</v>
      </c>
      <c r="ER32" s="179">
        <v>23300</v>
      </c>
      <c r="ES32" s="177">
        <v>7.5</v>
      </c>
    </row>
    <row r="33" spans="1:149" x14ac:dyDescent="0.3">
      <c r="A33" s="197">
        <v>28</v>
      </c>
      <c r="D33" s="163"/>
      <c r="E33" s="163"/>
      <c r="F33" s="164"/>
      <c r="I33" s="163"/>
      <c r="M33" s="165"/>
      <c r="N33" s="166"/>
      <c r="T33" s="167"/>
      <c r="U33" s="167"/>
      <c r="V33" s="167"/>
      <c r="W33" s="167"/>
      <c r="X33" s="168"/>
      <c r="Y33" s="168"/>
      <c r="AB33" s="195"/>
      <c r="AC33" s="195"/>
      <c r="AD33" s="195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247"/>
      <c r="AQ33" s="247"/>
      <c r="AR33" s="247"/>
      <c r="AS33" s="247"/>
      <c r="AT33" s="247"/>
      <c r="AU33" s="247"/>
      <c r="AV33" s="247"/>
      <c r="AW33" s="247"/>
      <c r="AX33" s="247"/>
      <c r="AY33" s="247"/>
      <c r="AZ33" s="247"/>
      <c r="BA33" s="247"/>
      <c r="BB33" s="247"/>
      <c r="BC33" s="247"/>
      <c r="BD33" s="206"/>
      <c r="BE33" s="206"/>
      <c r="BF33" s="206"/>
      <c r="BG33" s="206"/>
      <c r="BH33" s="206"/>
      <c r="BI33" s="206"/>
      <c r="BJ33" s="206"/>
      <c r="BK33" s="206"/>
      <c r="BL33" s="206"/>
      <c r="BM33" s="206"/>
      <c r="BN33" s="206"/>
      <c r="BO33" s="206"/>
      <c r="BP33" s="206"/>
      <c r="BQ33" s="206"/>
      <c r="BR33" s="252"/>
      <c r="BS33" s="252"/>
      <c r="BT33" s="252"/>
      <c r="BU33" s="252"/>
      <c r="BV33" s="252"/>
      <c r="BW33" s="252"/>
      <c r="BX33" s="252"/>
      <c r="BY33" s="252"/>
      <c r="BZ33" s="252"/>
      <c r="CA33" s="252"/>
      <c r="CB33" s="252"/>
      <c r="CC33" s="252"/>
      <c r="CD33" s="252"/>
      <c r="CE33" s="252"/>
      <c r="CF33" s="252"/>
      <c r="CG33" s="252"/>
      <c r="CH33" s="252"/>
      <c r="CI33" s="252"/>
      <c r="CJ33" s="257"/>
      <c r="CK33" s="257"/>
      <c r="CL33" s="257"/>
      <c r="CM33" s="257"/>
      <c r="CN33" s="257"/>
      <c r="CO33" s="257"/>
      <c r="CP33" s="257"/>
      <c r="CQ33" s="257"/>
      <c r="CR33" s="257"/>
      <c r="CS33" s="257"/>
      <c r="CT33" s="257"/>
      <c r="CU33" s="257"/>
      <c r="CV33" s="257"/>
      <c r="CW33" s="257"/>
      <c r="CX33" s="257"/>
      <c r="CY33" s="257"/>
      <c r="CZ33" s="257"/>
      <c r="DA33" s="257"/>
      <c r="DB33" s="202"/>
      <c r="DC33" s="202"/>
      <c r="DD33" s="202"/>
      <c r="DE33" s="202"/>
      <c r="DF33" s="202"/>
      <c r="DG33" s="202"/>
      <c r="DH33" s="202"/>
      <c r="DI33" s="202"/>
      <c r="DJ33" s="202"/>
      <c r="DK33" s="202"/>
      <c r="DL33" s="202"/>
      <c r="DM33" s="202"/>
      <c r="DN33" s="202"/>
      <c r="DO33" s="202"/>
      <c r="DP33" s="202"/>
      <c r="DQ33" s="202"/>
      <c r="DR33" s="202"/>
      <c r="DS33" s="202"/>
      <c r="DT33" s="196"/>
      <c r="DU33" s="196"/>
      <c r="DV33" s="196"/>
      <c r="DW33" s="196"/>
      <c r="DX33" s="196"/>
      <c r="DY33" s="196"/>
      <c r="DZ33" s="196"/>
      <c r="EA33" s="196"/>
      <c r="EB33" s="176">
        <f t="shared" si="0"/>
        <v>0</v>
      </c>
      <c r="EC33" s="176">
        <f t="shared" si="1"/>
        <v>0</v>
      </c>
      <c r="ED33" s="176">
        <f t="shared" si="2"/>
        <v>0</v>
      </c>
      <c r="EE33" s="176">
        <f t="shared" si="3"/>
        <v>0</v>
      </c>
      <c r="EG33" s="129">
        <f t="shared" si="4"/>
        <v>0</v>
      </c>
      <c r="EI33" s="176">
        <f t="shared" si="5"/>
        <v>0</v>
      </c>
      <c r="EK33" s="176">
        <f t="shared" si="6"/>
        <v>0</v>
      </c>
      <c r="EL33" s="176"/>
      <c r="EM33" s="177"/>
      <c r="EN33" s="178"/>
      <c r="EO33" s="177"/>
      <c r="EP33" s="177"/>
      <c r="EQ33" s="176">
        <f t="shared" si="7"/>
        <v>0</v>
      </c>
      <c r="ER33" s="179">
        <v>23300</v>
      </c>
      <c r="ES33" s="177">
        <v>7.5</v>
      </c>
    </row>
    <row r="34" spans="1:149" x14ac:dyDescent="0.3">
      <c r="A34" s="197">
        <v>29</v>
      </c>
      <c r="D34" s="163"/>
      <c r="E34" s="163"/>
      <c r="F34" s="164"/>
      <c r="I34" s="163"/>
      <c r="M34" s="165"/>
      <c r="N34" s="166"/>
      <c r="T34" s="167"/>
      <c r="U34" s="167"/>
      <c r="V34" s="167"/>
      <c r="W34" s="167"/>
      <c r="X34" s="168"/>
      <c r="Y34" s="168"/>
      <c r="AB34" s="195"/>
      <c r="AC34" s="195"/>
      <c r="AD34" s="195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247"/>
      <c r="AQ34" s="247"/>
      <c r="AR34" s="247"/>
      <c r="AS34" s="247"/>
      <c r="AT34" s="247"/>
      <c r="AU34" s="247"/>
      <c r="AV34" s="247"/>
      <c r="AW34" s="247"/>
      <c r="AX34" s="247"/>
      <c r="AY34" s="247"/>
      <c r="AZ34" s="247"/>
      <c r="BA34" s="247"/>
      <c r="BB34" s="247"/>
      <c r="BC34" s="247"/>
      <c r="BD34" s="206"/>
      <c r="BE34" s="206"/>
      <c r="BF34" s="206"/>
      <c r="BG34" s="206"/>
      <c r="BH34" s="206"/>
      <c r="BI34" s="206"/>
      <c r="BJ34" s="206"/>
      <c r="BK34" s="206"/>
      <c r="BL34" s="206"/>
      <c r="BM34" s="206"/>
      <c r="BN34" s="206"/>
      <c r="BO34" s="206"/>
      <c r="BP34" s="206"/>
      <c r="BQ34" s="206"/>
      <c r="BR34" s="252"/>
      <c r="BS34" s="252"/>
      <c r="BT34" s="252"/>
      <c r="BU34" s="252"/>
      <c r="BV34" s="252"/>
      <c r="BW34" s="252"/>
      <c r="BX34" s="252"/>
      <c r="BY34" s="252"/>
      <c r="BZ34" s="252"/>
      <c r="CA34" s="252"/>
      <c r="CB34" s="252"/>
      <c r="CC34" s="252"/>
      <c r="CD34" s="252"/>
      <c r="CE34" s="252"/>
      <c r="CF34" s="252"/>
      <c r="CG34" s="252"/>
      <c r="CH34" s="252"/>
      <c r="CI34" s="252"/>
      <c r="CJ34" s="257"/>
      <c r="CK34" s="257"/>
      <c r="CL34" s="257"/>
      <c r="CM34" s="257"/>
      <c r="CN34" s="257"/>
      <c r="CO34" s="257"/>
      <c r="CP34" s="257"/>
      <c r="CQ34" s="257"/>
      <c r="CR34" s="257"/>
      <c r="CS34" s="257"/>
      <c r="CT34" s="257"/>
      <c r="CU34" s="257"/>
      <c r="CV34" s="257"/>
      <c r="CW34" s="257"/>
      <c r="CX34" s="257"/>
      <c r="CY34" s="257"/>
      <c r="CZ34" s="257"/>
      <c r="DA34" s="257"/>
      <c r="DB34" s="202"/>
      <c r="DC34" s="202"/>
      <c r="DD34" s="202"/>
      <c r="DE34" s="202"/>
      <c r="DF34" s="202"/>
      <c r="DG34" s="202"/>
      <c r="DH34" s="202"/>
      <c r="DI34" s="202"/>
      <c r="DJ34" s="202"/>
      <c r="DK34" s="202"/>
      <c r="DL34" s="202"/>
      <c r="DM34" s="202"/>
      <c r="DN34" s="202"/>
      <c r="DO34" s="202"/>
      <c r="DP34" s="202"/>
      <c r="DQ34" s="202"/>
      <c r="DR34" s="202"/>
      <c r="DS34" s="202"/>
      <c r="DT34" s="196"/>
      <c r="DU34" s="196"/>
      <c r="DV34" s="196"/>
      <c r="DW34" s="196"/>
      <c r="DX34" s="196"/>
      <c r="DY34" s="196"/>
      <c r="DZ34" s="196"/>
      <c r="EA34" s="196"/>
      <c r="EB34" s="176">
        <f t="shared" si="0"/>
        <v>0</v>
      </c>
      <c r="EC34" s="176">
        <f t="shared" si="1"/>
        <v>0</v>
      </c>
      <c r="ED34" s="176">
        <f t="shared" si="2"/>
        <v>0</v>
      </c>
      <c r="EE34" s="176">
        <f t="shared" si="3"/>
        <v>0</v>
      </c>
      <c r="EG34" s="129">
        <f t="shared" si="4"/>
        <v>0</v>
      </c>
      <c r="EI34" s="176">
        <f t="shared" si="5"/>
        <v>0</v>
      </c>
      <c r="EK34" s="176">
        <f t="shared" si="6"/>
        <v>0</v>
      </c>
      <c r="EL34" s="176"/>
      <c r="EM34" s="177"/>
      <c r="EN34" s="178"/>
      <c r="EO34" s="177"/>
      <c r="EP34" s="177"/>
      <c r="EQ34" s="176">
        <f t="shared" si="7"/>
        <v>0</v>
      </c>
      <c r="ER34" s="179">
        <v>23300</v>
      </c>
      <c r="ES34" s="177">
        <v>7.5</v>
      </c>
    </row>
    <row r="35" spans="1:149" x14ac:dyDescent="0.3">
      <c r="A35" s="197">
        <v>30</v>
      </c>
      <c r="AB35" s="195"/>
      <c r="AC35" s="195"/>
      <c r="AD35" s="195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247"/>
      <c r="AQ35" s="247"/>
      <c r="AR35" s="247"/>
      <c r="AS35" s="247"/>
      <c r="AT35" s="247"/>
      <c r="AU35" s="247"/>
      <c r="AV35" s="247"/>
      <c r="AW35" s="247"/>
      <c r="AX35" s="247"/>
      <c r="AY35" s="247"/>
      <c r="AZ35" s="247"/>
      <c r="BA35" s="247"/>
      <c r="BB35" s="247"/>
      <c r="BC35" s="247"/>
      <c r="BD35" s="206"/>
      <c r="BE35" s="206"/>
      <c r="BF35" s="206"/>
      <c r="BG35" s="206"/>
      <c r="BH35" s="206"/>
      <c r="BI35" s="206"/>
      <c r="BJ35" s="206"/>
      <c r="BK35" s="206"/>
      <c r="BL35" s="206"/>
      <c r="BM35" s="206"/>
      <c r="BN35" s="206"/>
      <c r="BO35" s="206"/>
      <c r="BP35" s="206"/>
      <c r="BQ35" s="206"/>
      <c r="BR35" s="252"/>
      <c r="BS35" s="252"/>
      <c r="BT35" s="252"/>
      <c r="BU35" s="252"/>
      <c r="BV35" s="252"/>
      <c r="BW35" s="252"/>
      <c r="BX35" s="252"/>
      <c r="BY35" s="252"/>
      <c r="BZ35" s="252"/>
      <c r="CA35" s="252"/>
      <c r="CB35" s="252"/>
      <c r="CC35" s="252"/>
      <c r="CD35" s="252"/>
      <c r="CE35" s="252"/>
      <c r="CF35" s="252"/>
      <c r="CG35" s="252"/>
      <c r="CH35" s="252"/>
      <c r="CI35" s="252"/>
      <c r="CJ35" s="257"/>
      <c r="CK35" s="257"/>
      <c r="CL35" s="257"/>
      <c r="CM35" s="257"/>
      <c r="CN35" s="257"/>
      <c r="CO35" s="257"/>
      <c r="CP35" s="257"/>
      <c r="CQ35" s="257"/>
      <c r="CR35" s="257"/>
      <c r="CS35" s="257"/>
      <c r="CT35" s="257"/>
      <c r="CU35" s="257"/>
      <c r="CV35" s="257"/>
      <c r="CW35" s="257"/>
      <c r="CX35" s="257"/>
      <c r="CY35" s="257"/>
      <c r="CZ35" s="257"/>
      <c r="DA35" s="257"/>
      <c r="DB35" s="202"/>
      <c r="DC35" s="202"/>
      <c r="DD35" s="202"/>
      <c r="DE35" s="202"/>
      <c r="DF35" s="202"/>
      <c r="DG35" s="202"/>
      <c r="DH35" s="202"/>
      <c r="DI35" s="202"/>
      <c r="DJ35" s="202"/>
      <c r="DK35" s="202"/>
      <c r="DL35" s="202"/>
      <c r="DM35" s="202"/>
      <c r="DN35" s="202"/>
      <c r="DO35" s="202"/>
      <c r="DP35" s="202"/>
      <c r="DQ35" s="202"/>
      <c r="DR35" s="202"/>
      <c r="DS35" s="202"/>
      <c r="DT35" s="196"/>
      <c r="DU35" s="196"/>
      <c r="DV35" s="196"/>
      <c r="DW35" s="196"/>
      <c r="DX35" s="196"/>
      <c r="DY35" s="196"/>
      <c r="DZ35" s="196"/>
      <c r="EA35" s="196"/>
      <c r="EB35" s="176">
        <f t="shared" si="0"/>
        <v>0</v>
      </c>
      <c r="EC35" s="176">
        <f t="shared" si="1"/>
        <v>0</v>
      </c>
      <c r="ED35" s="176">
        <f t="shared" si="2"/>
        <v>0</v>
      </c>
      <c r="EE35" s="176">
        <f t="shared" si="3"/>
        <v>0</v>
      </c>
      <c r="EG35" s="129">
        <f t="shared" si="4"/>
        <v>0</v>
      </c>
      <c r="EI35" s="176">
        <f t="shared" si="5"/>
        <v>0</v>
      </c>
      <c r="EK35" s="176">
        <f t="shared" si="6"/>
        <v>0</v>
      </c>
      <c r="EL35" s="176"/>
      <c r="EM35" s="177"/>
      <c r="EN35" s="178"/>
      <c r="EO35" s="177"/>
      <c r="EP35" s="177"/>
      <c r="EQ35" s="176">
        <f t="shared" si="7"/>
        <v>0</v>
      </c>
      <c r="ER35" s="179">
        <v>23302</v>
      </c>
      <c r="ES35" s="177">
        <v>9.5</v>
      </c>
    </row>
    <row r="36" spans="1:149" x14ac:dyDescent="0.3">
      <c r="A36" s="197">
        <v>31</v>
      </c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247"/>
      <c r="AQ36" s="247"/>
      <c r="AR36" s="247"/>
      <c r="AS36" s="247"/>
      <c r="AT36" s="247"/>
      <c r="AU36" s="247"/>
      <c r="AV36" s="247"/>
      <c r="AW36" s="247"/>
      <c r="AX36" s="247"/>
      <c r="AY36" s="247"/>
      <c r="AZ36" s="247"/>
      <c r="BA36" s="247"/>
      <c r="BB36" s="247"/>
      <c r="BC36" s="247"/>
      <c r="BD36" s="206"/>
      <c r="BE36" s="206"/>
      <c r="BF36" s="206"/>
      <c r="BG36" s="206"/>
      <c r="BH36" s="206"/>
      <c r="BI36" s="206"/>
      <c r="BJ36" s="206"/>
      <c r="BK36" s="206"/>
      <c r="BL36" s="206"/>
      <c r="BM36" s="206"/>
      <c r="BN36" s="206"/>
      <c r="BO36" s="206"/>
      <c r="BP36" s="206"/>
      <c r="BQ36" s="206"/>
      <c r="BR36" s="252"/>
      <c r="BS36" s="252"/>
      <c r="BT36" s="252"/>
      <c r="BU36" s="252"/>
      <c r="BV36" s="252"/>
      <c r="BW36" s="252"/>
      <c r="BX36" s="252"/>
      <c r="BY36" s="252"/>
      <c r="BZ36" s="252"/>
      <c r="CA36" s="252"/>
      <c r="CB36" s="252"/>
      <c r="CC36" s="252"/>
      <c r="CD36" s="252"/>
      <c r="CE36" s="252"/>
      <c r="CF36" s="252"/>
      <c r="CG36" s="252"/>
      <c r="CH36" s="252"/>
      <c r="CI36" s="252"/>
      <c r="CJ36" s="257"/>
      <c r="CK36" s="257"/>
      <c r="CL36" s="257"/>
      <c r="CM36" s="257"/>
      <c r="CN36" s="257"/>
      <c r="CO36" s="257"/>
      <c r="CP36" s="257"/>
      <c r="CQ36" s="257"/>
      <c r="CR36" s="257"/>
      <c r="CS36" s="257"/>
      <c r="CT36" s="257"/>
      <c r="CU36" s="257"/>
      <c r="CV36" s="257"/>
      <c r="CW36" s="257"/>
      <c r="CX36" s="257"/>
      <c r="CY36" s="257"/>
      <c r="CZ36" s="257"/>
      <c r="DA36" s="257"/>
      <c r="DB36" s="202"/>
      <c r="DC36" s="202"/>
      <c r="DD36" s="202"/>
      <c r="DE36" s="202"/>
      <c r="DF36" s="202"/>
      <c r="DG36" s="202"/>
      <c r="DH36" s="202"/>
      <c r="DI36" s="202"/>
      <c r="DJ36" s="202"/>
      <c r="DK36" s="202"/>
      <c r="DL36" s="202"/>
      <c r="DM36" s="202"/>
      <c r="DN36" s="202"/>
      <c r="DO36" s="202"/>
      <c r="DP36" s="202"/>
      <c r="DQ36" s="202"/>
      <c r="DR36" s="202"/>
      <c r="DS36" s="202"/>
      <c r="DT36" s="196"/>
      <c r="DU36" s="196"/>
      <c r="DV36" s="196"/>
      <c r="DW36" s="196"/>
      <c r="DX36" s="196"/>
      <c r="DY36" s="196"/>
      <c r="DZ36" s="196"/>
      <c r="EA36" s="196"/>
      <c r="EB36" s="176">
        <f t="shared" si="0"/>
        <v>0</v>
      </c>
      <c r="EC36" s="176">
        <f t="shared" si="1"/>
        <v>0</v>
      </c>
      <c r="ED36" s="176">
        <f t="shared" si="2"/>
        <v>0</v>
      </c>
      <c r="EE36" s="176">
        <f t="shared" si="3"/>
        <v>0</v>
      </c>
      <c r="EG36" s="129">
        <f t="shared" si="4"/>
        <v>0</v>
      </c>
      <c r="EI36" s="176">
        <f t="shared" si="5"/>
        <v>0</v>
      </c>
      <c r="EK36" s="176">
        <f t="shared" si="6"/>
        <v>0</v>
      </c>
      <c r="EL36" s="176"/>
      <c r="EM36" s="177"/>
      <c r="EN36" s="178"/>
      <c r="EO36" s="177"/>
      <c r="EP36" s="177"/>
      <c r="EQ36" s="176">
        <f t="shared" si="7"/>
        <v>0</v>
      </c>
      <c r="ER36" s="179">
        <v>23300</v>
      </c>
      <c r="ES36" s="177">
        <v>7.5</v>
      </c>
    </row>
    <row r="37" spans="1:149" x14ac:dyDescent="0.3">
      <c r="A37" s="197">
        <v>32</v>
      </c>
      <c r="AB37" s="195"/>
      <c r="AC37" s="195"/>
      <c r="AD37" s="195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247"/>
      <c r="AQ37" s="247"/>
      <c r="AR37" s="247"/>
      <c r="AS37" s="247"/>
      <c r="AT37" s="247"/>
      <c r="AU37" s="247"/>
      <c r="AV37" s="247"/>
      <c r="AW37" s="247"/>
      <c r="AX37" s="247"/>
      <c r="AY37" s="247"/>
      <c r="AZ37" s="247"/>
      <c r="BA37" s="247"/>
      <c r="BB37" s="247"/>
      <c r="BC37" s="247"/>
      <c r="BD37" s="206"/>
      <c r="BE37" s="206"/>
      <c r="BF37" s="206"/>
      <c r="BG37" s="206"/>
      <c r="BH37" s="206"/>
      <c r="BI37" s="206"/>
      <c r="BJ37" s="206"/>
      <c r="BK37" s="206"/>
      <c r="BL37" s="206"/>
      <c r="BM37" s="206"/>
      <c r="BN37" s="206"/>
      <c r="BO37" s="206"/>
      <c r="BP37" s="206"/>
      <c r="BQ37" s="206"/>
      <c r="BR37" s="252"/>
      <c r="BS37" s="252"/>
      <c r="BT37" s="252"/>
      <c r="BU37" s="252"/>
      <c r="BV37" s="252"/>
      <c r="BW37" s="252"/>
      <c r="BX37" s="252"/>
      <c r="BY37" s="252"/>
      <c r="BZ37" s="252"/>
      <c r="CA37" s="252"/>
      <c r="CB37" s="252"/>
      <c r="CC37" s="252"/>
      <c r="CD37" s="252"/>
      <c r="CE37" s="252"/>
      <c r="CF37" s="252"/>
      <c r="CG37" s="252"/>
      <c r="CH37" s="252"/>
      <c r="CI37" s="252"/>
      <c r="CJ37" s="257"/>
      <c r="CK37" s="257"/>
      <c r="CL37" s="257"/>
      <c r="CM37" s="257"/>
      <c r="CN37" s="257"/>
      <c r="CO37" s="257"/>
      <c r="CP37" s="257"/>
      <c r="CQ37" s="257"/>
      <c r="CR37" s="257"/>
      <c r="CS37" s="257"/>
      <c r="CT37" s="257"/>
      <c r="CU37" s="257"/>
      <c r="CV37" s="257"/>
      <c r="CW37" s="257"/>
      <c r="CX37" s="257"/>
      <c r="CY37" s="257"/>
      <c r="CZ37" s="257"/>
      <c r="DA37" s="257"/>
      <c r="DB37" s="202"/>
      <c r="DC37" s="202"/>
      <c r="DD37" s="202"/>
      <c r="DE37" s="202"/>
      <c r="DF37" s="202"/>
      <c r="DG37" s="202"/>
      <c r="DH37" s="202"/>
      <c r="DI37" s="202"/>
      <c r="DJ37" s="202"/>
      <c r="DK37" s="202"/>
      <c r="DL37" s="202"/>
      <c r="DM37" s="202"/>
      <c r="DN37" s="202"/>
      <c r="DO37" s="202"/>
      <c r="DP37" s="202"/>
      <c r="DQ37" s="202"/>
      <c r="DR37" s="202"/>
      <c r="DS37" s="202"/>
      <c r="DT37" s="196"/>
      <c r="DU37" s="196"/>
      <c r="DV37" s="196"/>
      <c r="DW37" s="196"/>
      <c r="DX37" s="196"/>
      <c r="DY37" s="196"/>
      <c r="DZ37" s="196"/>
      <c r="EA37" s="196"/>
      <c r="EB37" s="176">
        <f t="shared" si="0"/>
        <v>0</v>
      </c>
      <c r="EC37" s="176">
        <f t="shared" si="1"/>
        <v>0</v>
      </c>
      <c r="ED37" s="176">
        <f t="shared" si="2"/>
        <v>0</v>
      </c>
      <c r="EE37" s="176">
        <f t="shared" si="3"/>
        <v>0</v>
      </c>
      <c r="EG37" s="129">
        <f t="shared" si="4"/>
        <v>0</v>
      </c>
      <c r="EI37" s="176">
        <f t="shared" si="5"/>
        <v>0</v>
      </c>
      <c r="EK37" s="176">
        <f t="shared" si="6"/>
        <v>0</v>
      </c>
      <c r="EL37" s="176"/>
      <c r="EM37" s="177"/>
      <c r="EN37" s="178"/>
      <c r="EO37" s="177"/>
      <c r="EP37" s="177"/>
      <c r="EQ37" s="176">
        <f t="shared" si="7"/>
        <v>0</v>
      </c>
      <c r="ER37" s="179">
        <v>23300</v>
      </c>
      <c r="ES37" s="177">
        <v>7.5</v>
      </c>
    </row>
    <row r="38" spans="1:149" x14ac:dyDescent="0.3">
      <c r="A38" s="197">
        <v>33</v>
      </c>
      <c r="AB38" s="195"/>
      <c r="AC38" s="195"/>
      <c r="AD38" s="195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247"/>
      <c r="AQ38" s="247"/>
      <c r="AR38" s="247"/>
      <c r="AS38" s="247"/>
      <c r="AT38" s="247"/>
      <c r="AU38" s="247"/>
      <c r="AV38" s="247"/>
      <c r="AW38" s="247"/>
      <c r="AX38" s="247"/>
      <c r="AY38" s="247"/>
      <c r="AZ38" s="247"/>
      <c r="BA38" s="247"/>
      <c r="BB38" s="247"/>
      <c r="BC38" s="247"/>
      <c r="BD38" s="206"/>
      <c r="BE38" s="206"/>
      <c r="BF38" s="206"/>
      <c r="BG38" s="206"/>
      <c r="BH38" s="206"/>
      <c r="BI38" s="206"/>
      <c r="BJ38" s="206"/>
      <c r="BK38" s="206"/>
      <c r="BL38" s="206"/>
      <c r="BM38" s="206"/>
      <c r="BN38" s="206"/>
      <c r="BO38" s="206"/>
      <c r="BP38" s="206"/>
      <c r="BQ38" s="206"/>
      <c r="BR38" s="252"/>
      <c r="BS38" s="252"/>
      <c r="BT38" s="252"/>
      <c r="BU38" s="252"/>
      <c r="BV38" s="252"/>
      <c r="BW38" s="252"/>
      <c r="BX38" s="252"/>
      <c r="BY38" s="252"/>
      <c r="BZ38" s="252"/>
      <c r="CA38" s="252"/>
      <c r="CB38" s="252"/>
      <c r="CC38" s="252"/>
      <c r="CD38" s="252"/>
      <c r="CE38" s="252"/>
      <c r="CF38" s="252"/>
      <c r="CG38" s="252"/>
      <c r="CH38" s="252"/>
      <c r="CI38" s="252"/>
      <c r="CJ38" s="257"/>
      <c r="CK38" s="257"/>
      <c r="CL38" s="257"/>
      <c r="CM38" s="257"/>
      <c r="CN38" s="257"/>
      <c r="CO38" s="257"/>
      <c r="CP38" s="257"/>
      <c r="CQ38" s="257"/>
      <c r="CR38" s="257"/>
      <c r="CS38" s="257"/>
      <c r="CT38" s="257"/>
      <c r="CU38" s="257"/>
      <c r="CV38" s="257"/>
      <c r="CW38" s="257"/>
      <c r="CX38" s="257"/>
      <c r="CY38" s="257"/>
      <c r="CZ38" s="257"/>
      <c r="DA38" s="257"/>
      <c r="DB38" s="202"/>
      <c r="DC38" s="202"/>
      <c r="DD38" s="202"/>
      <c r="DE38" s="202"/>
      <c r="DF38" s="202"/>
      <c r="DG38" s="202"/>
      <c r="DH38" s="202"/>
      <c r="DI38" s="202"/>
      <c r="DJ38" s="202"/>
      <c r="DK38" s="202"/>
      <c r="DL38" s="202"/>
      <c r="DM38" s="202"/>
      <c r="DN38" s="202"/>
      <c r="DO38" s="202"/>
      <c r="DP38" s="202"/>
      <c r="DQ38" s="202"/>
      <c r="DR38" s="202"/>
      <c r="DS38" s="202"/>
      <c r="DT38" s="196"/>
      <c r="DU38" s="196"/>
      <c r="DV38" s="196"/>
      <c r="DW38" s="196"/>
      <c r="DX38" s="196"/>
      <c r="DY38" s="196"/>
      <c r="DZ38" s="196"/>
      <c r="EA38" s="196"/>
      <c r="EB38" s="176">
        <f t="shared" si="0"/>
        <v>0</v>
      </c>
      <c r="EC38" s="176">
        <f t="shared" si="1"/>
        <v>0</v>
      </c>
      <c r="ED38" s="176">
        <f t="shared" si="2"/>
        <v>0</v>
      </c>
      <c r="EE38" s="176">
        <f t="shared" si="3"/>
        <v>0</v>
      </c>
      <c r="EG38" s="129">
        <f t="shared" si="4"/>
        <v>0</v>
      </c>
      <c r="EI38" s="176">
        <f t="shared" si="5"/>
        <v>0</v>
      </c>
      <c r="EK38" s="176">
        <f t="shared" si="6"/>
        <v>0</v>
      </c>
      <c r="EL38" s="176"/>
      <c r="EM38" s="177"/>
      <c r="EN38" s="178"/>
      <c r="EO38" s="177"/>
      <c r="EP38" s="177"/>
      <c r="EQ38" s="176">
        <f t="shared" si="7"/>
        <v>0</v>
      </c>
      <c r="ER38" s="179">
        <v>23300</v>
      </c>
      <c r="ES38" s="177">
        <v>7.5</v>
      </c>
    </row>
    <row r="39" spans="1:149" x14ac:dyDescent="0.3">
      <c r="A39" s="197">
        <v>34</v>
      </c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247"/>
      <c r="AQ39" s="247"/>
      <c r="AR39" s="247"/>
      <c r="AS39" s="247"/>
      <c r="AT39" s="247"/>
      <c r="AU39" s="247"/>
      <c r="AV39" s="247"/>
      <c r="AW39" s="247"/>
      <c r="AX39" s="247"/>
      <c r="AY39" s="247"/>
      <c r="AZ39" s="247"/>
      <c r="BA39" s="247"/>
      <c r="BB39" s="247"/>
      <c r="BC39" s="247"/>
      <c r="BD39" s="206"/>
      <c r="BE39" s="206"/>
      <c r="BF39" s="206"/>
      <c r="BG39" s="206"/>
      <c r="BH39" s="206"/>
      <c r="BI39" s="206"/>
      <c r="BJ39" s="206"/>
      <c r="BK39" s="206"/>
      <c r="BL39" s="206"/>
      <c r="BM39" s="206"/>
      <c r="BN39" s="206"/>
      <c r="BO39" s="206"/>
      <c r="BP39" s="206"/>
      <c r="BQ39" s="206"/>
      <c r="BR39" s="252"/>
      <c r="BS39" s="252"/>
      <c r="BT39" s="252"/>
      <c r="BU39" s="252"/>
      <c r="BV39" s="252"/>
      <c r="BW39" s="252"/>
      <c r="BX39" s="252"/>
      <c r="BY39" s="252"/>
      <c r="BZ39" s="252"/>
      <c r="CA39" s="252"/>
      <c r="CB39" s="252"/>
      <c r="CC39" s="252"/>
      <c r="CD39" s="252"/>
      <c r="CE39" s="252"/>
      <c r="CF39" s="252"/>
      <c r="CG39" s="252"/>
      <c r="CH39" s="252"/>
      <c r="CI39" s="252"/>
      <c r="CJ39" s="257"/>
      <c r="CK39" s="257"/>
      <c r="CL39" s="257"/>
      <c r="CM39" s="257"/>
      <c r="CN39" s="257"/>
      <c r="CO39" s="257"/>
      <c r="CP39" s="257"/>
      <c r="CQ39" s="257"/>
      <c r="CR39" s="257"/>
      <c r="CS39" s="257"/>
      <c r="CT39" s="257"/>
      <c r="CU39" s="257"/>
      <c r="CV39" s="257"/>
      <c r="CW39" s="257"/>
      <c r="CX39" s="257"/>
      <c r="CY39" s="257"/>
      <c r="CZ39" s="257"/>
      <c r="DA39" s="257"/>
      <c r="DB39" s="202"/>
      <c r="DC39" s="202"/>
      <c r="DD39" s="202"/>
      <c r="DE39" s="202"/>
      <c r="DF39" s="202"/>
      <c r="DG39" s="202"/>
      <c r="DH39" s="202"/>
      <c r="DI39" s="202"/>
      <c r="DJ39" s="202"/>
      <c r="DK39" s="202"/>
      <c r="DL39" s="202"/>
      <c r="DM39" s="202"/>
      <c r="DN39" s="202"/>
      <c r="DO39" s="202"/>
      <c r="DP39" s="202"/>
      <c r="DQ39" s="202"/>
      <c r="DR39" s="202"/>
      <c r="DS39" s="202"/>
      <c r="DT39" s="196"/>
      <c r="DU39" s="196"/>
      <c r="DV39" s="196"/>
      <c r="DW39" s="196"/>
      <c r="DX39" s="196"/>
      <c r="DY39" s="196"/>
      <c r="DZ39" s="196"/>
      <c r="EA39" s="196"/>
      <c r="EB39" s="176">
        <f t="shared" si="0"/>
        <v>0</v>
      </c>
      <c r="EC39" s="176">
        <f t="shared" si="1"/>
        <v>0</v>
      </c>
      <c r="ED39" s="176">
        <f t="shared" si="2"/>
        <v>0</v>
      </c>
      <c r="EE39" s="176">
        <f t="shared" si="3"/>
        <v>0</v>
      </c>
      <c r="EG39" s="129">
        <f t="shared" si="4"/>
        <v>0</v>
      </c>
      <c r="EI39" s="176">
        <f t="shared" si="5"/>
        <v>0</v>
      </c>
      <c r="EK39" s="176">
        <f t="shared" si="6"/>
        <v>0</v>
      </c>
      <c r="EL39" s="176"/>
      <c r="EM39" s="177"/>
      <c r="EN39" s="178"/>
      <c r="EO39" s="177"/>
      <c r="EP39" s="177"/>
      <c r="EQ39" s="176">
        <f t="shared" si="7"/>
        <v>0</v>
      </c>
      <c r="ER39" s="179">
        <v>23300</v>
      </c>
      <c r="ES39" s="177">
        <v>7.5</v>
      </c>
    </row>
    <row r="40" spans="1:149" x14ac:dyDescent="0.3">
      <c r="A40" s="197">
        <v>35</v>
      </c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247"/>
      <c r="AQ40" s="247"/>
      <c r="AR40" s="247"/>
      <c r="AS40" s="247"/>
      <c r="AT40" s="247"/>
      <c r="AU40" s="247"/>
      <c r="AV40" s="247"/>
      <c r="AW40" s="247"/>
      <c r="AX40" s="247"/>
      <c r="AY40" s="247"/>
      <c r="AZ40" s="247"/>
      <c r="BA40" s="247"/>
      <c r="BB40" s="247"/>
      <c r="BC40" s="247"/>
      <c r="BD40" s="206"/>
      <c r="BE40" s="206"/>
      <c r="BF40" s="206"/>
      <c r="BG40" s="206"/>
      <c r="BH40" s="206"/>
      <c r="BI40" s="206"/>
      <c r="BJ40" s="206"/>
      <c r="BK40" s="206"/>
      <c r="BL40" s="206"/>
      <c r="BM40" s="206"/>
      <c r="BN40" s="206"/>
      <c r="BO40" s="206"/>
      <c r="BP40" s="206"/>
      <c r="BQ40" s="206"/>
      <c r="BR40" s="252"/>
      <c r="BS40" s="252"/>
      <c r="BT40" s="252"/>
      <c r="BU40" s="252"/>
      <c r="BV40" s="252"/>
      <c r="BW40" s="252"/>
      <c r="BX40" s="252"/>
      <c r="BY40" s="252"/>
      <c r="BZ40" s="252"/>
      <c r="CA40" s="252"/>
      <c r="CB40" s="252"/>
      <c r="CC40" s="252"/>
      <c r="CD40" s="252"/>
      <c r="CE40" s="252"/>
      <c r="CF40" s="252"/>
      <c r="CG40" s="252"/>
      <c r="CH40" s="252"/>
      <c r="CI40" s="252"/>
      <c r="CJ40" s="257"/>
      <c r="CK40" s="257"/>
      <c r="CL40" s="257"/>
      <c r="CM40" s="257"/>
      <c r="CN40" s="257"/>
      <c r="CO40" s="257"/>
      <c r="CP40" s="257"/>
      <c r="CQ40" s="257"/>
      <c r="CR40" s="257"/>
      <c r="CS40" s="257"/>
      <c r="CT40" s="257"/>
      <c r="CU40" s="257"/>
      <c r="CV40" s="257"/>
      <c r="CW40" s="257"/>
      <c r="CX40" s="257"/>
      <c r="CY40" s="257"/>
      <c r="CZ40" s="257"/>
      <c r="DA40" s="257"/>
      <c r="DB40" s="202"/>
      <c r="DC40" s="202"/>
      <c r="DD40" s="202"/>
      <c r="DE40" s="202"/>
      <c r="DF40" s="202"/>
      <c r="DG40" s="202"/>
      <c r="DH40" s="202"/>
      <c r="DI40" s="202"/>
      <c r="DJ40" s="202"/>
      <c r="DK40" s="202"/>
      <c r="DL40" s="202"/>
      <c r="DM40" s="202"/>
      <c r="DN40" s="202"/>
      <c r="DO40" s="202"/>
      <c r="DP40" s="202"/>
      <c r="DQ40" s="202"/>
      <c r="DR40" s="202"/>
      <c r="DS40" s="202"/>
      <c r="DT40" s="196"/>
      <c r="DU40" s="196"/>
      <c r="DV40" s="196"/>
      <c r="DW40" s="196"/>
      <c r="DX40" s="196"/>
      <c r="DY40" s="196"/>
      <c r="DZ40" s="196"/>
      <c r="EA40" s="196"/>
      <c r="EB40" s="176">
        <f t="shared" si="0"/>
        <v>0</v>
      </c>
      <c r="EC40" s="176">
        <f t="shared" si="1"/>
        <v>0</v>
      </c>
      <c r="ED40" s="176">
        <f t="shared" si="2"/>
        <v>0</v>
      </c>
      <c r="EE40" s="176">
        <f t="shared" si="3"/>
        <v>0</v>
      </c>
      <c r="EG40" s="129">
        <f t="shared" si="4"/>
        <v>0</v>
      </c>
      <c r="EI40" s="176">
        <f t="shared" si="5"/>
        <v>0</v>
      </c>
      <c r="EK40" s="176">
        <f t="shared" si="6"/>
        <v>0</v>
      </c>
      <c r="EL40" s="176"/>
      <c r="EM40" s="177"/>
      <c r="EN40" s="178"/>
      <c r="EO40" s="177"/>
      <c r="EP40" s="177"/>
      <c r="EQ40" s="176">
        <f t="shared" si="7"/>
        <v>0</v>
      </c>
      <c r="ER40" s="179">
        <v>23300</v>
      </c>
      <c r="ES40" s="177">
        <v>7.5</v>
      </c>
    </row>
    <row r="41" spans="1:149" x14ac:dyDescent="0.3">
      <c r="A41" s="197">
        <v>36</v>
      </c>
      <c r="AB41" s="195"/>
      <c r="AC41" s="195"/>
      <c r="AD41" s="195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247"/>
      <c r="AQ41" s="247"/>
      <c r="AR41" s="247"/>
      <c r="AS41" s="247"/>
      <c r="AT41" s="247"/>
      <c r="AU41" s="247"/>
      <c r="AV41" s="247"/>
      <c r="AW41" s="247"/>
      <c r="AX41" s="247"/>
      <c r="AY41" s="247"/>
      <c r="AZ41" s="247"/>
      <c r="BA41" s="247"/>
      <c r="BB41" s="247"/>
      <c r="BC41" s="247"/>
      <c r="BD41" s="206"/>
      <c r="BE41" s="206"/>
      <c r="BF41" s="206"/>
      <c r="BG41" s="206"/>
      <c r="BH41" s="206"/>
      <c r="BI41" s="206"/>
      <c r="BJ41" s="206"/>
      <c r="BK41" s="206"/>
      <c r="BL41" s="206"/>
      <c r="BM41" s="206"/>
      <c r="BN41" s="206"/>
      <c r="BO41" s="206"/>
      <c r="BP41" s="206"/>
      <c r="BQ41" s="206"/>
      <c r="BR41" s="252"/>
      <c r="BS41" s="252"/>
      <c r="BT41" s="252"/>
      <c r="BU41" s="252"/>
      <c r="BV41" s="252"/>
      <c r="BW41" s="252"/>
      <c r="BX41" s="252"/>
      <c r="BY41" s="252"/>
      <c r="BZ41" s="252"/>
      <c r="CA41" s="252"/>
      <c r="CB41" s="252"/>
      <c r="CC41" s="252"/>
      <c r="CD41" s="252"/>
      <c r="CE41" s="252"/>
      <c r="CF41" s="252"/>
      <c r="CG41" s="252"/>
      <c r="CH41" s="252"/>
      <c r="CI41" s="252"/>
      <c r="CJ41" s="257"/>
      <c r="CK41" s="257"/>
      <c r="CL41" s="257"/>
      <c r="CM41" s="257"/>
      <c r="CN41" s="257"/>
      <c r="CO41" s="257"/>
      <c r="CP41" s="257"/>
      <c r="CQ41" s="257"/>
      <c r="CR41" s="257"/>
      <c r="CS41" s="257"/>
      <c r="CT41" s="257"/>
      <c r="CU41" s="257"/>
      <c r="CV41" s="257"/>
      <c r="CW41" s="257"/>
      <c r="CX41" s="257"/>
      <c r="CY41" s="257"/>
      <c r="CZ41" s="257"/>
      <c r="DA41" s="257"/>
      <c r="DB41" s="202"/>
      <c r="DC41" s="202"/>
      <c r="DD41" s="202"/>
      <c r="DE41" s="202"/>
      <c r="DF41" s="202"/>
      <c r="DG41" s="202"/>
      <c r="DH41" s="202"/>
      <c r="DI41" s="202"/>
      <c r="DJ41" s="202"/>
      <c r="DK41" s="202"/>
      <c r="DL41" s="202"/>
      <c r="DM41" s="202"/>
      <c r="DN41" s="202"/>
      <c r="DO41" s="202"/>
      <c r="DP41" s="202"/>
      <c r="DQ41" s="202"/>
      <c r="DR41" s="202"/>
      <c r="DS41" s="202"/>
      <c r="DT41" s="196"/>
      <c r="DU41" s="196"/>
      <c r="DV41" s="196"/>
      <c r="DW41" s="196"/>
      <c r="DX41" s="196"/>
      <c r="DY41" s="196"/>
      <c r="DZ41" s="196"/>
      <c r="EA41" s="196"/>
      <c r="EB41" s="176">
        <f t="shared" si="0"/>
        <v>0</v>
      </c>
      <c r="EC41" s="176">
        <f t="shared" si="1"/>
        <v>0</v>
      </c>
      <c r="ED41" s="176">
        <f t="shared" si="2"/>
        <v>0</v>
      </c>
      <c r="EE41" s="176">
        <f t="shared" si="3"/>
        <v>0</v>
      </c>
      <c r="EG41" s="129">
        <f t="shared" si="4"/>
        <v>0</v>
      </c>
      <c r="EI41" s="176">
        <f t="shared" si="5"/>
        <v>0</v>
      </c>
      <c r="EK41" s="176">
        <f t="shared" si="6"/>
        <v>0</v>
      </c>
      <c r="EL41" s="176"/>
      <c r="EM41" s="177"/>
      <c r="EN41" s="178"/>
      <c r="EO41" s="177"/>
      <c r="EP41" s="177"/>
      <c r="EQ41" s="176">
        <f t="shared" si="7"/>
        <v>0</v>
      </c>
      <c r="ER41" s="179">
        <v>23300</v>
      </c>
      <c r="ES41" s="177">
        <v>7.5</v>
      </c>
    </row>
    <row r="42" spans="1:149" x14ac:dyDescent="0.3">
      <c r="A42" s="197">
        <v>37</v>
      </c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247"/>
      <c r="AQ42" s="247"/>
      <c r="AR42" s="247"/>
      <c r="AS42" s="247"/>
      <c r="AT42" s="247"/>
      <c r="AU42" s="247"/>
      <c r="AV42" s="247"/>
      <c r="AW42" s="247"/>
      <c r="AX42" s="247"/>
      <c r="AY42" s="247"/>
      <c r="AZ42" s="247"/>
      <c r="BA42" s="247"/>
      <c r="BB42" s="247"/>
      <c r="BC42" s="247"/>
      <c r="BD42" s="206"/>
      <c r="BE42" s="206"/>
      <c r="BF42" s="206"/>
      <c r="BG42" s="206"/>
      <c r="BH42" s="206"/>
      <c r="BI42" s="206"/>
      <c r="BJ42" s="206"/>
      <c r="BK42" s="206"/>
      <c r="BL42" s="206"/>
      <c r="BM42" s="206"/>
      <c r="BN42" s="206"/>
      <c r="BO42" s="206"/>
      <c r="BP42" s="206"/>
      <c r="BQ42" s="206"/>
      <c r="BR42" s="252"/>
      <c r="BS42" s="252"/>
      <c r="BT42" s="252"/>
      <c r="BU42" s="252"/>
      <c r="BV42" s="252"/>
      <c r="BW42" s="252"/>
      <c r="BX42" s="252"/>
      <c r="BY42" s="252"/>
      <c r="BZ42" s="252"/>
      <c r="CA42" s="252"/>
      <c r="CB42" s="252"/>
      <c r="CC42" s="252"/>
      <c r="CD42" s="252"/>
      <c r="CE42" s="252"/>
      <c r="CF42" s="252"/>
      <c r="CG42" s="252"/>
      <c r="CH42" s="252"/>
      <c r="CI42" s="252"/>
      <c r="CJ42" s="257"/>
      <c r="CK42" s="257"/>
      <c r="CL42" s="257"/>
      <c r="CM42" s="257"/>
      <c r="CN42" s="257"/>
      <c r="CO42" s="257"/>
      <c r="CP42" s="257"/>
      <c r="CQ42" s="257"/>
      <c r="CR42" s="257"/>
      <c r="CS42" s="257"/>
      <c r="CT42" s="257"/>
      <c r="CU42" s="257"/>
      <c r="CV42" s="257"/>
      <c r="CW42" s="257"/>
      <c r="CX42" s="257"/>
      <c r="CY42" s="257"/>
      <c r="CZ42" s="257"/>
      <c r="DA42" s="257"/>
      <c r="DB42" s="202"/>
      <c r="DC42" s="202"/>
      <c r="DD42" s="202"/>
      <c r="DE42" s="202"/>
      <c r="DF42" s="202"/>
      <c r="DG42" s="202"/>
      <c r="DH42" s="202"/>
      <c r="DI42" s="202"/>
      <c r="DJ42" s="202"/>
      <c r="DK42" s="202"/>
      <c r="DL42" s="202"/>
      <c r="DM42" s="202"/>
      <c r="DN42" s="202"/>
      <c r="DO42" s="202"/>
      <c r="DP42" s="202"/>
      <c r="DQ42" s="202"/>
      <c r="DR42" s="202"/>
      <c r="DS42" s="202"/>
      <c r="DT42" s="196"/>
      <c r="DU42" s="196"/>
      <c r="DV42" s="196"/>
      <c r="DW42" s="196"/>
      <c r="DX42" s="196"/>
      <c r="DY42" s="196"/>
      <c r="DZ42" s="196"/>
      <c r="EA42" s="196"/>
      <c r="EB42" s="176">
        <f t="shared" si="0"/>
        <v>0</v>
      </c>
      <c r="EC42" s="176">
        <f t="shared" si="1"/>
        <v>0</v>
      </c>
      <c r="ED42" s="176">
        <f t="shared" si="2"/>
        <v>0</v>
      </c>
      <c r="EE42" s="176">
        <f t="shared" si="3"/>
        <v>0</v>
      </c>
      <c r="EG42" s="129">
        <f t="shared" si="4"/>
        <v>0</v>
      </c>
      <c r="EI42" s="176">
        <f t="shared" si="5"/>
        <v>0</v>
      </c>
      <c r="EK42" s="176">
        <f t="shared" si="6"/>
        <v>0</v>
      </c>
      <c r="EL42" s="176"/>
      <c r="EM42" s="177"/>
      <c r="EN42" s="178"/>
      <c r="EO42" s="177"/>
      <c r="EP42" s="177"/>
      <c r="EQ42" s="176">
        <f t="shared" si="7"/>
        <v>0</v>
      </c>
      <c r="ER42" s="179">
        <v>23300</v>
      </c>
      <c r="ES42" s="177">
        <v>7.5</v>
      </c>
    </row>
    <row r="43" spans="1:149" x14ac:dyDescent="0.3">
      <c r="A43" s="197">
        <v>38</v>
      </c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247"/>
      <c r="AQ43" s="247"/>
      <c r="AR43" s="247"/>
      <c r="AS43" s="247"/>
      <c r="AT43" s="247"/>
      <c r="AU43" s="247"/>
      <c r="AV43" s="247"/>
      <c r="AW43" s="247"/>
      <c r="AX43" s="247"/>
      <c r="AY43" s="247"/>
      <c r="AZ43" s="247"/>
      <c r="BA43" s="247"/>
      <c r="BB43" s="247"/>
      <c r="BC43" s="247"/>
      <c r="BD43" s="206"/>
      <c r="BE43" s="206"/>
      <c r="BF43" s="206"/>
      <c r="BG43" s="206"/>
      <c r="BH43" s="206"/>
      <c r="BI43" s="206"/>
      <c r="BJ43" s="206"/>
      <c r="BK43" s="206"/>
      <c r="BL43" s="206"/>
      <c r="BM43" s="206"/>
      <c r="BN43" s="206"/>
      <c r="BO43" s="206"/>
      <c r="BP43" s="206"/>
      <c r="BQ43" s="206"/>
      <c r="BR43" s="252"/>
      <c r="BS43" s="252"/>
      <c r="BT43" s="252"/>
      <c r="BU43" s="252"/>
      <c r="BV43" s="252"/>
      <c r="BW43" s="252"/>
      <c r="BX43" s="252"/>
      <c r="BY43" s="252"/>
      <c r="BZ43" s="252"/>
      <c r="CA43" s="252"/>
      <c r="CB43" s="252"/>
      <c r="CC43" s="252"/>
      <c r="CD43" s="252"/>
      <c r="CE43" s="252"/>
      <c r="CF43" s="252"/>
      <c r="CG43" s="252"/>
      <c r="CH43" s="252"/>
      <c r="CI43" s="252"/>
      <c r="CJ43" s="257"/>
      <c r="CK43" s="257"/>
      <c r="CL43" s="257"/>
      <c r="CM43" s="257"/>
      <c r="CN43" s="257"/>
      <c r="CO43" s="257"/>
      <c r="CP43" s="257"/>
      <c r="CQ43" s="257"/>
      <c r="CR43" s="257"/>
      <c r="CS43" s="257"/>
      <c r="CT43" s="257"/>
      <c r="CU43" s="257"/>
      <c r="CV43" s="257"/>
      <c r="CW43" s="257"/>
      <c r="CX43" s="257"/>
      <c r="CY43" s="257"/>
      <c r="CZ43" s="257"/>
      <c r="DA43" s="257"/>
      <c r="DB43" s="202"/>
      <c r="DC43" s="202"/>
      <c r="DD43" s="202"/>
      <c r="DE43" s="202"/>
      <c r="DF43" s="202"/>
      <c r="DG43" s="202"/>
      <c r="DH43" s="202"/>
      <c r="DI43" s="202"/>
      <c r="DJ43" s="202"/>
      <c r="DK43" s="202"/>
      <c r="DL43" s="202"/>
      <c r="DM43" s="202"/>
      <c r="DN43" s="202"/>
      <c r="DO43" s="202"/>
      <c r="DP43" s="202"/>
      <c r="DQ43" s="202"/>
      <c r="DR43" s="202"/>
      <c r="DS43" s="202"/>
      <c r="DT43" s="196"/>
      <c r="DU43" s="196"/>
      <c r="DV43" s="196"/>
      <c r="DW43" s="196"/>
      <c r="DX43" s="196"/>
      <c r="DY43" s="196"/>
      <c r="DZ43" s="196"/>
      <c r="EA43" s="196"/>
      <c r="EB43" s="176">
        <f t="shared" si="0"/>
        <v>0</v>
      </c>
      <c r="EC43" s="176">
        <f t="shared" si="1"/>
        <v>0</v>
      </c>
      <c r="ED43" s="176">
        <f t="shared" si="2"/>
        <v>0</v>
      </c>
      <c r="EE43" s="176">
        <f t="shared" si="3"/>
        <v>0</v>
      </c>
      <c r="EG43" s="129">
        <f t="shared" si="4"/>
        <v>0</v>
      </c>
      <c r="EI43" s="176">
        <f t="shared" si="5"/>
        <v>0</v>
      </c>
      <c r="EK43" s="176">
        <f t="shared" si="6"/>
        <v>0</v>
      </c>
      <c r="EL43" s="176"/>
      <c r="EM43" s="177"/>
      <c r="EN43" s="178"/>
      <c r="EO43" s="177"/>
      <c r="EP43" s="177"/>
      <c r="EQ43" s="176">
        <f t="shared" si="7"/>
        <v>0</v>
      </c>
      <c r="ER43" s="179">
        <v>23300</v>
      </c>
      <c r="ES43" s="177">
        <v>7.5</v>
      </c>
    </row>
    <row r="44" spans="1:149" x14ac:dyDescent="0.3">
      <c r="A44" s="197">
        <v>39</v>
      </c>
      <c r="AB44" s="195"/>
      <c r="AC44" s="195"/>
      <c r="AD44" s="195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247"/>
      <c r="AQ44" s="247"/>
      <c r="AR44" s="247"/>
      <c r="AS44" s="247"/>
      <c r="AT44" s="247"/>
      <c r="AU44" s="247"/>
      <c r="AV44" s="247"/>
      <c r="AW44" s="247"/>
      <c r="AX44" s="247"/>
      <c r="AY44" s="247"/>
      <c r="AZ44" s="247"/>
      <c r="BA44" s="247"/>
      <c r="BB44" s="247"/>
      <c r="BC44" s="247"/>
      <c r="BD44" s="206"/>
      <c r="BE44" s="206"/>
      <c r="BF44" s="206"/>
      <c r="BG44" s="206"/>
      <c r="BH44" s="206"/>
      <c r="BI44" s="206"/>
      <c r="BJ44" s="206"/>
      <c r="BK44" s="206"/>
      <c r="BL44" s="206"/>
      <c r="BM44" s="206"/>
      <c r="BN44" s="206"/>
      <c r="BO44" s="206"/>
      <c r="BP44" s="206"/>
      <c r="BQ44" s="206"/>
      <c r="BR44" s="252"/>
      <c r="BS44" s="252"/>
      <c r="BT44" s="252"/>
      <c r="BU44" s="252"/>
      <c r="BV44" s="252"/>
      <c r="BW44" s="252"/>
      <c r="BX44" s="252"/>
      <c r="BY44" s="252"/>
      <c r="BZ44" s="252"/>
      <c r="CA44" s="252"/>
      <c r="CB44" s="252"/>
      <c r="CC44" s="252"/>
      <c r="CD44" s="252"/>
      <c r="CE44" s="252"/>
      <c r="CF44" s="252"/>
      <c r="CG44" s="252"/>
      <c r="CH44" s="252"/>
      <c r="CI44" s="252"/>
      <c r="CJ44" s="257"/>
      <c r="CK44" s="257"/>
      <c r="CL44" s="257"/>
      <c r="CM44" s="257"/>
      <c r="CN44" s="257"/>
      <c r="CO44" s="257"/>
      <c r="CP44" s="257"/>
      <c r="CQ44" s="257"/>
      <c r="CR44" s="257"/>
      <c r="CS44" s="257"/>
      <c r="CT44" s="257"/>
      <c r="CU44" s="257"/>
      <c r="CV44" s="257"/>
      <c r="CW44" s="257"/>
      <c r="CX44" s="257"/>
      <c r="CY44" s="257"/>
      <c r="CZ44" s="257"/>
      <c r="DA44" s="257"/>
      <c r="DB44" s="202"/>
      <c r="DC44" s="202"/>
      <c r="DD44" s="202"/>
      <c r="DE44" s="202"/>
      <c r="DF44" s="202"/>
      <c r="DG44" s="202"/>
      <c r="DH44" s="202"/>
      <c r="DI44" s="202"/>
      <c r="DJ44" s="202"/>
      <c r="DK44" s="202"/>
      <c r="DL44" s="202"/>
      <c r="DM44" s="202"/>
      <c r="DN44" s="202"/>
      <c r="DO44" s="202"/>
      <c r="DP44" s="202"/>
      <c r="DQ44" s="202"/>
      <c r="DR44" s="202"/>
      <c r="DS44" s="202"/>
      <c r="DT44" s="196"/>
      <c r="DU44" s="196"/>
      <c r="DV44" s="196"/>
      <c r="DW44" s="196"/>
      <c r="DX44" s="196"/>
      <c r="DY44" s="196"/>
      <c r="DZ44" s="196"/>
      <c r="EA44" s="196"/>
      <c r="EB44" s="176">
        <f t="shared" si="0"/>
        <v>0</v>
      </c>
      <c r="EC44" s="176">
        <f t="shared" si="1"/>
        <v>0</v>
      </c>
      <c r="ED44" s="176">
        <f t="shared" si="2"/>
        <v>0</v>
      </c>
      <c r="EE44" s="176">
        <f t="shared" si="3"/>
        <v>0</v>
      </c>
      <c r="EG44" s="129">
        <f t="shared" si="4"/>
        <v>0</v>
      </c>
      <c r="EI44" s="176">
        <f t="shared" si="5"/>
        <v>0</v>
      </c>
      <c r="EK44" s="176">
        <f t="shared" si="6"/>
        <v>0</v>
      </c>
      <c r="EL44" s="176"/>
      <c r="EM44" s="177"/>
      <c r="EN44" s="178"/>
      <c r="EO44" s="177"/>
      <c r="EP44" s="177"/>
      <c r="EQ44" s="176">
        <f t="shared" si="7"/>
        <v>0</v>
      </c>
      <c r="ER44" s="179">
        <v>23300</v>
      </c>
      <c r="ES44" s="177">
        <v>7.5</v>
      </c>
    </row>
    <row r="45" spans="1:149" x14ac:dyDescent="0.3">
      <c r="A45" s="197">
        <v>40</v>
      </c>
      <c r="AB45" s="195"/>
      <c r="AC45" s="195"/>
      <c r="AD45" s="195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247"/>
      <c r="AQ45" s="247"/>
      <c r="AR45" s="247"/>
      <c r="AS45" s="247"/>
      <c r="AT45" s="247"/>
      <c r="AU45" s="247"/>
      <c r="AV45" s="247"/>
      <c r="AW45" s="247"/>
      <c r="AX45" s="247"/>
      <c r="AY45" s="247"/>
      <c r="AZ45" s="247"/>
      <c r="BA45" s="247"/>
      <c r="BB45" s="247"/>
      <c r="BC45" s="247"/>
      <c r="BD45" s="206"/>
      <c r="BE45" s="206"/>
      <c r="BF45" s="206"/>
      <c r="BG45" s="206"/>
      <c r="BH45" s="206"/>
      <c r="BI45" s="206"/>
      <c r="BJ45" s="206"/>
      <c r="BK45" s="206"/>
      <c r="BL45" s="206"/>
      <c r="BM45" s="206"/>
      <c r="BN45" s="206"/>
      <c r="BO45" s="206"/>
      <c r="BP45" s="206"/>
      <c r="BQ45" s="206"/>
      <c r="BR45" s="252"/>
      <c r="BS45" s="252"/>
      <c r="BT45" s="252"/>
      <c r="BU45" s="252"/>
      <c r="BV45" s="252"/>
      <c r="BW45" s="252"/>
      <c r="BX45" s="252"/>
      <c r="BY45" s="252"/>
      <c r="BZ45" s="252"/>
      <c r="CA45" s="252"/>
      <c r="CB45" s="252"/>
      <c r="CC45" s="252"/>
      <c r="CD45" s="252"/>
      <c r="CE45" s="252"/>
      <c r="CF45" s="252"/>
      <c r="CG45" s="252"/>
      <c r="CH45" s="252"/>
      <c r="CI45" s="252"/>
      <c r="CJ45" s="257"/>
      <c r="CK45" s="257"/>
      <c r="CL45" s="257"/>
      <c r="CM45" s="257"/>
      <c r="CN45" s="257"/>
      <c r="CO45" s="257"/>
      <c r="CP45" s="257"/>
      <c r="CQ45" s="257"/>
      <c r="CR45" s="257"/>
      <c r="CS45" s="257"/>
      <c r="CT45" s="257"/>
      <c r="CU45" s="257"/>
      <c r="CV45" s="257"/>
      <c r="CW45" s="257"/>
      <c r="CX45" s="257"/>
      <c r="CY45" s="257"/>
      <c r="CZ45" s="257"/>
      <c r="DA45" s="257"/>
      <c r="DB45" s="202"/>
      <c r="DC45" s="202"/>
      <c r="DD45" s="202"/>
      <c r="DE45" s="202"/>
      <c r="DF45" s="202"/>
      <c r="DG45" s="202"/>
      <c r="DH45" s="202"/>
      <c r="DI45" s="202"/>
      <c r="DJ45" s="202"/>
      <c r="DK45" s="202"/>
      <c r="DL45" s="202"/>
      <c r="DM45" s="202"/>
      <c r="DN45" s="202"/>
      <c r="DO45" s="202"/>
      <c r="DP45" s="202"/>
      <c r="DQ45" s="202"/>
      <c r="DR45" s="202"/>
      <c r="DS45" s="202"/>
      <c r="DT45" s="196"/>
      <c r="DU45" s="196"/>
      <c r="DV45" s="196"/>
      <c r="DW45" s="196"/>
      <c r="DX45" s="196"/>
      <c r="DY45" s="196"/>
      <c r="DZ45" s="196"/>
      <c r="EA45" s="196"/>
      <c r="EB45" s="176">
        <f t="shared" si="0"/>
        <v>0</v>
      </c>
      <c r="EC45" s="176">
        <f t="shared" si="1"/>
        <v>0</v>
      </c>
      <c r="ED45" s="176">
        <f t="shared" si="2"/>
        <v>0</v>
      </c>
      <c r="EE45" s="176">
        <f t="shared" si="3"/>
        <v>0</v>
      </c>
      <c r="EG45" s="129">
        <f t="shared" si="4"/>
        <v>0</v>
      </c>
      <c r="EI45" s="176">
        <f t="shared" si="5"/>
        <v>0</v>
      </c>
      <c r="EK45" s="176">
        <f t="shared" si="6"/>
        <v>0</v>
      </c>
      <c r="EL45" s="176"/>
      <c r="EM45" s="177"/>
      <c r="EN45" s="178"/>
      <c r="EO45" s="177"/>
      <c r="EP45" s="177"/>
      <c r="EQ45" s="176">
        <f t="shared" si="7"/>
        <v>0</v>
      </c>
      <c r="ER45" s="179">
        <v>23300</v>
      </c>
      <c r="ES45" s="177">
        <v>7.5</v>
      </c>
    </row>
    <row r="46" spans="1:149" x14ac:dyDescent="0.3">
      <c r="A46" s="197">
        <v>41</v>
      </c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247"/>
      <c r="AQ46" s="247"/>
      <c r="AR46" s="247"/>
      <c r="AS46" s="247"/>
      <c r="AT46" s="247"/>
      <c r="AU46" s="247"/>
      <c r="AV46" s="247"/>
      <c r="AW46" s="247"/>
      <c r="AX46" s="247"/>
      <c r="AY46" s="247"/>
      <c r="AZ46" s="247"/>
      <c r="BA46" s="247"/>
      <c r="BB46" s="247"/>
      <c r="BC46" s="247"/>
      <c r="BD46" s="206"/>
      <c r="BE46" s="206"/>
      <c r="BF46" s="206"/>
      <c r="BG46" s="206"/>
      <c r="BH46" s="206"/>
      <c r="BI46" s="206"/>
      <c r="BJ46" s="206"/>
      <c r="BK46" s="206"/>
      <c r="BL46" s="206"/>
      <c r="BM46" s="206"/>
      <c r="BN46" s="206"/>
      <c r="BO46" s="206"/>
      <c r="BP46" s="206"/>
      <c r="BQ46" s="206"/>
      <c r="BR46" s="252"/>
      <c r="BS46" s="252"/>
      <c r="BT46" s="252"/>
      <c r="BU46" s="252"/>
      <c r="BV46" s="252"/>
      <c r="BW46" s="252"/>
      <c r="BX46" s="252"/>
      <c r="BY46" s="252"/>
      <c r="BZ46" s="252"/>
      <c r="CA46" s="252"/>
      <c r="CB46" s="252"/>
      <c r="CC46" s="252"/>
      <c r="CD46" s="252"/>
      <c r="CE46" s="252"/>
      <c r="CF46" s="252"/>
      <c r="CG46" s="252"/>
      <c r="CH46" s="252"/>
      <c r="CI46" s="252"/>
      <c r="CJ46" s="257"/>
      <c r="CK46" s="257"/>
      <c r="CL46" s="257"/>
      <c r="CM46" s="257"/>
      <c r="CN46" s="257"/>
      <c r="CO46" s="257"/>
      <c r="CP46" s="257"/>
      <c r="CQ46" s="257"/>
      <c r="CR46" s="257"/>
      <c r="CS46" s="257"/>
      <c r="CT46" s="257"/>
      <c r="CU46" s="257"/>
      <c r="CV46" s="257"/>
      <c r="CW46" s="257"/>
      <c r="CX46" s="257"/>
      <c r="CY46" s="257"/>
      <c r="CZ46" s="257"/>
      <c r="DA46" s="257"/>
      <c r="DB46" s="202"/>
      <c r="DC46" s="202"/>
      <c r="DD46" s="202"/>
      <c r="DE46" s="202"/>
      <c r="DF46" s="202"/>
      <c r="DG46" s="202"/>
      <c r="DH46" s="202"/>
      <c r="DI46" s="202"/>
      <c r="DJ46" s="202"/>
      <c r="DK46" s="202"/>
      <c r="DL46" s="202"/>
      <c r="DM46" s="202"/>
      <c r="DN46" s="202"/>
      <c r="DO46" s="202"/>
      <c r="DP46" s="202"/>
      <c r="DQ46" s="202"/>
      <c r="DR46" s="202"/>
      <c r="DS46" s="202"/>
      <c r="DT46" s="196"/>
      <c r="DU46" s="196"/>
      <c r="DV46" s="196"/>
      <c r="DW46" s="196"/>
      <c r="DX46" s="196"/>
      <c r="DY46" s="196"/>
      <c r="DZ46" s="196"/>
      <c r="EA46" s="196"/>
      <c r="EB46" s="176">
        <f t="shared" si="0"/>
        <v>0</v>
      </c>
      <c r="EC46" s="176">
        <f t="shared" si="1"/>
        <v>0</v>
      </c>
      <c r="ED46" s="176">
        <f t="shared" si="2"/>
        <v>0</v>
      </c>
      <c r="EE46" s="176">
        <f t="shared" si="3"/>
        <v>0</v>
      </c>
      <c r="EG46" s="129">
        <f t="shared" si="4"/>
        <v>0</v>
      </c>
      <c r="EI46" s="176">
        <f t="shared" si="5"/>
        <v>0</v>
      </c>
      <c r="EK46" s="176">
        <f t="shared" si="6"/>
        <v>0</v>
      </c>
      <c r="EL46" s="176"/>
      <c r="EM46" s="177"/>
      <c r="EN46" s="178"/>
      <c r="EO46" s="177"/>
      <c r="EP46" s="177"/>
      <c r="EQ46" s="176">
        <f t="shared" si="7"/>
        <v>0</v>
      </c>
      <c r="ER46" s="179">
        <v>23300</v>
      </c>
      <c r="ES46" s="177">
        <v>7.5</v>
      </c>
    </row>
    <row r="47" spans="1:149" x14ac:dyDescent="0.3">
      <c r="A47" s="197">
        <v>42</v>
      </c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247"/>
      <c r="AQ47" s="247"/>
      <c r="AR47" s="247"/>
      <c r="AS47" s="247"/>
      <c r="AT47" s="247"/>
      <c r="AU47" s="247"/>
      <c r="AV47" s="247"/>
      <c r="AW47" s="247"/>
      <c r="AX47" s="247"/>
      <c r="AY47" s="247"/>
      <c r="AZ47" s="247"/>
      <c r="BA47" s="247"/>
      <c r="BB47" s="247"/>
      <c r="BC47" s="247"/>
      <c r="BD47" s="206"/>
      <c r="BE47" s="206"/>
      <c r="BF47" s="206"/>
      <c r="BG47" s="206"/>
      <c r="BH47" s="206"/>
      <c r="BI47" s="206"/>
      <c r="BJ47" s="206"/>
      <c r="BK47" s="206"/>
      <c r="BL47" s="206"/>
      <c r="BM47" s="206"/>
      <c r="BN47" s="206"/>
      <c r="BO47" s="206"/>
      <c r="BP47" s="206"/>
      <c r="BQ47" s="206"/>
      <c r="BR47" s="252"/>
      <c r="BS47" s="252"/>
      <c r="BT47" s="252"/>
      <c r="BU47" s="252"/>
      <c r="BV47" s="252"/>
      <c r="BW47" s="252"/>
      <c r="BX47" s="252"/>
      <c r="BY47" s="252"/>
      <c r="BZ47" s="252"/>
      <c r="CA47" s="252"/>
      <c r="CB47" s="252"/>
      <c r="CC47" s="252"/>
      <c r="CD47" s="252"/>
      <c r="CE47" s="252"/>
      <c r="CF47" s="252"/>
      <c r="CG47" s="252"/>
      <c r="CH47" s="252"/>
      <c r="CI47" s="252"/>
      <c r="CJ47" s="257"/>
      <c r="CK47" s="257"/>
      <c r="CL47" s="257"/>
      <c r="CM47" s="257"/>
      <c r="CN47" s="257"/>
      <c r="CO47" s="257"/>
      <c r="CP47" s="257"/>
      <c r="CQ47" s="257"/>
      <c r="CR47" s="257"/>
      <c r="CS47" s="257"/>
      <c r="CT47" s="257"/>
      <c r="CU47" s="257"/>
      <c r="CV47" s="257"/>
      <c r="CW47" s="257"/>
      <c r="CX47" s="257"/>
      <c r="CY47" s="257"/>
      <c r="CZ47" s="257"/>
      <c r="DA47" s="257"/>
      <c r="DB47" s="202"/>
      <c r="DC47" s="202"/>
      <c r="DD47" s="202"/>
      <c r="DE47" s="202"/>
      <c r="DF47" s="202"/>
      <c r="DG47" s="202"/>
      <c r="DH47" s="202"/>
      <c r="DI47" s="202"/>
      <c r="DJ47" s="202"/>
      <c r="DK47" s="202"/>
      <c r="DL47" s="202"/>
      <c r="DM47" s="202"/>
      <c r="DN47" s="202"/>
      <c r="DO47" s="202"/>
      <c r="DP47" s="202"/>
      <c r="DQ47" s="202"/>
      <c r="DR47" s="202"/>
      <c r="DS47" s="202"/>
      <c r="DT47" s="196"/>
      <c r="DU47" s="196"/>
      <c r="DV47" s="196"/>
      <c r="DW47" s="196"/>
      <c r="DX47" s="196"/>
      <c r="DY47" s="196"/>
      <c r="DZ47" s="196"/>
      <c r="EA47" s="196"/>
      <c r="EB47" s="176">
        <f t="shared" si="0"/>
        <v>0</v>
      </c>
      <c r="EC47" s="176">
        <f t="shared" si="1"/>
        <v>0</v>
      </c>
      <c r="ED47" s="176">
        <f t="shared" si="2"/>
        <v>0</v>
      </c>
      <c r="EE47" s="176">
        <f t="shared" si="3"/>
        <v>0</v>
      </c>
      <c r="EG47" s="129">
        <f t="shared" si="4"/>
        <v>0</v>
      </c>
      <c r="EI47" s="176">
        <f t="shared" si="5"/>
        <v>0</v>
      </c>
      <c r="EK47" s="176">
        <f t="shared" si="6"/>
        <v>0</v>
      </c>
      <c r="EL47" s="176"/>
      <c r="EM47" s="177"/>
      <c r="EN47" s="178"/>
      <c r="EO47" s="177"/>
      <c r="EP47" s="177"/>
      <c r="EQ47" s="176">
        <f t="shared" si="7"/>
        <v>0</v>
      </c>
      <c r="ER47" s="179">
        <v>23300</v>
      </c>
      <c r="ES47" s="177">
        <v>7.5</v>
      </c>
    </row>
    <row r="48" spans="1:149" x14ac:dyDescent="0.3">
      <c r="A48" s="197">
        <v>43</v>
      </c>
      <c r="AB48" s="195"/>
      <c r="AC48" s="195"/>
      <c r="AD48" s="195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247"/>
      <c r="AQ48" s="247"/>
      <c r="AR48" s="247"/>
      <c r="AS48" s="247"/>
      <c r="AT48" s="247"/>
      <c r="AU48" s="247"/>
      <c r="AV48" s="247"/>
      <c r="AW48" s="247"/>
      <c r="AX48" s="247"/>
      <c r="AY48" s="247"/>
      <c r="AZ48" s="247"/>
      <c r="BA48" s="247"/>
      <c r="BB48" s="247"/>
      <c r="BC48" s="247"/>
      <c r="BD48" s="206"/>
      <c r="BE48" s="206"/>
      <c r="BF48" s="206"/>
      <c r="BG48" s="206"/>
      <c r="BH48" s="206"/>
      <c r="BI48" s="206"/>
      <c r="BJ48" s="206"/>
      <c r="BK48" s="206"/>
      <c r="BL48" s="206"/>
      <c r="BM48" s="206"/>
      <c r="BN48" s="206"/>
      <c r="BO48" s="206"/>
      <c r="BP48" s="206"/>
      <c r="BQ48" s="206"/>
      <c r="BR48" s="252"/>
      <c r="BS48" s="252"/>
      <c r="BT48" s="252"/>
      <c r="BU48" s="252"/>
      <c r="BV48" s="252"/>
      <c r="BW48" s="252"/>
      <c r="BX48" s="252"/>
      <c r="BY48" s="252"/>
      <c r="BZ48" s="252"/>
      <c r="CA48" s="252"/>
      <c r="CB48" s="252"/>
      <c r="CC48" s="252"/>
      <c r="CD48" s="252"/>
      <c r="CE48" s="252"/>
      <c r="CF48" s="252"/>
      <c r="CG48" s="252"/>
      <c r="CH48" s="252"/>
      <c r="CI48" s="252"/>
      <c r="CJ48" s="257"/>
      <c r="CK48" s="257"/>
      <c r="CL48" s="257"/>
      <c r="CM48" s="257"/>
      <c r="CN48" s="257"/>
      <c r="CO48" s="257"/>
      <c r="CP48" s="257"/>
      <c r="CQ48" s="257"/>
      <c r="CR48" s="257"/>
      <c r="CS48" s="257"/>
      <c r="CT48" s="257"/>
      <c r="CU48" s="257"/>
      <c r="CV48" s="257"/>
      <c r="CW48" s="257"/>
      <c r="CX48" s="257"/>
      <c r="CY48" s="257"/>
      <c r="CZ48" s="257"/>
      <c r="DA48" s="257"/>
      <c r="DB48" s="202"/>
      <c r="DC48" s="202"/>
      <c r="DD48" s="202"/>
      <c r="DE48" s="202"/>
      <c r="DF48" s="202"/>
      <c r="DG48" s="202"/>
      <c r="DH48" s="202"/>
      <c r="DI48" s="202"/>
      <c r="DJ48" s="202"/>
      <c r="DK48" s="202"/>
      <c r="DL48" s="202"/>
      <c r="DM48" s="202"/>
      <c r="DN48" s="202"/>
      <c r="DO48" s="202"/>
      <c r="DP48" s="202"/>
      <c r="DQ48" s="202"/>
      <c r="DR48" s="202"/>
      <c r="DS48" s="202"/>
      <c r="DT48" s="196"/>
      <c r="DU48" s="196"/>
      <c r="DV48" s="196"/>
      <c r="DW48" s="196"/>
      <c r="DX48" s="196"/>
      <c r="DY48" s="196"/>
      <c r="DZ48" s="196"/>
      <c r="EA48" s="196"/>
      <c r="EB48" s="176">
        <f t="shared" si="0"/>
        <v>0</v>
      </c>
      <c r="EC48" s="176">
        <f t="shared" si="1"/>
        <v>0</v>
      </c>
      <c r="ED48" s="176">
        <f t="shared" si="2"/>
        <v>0</v>
      </c>
      <c r="EE48" s="176">
        <f t="shared" si="3"/>
        <v>0</v>
      </c>
      <c r="EG48" s="129">
        <f t="shared" si="4"/>
        <v>0</v>
      </c>
      <c r="EI48" s="176">
        <f t="shared" si="5"/>
        <v>0</v>
      </c>
      <c r="EK48" s="176">
        <f t="shared" si="6"/>
        <v>0</v>
      </c>
      <c r="EL48" s="176"/>
      <c r="EM48" s="177"/>
      <c r="EN48" s="178"/>
      <c r="EO48" s="177"/>
      <c r="EP48" s="177"/>
      <c r="EQ48" s="176">
        <f t="shared" si="7"/>
        <v>0</v>
      </c>
      <c r="ER48" s="179">
        <v>23300</v>
      </c>
      <c r="ES48" s="177">
        <v>7.5</v>
      </c>
    </row>
    <row r="49" spans="1:149" x14ac:dyDescent="0.3">
      <c r="A49" s="197">
        <v>44</v>
      </c>
      <c r="AB49" s="195"/>
      <c r="AC49" s="195"/>
      <c r="AD49" s="195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247"/>
      <c r="AQ49" s="247"/>
      <c r="AR49" s="247"/>
      <c r="AS49" s="247"/>
      <c r="AT49" s="247"/>
      <c r="AU49" s="247"/>
      <c r="AV49" s="247"/>
      <c r="AW49" s="247"/>
      <c r="AX49" s="247"/>
      <c r="AY49" s="247"/>
      <c r="AZ49" s="247"/>
      <c r="BA49" s="247"/>
      <c r="BB49" s="247"/>
      <c r="BC49" s="247"/>
      <c r="BD49" s="206"/>
      <c r="BE49" s="206"/>
      <c r="BF49" s="206"/>
      <c r="BG49" s="206"/>
      <c r="BH49" s="206"/>
      <c r="BI49" s="206"/>
      <c r="BJ49" s="206"/>
      <c r="BK49" s="206"/>
      <c r="BL49" s="206"/>
      <c r="BM49" s="206"/>
      <c r="BN49" s="206"/>
      <c r="BO49" s="206"/>
      <c r="BP49" s="206"/>
      <c r="BQ49" s="206"/>
      <c r="BR49" s="252"/>
      <c r="BS49" s="252"/>
      <c r="BT49" s="252"/>
      <c r="BU49" s="252"/>
      <c r="BV49" s="252"/>
      <c r="BW49" s="252"/>
      <c r="BX49" s="252"/>
      <c r="BY49" s="252"/>
      <c r="BZ49" s="252"/>
      <c r="CA49" s="252"/>
      <c r="CB49" s="252"/>
      <c r="CC49" s="252"/>
      <c r="CD49" s="252"/>
      <c r="CE49" s="252"/>
      <c r="CF49" s="252"/>
      <c r="CG49" s="252"/>
      <c r="CH49" s="252"/>
      <c r="CI49" s="252"/>
      <c r="CJ49" s="257"/>
      <c r="CK49" s="257"/>
      <c r="CL49" s="257"/>
      <c r="CM49" s="257"/>
      <c r="CN49" s="257"/>
      <c r="CO49" s="257"/>
      <c r="CP49" s="257"/>
      <c r="CQ49" s="257"/>
      <c r="CR49" s="257"/>
      <c r="CS49" s="257"/>
      <c r="CT49" s="257"/>
      <c r="CU49" s="257"/>
      <c r="CV49" s="257"/>
      <c r="CW49" s="257"/>
      <c r="CX49" s="257"/>
      <c r="CY49" s="257"/>
      <c r="CZ49" s="257"/>
      <c r="DA49" s="257"/>
      <c r="DB49" s="202"/>
      <c r="DC49" s="202"/>
      <c r="DD49" s="202"/>
      <c r="DE49" s="202"/>
      <c r="DF49" s="202"/>
      <c r="DG49" s="202"/>
      <c r="DH49" s="202"/>
      <c r="DI49" s="202"/>
      <c r="DJ49" s="202"/>
      <c r="DK49" s="202"/>
      <c r="DL49" s="202"/>
      <c r="DM49" s="202"/>
      <c r="DN49" s="202"/>
      <c r="DO49" s="202"/>
      <c r="DP49" s="202"/>
      <c r="DQ49" s="202"/>
      <c r="DR49" s="202"/>
      <c r="DS49" s="202"/>
      <c r="DT49" s="196"/>
      <c r="DU49" s="196"/>
      <c r="DV49" s="196"/>
      <c r="DW49" s="196"/>
      <c r="DX49" s="196"/>
      <c r="DY49" s="196"/>
      <c r="DZ49" s="196"/>
      <c r="EA49" s="196"/>
      <c r="EB49" s="176">
        <f t="shared" si="0"/>
        <v>0</v>
      </c>
      <c r="EC49" s="176">
        <f t="shared" si="1"/>
        <v>0</v>
      </c>
      <c r="ED49" s="176">
        <f t="shared" si="2"/>
        <v>0</v>
      </c>
      <c r="EE49" s="176">
        <f t="shared" si="3"/>
        <v>0</v>
      </c>
      <c r="EG49" s="129">
        <f t="shared" si="4"/>
        <v>0</v>
      </c>
      <c r="EI49" s="176">
        <f t="shared" si="5"/>
        <v>0</v>
      </c>
      <c r="EK49" s="176">
        <f t="shared" si="6"/>
        <v>0</v>
      </c>
      <c r="EL49" s="176"/>
      <c r="EM49" s="177"/>
      <c r="EN49" s="178"/>
      <c r="EO49" s="177"/>
      <c r="EP49" s="177"/>
      <c r="EQ49" s="176">
        <f t="shared" si="7"/>
        <v>0</v>
      </c>
      <c r="ER49" s="179">
        <v>23300</v>
      </c>
      <c r="ES49" s="177">
        <v>7.5</v>
      </c>
    </row>
    <row r="50" spans="1:149" x14ac:dyDescent="0.3">
      <c r="A50" s="197">
        <v>45</v>
      </c>
      <c r="AB50" s="195"/>
      <c r="AC50" s="195"/>
      <c r="AD50" s="195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247"/>
      <c r="AQ50" s="247"/>
      <c r="AR50" s="247"/>
      <c r="AS50" s="247"/>
      <c r="AT50" s="247"/>
      <c r="AU50" s="247"/>
      <c r="AV50" s="247"/>
      <c r="AW50" s="247"/>
      <c r="AX50" s="247"/>
      <c r="AY50" s="247"/>
      <c r="AZ50" s="247"/>
      <c r="BA50" s="247"/>
      <c r="BB50" s="247"/>
      <c r="BC50" s="247"/>
      <c r="BD50" s="206"/>
      <c r="BE50" s="206"/>
      <c r="BF50" s="206"/>
      <c r="BG50" s="206"/>
      <c r="BH50" s="206"/>
      <c r="BI50" s="206"/>
      <c r="BJ50" s="206"/>
      <c r="BK50" s="206"/>
      <c r="BL50" s="206"/>
      <c r="BM50" s="206"/>
      <c r="BN50" s="206"/>
      <c r="BO50" s="206"/>
      <c r="BP50" s="206"/>
      <c r="BQ50" s="206"/>
      <c r="BR50" s="252"/>
      <c r="BS50" s="252"/>
      <c r="BT50" s="252"/>
      <c r="BU50" s="252"/>
      <c r="BV50" s="252"/>
      <c r="BW50" s="252"/>
      <c r="BX50" s="252"/>
      <c r="BY50" s="252"/>
      <c r="BZ50" s="252"/>
      <c r="CA50" s="252"/>
      <c r="CB50" s="252"/>
      <c r="CC50" s="252"/>
      <c r="CD50" s="252"/>
      <c r="CE50" s="252"/>
      <c r="CF50" s="252"/>
      <c r="CG50" s="252"/>
      <c r="CH50" s="252"/>
      <c r="CI50" s="252"/>
      <c r="CJ50" s="257"/>
      <c r="CK50" s="257"/>
      <c r="CL50" s="257"/>
      <c r="CM50" s="257"/>
      <c r="CN50" s="257"/>
      <c r="CO50" s="257"/>
      <c r="CP50" s="257"/>
      <c r="CQ50" s="257"/>
      <c r="CR50" s="257"/>
      <c r="CS50" s="257"/>
      <c r="CT50" s="257"/>
      <c r="CU50" s="257"/>
      <c r="CV50" s="257"/>
      <c r="CW50" s="257"/>
      <c r="CX50" s="257"/>
      <c r="CY50" s="257"/>
      <c r="CZ50" s="257"/>
      <c r="DA50" s="257"/>
      <c r="DB50" s="202"/>
      <c r="DC50" s="202"/>
      <c r="DD50" s="202"/>
      <c r="DE50" s="202"/>
      <c r="DF50" s="202"/>
      <c r="DG50" s="202"/>
      <c r="DH50" s="202"/>
      <c r="DI50" s="202"/>
      <c r="DJ50" s="202"/>
      <c r="DK50" s="202"/>
      <c r="DL50" s="202"/>
      <c r="DM50" s="202"/>
      <c r="DN50" s="202"/>
      <c r="DO50" s="202"/>
      <c r="DP50" s="202"/>
      <c r="DQ50" s="202"/>
      <c r="DR50" s="202"/>
      <c r="DS50" s="202"/>
      <c r="DT50" s="196"/>
      <c r="DU50" s="196"/>
      <c r="DV50" s="196"/>
      <c r="DW50" s="196"/>
      <c r="DX50" s="196"/>
      <c r="DY50" s="196"/>
      <c r="DZ50" s="196"/>
      <c r="EA50" s="196"/>
      <c r="EB50" s="176">
        <f t="shared" si="0"/>
        <v>0</v>
      </c>
      <c r="EC50" s="176">
        <f t="shared" si="1"/>
        <v>0</v>
      </c>
      <c r="ED50" s="176">
        <f t="shared" si="2"/>
        <v>0</v>
      </c>
      <c r="EE50" s="176">
        <f t="shared" si="3"/>
        <v>0</v>
      </c>
      <c r="EG50" s="129">
        <f t="shared" si="4"/>
        <v>0</v>
      </c>
      <c r="EI50" s="176">
        <f t="shared" si="5"/>
        <v>0</v>
      </c>
      <c r="EK50" s="176">
        <f t="shared" si="6"/>
        <v>0</v>
      </c>
      <c r="EL50" s="176"/>
      <c r="EM50" s="177"/>
      <c r="EN50" s="178"/>
      <c r="EO50" s="177"/>
      <c r="EP50" s="177"/>
      <c r="EQ50" s="176">
        <f t="shared" si="7"/>
        <v>0</v>
      </c>
      <c r="ER50" s="179">
        <v>23300</v>
      </c>
      <c r="ES50" s="177">
        <v>7.5</v>
      </c>
    </row>
    <row r="51" spans="1:149" x14ac:dyDescent="0.3">
      <c r="A51" s="197">
        <v>46</v>
      </c>
      <c r="AB51" s="195"/>
      <c r="AC51" s="195"/>
      <c r="AD51" s="195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247"/>
      <c r="AQ51" s="247"/>
      <c r="AR51" s="247"/>
      <c r="AS51" s="247"/>
      <c r="AT51" s="247"/>
      <c r="AU51" s="247"/>
      <c r="AV51" s="247"/>
      <c r="AW51" s="247"/>
      <c r="AX51" s="247"/>
      <c r="AY51" s="247"/>
      <c r="AZ51" s="247"/>
      <c r="BA51" s="247"/>
      <c r="BB51" s="247"/>
      <c r="BC51" s="247"/>
      <c r="BD51" s="206"/>
      <c r="BE51" s="206"/>
      <c r="BF51" s="206"/>
      <c r="BG51" s="206"/>
      <c r="BH51" s="206"/>
      <c r="BI51" s="206"/>
      <c r="BJ51" s="206"/>
      <c r="BK51" s="206"/>
      <c r="BL51" s="206"/>
      <c r="BM51" s="206"/>
      <c r="BN51" s="206"/>
      <c r="BO51" s="206"/>
      <c r="BP51" s="206"/>
      <c r="BQ51" s="206"/>
      <c r="BR51" s="252"/>
      <c r="BS51" s="252"/>
      <c r="BT51" s="252"/>
      <c r="BU51" s="252"/>
      <c r="BV51" s="252"/>
      <c r="BW51" s="252"/>
      <c r="BX51" s="252"/>
      <c r="BY51" s="252"/>
      <c r="BZ51" s="252"/>
      <c r="CA51" s="252"/>
      <c r="CB51" s="252"/>
      <c r="CC51" s="252"/>
      <c r="CD51" s="252"/>
      <c r="CE51" s="252"/>
      <c r="CF51" s="252"/>
      <c r="CG51" s="252"/>
      <c r="CH51" s="252"/>
      <c r="CI51" s="252"/>
      <c r="CJ51" s="257"/>
      <c r="CK51" s="257"/>
      <c r="CL51" s="257"/>
      <c r="CM51" s="257"/>
      <c r="CN51" s="257"/>
      <c r="CO51" s="257"/>
      <c r="CP51" s="257"/>
      <c r="CQ51" s="257"/>
      <c r="CR51" s="257"/>
      <c r="CS51" s="257"/>
      <c r="CT51" s="257"/>
      <c r="CU51" s="257"/>
      <c r="CV51" s="257"/>
      <c r="CW51" s="257"/>
      <c r="CX51" s="257"/>
      <c r="CY51" s="257"/>
      <c r="CZ51" s="257"/>
      <c r="DA51" s="257"/>
      <c r="DB51" s="202"/>
      <c r="DC51" s="202"/>
      <c r="DD51" s="202"/>
      <c r="DE51" s="202"/>
      <c r="DF51" s="202"/>
      <c r="DG51" s="202"/>
      <c r="DH51" s="202"/>
      <c r="DI51" s="202"/>
      <c r="DJ51" s="202"/>
      <c r="DK51" s="202"/>
      <c r="DL51" s="202"/>
      <c r="DM51" s="202"/>
      <c r="DN51" s="202"/>
      <c r="DO51" s="202"/>
      <c r="DP51" s="202"/>
      <c r="DQ51" s="202"/>
      <c r="DR51" s="202"/>
      <c r="DS51" s="202"/>
      <c r="DT51" s="196"/>
      <c r="DU51" s="196"/>
      <c r="DV51" s="196"/>
      <c r="DW51" s="196"/>
      <c r="DX51" s="196"/>
      <c r="DY51" s="196"/>
      <c r="DZ51" s="196"/>
      <c r="EA51" s="196"/>
      <c r="EB51" s="176">
        <f t="shared" si="0"/>
        <v>0</v>
      </c>
      <c r="EC51" s="176">
        <f t="shared" si="1"/>
        <v>0</v>
      </c>
      <c r="ED51" s="176">
        <f t="shared" si="2"/>
        <v>0</v>
      </c>
      <c r="EE51" s="176">
        <f t="shared" si="3"/>
        <v>0</v>
      </c>
      <c r="EG51" s="129">
        <f t="shared" si="4"/>
        <v>0</v>
      </c>
      <c r="EI51" s="176">
        <f t="shared" si="5"/>
        <v>0</v>
      </c>
      <c r="EK51" s="176">
        <f t="shared" si="6"/>
        <v>0</v>
      </c>
      <c r="EL51" s="176"/>
      <c r="EM51" s="177"/>
      <c r="EN51" s="178"/>
      <c r="EO51" s="177"/>
      <c r="EP51" s="177"/>
      <c r="EQ51" s="176">
        <f t="shared" si="7"/>
        <v>0</v>
      </c>
      <c r="ER51" s="179">
        <v>23300</v>
      </c>
      <c r="ES51" s="177">
        <v>7.5</v>
      </c>
    </row>
    <row r="52" spans="1:149" x14ac:dyDescent="0.3">
      <c r="A52" s="197">
        <v>47</v>
      </c>
      <c r="AB52" s="195"/>
      <c r="AC52" s="195"/>
      <c r="AD52" s="195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247"/>
      <c r="AQ52" s="247"/>
      <c r="AR52" s="247"/>
      <c r="AS52" s="247"/>
      <c r="AT52" s="247"/>
      <c r="AU52" s="247"/>
      <c r="AV52" s="247"/>
      <c r="AW52" s="247"/>
      <c r="AX52" s="247"/>
      <c r="AY52" s="247"/>
      <c r="AZ52" s="247"/>
      <c r="BA52" s="247"/>
      <c r="BB52" s="247"/>
      <c r="BC52" s="247"/>
      <c r="BD52" s="206"/>
      <c r="BE52" s="206"/>
      <c r="BF52" s="206"/>
      <c r="BG52" s="206"/>
      <c r="BH52" s="206"/>
      <c r="BI52" s="206"/>
      <c r="BJ52" s="206"/>
      <c r="BK52" s="206"/>
      <c r="BL52" s="206"/>
      <c r="BM52" s="206"/>
      <c r="BN52" s="206"/>
      <c r="BO52" s="206"/>
      <c r="BP52" s="206"/>
      <c r="BQ52" s="206"/>
      <c r="BR52" s="252"/>
      <c r="BS52" s="252"/>
      <c r="BT52" s="252"/>
      <c r="BU52" s="252"/>
      <c r="BV52" s="252"/>
      <c r="BW52" s="252"/>
      <c r="BX52" s="252"/>
      <c r="BY52" s="252"/>
      <c r="BZ52" s="252"/>
      <c r="CA52" s="252"/>
      <c r="CB52" s="252"/>
      <c r="CC52" s="252"/>
      <c r="CD52" s="252"/>
      <c r="CE52" s="252"/>
      <c r="CF52" s="252"/>
      <c r="CG52" s="252"/>
      <c r="CH52" s="252"/>
      <c r="CI52" s="252"/>
      <c r="CJ52" s="257"/>
      <c r="CK52" s="257"/>
      <c r="CL52" s="257"/>
      <c r="CM52" s="257"/>
      <c r="CN52" s="257"/>
      <c r="CO52" s="257"/>
      <c r="CP52" s="257"/>
      <c r="CQ52" s="257"/>
      <c r="CR52" s="257"/>
      <c r="CS52" s="257"/>
      <c r="CT52" s="257"/>
      <c r="CU52" s="257"/>
      <c r="CV52" s="257"/>
      <c r="CW52" s="257"/>
      <c r="CX52" s="257"/>
      <c r="CY52" s="257"/>
      <c r="CZ52" s="257"/>
      <c r="DA52" s="257"/>
      <c r="DB52" s="202"/>
      <c r="DC52" s="202"/>
      <c r="DD52" s="202"/>
      <c r="DE52" s="202"/>
      <c r="DF52" s="202"/>
      <c r="DG52" s="202"/>
      <c r="DH52" s="202"/>
      <c r="DI52" s="202"/>
      <c r="DJ52" s="202"/>
      <c r="DK52" s="202"/>
      <c r="DL52" s="202"/>
      <c r="DM52" s="202"/>
      <c r="DN52" s="202"/>
      <c r="DO52" s="202"/>
      <c r="DP52" s="202"/>
      <c r="DQ52" s="202"/>
      <c r="DR52" s="202"/>
      <c r="DS52" s="202"/>
      <c r="DT52" s="196"/>
      <c r="DU52" s="196"/>
      <c r="DV52" s="196"/>
      <c r="DW52" s="196"/>
      <c r="DX52" s="196"/>
      <c r="DY52" s="196"/>
      <c r="DZ52" s="196"/>
      <c r="EA52" s="196"/>
      <c r="EB52" s="176">
        <f t="shared" si="0"/>
        <v>0</v>
      </c>
      <c r="EC52" s="176">
        <f t="shared" si="1"/>
        <v>0</v>
      </c>
      <c r="ED52" s="176">
        <f t="shared" si="2"/>
        <v>0</v>
      </c>
      <c r="EE52" s="176">
        <f t="shared" si="3"/>
        <v>0</v>
      </c>
      <c r="EG52" s="129">
        <f t="shared" si="4"/>
        <v>0</v>
      </c>
      <c r="EI52" s="176">
        <f t="shared" si="5"/>
        <v>0</v>
      </c>
      <c r="EK52" s="176">
        <f t="shared" si="6"/>
        <v>0</v>
      </c>
      <c r="EL52" s="176"/>
      <c r="EM52" s="177"/>
      <c r="EN52" s="178"/>
      <c r="EO52" s="177"/>
      <c r="EP52" s="177"/>
      <c r="EQ52" s="176">
        <f t="shared" si="7"/>
        <v>0</v>
      </c>
      <c r="ER52" s="179">
        <v>23300</v>
      </c>
      <c r="ES52" s="177">
        <v>7.5</v>
      </c>
    </row>
    <row r="53" spans="1:149" x14ac:dyDescent="0.3">
      <c r="A53" s="197">
        <v>48</v>
      </c>
      <c r="AB53" s="195"/>
      <c r="AC53" s="195"/>
      <c r="AD53" s="195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247"/>
      <c r="AQ53" s="247"/>
      <c r="AR53" s="247"/>
      <c r="AS53" s="247"/>
      <c r="AT53" s="247"/>
      <c r="AU53" s="247"/>
      <c r="AV53" s="247"/>
      <c r="AW53" s="247"/>
      <c r="AX53" s="247"/>
      <c r="AY53" s="247"/>
      <c r="AZ53" s="247"/>
      <c r="BA53" s="247"/>
      <c r="BB53" s="247"/>
      <c r="BC53" s="247"/>
      <c r="BD53" s="206"/>
      <c r="BE53" s="206"/>
      <c r="BF53" s="206"/>
      <c r="BG53" s="206"/>
      <c r="BH53" s="206"/>
      <c r="BI53" s="206"/>
      <c r="BJ53" s="206"/>
      <c r="BK53" s="206"/>
      <c r="BL53" s="206"/>
      <c r="BM53" s="206"/>
      <c r="BN53" s="206"/>
      <c r="BO53" s="206"/>
      <c r="BP53" s="206"/>
      <c r="BQ53" s="206"/>
      <c r="BR53" s="252"/>
      <c r="BS53" s="252"/>
      <c r="BT53" s="252"/>
      <c r="BU53" s="252"/>
      <c r="BV53" s="252"/>
      <c r="BW53" s="252"/>
      <c r="BX53" s="252"/>
      <c r="BY53" s="252"/>
      <c r="BZ53" s="252"/>
      <c r="CA53" s="252"/>
      <c r="CB53" s="252"/>
      <c r="CC53" s="252"/>
      <c r="CD53" s="252"/>
      <c r="CE53" s="252"/>
      <c r="CF53" s="252"/>
      <c r="CG53" s="252"/>
      <c r="CH53" s="252"/>
      <c r="CI53" s="252"/>
      <c r="CJ53" s="257"/>
      <c r="CK53" s="257"/>
      <c r="CL53" s="257"/>
      <c r="CM53" s="257"/>
      <c r="CN53" s="257"/>
      <c r="CO53" s="257"/>
      <c r="CP53" s="257"/>
      <c r="CQ53" s="257"/>
      <c r="CR53" s="257"/>
      <c r="CS53" s="257"/>
      <c r="CT53" s="257"/>
      <c r="CU53" s="257"/>
      <c r="CV53" s="257"/>
      <c r="CW53" s="257"/>
      <c r="CX53" s="257"/>
      <c r="CY53" s="257"/>
      <c r="CZ53" s="257"/>
      <c r="DA53" s="257"/>
      <c r="DB53" s="202"/>
      <c r="DC53" s="202"/>
      <c r="DD53" s="202"/>
      <c r="DE53" s="202"/>
      <c r="DF53" s="202"/>
      <c r="DG53" s="202"/>
      <c r="DH53" s="202"/>
      <c r="DI53" s="202"/>
      <c r="DJ53" s="202"/>
      <c r="DK53" s="202"/>
      <c r="DL53" s="202"/>
      <c r="DM53" s="202"/>
      <c r="DN53" s="202"/>
      <c r="DO53" s="202"/>
      <c r="DP53" s="202"/>
      <c r="DQ53" s="202"/>
      <c r="DR53" s="202"/>
      <c r="DS53" s="202"/>
      <c r="DT53" s="196"/>
      <c r="DU53" s="196"/>
      <c r="DV53" s="196"/>
      <c r="DW53" s="196"/>
      <c r="DX53" s="196"/>
      <c r="DY53" s="196"/>
      <c r="DZ53" s="196"/>
      <c r="EA53" s="196"/>
      <c r="EB53" s="176">
        <f t="shared" si="0"/>
        <v>0</v>
      </c>
      <c r="EC53" s="176">
        <f t="shared" si="1"/>
        <v>0</v>
      </c>
      <c r="ED53" s="176">
        <f t="shared" si="2"/>
        <v>0</v>
      </c>
      <c r="EE53" s="176">
        <f t="shared" si="3"/>
        <v>0</v>
      </c>
      <c r="EG53" s="129">
        <f t="shared" si="4"/>
        <v>0</v>
      </c>
      <c r="EI53" s="176">
        <f t="shared" si="5"/>
        <v>0</v>
      </c>
      <c r="EK53" s="176">
        <f t="shared" si="6"/>
        <v>0</v>
      </c>
      <c r="EL53" s="176"/>
      <c r="EM53" s="177"/>
      <c r="EN53" s="178"/>
      <c r="EO53" s="177"/>
      <c r="EP53" s="177"/>
      <c r="EQ53" s="176">
        <f t="shared" si="7"/>
        <v>0</v>
      </c>
      <c r="ER53" s="179">
        <v>23300</v>
      </c>
      <c r="ES53" s="177">
        <v>7.5</v>
      </c>
    </row>
    <row r="54" spans="1:149" x14ac:dyDescent="0.3">
      <c r="A54" s="197">
        <v>49</v>
      </c>
      <c r="AB54" s="195"/>
      <c r="AC54" s="195"/>
      <c r="AD54" s="195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247"/>
      <c r="AQ54" s="247"/>
      <c r="AR54" s="247"/>
      <c r="AS54" s="247"/>
      <c r="AT54" s="247"/>
      <c r="AU54" s="247"/>
      <c r="AV54" s="247"/>
      <c r="AW54" s="247"/>
      <c r="AX54" s="247"/>
      <c r="AY54" s="247"/>
      <c r="AZ54" s="247"/>
      <c r="BA54" s="247"/>
      <c r="BB54" s="247"/>
      <c r="BC54" s="247"/>
      <c r="BD54" s="206"/>
      <c r="BE54" s="206"/>
      <c r="BF54" s="206"/>
      <c r="BG54" s="206"/>
      <c r="BH54" s="206"/>
      <c r="BI54" s="206"/>
      <c r="BJ54" s="206"/>
      <c r="BK54" s="206"/>
      <c r="BL54" s="206"/>
      <c r="BM54" s="206"/>
      <c r="BN54" s="206"/>
      <c r="BO54" s="206"/>
      <c r="BP54" s="206"/>
      <c r="BQ54" s="206"/>
      <c r="BR54" s="252"/>
      <c r="BS54" s="252"/>
      <c r="BT54" s="252"/>
      <c r="BU54" s="252"/>
      <c r="BV54" s="252"/>
      <c r="BW54" s="252"/>
      <c r="BX54" s="252"/>
      <c r="BY54" s="252"/>
      <c r="BZ54" s="252"/>
      <c r="CA54" s="252"/>
      <c r="CB54" s="252"/>
      <c r="CC54" s="252"/>
      <c r="CD54" s="252"/>
      <c r="CE54" s="252"/>
      <c r="CF54" s="252"/>
      <c r="CG54" s="252"/>
      <c r="CH54" s="252"/>
      <c r="CI54" s="252"/>
      <c r="CJ54" s="257"/>
      <c r="CK54" s="257"/>
      <c r="CL54" s="257"/>
      <c r="CM54" s="257"/>
      <c r="CN54" s="257"/>
      <c r="CO54" s="257"/>
      <c r="CP54" s="257"/>
      <c r="CQ54" s="257"/>
      <c r="CR54" s="257"/>
      <c r="CS54" s="257"/>
      <c r="CT54" s="257"/>
      <c r="CU54" s="257"/>
      <c r="CV54" s="257"/>
      <c r="CW54" s="257"/>
      <c r="CX54" s="257"/>
      <c r="CY54" s="257"/>
      <c r="CZ54" s="257"/>
      <c r="DA54" s="257"/>
      <c r="DB54" s="202"/>
      <c r="DC54" s="202"/>
      <c r="DD54" s="202"/>
      <c r="DE54" s="202"/>
      <c r="DF54" s="202"/>
      <c r="DG54" s="202"/>
      <c r="DH54" s="202"/>
      <c r="DI54" s="202"/>
      <c r="DJ54" s="202"/>
      <c r="DK54" s="202"/>
      <c r="DL54" s="202"/>
      <c r="DM54" s="202"/>
      <c r="DN54" s="202"/>
      <c r="DO54" s="202"/>
      <c r="DP54" s="202"/>
      <c r="DQ54" s="202"/>
      <c r="DR54" s="202"/>
      <c r="DS54" s="202"/>
      <c r="DT54" s="196"/>
      <c r="DU54" s="196"/>
      <c r="DV54" s="196"/>
      <c r="DW54" s="196"/>
      <c r="DX54" s="196"/>
      <c r="DY54" s="196"/>
      <c r="DZ54" s="196"/>
      <c r="EA54" s="196"/>
      <c r="EB54" s="176">
        <f t="shared" si="0"/>
        <v>0</v>
      </c>
      <c r="EC54" s="176">
        <f t="shared" si="1"/>
        <v>0</v>
      </c>
      <c r="ED54" s="176">
        <f t="shared" si="2"/>
        <v>0</v>
      </c>
      <c r="EE54" s="176">
        <f t="shared" si="3"/>
        <v>0</v>
      </c>
      <c r="EG54" s="129">
        <f t="shared" si="4"/>
        <v>0</v>
      </c>
      <c r="EI54" s="176">
        <f t="shared" si="5"/>
        <v>0</v>
      </c>
      <c r="EK54" s="176">
        <f t="shared" si="6"/>
        <v>0</v>
      </c>
      <c r="EL54" s="176"/>
      <c r="EM54" s="177"/>
      <c r="EN54" s="178"/>
      <c r="EO54" s="177"/>
      <c r="EP54" s="177"/>
      <c r="EQ54" s="176">
        <f t="shared" si="7"/>
        <v>0</v>
      </c>
      <c r="ER54" s="179">
        <v>23300</v>
      </c>
      <c r="ES54" s="177">
        <v>7.5</v>
      </c>
    </row>
    <row r="55" spans="1:149" x14ac:dyDescent="0.3">
      <c r="A55" s="197">
        <v>50</v>
      </c>
      <c r="AB55" s="195"/>
      <c r="AC55" s="195"/>
      <c r="AD55" s="195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247"/>
      <c r="AQ55" s="247"/>
      <c r="AR55" s="247"/>
      <c r="AS55" s="247"/>
      <c r="AT55" s="247"/>
      <c r="AU55" s="247"/>
      <c r="AV55" s="247"/>
      <c r="AW55" s="247"/>
      <c r="AX55" s="247"/>
      <c r="AY55" s="247"/>
      <c r="AZ55" s="247"/>
      <c r="BA55" s="247"/>
      <c r="BB55" s="247"/>
      <c r="BC55" s="247"/>
      <c r="BD55" s="206"/>
      <c r="BE55" s="206"/>
      <c r="BF55" s="206"/>
      <c r="BG55" s="206"/>
      <c r="BH55" s="206"/>
      <c r="BI55" s="206"/>
      <c r="BJ55" s="206"/>
      <c r="BK55" s="206"/>
      <c r="BL55" s="206"/>
      <c r="BM55" s="206"/>
      <c r="BN55" s="206"/>
      <c r="BO55" s="206"/>
      <c r="BP55" s="206"/>
      <c r="BQ55" s="206"/>
      <c r="BR55" s="252"/>
      <c r="BS55" s="252"/>
      <c r="BT55" s="252"/>
      <c r="BU55" s="252"/>
      <c r="BV55" s="252"/>
      <c r="BW55" s="252"/>
      <c r="BX55" s="252"/>
      <c r="BY55" s="252"/>
      <c r="BZ55" s="252"/>
      <c r="CA55" s="252"/>
      <c r="CB55" s="252"/>
      <c r="CC55" s="252"/>
      <c r="CD55" s="252"/>
      <c r="CE55" s="252"/>
      <c r="CF55" s="252"/>
      <c r="CG55" s="252"/>
      <c r="CH55" s="252"/>
      <c r="CI55" s="252"/>
      <c r="CJ55" s="257"/>
      <c r="CK55" s="257"/>
      <c r="CL55" s="257"/>
      <c r="CM55" s="257"/>
      <c r="CN55" s="257"/>
      <c r="CO55" s="257"/>
      <c r="CP55" s="257"/>
      <c r="CQ55" s="257"/>
      <c r="CR55" s="257"/>
      <c r="CS55" s="257"/>
      <c r="CT55" s="257"/>
      <c r="CU55" s="257"/>
      <c r="CV55" s="257"/>
      <c r="CW55" s="257"/>
      <c r="CX55" s="257"/>
      <c r="CY55" s="257"/>
      <c r="CZ55" s="257"/>
      <c r="DA55" s="257"/>
      <c r="DB55" s="202"/>
      <c r="DC55" s="202"/>
      <c r="DD55" s="202"/>
      <c r="DE55" s="202"/>
      <c r="DF55" s="202"/>
      <c r="DG55" s="202"/>
      <c r="DH55" s="202"/>
      <c r="DI55" s="202"/>
      <c r="DJ55" s="202"/>
      <c r="DK55" s="202"/>
      <c r="DL55" s="202"/>
      <c r="DM55" s="202"/>
      <c r="DN55" s="202"/>
      <c r="DO55" s="202"/>
      <c r="DP55" s="202"/>
      <c r="DQ55" s="202"/>
      <c r="DR55" s="202"/>
      <c r="DS55" s="202"/>
      <c r="DT55" s="196"/>
      <c r="DU55" s="196"/>
      <c r="DV55" s="196"/>
      <c r="DW55" s="196"/>
      <c r="DX55" s="196"/>
      <c r="DY55" s="196"/>
      <c r="DZ55" s="196"/>
      <c r="EA55" s="196"/>
      <c r="EB55" s="176">
        <f t="shared" si="0"/>
        <v>0</v>
      </c>
      <c r="EC55" s="176">
        <f t="shared" si="1"/>
        <v>0</v>
      </c>
      <c r="ED55" s="176">
        <f t="shared" si="2"/>
        <v>0</v>
      </c>
      <c r="EE55" s="176">
        <f t="shared" si="3"/>
        <v>0</v>
      </c>
      <c r="EG55" s="129">
        <f t="shared" si="4"/>
        <v>0</v>
      </c>
      <c r="EI55" s="176">
        <f t="shared" si="5"/>
        <v>0</v>
      </c>
      <c r="EK55" s="176">
        <f t="shared" si="6"/>
        <v>0</v>
      </c>
      <c r="EL55" s="176"/>
      <c r="EM55" s="177"/>
      <c r="EN55" s="178"/>
      <c r="EO55" s="177"/>
      <c r="EP55" s="177"/>
      <c r="EQ55" s="176">
        <f t="shared" si="7"/>
        <v>0</v>
      </c>
      <c r="ER55" s="179">
        <v>23300</v>
      </c>
      <c r="ES55" s="177">
        <v>7.5</v>
      </c>
    </row>
    <row r="56" spans="1:149" x14ac:dyDescent="0.3">
      <c r="A56" s="197">
        <v>51</v>
      </c>
      <c r="AB56" s="195"/>
      <c r="AC56" s="195"/>
      <c r="AD56" s="195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247"/>
      <c r="AQ56" s="247"/>
      <c r="AR56" s="247"/>
      <c r="AS56" s="247"/>
      <c r="AT56" s="247"/>
      <c r="AU56" s="247"/>
      <c r="AV56" s="247"/>
      <c r="AW56" s="247"/>
      <c r="AX56" s="247"/>
      <c r="AY56" s="247"/>
      <c r="AZ56" s="247"/>
      <c r="BA56" s="247"/>
      <c r="BB56" s="247"/>
      <c r="BC56" s="247"/>
      <c r="BD56" s="206"/>
      <c r="BE56" s="206"/>
      <c r="BF56" s="206"/>
      <c r="BG56" s="206"/>
      <c r="BH56" s="206"/>
      <c r="BI56" s="206"/>
      <c r="BJ56" s="206"/>
      <c r="BK56" s="206"/>
      <c r="BL56" s="206"/>
      <c r="BM56" s="206"/>
      <c r="BN56" s="206"/>
      <c r="BO56" s="206"/>
      <c r="BP56" s="206"/>
      <c r="BQ56" s="206"/>
      <c r="BR56" s="252"/>
      <c r="BS56" s="252"/>
      <c r="BT56" s="252"/>
      <c r="BU56" s="252"/>
      <c r="BV56" s="252"/>
      <c r="BW56" s="252"/>
      <c r="BX56" s="252"/>
      <c r="BY56" s="252"/>
      <c r="BZ56" s="252"/>
      <c r="CA56" s="252"/>
      <c r="CB56" s="252"/>
      <c r="CC56" s="252"/>
      <c r="CD56" s="252"/>
      <c r="CE56" s="252"/>
      <c r="CF56" s="252"/>
      <c r="CG56" s="252"/>
      <c r="CH56" s="252"/>
      <c r="CI56" s="252"/>
      <c r="CJ56" s="257"/>
      <c r="CK56" s="257"/>
      <c r="CL56" s="257"/>
      <c r="CM56" s="257"/>
      <c r="CN56" s="257"/>
      <c r="CO56" s="257"/>
      <c r="CP56" s="257"/>
      <c r="CQ56" s="257"/>
      <c r="CR56" s="257"/>
      <c r="CS56" s="257"/>
      <c r="CT56" s="257"/>
      <c r="CU56" s="257"/>
      <c r="CV56" s="257"/>
      <c r="CW56" s="257"/>
      <c r="CX56" s="257"/>
      <c r="CY56" s="257"/>
      <c r="CZ56" s="257"/>
      <c r="DA56" s="257"/>
      <c r="DB56" s="202"/>
      <c r="DC56" s="202"/>
      <c r="DD56" s="202"/>
      <c r="DE56" s="202"/>
      <c r="DF56" s="202"/>
      <c r="DG56" s="202"/>
      <c r="DH56" s="202"/>
      <c r="DI56" s="202"/>
      <c r="DJ56" s="202"/>
      <c r="DK56" s="202"/>
      <c r="DL56" s="202"/>
      <c r="DM56" s="202"/>
      <c r="DN56" s="202"/>
      <c r="DO56" s="202"/>
      <c r="DP56" s="202"/>
      <c r="DQ56" s="202"/>
      <c r="DR56" s="202"/>
      <c r="DS56" s="202"/>
      <c r="DT56" s="196"/>
      <c r="DU56" s="196"/>
      <c r="DV56" s="196"/>
      <c r="DW56" s="196"/>
      <c r="DX56" s="196"/>
      <c r="DY56" s="196"/>
      <c r="DZ56" s="196"/>
      <c r="EA56" s="196"/>
      <c r="EB56" s="176">
        <f t="shared" si="0"/>
        <v>0</v>
      </c>
      <c r="EC56" s="176">
        <f t="shared" si="1"/>
        <v>0</v>
      </c>
      <c r="ED56" s="176">
        <f t="shared" si="2"/>
        <v>0</v>
      </c>
      <c r="EE56" s="176">
        <f t="shared" si="3"/>
        <v>0</v>
      </c>
      <c r="EG56" s="129">
        <f t="shared" si="4"/>
        <v>0</v>
      </c>
      <c r="EI56" s="176">
        <f t="shared" si="5"/>
        <v>0</v>
      </c>
      <c r="EK56" s="176">
        <f t="shared" si="6"/>
        <v>0</v>
      </c>
      <c r="EL56" s="176"/>
      <c r="EM56" s="177"/>
      <c r="EN56" s="178"/>
      <c r="EO56" s="177"/>
      <c r="EP56" s="177"/>
      <c r="EQ56" s="176">
        <f t="shared" si="7"/>
        <v>0</v>
      </c>
      <c r="ER56" s="179">
        <v>23300</v>
      </c>
      <c r="ES56" s="177">
        <v>7.5</v>
      </c>
    </row>
    <row r="57" spans="1:149" x14ac:dyDescent="0.3">
      <c r="A57" s="197">
        <v>52</v>
      </c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247"/>
      <c r="AQ57" s="247"/>
      <c r="AR57" s="247"/>
      <c r="AS57" s="247"/>
      <c r="AT57" s="247"/>
      <c r="AU57" s="247"/>
      <c r="AV57" s="247"/>
      <c r="AW57" s="247"/>
      <c r="AX57" s="247"/>
      <c r="AY57" s="247"/>
      <c r="AZ57" s="247"/>
      <c r="BA57" s="247"/>
      <c r="BB57" s="247"/>
      <c r="BC57" s="247"/>
      <c r="BD57" s="206"/>
      <c r="BE57" s="206"/>
      <c r="BF57" s="206"/>
      <c r="BG57" s="206"/>
      <c r="BH57" s="206"/>
      <c r="BI57" s="206"/>
      <c r="BJ57" s="206"/>
      <c r="BK57" s="206"/>
      <c r="BL57" s="206"/>
      <c r="BM57" s="206"/>
      <c r="BN57" s="206"/>
      <c r="BO57" s="206"/>
      <c r="BP57" s="206"/>
      <c r="BQ57" s="206"/>
      <c r="BR57" s="252"/>
      <c r="BS57" s="252"/>
      <c r="BT57" s="252"/>
      <c r="BU57" s="252"/>
      <c r="BV57" s="252"/>
      <c r="BW57" s="252"/>
      <c r="BX57" s="252"/>
      <c r="BY57" s="252"/>
      <c r="BZ57" s="252"/>
      <c r="CA57" s="252"/>
      <c r="CB57" s="252"/>
      <c r="CC57" s="252"/>
      <c r="CD57" s="252"/>
      <c r="CE57" s="252"/>
      <c r="CF57" s="252"/>
      <c r="CG57" s="252"/>
      <c r="CH57" s="252"/>
      <c r="CI57" s="252"/>
      <c r="CJ57" s="257"/>
      <c r="CK57" s="257"/>
      <c r="CL57" s="257"/>
      <c r="CM57" s="257"/>
      <c r="CN57" s="257"/>
      <c r="CO57" s="257"/>
      <c r="CP57" s="257"/>
      <c r="CQ57" s="257"/>
      <c r="CR57" s="257"/>
      <c r="CS57" s="257"/>
      <c r="CT57" s="257"/>
      <c r="CU57" s="257"/>
      <c r="CV57" s="257"/>
      <c r="CW57" s="257"/>
      <c r="CX57" s="257"/>
      <c r="CY57" s="257"/>
      <c r="CZ57" s="257"/>
      <c r="DA57" s="257"/>
      <c r="DB57" s="202"/>
      <c r="DC57" s="202"/>
      <c r="DD57" s="202"/>
      <c r="DE57" s="202"/>
      <c r="DF57" s="202"/>
      <c r="DG57" s="202"/>
      <c r="DH57" s="202"/>
      <c r="DI57" s="202"/>
      <c r="DJ57" s="202"/>
      <c r="DK57" s="202"/>
      <c r="DL57" s="202"/>
      <c r="DM57" s="202"/>
      <c r="DN57" s="202"/>
      <c r="DO57" s="202"/>
      <c r="DP57" s="202"/>
      <c r="DQ57" s="202"/>
      <c r="DR57" s="202"/>
      <c r="DS57" s="202"/>
      <c r="DT57" s="196"/>
      <c r="DU57" s="196"/>
      <c r="DV57" s="196"/>
      <c r="DW57" s="196"/>
      <c r="DX57" s="196"/>
      <c r="DY57" s="196"/>
      <c r="DZ57" s="196"/>
      <c r="EA57" s="196"/>
      <c r="EB57" s="176">
        <f t="shared" si="0"/>
        <v>0</v>
      </c>
      <c r="EC57" s="176">
        <f t="shared" si="1"/>
        <v>0</v>
      </c>
      <c r="ED57" s="176">
        <f t="shared" si="2"/>
        <v>0</v>
      </c>
      <c r="EE57" s="176">
        <f t="shared" si="3"/>
        <v>0</v>
      </c>
      <c r="EG57" s="129">
        <f t="shared" si="4"/>
        <v>0</v>
      </c>
      <c r="EI57" s="176">
        <f t="shared" si="5"/>
        <v>0</v>
      </c>
      <c r="EK57" s="176">
        <f t="shared" si="6"/>
        <v>0</v>
      </c>
      <c r="EL57" s="176"/>
      <c r="EM57" s="177"/>
      <c r="EN57" s="178"/>
      <c r="EO57" s="177"/>
      <c r="EP57" s="177"/>
      <c r="EQ57" s="176">
        <f t="shared" si="7"/>
        <v>0</v>
      </c>
      <c r="ER57" s="179">
        <v>23300</v>
      </c>
      <c r="ES57" s="177">
        <v>7.5</v>
      </c>
    </row>
    <row r="58" spans="1:149" x14ac:dyDescent="0.3">
      <c r="A58" s="197">
        <v>53</v>
      </c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247"/>
      <c r="AQ58" s="247"/>
      <c r="AR58" s="247"/>
      <c r="AS58" s="247"/>
      <c r="AT58" s="247"/>
      <c r="AU58" s="247"/>
      <c r="AV58" s="247"/>
      <c r="AW58" s="247"/>
      <c r="AX58" s="247"/>
      <c r="AY58" s="247"/>
      <c r="AZ58" s="247"/>
      <c r="BA58" s="247"/>
      <c r="BB58" s="247"/>
      <c r="BC58" s="247"/>
      <c r="BD58" s="206"/>
      <c r="BE58" s="206"/>
      <c r="BF58" s="206"/>
      <c r="BG58" s="206"/>
      <c r="BH58" s="206"/>
      <c r="BI58" s="206"/>
      <c r="BJ58" s="206"/>
      <c r="BK58" s="206"/>
      <c r="BL58" s="206"/>
      <c r="BM58" s="206"/>
      <c r="BN58" s="206"/>
      <c r="BO58" s="206"/>
      <c r="BP58" s="206"/>
      <c r="BQ58" s="206"/>
      <c r="BR58" s="252"/>
      <c r="BS58" s="252"/>
      <c r="BT58" s="252"/>
      <c r="BU58" s="252"/>
      <c r="BV58" s="252"/>
      <c r="BW58" s="252"/>
      <c r="BX58" s="252"/>
      <c r="BY58" s="252"/>
      <c r="BZ58" s="252"/>
      <c r="CA58" s="252"/>
      <c r="CB58" s="252"/>
      <c r="CC58" s="252"/>
      <c r="CD58" s="252"/>
      <c r="CE58" s="252"/>
      <c r="CF58" s="252"/>
      <c r="CG58" s="252"/>
      <c r="CH58" s="252"/>
      <c r="CI58" s="252"/>
      <c r="CJ58" s="257"/>
      <c r="CK58" s="257"/>
      <c r="CL58" s="257"/>
      <c r="CM58" s="257"/>
      <c r="CN58" s="257"/>
      <c r="CO58" s="257"/>
      <c r="CP58" s="257"/>
      <c r="CQ58" s="257"/>
      <c r="CR58" s="257"/>
      <c r="CS58" s="257"/>
      <c r="CT58" s="257"/>
      <c r="CU58" s="257"/>
      <c r="CV58" s="257"/>
      <c r="CW58" s="257"/>
      <c r="CX58" s="257"/>
      <c r="CY58" s="257"/>
      <c r="CZ58" s="257"/>
      <c r="DA58" s="257"/>
      <c r="DB58" s="202"/>
      <c r="DC58" s="202"/>
      <c r="DD58" s="202"/>
      <c r="DE58" s="202"/>
      <c r="DF58" s="202"/>
      <c r="DG58" s="202"/>
      <c r="DH58" s="202"/>
      <c r="DI58" s="202"/>
      <c r="DJ58" s="202"/>
      <c r="DK58" s="202"/>
      <c r="DL58" s="202"/>
      <c r="DM58" s="202"/>
      <c r="DN58" s="202"/>
      <c r="DO58" s="202"/>
      <c r="DP58" s="202"/>
      <c r="DQ58" s="202"/>
      <c r="DR58" s="202"/>
      <c r="DS58" s="202"/>
      <c r="DT58" s="196"/>
      <c r="DU58" s="196"/>
      <c r="DV58" s="196"/>
      <c r="DW58" s="196"/>
      <c r="DX58" s="196"/>
      <c r="DY58" s="196"/>
      <c r="DZ58" s="196"/>
      <c r="EA58" s="196"/>
      <c r="EB58" s="176">
        <f t="shared" si="0"/>
        <v>0</v>
      </c>
      <c r="EC58" s="176">
        <f t="shared" si="1"/>
        <v>0</v>
      </c>
      <c r="ED58" s="176">
        <f t="shared" si="2"/>
        <v>0</v>
      </c>
      <c r="EE58" s="176">
        <f t="shared" si="3"/>
        <v>0</v>
      </c>
      <c r="EG58" s="129">
        <f t="shared" si="4"/>
        <v>0</v>
      </c>
      <c r="EI58" s="176">
        <f t="shared" si="5"/>
        <v>0</v>
      </c>
      <c r="EK58" s="176">
        <f t="shared" si="6"/>
        <v>0</v>
      </c>
      <c r="EL58" s="176"/>
      <c r="EM58" s="177"/>
      <c r="EN58" s="178"/>
      <c r="EO58" s="177"/>
      <c r="EP58" s="177"/>
      <c r="EQ58" s="176">
        <f t="shared" si="7"/>
        <v>0</v>
      </c>
      <c r="ER58" s="179">
        <v>23300</v>
      </c>
      <c r="ES58" s="177">
        <v>7.5</v>
      </c>
    </row>
    <row r="59" spans="1:149" x14ac:dyDescent="0.3">
      <c r="A59" s="197">
        <v>54</v>
      </c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247"/>
      <c r="AQ59" s="247"/>
      <c r="AR59" s="247"/>
      <c r="AS59" s="247"/>
      <c r="AT59" s="247"/>
      <c r="AU59" s="247"/>
      <c r="AV59" s="247"/>
      <c r="AW59" s="247"/>
      <c r="AX59" s="247"/>
      <c r="AY59" s="247"/>
      <c r="AZ59" s="247"/>
      <c r="BA59" s="247"/>
      <c r="BB59" s="247"/>
      <c r="BC59" s="247"/>
      <c r="BD59" s="206"/>
      <c r="BE59" s="206"/>
      <c r="BF59" s="206"/>
      <c r="BG59" s="206"/>
      <c r="BH59" s="206"/>
      <c r="BI59" s="206"/>
      <c r="BJ59" s="206"/>
      <c r="BK59" s="206"/>
      <c r="BL59" s="206"/>
      <c r="BM59" s="206"/>
      <c r="BN59" s="206"/>
      <c r="BO59" s="206"/>
      <c r="BP59" s="206"/>
      <c r="BQ59" s="206"/>
      <c r="BR59" s="252"/>
      <c r="BS59" s="252"/>
      <c r="BT59" s="252"/>
      <c r="BU59" s="252"/>
      <c r="BV59" s="252"/>
      <c r="BW59" s="252"/>
      <c r="BX59" s="252"/>
      <c r="BY59" s="252"/>
      <c r="BZ59" s="252"/>
      <c r="CA59" s="252"/>
      <c r="CB59" s="252"/>
      <c r="CC59" s="252"/>
      <c r="CD59" s="252"/>
      <c r="CE59" s="252"/>
      <c r="CF59" s="252"/>
      <c r="CG59" s="252"/>
      <c r="CH59" s="252"/>
      <c r="CI59" s="252"/>
      <c r="CJ59" s="257"/>
      <c r="CK59" s="257"/>
      <c r="CL59" s="257"/>
      <c r="CM59" s="257"/>
      <c r="CN59" s="257"/>
      <c r="CO59" s="257"/>
      <c r="CP59" s="257"/>
      <c r="CQ59" s="257"/>
      <c r="CR59" s="257"/>
      <c r="CS59" s="257"/>
      <c r="CT59" s="257"/>
      <c r="CU59" s="257"/>
      <c r="CV59" s="257"/>
      <c r="CW59" s="257"/>
      <c r="CX59" s="257"/>
      <c r="CY59" s="257"/>
      <c r="CZ59" s="257"/>
      <c r="DA59" s="257"/>
      <c r="DB59" s="202"/>
      <c r="DC59" s="202"/>
      <c r="DD59" s="202"/>
      <c r="DE59" s="202"/>
      <c r="DF59" s="202"/>
      <c r="DG59" s="202"/>
      <c r="DH59" s="202"/>
      <c r="DI59" s="202"/>
      <c r="DJ59" s="202"/>
      <c r="DK59" s="202"/>
      <c r="DL59" s="202"/>
      <c r="DM59" s="202"/>
      <c r="DN59" s="202"/>
      <c r="DO59" s="202"/>
      <c r="DP59" s="202"/>
      <c r="DQ59" s="202"/>
      <c r="DR59" s="202"/>
      <c r="DS59" s="202"/>
      <c r="DT59" s="196"/>
      <c r="DU59" s="196"/>
      <c r="DV59" s="196"/>
      <c r="DW59" s="196"/>
      <c r="DX59" s="196"/>
      <c r="DY59" s="196"/>
      <c r="DZ59" s="196"/>
      <c r="EA59" s="196"/>
      <c r="EB59" s="176">
        <f t="shared" si="0"/>
        <v>0</v>
      </c>
      <c r="EC59" s="176">
        <f t="shared" si="1"/>
        <v>0</v>
      </c>
      <c r="ED59" s="176">
        <f t="shared" si="2"/>
        <v>0</v>
      </c>
      <c r="EE59" s="176">
        <f t="shared" si="3"/>
        <v>0</v>
      </c>
      <c r="EG59" s="129">
        <f t="shared" si="4"/>
        <v>0</v>
      </c>
      <c r="EI59" s="176">
        <f t="shared" si="5"/>
        <v>0</v>
      </c>
      <c r="EK59" s="176">
        <f t="shared" si="6"/>
        <v>0</v>
      </c>
      <c r="EL59" s="176"/>
      <c r="EM59" s="177"/>
      <c r="EN59" s="178"/>
      <c r="EO59" s="177"/>
      <c r="EP59" s="177"/>
      <c r="EQ59" s="176">
        <f t="shared" si="7"/>
        <v>0</v>
      </c>
      <c r="ER59" s="179">
        <v>23300</v>
      </c>
      <c r="ES59" s="177">
        <v>7.5</v>
      </c>
    </row>
    <row r="60" spans="1:149" x14ac:dyDescent="0.3">
      <c r="A60" s="197">
        <v>55</v>
      </c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247"/>
      <c r="AQ60" s="247"/>
      <c r="AR60" s="247"/>
      <c r="AS60" s="247"/>
      <c r="AT60" s="247"/>
      <c r="AU60" s="247"/>
      <c r="AV60" s="247"/>
      <c r="AW60" s="247"/>
      <c r="AX60" s="247"/>
      <c r="AY60" s="247"/>
      <c r="AZ60" s="247"/>
      <c r="BA60" s="247"/>
      <c r="BB60" s="247"/>
      <c r="BC60" s="247"/>
      <c r="BD60" s="206"/>
      <c r="BE60" s="206"/>
      <c r="BF60" s="206"/>
      <c r="BG60" s="206"/>
      <c r="BH60" s="206"/>
      <c r="BI60" s="206"/>
      <c r="BJ60" s="206"/>
      <c r="BK60" s="206"/>
      <c r="BL60" s="206"/>
      <c r="BM60" s="206"/>
      <c r="BN60" s="206"/>
      <c r="BO60" s="206"/>
      <c r="BP60" s="206"/>
      <c r="BQ60" s="206"/>
      <c r="BR60" s="252"/>
      <c r="BS60" s="252"/>
      <c r="BT60" s="252"/>
      <c r="BU60" s="252"/>
      <c r="BV60" s="252"/>
      <c r="BW60" s="252"/>
      <c r="BX60" s="252"/>
      <c r="BY60" s="252"/>
      <c r="BZ60" s="252"/>
      <c r="CA60" s="252"/>
      <c r="CB60" s="252"/>
      <c r="CC60" s="252"/>
      <c r="CD60" s="252"/>
      <c r="CE60" s="252"/>
      <c r="CF60" s="252"/>
      <c r="CG60" s="252"/>
      <c r="CH60" s="252"/>
      <c r="CI60" s="252"/>
      <c r="CJ60" s="257"/>
      <c r="CK60" s="257"/>
      <c r="CL60" s="257"/>
      <c r="CM60" s="257"/>
      <c r="CN60" s="257"/>
      <c r="CO60" s="257"/>
      <c r="CP60" s="257"/>
      <c r="CQ60" s="257"/>
      <c r="CR60" s="257"/>
      <c r="CS60" s="257"/>
      <c r="CT60" s="257"/>
      <c r="CU60" s="257"/>
      <c r="CV60" s="257"/>
      <c r="CW60" s="257"/>
      <c r="CX60" s="257"/>
      <c r="CY60" s="257"/>
      <c r="CZ60" s="257"/>
      <c r="DA60" s="257"/>
      <c r="DB60" s="202"/>
      <c r="DC60" s="202"/>
      <c r="DD60" s="202"/>
      <c r="DE60" s="202"/>
      <c r="DF60" s="202"/>
      <c r="DG60" s="202"/>
      <c r="DH60" s="202"/>
      <c r="DI60" s="202"/>
      <c r="DJ60" s="202"/>
      <c r="DK60" s="202"/>
      <c r="DL60" s="202"/>
      <c r="DM60" s="202"/>
      <c r="DN60" s="202"/>
      <c r="DO60" s="202"/>
      <c r="DP60" s="202"/>
      <c r="DQ60" s="202"/>
      <c r="DR60" s="202"/>
      <c r="DS60" s="202"/>
      <c r="DT60" s="196"/>
      <c r="DU60" s="196"/>
      <c r="DV60" s="196"/>
      <c r="DW60" s="196"/>
      <c r="DX60" s="196"/>
      <c r="DY60" s="196"/>
      <c r="DZ60" s="196"/>
      <c r="EA60" s="196"/>
      <c r="EB60" s="176">
        <f t="shared" si="0"/>
        <v>0</v>
      </c>
      <c r="EC60" s="176">
        <f t="shared" si="1"/>
        <v>0</v>
      </c>
      <c r="ED60" s="176">
        <f t="shared" si="2"/>
        <v>0</v>
      </c>
      <c r="EE60" s="176">
        <f t="shared" si="3"/>
        <v>0</v>
      </c>
      <c r="EG60" s="129">
        <f t="shared" si="4"/>
        <v>0</v>
      </c>
      <c r="EI60" s="176">
        <f t="shared" si="5"/>
        <v>0</v>
      </c>
      <c r="EK60" s="176">
        <f t="shared" si="6"/>
        <v>0</v>
      </c>
      <c r="EL60" s="176"/>
      <c r="EM60" s="177"/>
      <c r="EN60" s="178"/>
      <c r="EO60" s="177"/>
      <c r="EP60" s="177"/>
      <c r="EQ60" s="176">
        <f t="shared" si="7"/>
        <v>0</v>
      </c>
      <c r="ER60" s="179">
        <v>23300</v>
      </c>
      <c r="ES60" s="177">
        <v>7.5</v>
      </c>
    </row>
    <row r="61" spans="1:149" x14ac:dyDescent="0.3">
      <c r="A61" s="197">
        <v>56</v>
      </c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247"/>
      <c r="AQ61" s="247"/>
      <c r="AR61" s="247"/>
      <c r="AS61" s="247"/>
      <c r="AT61" s="247"/>
      <c r="AU61" s="247"/>
      <c r="AV61" s="247"/>
      <c r="AW61" s="247"/>
      <c r="AX61" s="247"/>
      <c r="AY61" s="247"/>
      <c r="AZ61" s="247"/>
      <c r="BA61" s="247"/>
      <c r="BB61" s="247"/>
      <c r="BC61" s="247"/>
      <c r="BD61" s="206"/>
      <c r="BE61" s="206"/>
      <c r="BF61" s="206"/>
      <c r="BG61" s="206"/>
      <c r="BH61" s="206"/>
      <c r="BI61" s="206"/>
      <c r="BJ61" s="206"/>
      <c r="BK61" s="206"/>
      <c r="BL61" s="206"/>
      <c r="BM61" s="206"/>
      <c r="BN61" s="206"/>
      <c r="BO61" s="206"/>
      <c r="BP61" s="206"/>
      <c r="BQ61" s="206"/>
      <c r="BR61" s="252"/>
      <c r="BS61" s="252"/>
      <c r="BT61" s="252"/>
      <c r="BU61" s="252"/>
      <c r="BV61" s="252"/>
      <c r="BW61" s="252"/>
      <c r="BX61" s="252"/>
      <c r="BY61" s="252"/>
      <c r="BZ61" s="252"/>
      <c r="CA61" s="252"/>
      <c r="CB61" s="252"/>
      <c r="CC61" s="252"/>
      <c r="CD61" s="252"/>
      <c r="CE61" s="252"/>
      <c r="CF61" s="252"/>
      <c r="CG61" s="252"/>
      <c r="CH61" s="252"/>
      <c r="CI61" s="252"/>
      <c r="CJ61" s="257"/>
      <c r="CK61" s="257"/>
      <c r="CL61" s="257"/>
      <c r="CM61" s="257"/>
      <c r="CN61" s="257"/>
      <c r="CO61" s="257"/>
      <c r="CP61" s="257"/>
      <c r="CQ61" s="257"/>
      <c r="CR61" s="257"/>
      <c r="CS61" s="257"/>
      <c r="CT61" s="257"/>
      <c r="CU61" s="257"/>
      <c r="CV61" s="257"/>
      <c r="CW61" s="257"/>
      <c r="CX61" s="257"/>
      <c r="CY61" s="257"/>
      <c r="CZ61" s="257"/>
      <c r="DA61" s="257"/>
      <c r="DB61" s="202"/>
      <c r="DC61" s="202"/>
      <c r="DD61" s="202"/>
      <c r="DE61" s="202"/>
      <c r="DF61" s="202"/>
      <c r="DG61" s="202"/>
      <c r="DH61" s="202"/>
      <c r="DI61" s="202"/>
      <c r="DJ61" s="202"/>
      <c r="DK61" s="202"/>
      <c r="DL61" s="202"/>
      <c r="DM61" s="202"/>
      <c r="DN61" s="202"/>
      <c r="DO61" s="202"/>
      <c r="DP61" s="202"/>
      <c r="DQ61" s="202"/>
      <c r="DR61" s="202"/>
      <c r="DS61" s="202"/>
      <c r="DT61" s="196"/>
      <c r="DU61" s="196"/>
      <c r="DV61" s="196"/>
      <c r="DW61" s="196"/>
      <c r="DX61" s="196"/>
      <c r="DY61" s="196"/>
      <c r="DZ61" s="196"/>
      <c r="EA61" s="196"/>
      <c r="EB61" s="176">
        <f t="shared" si="0"/>
        <v>0</v>
      </c>
      <c r="EC61" s="176">
        <f t="shared" si="1"/>
        <v>0</v>
      </c>
      <c r="ED61" s="176">
        <f t="shared" si="2"/>
        <v>0</v>
      </c>
      <c r="EE61" s="176">
        <f t="shared" si="3"/>
        <v>0</v>
      </c>
      <c r="EG61" s="129">
        <f t="shared" si="4"/>
        <v>0</v>
      </c>
      <c r="EI61" s="176">
        <f t="shared" si="5"/>
        <v>0</v>
      </c>
      <c r="EK61" s="176">
        <f t="shared" si="6"/>
        <v>0</v>
      </c>
      <c r="EL61" s="176"/>
      <c r="EM61" s="177"/>
      <c r="EN61" s="178"/>
      <c r="EO61" s="177"/>
      <c r="EP61" s="177"/>
      <c r="EQ61" s="176">
        <f t="shared" si="7"/>
        <v>0</v>
      </c>
      <c r="ER61" s="179">
        <v>23300</v>
      </c>
      <c r="ES61" s="177">
        <v>7.5</v>
      </c>
    </row>
    <row r="62" spans="1:149" x14ac:dyDescent="0.3">
      <c r="A62" s="197">
        <v>57</v>
      </c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247"/>
      <c r="AQ62" s="247"/>
      <c r="AR62" s="247"/>
      <c r="AS62" s="247"/>
      <c r="AT62" s="247"/>
      <c r="AU62" s="247"/>
      <c r="AV62" s="247"/>
      <c r="AW62" s="247"/>
      <c r="AX62" s="247"/>
      <c r="AY62" s="247"/>
      <c r="AZ62" s="247"/>
      <c r="BA62" s="247"/>
      <c r="BB62" s="247"/>
      <c r="BC62" s="247"/>
      <c r="BD62" s="206"/>
      <c r="BE62" s="206"/>
      <c r="BF62" s="206"/>
      <c r="BG62" s="206"/>
      <c r="BH62" s="206"/>
      <c r="BI62" s="206"/>
      <c r="BJ62" s="206"/>
      <c r="BK62" s="206"/>
      <c r="BL62" s="206"/>
      <c r="BM62" s="206"/>
      <c r="BN62" s="206"/>
      <c r="BO62" s="206"/>
      <c r="BP62" s="206"/>
      <c r="BQ62" s="206"/>
      <c r="BR62" s="252"/>
      <c r="BS62" s="252"/>
      <c r="BT62" s="252"/>
      <c r="BU62" s="252"/>
      <c r="BV62" s="252"/>
      <c r="BW62" s="252"/>
      <c r="BX62" s="252"/>
      <c r="BY62" s="252"/>
      <c r="BZ62" s="252"/>
      <c r="CA62" s="252"/>
      <c r="CB62" s="252"/>
      <c r="CC62" s="252"/>
      <c r="CD62" s="252"/>
      <c r="CE62" s="252"/>
      <c r="CF62" s="252"/>
      <c r="CG62" s="252"/>
      <c r="CH62" s="252"/>
      <c r="CI62" s="252"/>
      <c r="CJ62" s="257"/>
      <c r="CK62" s="257"/>
      <c r="CL62" s="257"/>
      <c r="CM62" s="257"/>
      <c r="CN62" s="257"/>
      <c r="CO62" s="257"/>
      <c r="CP62" s="257"/>
      <c r="CQ62" s="257"/>
      <c r="CR62" s="257"/>
      <c r="CS62" s="257"/>
      <c r="CT62" s="257"/>
      <c r="CU62" s="257"/>
      <c r="CV62" s="257"/>
      <c r="CW62" s="257"/>
      <c r="CX62" s="257"/>
      <c r="CY62" s="257"/>
      <c r="CZ62" s="257"/>
      <c r="DA62" s="257"/>
      <c r="DB62" s="202"/>
      <c r="DC62" s="202"/>
      <c r="DD62" s="202"/>
      <c r="DE62" s="202"/>
      <c r="DF62" s="202"/>
      <c r="DG62" s="202"/>
      <c r="DH62" s="202"/>
      <c r="DI62" s="202"/>
      <c r="DJ62" s="202"/>
      <c r="DK62" s="202"/>
      <c r="DL62" s="202"/>
      <c r="DM62" s="202"/>
      <c r="DN62" s="202"/>
      <c r="DO62" s="202"/>
      <c r="DP62" s="202"/>
      <c r="DQ62" s="202"/>
      <c r="DR62" s="202"/>
      <c r="DS62" s="202"/>
      <c r="DT62" s="196"/>
      <c r="DU62" s="196"/>
      <c r="DV62" s="196"/>
      <c r="DW62" s="196"/>
      <c r="DX62" s="196"/>
      <c r="DY62" s="196"/>
      <c r="DZ62" s="196"/>
      <c r="EA62" s="196"/>
      <c r="EB62" s="176">
        <f t="shared" si="0"/>
        <v>0</v>
      </c>
      <c r="EC62" s="176">
        <f t="shared" si="1"/>
        <v>0</v>
      </c>
      <c r="ED62" s="176">
        <f t="shared" si="2"/>
        <v>0</v>
      </c>
      <c r="EE62" s="176">
        <f t="shared" si="3"/>
        <v>0</v>
      </c>
      <c r="EG62" s="129">
        <f t="shared" si="4"/>
        <v>0</v>
      </c>
      <c r="EI62" s="176">
        <f t="shared" si="5"/>
        <v>0</v>
      </c>
      <c r="EK62" s="176">
        <f t="shared" si="6"/>
        <v>0</v>
      </c>
      <c r="EL62" s="176"/>
      <c r="EM62" s="177"/>
      <c r="EN62" s="178"/>
      <c r="EO62" s="177"/>
      <c r="EP62" s="177"/>
      <c r="EQ62" s="176">
        <f t="shared" si="7"/>
        <v>0</v>
      </c>
      <c r="ER62" s="179">
        <v>23300</v>
      </c>
      <c r="ES62" s="177">
        <v>7.5</v>
      </c>
    </row>
    <row r="63" spans="1:149" x14ac:dyDescent="0.3">
      <c r="A63" s="197">
        <v>58</v>
      </c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247"/>
      <c r="AQ63" s="247"/>
      <c r="AR63" s="247"/>
      <c r="AS63" s="247"/>
      <c r="AT63" s="247"/>
      <c r="AU63" s="247"/>
      <c r="AV63" s="247"/>
      <c r="AW63" s="247"/>
      <c r="AX63" s="247"/>
      <c r="AY63" s="247"/>
      <c r="AZ63" s="247"/>
      <c r="BA63" s="247"/>
      <c r="BB63" s="247"/>
      <c r="BC63" s="247"/>
      <c r="BD63" s="206"/>
      <c r="BE63" s="206"/>
      <c r="BF63" s="206"/>
      <c r="BG63" s="206"/>
      <c r="BH63" s="206"/>
      <c r="BI63" s="206"/>
      <c r="BJ63" s="206"/>
      <c r="BK63" s="206"/>
      <c r="BL63" s="206"/>
      <c r="BM63" s="206"/>
      <c r="BN63" s="206"/>
      <c r="BO63" s="206"/>
      <c r="BP63" s="206"/>
      <c r="BQ63" s="206"/>
      <c r="BR63" s="252"/>
      <c r="BS63" s="252"/>
      <c r="BT63" s="252"/>
      <c r="BU63" s="252"/>
      <c r="BV63" s="252"/>
      <c r="BW63" s="252"/>
      <c r="BX63" s="252"/>
      <c r="BY63" s="252"/>
      <c r="BZ63" s="252"/>
      <c r="CA63" s="252"/>
      <c r="CB63" s="252"/>
      <c r="CC63" s="252"/>
      <c r="CD63" s="252"/>
      <c r="CE63" s="252"/>
      <c r="CF63" s="252"/>
      <c r="CG63" s="252"/>
      <c r="CH63" s="252"/>
      <c r="CI63" s="252"/>
      <c r="CJ63" s="257"/>
      <c r="CK63" s="257"/>
      <c r="CL63" s="257"/>
      <c r="CM63" s="257"/>
      <c r="CN63" s="257"/>
      <c r="CO63" s="257"/>
      <c r="CP63" s="257"/>
      <c r="CQ63" s="257"/>
      <c r="CR63" s="257"/>
      <c r="CS63" s="257"/>
      <c r="CT63" s="257"/>
      <c r="CU63" s="257"/>
      <c r="CV63" s="257"/>
      <c r="CW63" s="257"/>
      <c r="CX63" s="257"/>
      <c r="CY63" s="257"/>
      <c r="CZ63" s="257"/>
      <c r="DA63" s="257"/>
      <c r="DB63" s="202"/>
      <c r="DC63" s="202"/>
      <c r="DD63" s="202"/>
      <c r="DE63" s="202"/>
      <c r="DF63" s="202"/>
      <c r="DG63" s="202"/>
      <c r="DH63" s="202"/>
      <c r="DI63" s="202"/>
      <c r="DJ63" s="202"/>
      <c r="DK63" s="202"/>
      <c r="DL63" s="202"/>
      <c r="DM63" s="202"/>
      <c r="DN63" s="202"/>
      <c r="DO63" s="202"/>
      <c r="DP63" s="202"/>
      <c r="DQ63" s="202"/>
      <c r="DR63" s="202"/>
      <c r="DS63" s="202"/>
      <c r="DT63" s="196"/>
      <c r="DU63" s="196"/>
      <c r="DV63" s="196"/>
      <c r="DW63" s="196"/>
      <c r="DX63" s="196"/>
      <c r="DY63" s="196"/>
      <c r="DZ63" s="196"/>
      <c r="EA63" s="196"/>
      <c r="EB63" s="176">
        <f t="shared" si="0"/>
        <v>0</v>
      </c>
      <c r="EC63" s="176">
        <f t="shared" si="1"/>
        <v>0</v>
      </c>
      <c r="ED63" s="176">
        <f t="shared" si="2"/>
        <v>0</v>
      </c>
      <c r="EE63" s="176">
        <f t="shared" si="3"/>
        <v>0</v>
      </c>
      <c r="EG63" s="129">
        <f t="shared" si="4"/>
        <v>0</v>
      </c>
      <c r="EI63" s="176">
        <f t="shared" si="5"/>
        <v>0</v>
      </c>
      <c r="EK63" s="176">
        <f t="shared" si="6"/>
        <v>0</v>
      </c>
      <c r="EL63" s="176"/>
      <c r="EM63" s="177"/>
      <c r="EN63" s="178"/>
      <c r="EO63" s="177"/>
      <c r="EP63" s="177"/>
      <c r="EQ63" s="176">
        <f t="shared" si="7"/>
        <v>0</v>
      </c>
      <c r="ER63" s="179">
        <v>23300</v>
      </c>
      <c r="ES63" s="177">
        <v>7.5</v>
      </c>
    </row>
    <row r="64" spans="1:149" x14ac:dyDescent="0.3">
      <c r="A64" s="197">
        <v>59</v>
      </c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247"/>
      <c r="AQ64" s="247"/>
      <c r="AR64" s="247"/>
      <c r="AS64" s="247"/>
      <c r="AT64" s="247"/>
      <c r="AU64" s="247"/>
      <c r="AV64" s="247"/>
      <c r="AW64" s="247"/>
      <c r="AX64" s="247"/>
      <c r="AY64" s="247"/>
      <c r="AZ64" s="247"/>
      <c r="BA64" s="247"/>
      <c r="BB64" s="247"/>
      <c r="BC64" s="247"/>
      <c r="BD64" s="206"/>
      <c r="BE64" s="206"/>
      <c r="BF64" s="206"/>
      <c r="BG64" s="206"/>
      <c r="BH64" s="206"/>
      <c r="BI64" s="206"/>
      <c r="BJ64" s="206"/>
      <c r="BK64" s="206"/>
      <c r="BL64" s="206"/>
      <c r="BM64" s="206"/>
      <c r="BN64" s="206"/>
      <c r="BO64" s="206"/>
      <c r="BP64" s="206"/>
      <c r="BQ64" s="206"/>
      <c r="BR64" s="252"/>
      <c r="BS64" s="252"/>
      <c r="BT64" s="252"/>
      <c r="BU64" s="252"/>
      <c r="BV64" s="252"/>
      <c r="BW64" s="252"/>
      <c r="BX64" s="252"/>
      <c r="BY64" s="252"/>
      <c r="BZ64" s="252"/>
      <c r="CA64" s="252"/>
      <c r="CB64" s="252"/>
      <c r="CC64" s="252"/>
      <c r="CD64" s="252"/>
      <c r="CE64" s="252"/>
      <c r="CF64" s="252"/>
      <c r="CG64" s="252"/>
      <c r="CH64" s="252"/>
      <c r="CI64" s="252"/>
      <c r="CJ64" s="257"/>
      <c r="CK64" s="257"/>
      <c r="CL64" s="257"/>
      <c r="CM64" s="257"/>
      <c r="CN64" s="257"/>
      <c r="CO64" s="257"/>
      <c r="CP64" s="257"/>
      <c r="CQ64" s="257"/>
      <c r="CR64" s="257"/>
      <c r="CS64" s="257"/>
      <c r="CT64" s="257"/>
      <c r="CU64" s="257"/>
      <c r="CV64" s="257"/>
      <c r="CW64" s="257"/>
      <c r="CX64" s="257"/>
      <c r="CY64" s="257"/>
      <c r="CZ64" s="257"/>
      <c r="DA64" s="257"/>
      <c r="DB64" s="202"/>
      <c r="DC64" s="202"/>
      <c r="DD64" s="202"/>
      <c r="DE64" s="202"/>
      <c r="DF64" s="202"/>
      <c r="DG64" s="202"/>
      <c r="DH64" s="202"/>
      <c r="DI64" s="202"/>
      <c r="DJ64" s="202"/>
      <c r="DK64" s="202"/>
      <c r="DL64" s="202"/>
      <c r="DM64" s="202"/>
      <c r="DN64" s="202"/>
      <c r="DO64" s="202"/>
      <c r="DP64" s="202"/>
      <c r="DQ64" s="202"/>
      <c r="DR64" s="202"/>
      <c r="DS64" s="202"/>
      <c r="DT64" s="196"/>
      <c r="DU64" s="196"/>
      <c r="DV64" s="196"/>
      <c r="DW64" s="196"/>
      <c r="DX64" s="196"/>
      <c r="DY64" s="196"/>
      <c r="DZ64" s="196"/>
      <c r="EA64" s="196"/>
      <c r="EB64" s="176">
        <f t="shared" si="0"/>
        <v>0</v>
      </c>
      <c r="EC64" s="176">
        <f t="shared" si="1"/>
        <v>0</v>
      </c>
      <c r="ED64" s="176">
        <f t="shared" si="2"/>
        <v>0</v>
      </c>
      <c r="EE64" s="176">
        <f t="shared" si="3"/>
        <v>0</v>
      </c>
      <c r="EG64" s="129">
        <f t="shared" si="4"/>
        <v>0</v>
      </c>
      <c r="EI64" s="176">
        <f t="shared" si="5"/>
        <v>0</v>
      </c>
      <c r="EK64" s="176">
        <f t="shared" si="6"/>
        <v>0</v>
      </c>
      <c r="EL64" s="176"/>
      <c r="EM64" s="177"/>
      <c r="EN64" s="178"/>
      <c r="EO64" s="177"/>
      <c r="EP64" s="177"/>
      <c r="EQ64" s="176">
        <f t="shared" si="7"/>
        <v>0</v>
      </c>
      <c r="ER64" s="179">
        <v>23300</v>
      </c>
      <c r="ES64" s="177">
        <v>7.5</v>
      </c>
    </row>
    <row r="65" spans="1:149" x14ac:dyDescent="0.3">
      <c r="A65" s="197">
        <v>60</v>
      </c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247"/>
      <c r="AQ65" s="247"/>
      <c r="AR65" s="247"/>
      <c r="AS65" s="247"/>
      <c r="AT65" s="247"/>
      <c r="AU65" s="247"/>
      <c r="AV65" s="247"/>
      <c r="AW65" s="247"/>
      <c r="AX65" s="247"/>
      <c r="AY65" s="247"/>
      <c r="AZ65" s="247"/>
      <c r="BA65" s="247"/>
      <c r="BB65" s="247"/>
      <c r="BC65" s="247"/>
      <c r="BD65" s="206"/>
      <c r="BE65" s="206"/>
      <c r="BF65" s="206"/>
      <c r="BG65" s="206"/>
      <c r="BH65" s="206"/>
      <c r="BI65" s="206"/>
      <c r="BJ65" s="206"/>
      <c r="BK65" s="206"/>
      <c r="BL65" s="206"/>
      <c r="BM65" s="206"/>
      <c r="BN65" s="206"/>
      <c r="BO65" s="206"/>
      <c r="BP65" s="206"/>
      <c r="BQ65" s="206"/>
      <c r="BR65" s="252"/>
      <c r="BS65" s="252"/>
      <c r="BT65" s="252"/>
      <c r="BU65" s="252"/>
      <c r="BV65" s="252"/>
      <c r="BW65" s="252"/>
      <c r="BX65" s="252"/>
      <c r="BY65" s="252"/>
      <c r="BZ65" s="252"/>
      <c r="CA65" s="252"/>
      <c r="CB65" s="252"/>
      <c r="CC65" s="252"/>
      <c r="CD65" s="252"/>
      <c r="CE65" s="252"/>
      <c r="CF65" s="252"/>
      <c r="CG65" s="252"/>
      <c r="CH65" s="252"/>
      <c r="CI65" s="252"/>
      <c r="CJ65" s="257"/>
      <c r="CK65" s="257"/>
      <c r="CL65" s="257"/>
      <c r="CM65" s="257"/>
      <c r="CN65" s="257"/>
      <c r="CO65" s="257"/>
      <c r="CP65" s="257"/>
      <c r="CQ65" s="257"/>
      <c r="CR65" s="257"/>
      <c r="CS65" s="257"/>
      <c r="CT65" s="257"/>
      <c r="CU65" s="257"/>
      <c r="CV65" s="257"/>
      <c r="CW65" s="257"/>
      <c r="CX65" s="257"/>
      <c r="CY65" s="257"/>
      <c r="CZ65" s="257"/>
      <c r="DA65" s="257"/>
      <c r="DB65" s="202"/>
      <c r="DC65" s="202"/>
      <c r="DD65" s="202"/>
      <c r="DE65" s="202"/>
      <c r="DF65" s="202"/>
      <c r="DG65" s="202"/>
      <c r="DH65" s="202"/>
      <c r="DI65" s="202"/>
      <c r="DJ65" s="202"/>
      <c r="DK65" s="202"/>
      <c r="DL65" s="202"/>
      <c r="DM65" s="202"/>
      <c r="DN65" s="202"/>
      <c r="DO65" s="202"/>
      <c r="DP65" s="202"/>
      <c r="DQ65" s="202"/>
      <c r="DR65" s="202"/>
      <c r="DS65" s="202"/>
      <c r="DT65" s="196"/>
      <c r="DU65" s="196"/>
      <c r="DV65" s="196"/>
      <c r="DW65" s="196"/>
      <c r="DX65" s="196"/>
      <c r="DY65" s="196"/>
      <c r="DZ65" s="196"/>
      <c r="EA65" s="196"/>
      <c r="EB65" s="176">
        <f t="shared" si="0"/>
        <v>0</v>
      </c>
      <c r="EC65" s="176">
        <f t="shared" si="1"/>
        <v>0</v>
      </c>
      <c r="ED65" s="176">
        <f t="shared" si="2"/>
        <v>0</v>
      </c>
      <c r="EE65" s="176">
        <f t="shared" si="3"/>
        <v>0</v>
      </c>
      <c r="EG65" s="129">
        <f t="shared" si="4"/>
        <v>0</v>
      </c>
      <c r="EI65" s="176">
        <f t="shared" si="5"/>
        <v>0</v>
      </c>
      <c r="EK65" s="176">
        <f t="shared" si="6"/>
        <v>0</v>
      </c>
      <c r="EL65" s="176"/>
      <c r="EM65" s="177"/>
      <c r="EN65" s="178"/>
      <c r="EO65" s="177"/>
      <c r="EP65" s="177"/>
      <c r="EQ65" s="176">
        <f t="shared" si="7"/>
        <v>0</v>
      </c>
      <c r="ER65" s="179">
        <v>23300</v>
      </c>
      <c r="ES65" s="177">
        <v>7.5</v>
      </c>
    </row>
    <row r="66" spans="1:149" x14ac:dyDescent="0.3">
      <c r="A66" s="197">
        <v>61</v>
      </c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247"/>
      <c r="AQ66" s="247"/>
      <c r="AR66" s="247"/>
      <c r="AS66" s="247"/>
      <c r="AT66" s="247"/>
      <c r="AU66" s="247"/>
      <c r="AV66" s="247"/>
      <c r="AW66" s="247"/>
      <c r="AX66" s="247"/>
      <c r="AY66" s="247"/>
      <c r="AZ66" s="247"/>
      <c r="BA66" s="247"/>
      <c r="BB66" s="247"/>
      <c r="BC66" s="247"/>
      <c r="BD66" s="206"/>
      <c r="BE66" s="206"/>
      <c r="BF66" s="206"/>
      <c r="BG66" s="206"/>
      <c r="BH66" s="206"/>
      <c r="BI66" s="206"/>
      <c r="BJ66" s="206"/>
      <c r="BK66" s="206"/>
      <c r="BL66" s="206"/>
      <c r="BM66" s="206"/>
      <c r="BN66" s="206"/>
      <c r="BO66" s="206"/>
      <c r="BP66" s="206"/>
      <c r="BQ66" s="206"/>
      <c r="BR66" s="252"/>
      <c r="BS66" s="252"/>
      <c r="BT66" s="252"/>
      <c r="BU66" s="252"/>
      <c r="BV66" s="252"/>
      <c r="BW66" s="252"/>
      <c r="BX66" s="252"/>
      <c r="BY66" s="252"/>
      <c r="BZ66" s="252"/>
      <c r="CA66" s="252"/>
      <c r="CB66" s="252"/>
      <c r="CC66" s="252"/>
      <c r="CD66" s="252"/>
      <c r="CE66" s="252"/>
      <c r="CF66" s="252"/>
      <c r="CG66" s="252"/>
      <c r="CH66" s="252"/>
      <c r="CI66" s="252"/>
      <c r="CJ66" s="257"/>
      <c r="CK66" s="257"/>
      <c r="CL66" s="257"/>
      <c r="CM66" s="257"/>
      <c r="CN66" s="257"/>
      <c r="CO66" s="257"/>
      <c r="CP66" s="257"/>
      <c r="CQ66" s="257"/>
      <c r="CR66" s="257"/>
      <c r="CS66" s="257"/>
      <c r="CT66" s="257"/>
      <c r="CU66" s="257"/>
      <c r="CV66" s="257"/>
      <c r="CW66" s="257"/>
      <c r="CX66" s="257"/>
      <c r="CY66" s="257"/>
      <c r="CZ66" s="257"/>
      <c r="DA66" s="257"/>
      <c r="DB66" s="202"/>
      <c r="DC66" s="202"/>
      <c r="DD66" s="202"/>
      <c r="DE66" s="202"/>
      <c r="DF66" s="202"/>
      <c r="DG66" s="202"/>
      <c r="DH66" s="202"/>
      <c r="DI66" s="202"/>
      <c r="DJ66" s="202"/>
      <c r="DK66" s="202"/>
      <c r="DL66" s="202"/>
      <c r="DM66" s="202"/>
      <c r="DN66" s="202"/>
      <c r="DO66" s="202"/>
      <c r="DP66" s="202"/>
      <c r="DQ66" s="202"/>
      <c r="DR66" s="202"/>
      <c r="DS66" s="202"/>
      <c r="DT66" s="196"/>
      <c r="DU66" s="196"/>
      <c r="DV66" s="196"/>
      <c r="DW66" s="196"/>
      <c r="DX66" s="196"/>
      <c r="DY66" s="196"/>
      <c r="DZ66" s="196"/>
      <c r="EA66" s="196"/>
      <c r="EB66" s="176">
        <f t="shared" si="0"/>
        <v>0</v>
      </c>
      <c r="EC66" s="176">
        <f t="shared" si="1"/>
        <v>0</v>
      </c>
      <c r="ED66" s="176">
        <f t="shared" si="2"/>
        <v>0</v>
      </c>
      <c r="EE66" s="176">
        <f t="shared" si="3"/>
        <v>0</v>
      </c>
      <c r="EG66" s="129">
        <f t="shared" si="4"/>
        <v>0</v>
      </c>
      <c r="EI66" s="176">
        <f t="shared" si="5"/>
        <v>0</v>
      </c>
      <c r="EK66" s="176">
        <f t="shared" si="6"/>
        <v>0</v>
      </c>
      <c r="EL66" s="176"/>
      <c r="EM66" s="177"/>
      <c r="EN66" s="178"/>
      <c r="EO66" s="177"/>
      <c r="EP66" s="177"/>
      <c r="EQ66" s="176">
        <f t="shared" si="7"/>
        <v>0</v>
      </c>
      <c r="ER66" s="179">
        <v>23300</v>
      </c>
      <c r="ES66" s="177">
        <v>7.5</v>
      </c>
    </row>
    <row r="67" spans="1:149" x14ac:dyDescent="0.3">
      <c r="A67" s="197">
        <v>62</v>
      </c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247"/>
      <c r="AQ67" s="247"/>
      <c r="AR67" s="247"/>
      <c r="AS67" s="247"/>
      <c r="AT67" s="247"/>
      <c r="AU67" s="247"/>
      <c r="AV67" s="247"/>
      <c r="AW67" s="247"/>
      <c r="AX67" s="247"/>
      <c r="AY67" s="247"/>
      <c r="AZ67" s="247"/>
      <c r="BA67" s="247"/>
      <c r="BB67" s="247"/>
      <c r="BC67" s="247"/>
      <c r="BD67" s="206"/>
      <c r="BE67" s="206"/>
      <c r="BF67" s="206"/>
      <c r="BG67" s="206"/>
      <c r="BH67" s="206"/>
      <c r="BI67" s="206"/>
      <c r="BJ67" s="206"/>
      <c r="BK67" s="206"/>
      <c r="BL67" s="206"/>
      <c r="BM67" s="206"/>
      <c r="BN67" s="206"/>
      <c r="BO67" s="206"/>
      <c r="BP67" s="206"/>
      <c r="BQ67" s="206"/>
      <c r="BR67" s="252"/>
      <c r="BS67" s="252"/>
      <c r="BT67" s="252"/>
      <c r="BU67" s="252"/>
      <c r="BV67" s="252"/>
      <c r="BW67" s="252"/>
      <c r="BX67" s="252"/>
      <c r="BY67" s="252"/>
      <c r="BZ67" s="252"/>
      <c r="CA67" s="252"/>
      <c r="CB67" s="252"/>
      <c r="CC67" s="252"/>
      <c r="CD67" s="252"/>
      <c r="CE67" s="252"/>
      <c r="CF67" s="252"/>
      <c r="CG67" s="252"/>
      <c r="CH67" s="252"/>
      <c r="CI67" s="252"/>
      <c r="CJ67" s="257"/>
      <c r="CK67" s="257"/>
      <c r="CL67" s="257"/>
      <c r="CM67" s="257"/>
      <c r="CN67" s="257"/>
      <c r="CO67" s="257"/>
      <c r="CP67" s="257"/>
      <c r="CQ67" s="257"/>
      <c r="CR67" s="257"/>
      <c r="CS67" s="257"/>
      <c r="CT67" s="257"/>
      <c r="CU67" s="257"/>
      <c r="CV67" s="257"/>
      <c r="CW67" s="257"/>
      <c r="CX67" s="257"/>
      <c r="CY67" s="257"/>
      <c r="CZ67" s="257"/>
      <c r="DA67" s="257"/>
      <c r="DB67" s="202"/>
      <c r="DC67" s="202"/>
      <c r="DD67" s="202"/>
      <c r="DE67" s="202"/>
      <c r="DF67" s="202"/>
      <c r="DG67" s="202"/>
      <c r="DH67" s="202"/>
      <c r="DI67" s="202"/>
      <c r="DJ67" s="202"/>
      <c r="DK67" s="202"/>
      <c r="DL67" s="202"/>
      <c r="DM67" s="202"/>
      <c r="DN67" s="202"/>
      <c r="DO67" s="202"/>
      <c r="DP67" s="202"/>
      <c r="DQ67" s="202"/>
      <c r="DR67" s="202"/>
      <c r="DS67" s="202"/>
      <c r="DT67" s="196"/>
      <c r="DU67" s="196"/>
      <c r="DV67" s="196"/>
      <c r="DW67" s="196"/>
      <c r="DX67" s="196"/>
      <c r="DY67" s="196"/>
      <c r="DZ67" s="196"/>
      <c r="EA67" s="196"/>
      <c r="EB67" s="176">
        <f t="shared" si="0"/>
        <v>0</v>
      </c>
      <c r="EC67" s="176">
        <f t="shared" si="1"/>
        <v>0</v>
      </c>
      <c r="ED67" s="176">
        <f t="shared" si="2"/>
        <v>0</v>
      </c>
      <c r="EE67" s="176">
        <f t="shared" si="3"/>
        <v>0</v>
      </c>
      <c r="EG67" s="129">
        <f t="shared" si="4"/>
        <v>0</v>
      </c>
      <c r="EI67" s="176">
        <f t="shared" si="5"/>
        <v>0</v>
      </c>
      <c r="EK67" s="176">
        <f t="shared" si="6"/>
        <v>0</v>
      </c>
      <c r="EL67" s="176"/>
      <c r="EM67" s="177"/>
      <c r="EN67" s="178"/>
      <c r="EO67" s="177"/>
      <c r="EP67" s="177"/>
      <c r="EQ67" s="176">
        <f t="shared" si="7"/>
        <v>0</v>
      </c>
      <c r="ER67" s="179">
        <v>23300</v>
      </c>
      <c r="ES67" s="177">
        <v>7.5</v>
      </c>
    </row>
    <row r="68" spans="1:149" x14ac:dyDescent="0.3">
      <c r="A68" s="197">
        <v>63</v>
      </c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247"/>
      <c r="AQ68" s="247"/>
      <c r="AR68" s="247"/>
      <c r="AS68" s="247"/>
      <c r="AT68" s="247"/>
      <c r="AU68" s="247"/>
      <c r="AV68" s="247"/>
      <c r="AW68" s="247"/>
      <c r="AX68" s="247"/>
      <c r="AY68" s="247"/>
      <c r="AZ68" s="247"/>
      <c r="BA68" s="247"/>
      <c r="BB68" s="247"/>
      <c r="BC68" s="247"/>
      <c r="BD68" s="206"/>
      <c r="BE68" s="206"/>
      <c r="BF68" s="206"/>
      <c r="BG68" s="206"/>
      <c r="BH68" s="206"/>
      <c r="BI68" s="206"/>
      <c r="BJ68" s="206"/>
      <c r="BK68" s="206"/>
      <c r="BL68" s="206"/>
      <c r="BM68" s="206"/>
      <c r="BN68" s="206"/>
      <c r="BO68" s="206"/>
      <c r="BP68" s="206"/>
      <c r="BQ68" s="206"/>
      <c r="BR68" s="252"/>
      <c r="BS68" s="252"/>
      <c r="BT68" s="252"/>
      <c r="BU68" s="252"/>
      <c r="BV68" s="252"/>
      <c r="BW68" s="252"/>
      <c r="BX68" s="252"/>
      <c r="BY68" s="252"/>
      <c r="BZ68" s="252"/>
      <c r="CA68" s="252"/>
      <c r="CB68" s="252"/>
      <c r="CC68" s="252"/>
      <c r="CD68" s="252"/>
      <c r="CE68" s="252"/>
      <c r="CF68" s="252"/>
      <c r="CG68" s="252"/>
      <c r="CH68" s="252"/>
      <c r="CI68" s="252"/>
      <c r="CJ68" s="257"/>
      <c r="CK68" s="257"/>
      <c r="CL68" s="257"/>
      <c r="CM68" s="257"/>
      <c r="CN68" s="257"/>
      <c r="CO68" s="257"/>
      <c r="CP68" s="257"/>
      <c r="CQ68" s="257"/>
      <c r="CR68" s="257"/>
      <c r="CS68" s="257"/>
      <c r="CT68" s="257"/>
      <c r="CU68" s="257"/>
      <c r="CV68" s="257"/>
      <c r="CW68" s="257"/>
      <c r="CX68" s="257"/>
      <c r="CY68" s="257"/>
      <c r="CZ68" s="257"/>
      <c r="DA68" s="257"/>
      <c r="DB68" s="202"/>
      <c r="DC68" s="202"/>
      <c r="DD68" s="202"/>
      <c r="DE68" s="202"/>
      <c r="DF68" s="202"/>
      <c r="DG68" s="202"/>
      <c r="DH68" s="202"/>
      <c r="DI68" s="202"/>
      <c r="DJ68" s="202"/>
      <c r="DK68" s="202"/>
      <c r="DL68" s="202"/>
      <c r="DM68" s="202"/>
      <c r="DN68" s="202"/>
      <c r="DO68" s="202"/>
      <c r="DP68" s="202"/>
      <c r="DQ68" s="202"/>
      <c r="DR68" s="202"/>
      <c r="DS68" s="202"/>
      <c r="DT68" s="196"/>
      <c r="DU68" s="196"/>
      <c r="DV68" s="196"/>
      <c r="DW68" s="196"/>
      <c r="DX68" s="196"/>
      <c r="DY68" s="196"/>
      <c r="DZ68" s="196"/>
      <c r="EA68" s="196"/>
      <c r="EB68" s="176">
        <f t="shared" si="0"/>
        <v>0</v>
      </c>
      <c r="EC68" s="176">
        <f t="shared" si="1"/>
        <v>0</v>
      </c>
      <c r="ED68" s="176">
        <f t="shared" si="2"/>
        <v>0</v>
      </c>
      <c r="EE68" s="176">
        <f t="shared" si="3"/>
        <v>0</v>
      </c>
      <c r="EG68" s="129">
        <f t="shared" si="4"/>
        <v>0</v>
      </c>
      <c r="EI68" s="176">
        <f t="shared" si="5"/>
        <v>0</v>
      </c>
      <c r="EK68" s="176">
        <f t="shared" si="6"/>
        <v>0</v>
      </c>
      <c r="EL68" s="176"/>
      <c r="EM68" s="177"/>
      <c r="EN68" s="178"/>
      <c r="EO68" s="177"/>
      <c r="EP68" s="177"/>
      <c r="EQ68" s="176">
        <f t="shared" si="7"/>
        <v>0</v>
      </c>
      <c r="ER68" s="179">
        <v>23300</v>
      </c>
      <c r="ES68" s="177">
        <v>7.5</v>
      </c>
    </row>
    <row r="69" spans="1:149" x14ac:dyDescent="0.3">
      <c r="A69" s="197">
        <v>64</v>
      </c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247"/>
      <c r="AQ69" s="247"/>
      <c r="AR69" s="247"/>
      <c r="AS69" s="247"/>
      <c r="AT69" s="247"/>
      <c r="AU69" s="247"/>
      <c r="AV69" s="247"/>
      <c r="AW69" s="247"/>
      <c r="AX69" s="247"/>
      <c r="AY69" s="247"/>
      <c r="AZ69" s="247"/>
      <c r="BA69" s="247"/>
      <c r="BB69" s="247"/>
      <c r="BC69" s="247"/>
      <c r="BD69" s="206"/>
      <c r="BE69" s="206"/>
      <c r="BF69" s="206"/>
      <c r="BG69" s="206"/>
      <c r="BH69" s="206"/>
      <c r="BI69" s="206"/>
      <c r="BJ69" s="206"/>
      <c r="BK69" s="206"/>
      <c r="BL69" s="206"/>
      <c r="BM69" s="206"/>
      <c r="BN69" s="206"/>
      <c r="BO69" s="206"/>
      <c r="BP69" s="206"/>
      <c r="BQ69" s="206"/>
      <c r="BR69" s="252"/>
      <c r="BS69" s="252"/>
      <c r="BT69" s="252"/>
      <c r="BU69" s="252"/>
      <c r="BV69" s="252"/>
      <c r="BW69" s="252"/>
      <c r="BX69" s="252"/>
      <c r="BY69" s="252"/>
      <c r="BZ69" s="252"/>
      <c r="CA69" s="252"/>
      <c r="CB69" s="252"/>
      <c r="CC69" s="252"/>
      <c r="CD69" s="252"/>
      <c r="CE69" s="252"/>
      <c r="CF69" s="252"/>
      <c r="CG69" s="252"/>
      <c r="CH69" s="252"/>
      <c r="CI69" s="252"/>
      <c r="CJ69" s="257"/>
      <c r="CK69" s="257"/>
      <c r="CL69" s="257"/>
      <c r="CM69" s="257"/>
      <c r="CN69" s="257"/>
      <c r="CO69" s="257"/>
      <c r="CP69" s="257"/>
      <c r="CQ69" s="257"/>
      <c r="CR69" s="257"/>
      <c r="CS69" s="257"/>
      <c r="CT69" s="257"/>
      <c r="CU69" s="257"/>
      <c r="CV69" s="257"/>
      <c r="CW69" s="257"/>
      <c r="CX69" s="257"/>
      <c r="CY69" s="257"/>
      <c r="CZ69" s="257"/>
      <c r="DA69" s="257"/>
      <c r="DB69" s="202"/>
      <c r="DC69" s="202"/>
      <c r="DD69" s="202"/>
      <c r="DE69" s="202"/>
      <c r="DF69" s="202"/>
      <c r="DG69" s="202"/>
      <c r="DH69" s="202"/>
      <c r="DI69" s="202"/>
      <c r="DJ69" s="202"/>
      <c r="DK69" s="202"/>
      <c r="DL69" s="202"/>
      <c r="DM69" s="202"/>
      <c r="DN69" s="202"/>
      <c r="DO69" s="202"/>
      <c r="DP69" s="202"/>
      <c r="DQ69" s="202"/>
      <c r="DR69" s="202"/>
      <c r="DS69" s="202"/>
      <c r="DT69" s="196"/>
      <c r="DU69" s="196"/>
      <c r="DV69" s="196"/>
      <c r="DW69" s="196"/>
      <c r="DX69" s="196"/>
      <c r="DY69" s="196"/>
      <c r="DZ69" s="196"/>
      <c r="EA69" s="196"/>
      <c r="EB69" s="176">
        <f t="shared" si="0"/>
        <v>0</v>
      </c>
      <c r="EC69" s="176">
        <f t="shared" si="1"/>
        <v>0</v>
      </c>
      <c r="ED69" s="176">
        <f t="shared" si="2"/>
        <v>0</v>
      </c>
      <c r="EE69" s="176">
        <f t="shared" si="3"/>
        <v>0</v>
      </c>
      <c r="EG69" s="129">
        <f t="shared" si="4"/>
        <v>0</v>
      </c>
      <c r="EI69" s="176">
        <f t="shared" si="5"/>
        <v>0</v>
      </c>
      <c r="EK69" s="176">
        <f t="shared" si="6"/>
        <v>0</v>
      </c>
      <c r="EL69" s="176"/>
      <c r="EM69" s="177"/>
      <c r="EN69" s="178"/>
      <c r="EO69" s="177"/>
      <c r="EP69" s="177"/>
      <c r="EQ69" s="176">
        <f t="shared" si="7"/>
        <v>0</v>
      </c>
      <c r="ER69" s="179">
        <v>23300</v>
      </c>
      <c r="ES69" s="177">
        <v>7.5</v>
      </c>
    </row>
    <row r="70" spans="1:149" x14ac:dyDescent="0.3">
      <c r="A70" s="197">
        <v>65</v>
      </c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247"/>
      <c r="AQ70" s="247"/>
      <c r="AR70" s="247"/>
      <c r="AS70" s="247"/>
      <c r="AT70" s="247"/>
      <c r="AU70" s="247"/>
      <c r="AV70" s="247"/>
      <c r="AW70" s="247"/>
      <c r="AX70" s="247"/>
      <c r="AY70" s="247"/>
      <c r="AZ70" s="247"/>
      <c r="BA70" s="247"/>
      <c r="BB70" s="247"/>
      <c r="BC70" s="247"/>
      <c r="BD70" s="206"/>
      <c r="BE70" s="206"/>
      <c r="BF70" s="206"/>
      <c r="BG70" s="206"/>
      <c r="BH70" s="206"/>
      <c r="BI70" s="206"/>
      <c r="BJ70" s="206"/>
      <c r="BK70" s="206"/>
      <c r="BL70" s="206"/>
      <c r="BM70" s="206"/>
      <c r="BN70" s="206"/>
      <c r="BO70" s="206"/>
      <c r="BP70" s="206"/>
      <c r="BQ70" s="206"/>
      <c r="BR70" s="252"/>
      <c r="BS70" s="252"/>
      <c r="BT70" s="252"/>
      <c r="BU70" s="252"/>
      <c r="BV70" s="252"/>
      <c r="BW70" s="252"/>
      <c r="BX70" s="252"/>
      <c r="BY70" s="252"/>
      <c r="BZ70" s="252"/>
      <c r="CA70" s="252"/>
      <c r="CB70" s="252"/>
      <c r="CC70" s="252"/>
      <c r="CD70" s="252"/>
      <c r="CE70" s="252"/>
      <c r="CF70" s="252"/>
      <c r="CG70" s="252"/>
      <c r="CH70" s="252"/>
      <c r="CI70" s="252"/>
      <c r="CJ70" s="257"/>
      <c r="CK70" s="257"/>
      <c r="CL70" s="257"/>
      <c r="CM70" s="257"/>
      <c r="CN70" s="257"/>
      <c r="CO70" s="257"/>
      <c r="CP70" s="257"/>
      <c r="CQ70" s="257"/>
      <c r="CR70" s="257"/>
      <c r="CS70" s="257"/>
      <c r="CT70" s="257"/>
      <c r="CU70" s="257"/>
      <c r="CV70" s="257"/>
      <c r="CW70" s="257"/>
      <c r="CX70" s="257"/>
      <c r="CY70" s="257"/>
      <c r="CZ70" s="257"/>
      <c r="DA70" s="257"/>
      <c r="DB70" s="202"/>
      <c r="DC70" s="202"/>
      <c r="DD70" s="202"/>
      <c r="DE70" s="202"/>
      <c r="DF70" s="202"/>
      <c r="DG70" s="202"/>
      <c r="DH70" s="202"/>
      <c r="DI70" s="202"/>
      <c r="DJ70" s="202"/>
      <c r="DK70" s="202"/>
      <c r="DL70" s="202"/>
      <c r="DM70" s="202"/>
      <c r="DN70" s="202"/>
      <c r="DO70" s="202"/>
      <c r="DP70" s="202"/>
      <c r="DQ70" s="202"/>
      <c r="DR70" s="202"/>
      <c r="DS70" s="202"/>
      <c r="DT70" s="196"/>
      <c r="DU70" s="196"/>
      <c r="DV70" s="196"/>
      <c r="DW70" s="196"/>
      <c r="DX70" s="196"/>
      <c r="DY70" s="196"/>
      <c r="DZ70" s="196"/>
      <c r="EA70" s="196"/>
      <c r="EB70" s="176">
        <f t="shared" ref="EB70:EB133" si="8">AB70+AC70*K70+AD70*K70+((AF70+AG70+AH70+AJ70+AK70)*K70+AE70+AI70+AL70*K70+AM70*K70)+AP70+AQ70*L70+AR70*L70+((AT70+AU70+AV70+AX70+AY70)*L70+AS70+AW70+AZ70*L70+BA70*L70)+IF(AND(M70&gt;0,MAX(M70,N70/1000)&lt;1),BD70+1*(BE70+BF70)+(1*(BH70+BI70+BJ70+BL70+BM70)+BG70+BK70+BN70+BO70),IF(AND(M70&gt;0,MAX(M70,N70/1000)&gt;1),BD70+MAX(M70,N70/1000)*(BE70+BF70)+(MAX(M70,N70/1000)*(BH70+BI70+BJ70+BL70+BM70)+BG70+BK70+BN70+BO70),IF(AND(K70="",L70="",M70=""),BD70+N70*(BE70+BF70)+((BH70+BI70+BJ70+BL70+BM70)*N70+BG70+BK70+BN70+BO70),0)))</f>
        <v>0</v>
      </c>
      <c r="EC70" s="176">
        <f t="shared" ref="EC70:EC133" si="9">BR70+BS70*K70+BT70*K70+((BV70+BW70+BX70+BZ70+CA70)*K70+BU70+BY70+CB70*K70+CC70*K70)+CJ70+CK70*L70+CL70*L70+((CN70+CO70+CP70+CR70+CS70)*L70+CM70+CQ70+CT70*L70+CU70*L70)+IF(AND(M70&gt;0,MAX(M70,N70/1000)&lt;1),DB70+1*(DC70+DD70)+(1*(DF70+DG70+DH70+DJ70+DK70)+DE70+DI70+DL70+DM70),IF(AND(M70&gt;0,MAX(M70,N70/1000)&gt;1),DB70+MAX(M70,N70/1000)*(DC70+DD70)+(MAX(M70,N70/1000)*(DF70+DG70+DH70+DJ70+DK70)+DE70+DI70+DL70+DM70),IF(AND(K70="",L70="",M70=""),DB70+N70*(DC70+DD70)+((DF70+DG70+DH70+DJ70+DK70)*N70+DE70+DI70+DL70+DM70),0)))</f>
        <v>0</v>
      </c>
      <c r="ED70" s="176">
        <f t="shared" ref="ED70:ED133" si="10">AN70*K70*(1-AO70%)+BB70*L70*(1-BC70%)+BP70*IF(AND(M70&gt;0,M70&lt;1),1,IF(M70&gt;1,MAX(M70,N70/1000),N70))*(1-BQ70%)</f>
        <v>0</v>
      </c>
      <c r="EE70" s="176">
        <f t="shared" ref="EE70:EE133" si="11">(CD70+CE70*K70)*(1-CF70%)+(CG70+CH70*K70)*(1-CI70%)+(CV70+CW70*L70)*(1-CX70%)+(CY70+CZ70*L70)*(1-DA70%)+(DN70+DO70*IF(AND(M70&gt;0,M70&lt;1),1,IF(M70&gt;1,MAX(M70,N70/1000),N70)))*(1-DP70%)+(DQ70+DR70*IF(AND(M70&gt;0,M70&lt;1),1,IF(M70&gt;1,MAX(M70,N70/1000),N70)))*(1-DS70%)</f>
        <v>0</v>
      </c>
      <c r="EG70" s="129">
        <f t="shared" ref="EG70:EG133" si="12">((BR70+BS70*K70+BT70*K70)+(CJ70+CK70*L70*+CL70*L70)+IF(AND(M70&gt;0,MAX(M70,N70/1000)&lt;1),DB70+DC70+DD70,IF(AND(M70&gt;0,MAX(M70,N70/1000)&gt;1),DB70+DC70*M70+DD70*M70,IF(AND(M70&gt;0,MAX(M70,N70/1000)&gt;1),DB70+MAX(M70,N70/1000)*DC70+MAX(M70,N70/1000)*DD70+IF(AND(K70="",L70="",M70=""),DB70+DC70*N70+DD70*N70,0)))))*EF70/365*ES70%</f>
        <v>0</v>
      </c>
      <c r="EI70" s="176">
        <f t="shared" ref="EI70:EI133" si="13">(((BV70+BW70+BX70+BZ70+CA70)*K70+BU70+BY70)*1.08+CJ70+CK70*L70+CL70*L70+((CN70+CO70+CP70+CR70+CS70)*L70+CM70+CQ70)*1.08+IF(AND(M70&gt;0,MAX(M70,N70/1000)&lt;1),DB70+1*(DC70+DD70)+(1*(DF70+DG70+DH70+DJ70+DK70)+DE70+DI70)*1.08,IF(AND(M70&gt;0,MAX(M70,N70/1000)&gt;1),DB70+MAX(M70,N70/1000)*(DC70+DD70)+(MAX(M70,N70/1000)*(DF70+DG70+DH70+DJ70+DK70)+DE70+DI70)*1.08,IF(AND(K70="",L70="",M70=""),DB70+N70*(DC70+DD70)+((DF70+DG70+DH70+DJ70+DK70)*N70+DE70+DI70)*1.08,0))))*EH70/365*ES70%</f>
        <v>0</v>
      </c>
      <c r="EK70" s="176">
        <f t="shared" ref="EK70:EK133" si="14">((CB70*K70+CC70*K70)*1.1+(CT70*L70+CU70*L70)*1.1+(DL70+DM70)*1.1)*EJ70/365*ES70%</f>
        <v>0</v>
      </c>
      <c r="EL70" s="176"/>
      <c r="EM70" s="177"/>
      <c r="EN70" s="178"/>
      <c r="EO70" s="177"/>
      <c r="EP70" s="177"/>
      <c r="EQ70" s="176">
        <f t="shared" ref="EQ70:EQ133" si="15">EC70-EB70-EG70-EI70-EK70-(AN70*K70+BB70*L70+BP70*IF(AND(M70&gt;0,M70&lt;1),1,IF(M70&gt;1,MAX(M70,N70/1000),N70))+CD70+CE70*K70+CV70+CW70*L70+DN70+DO70*IF(AND(M70&gt;0,M70&lt;1),1,IF(M70&gt;1,MAX(M70,N70/1000),N70))+CG70+CH70*K70+CY70+CZ70*L70+DQ70+DR70*IF(AND(M70&gt;0,M70&lt;1),1,IF(M70&gt;1,MAX(M70,N70/1000),N70)))-EL70-EM70*EN70/365*ES70%-EO70*EP70/365*ES70%</f>
        <v>0</v>
      </c>
      <c r="ER70" s="179">
        <v>23300</v>
      </c>
      <c r="ES70" s="177">
        <v>7.5</v>
      </c>
    </row>
    <row r="71" spans="1:149" x14ac:dyDescent="0.3">
      <c r="A71" s="197">
        <v>66</v>
      </c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247"/>
      <c r="AQ71" s="247"/>
      <c r="AR71" s="247"/>
      <c r="AS71" s="247"/>
      <c r="AT71" s="247"/>
      <c r="AU71" s="247"/>
      <c r="AV71" s="247"/>
      <c r="AW71" s="247"/>
      <c r="AX71" s="247"/>
      <c r="AY71" s="247"/>
      <c r="AZ71" s="247"/>
      <c r="BA71" s="247"/>
      <c r="BB71" s="247"/>
      <c r="BC71" s="247"/>
      <c r="BD71" s="206"/>
      <c r="BE71" s="206"/>
      <c r="BF71" s="206"/>
      <c r="BG71" s="206"/>
      <c r="BH71" s="206"/>
      <c r="BI71" s="206"/>
      <c r="BJ71" s="206"/>
      <c r="BK71" s="206"/>
      <c r="BL71" s="206"/>
      <c r="BM71" s="206"/>
      <c r="BN71" s="206"/>
      <c r="BO71" s="206"/>
      <c r="BP71" s="206"/>
      <c r="BQ71" s="206"/>
      <c r="BR71" s="252"/>
      <c r="BS71" s="252"/>
      <c r="BT71" s="252"/>
      <c r="BU71" s="252"/>
      <c r="BV71" s="252"/>
      <c r="BW71" s="252"/>
      <c r="BX71" s="252"/>
      <c r="BY71" s="252"/>
      <c r="BZ71" s="252"/>
      <c r="CA71" s="252"/>
      <c r="CB71" s="252"/>
      <c r="CC71" s="252"/>
      <c r="CD71" s="252"/>
      <c r="CE71" s="252"/>
      <c r="CF71" s="252"/>
      <c r="CG71" s="252"/>
      <c r="CH71" s="252"/>
      <c r="CI71" s="252"/>
      <c r="CJ71" s="257"/>
      <c r="CK71" s="257"/>
      <c r="CL71" s="257"/>
      <c r="CM71" s="257"/>
      <c r="CN71" s="257"/>
      <c r="CO71" s="257"/>
      <c r="CP71" s="257"/>
      <c r="CQ71" s="257"/>
      <c r="CR71" s="257"/>
      <c r="CS71" s="257"/>
      <c r="CT71" s="257"/>
      <c r="CU71" s="257"/>
      <c r="CV71" s="257"/>
      <c r="CW71" s="257"/>
      <c r="CX71" s="257"/>
      <c r="CY71" s="257"/>
      <c r="CZ71" s="257"/>
      <c r="DA71" s="257"/>
      <c r="DB71" s="202"/>
      <c r="DC71" s="202"/>
      <c r="DD71" s="202"/>
      <c r="DE71" s="202"/>
      <c r="DF71" s="202"/>
      <c r="DG71" s="202"/>
      <c r="DH71" s="202"/>
      <c r="DI71" s="202"/>
      <c r="DJ71" s="202"/>
      <c r="DK71" s="202"/>
      <c r="DL71" s="202"/>
      <c r="DM71" s="202"/>
      <c r="DN71" s="202"/>
      <c r="DO71" s="202"/>
      <c r="DP71" s="202"/>
      <c r="DQ71" s="202"/>
      <c r="DR71" s="202"/>
      <c r="DS71" s="202"/>
      <c r="DT71" s="196"/>
      <c r="DU71" s="196"/>
      <c r="DV71" s="196"/>
      <c r="DW71" s="196"/>
      <c r="DX71" s="196"/>
      <c r="DY71" s="196"/>
      <c r="DZ71" s="196"/>
      <c r="EA71" s="196"/>
      <c r="EB71" s="176">
        <f t="shared" si="8"/>
        <v>0</v>
      </c>
      <c r="EC71" s="176">
        <f t="shared" si="9"/>
        <v>0</v>
      </c>
      <c r="ED71" s="176">
        <f t="shared" si="10"/>
        <v>0</v>
      </c>
      <c r="EE71" s="176">
        <f t="shared" si="11"/>
        <v>0</v>
      </c>
      <c r="EG71" s="129">
        <f t="shared" si="12"/>
        <v>0</v>
      </c>
      <c r="EI71" s="176">
        <f t="shared" si="13"/>
        <v>0</v>
      </c>
      <c r="EK71" s="176">
        <f t="shared" si="14"/>
        <v>0</v>
      </c>
      <c r="EL71" s="176"/>
      <c r="EM71" s="177"/>
      <c r="EN71" s="178"/>
      <c r="EO71" s="177"/>
      <c r="EP71" s="177"/>
      <c r="EQ71" s="176">
        <f t="shared" si="15"/>
        <v>0</v>
      </c>
      <c r="ER71" s="179">
        <v>23300</v>
      </c>
      <c r="ES71" s="177">
        <v>7.5</v>
      </c>
    </row>
    <row r="72" spans="1:149" x14ac:dyDescent="0.3">
      <c r="A72" s="197">
        <v>67</v>
      </c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247"/>
      <c r="AQ72" s="247"/>
      <c r="AR72" s="247"/>
      <c r="AS72" s="247"/>
      <c r="AT72" s="247"/>
      <c r="AU72" s="247"/>
      <c r="AV72" s="247"/>
      <c r="AW72" s="247"/>
      <c r="AX72" s="247"/>
      <c r="AY72" s="247"/>
      <c r="AZ72" s="247"/>
      <c r="BA72" s="247"/>
      <c r="BB72" s="247"/>
      <c r="BC72" s="247"/>
      <c r="BD72" s="206"/>
      <c r="BE72" s="206"/>
      <c r="BF72" s="206"/>
      <c r="BG72" s="206"/>
      <c r="BH72" s="206"/>
      <c r="BI72" s="206"/>
      <c r="BJ72" s="206"/>
      <c r="BK72" s="206"/>
      <c r="BL72" s="206"/>
      <c r="BM72" s="206"/>
      <c r="BN72" s="206"/>
      <c r="BO72" s="206"/>
      <c r="BP72" s="206"/>
      <c r="BQ72" s="206"/>
      <c r="BR72" s="252"/>
      <c r="BS72" s="252"/>
      <c r="BT72" s="252"/>
      <c r="BU72" s="252"/>
      <c r="BV72" s="252"/>
      <c r="BW72" s="252"/>
      <c r="BX72" s="252"/>
      <c r="BY72" s="252"/>
      <c r="BZ72" s="252"/>
      <c r="CA72" s="252"/>
      <c r="CB72" s="252"/>
      <c r="CC72" s="252"/>
      <c r="CD72" s="252"/>
      <c r="CE72" s="252"/>
      <c r="CF72" s="252"/>
      <c r="CG72" s="252"/>
      <c r="CH72" s="252"/>
      <c r="CI72" s="252"/>
      <c r="CJ72" s="257"/>
      <c r="CK72" s="257"/>
      <c r="CL72" s="257"/>
      <c r="CM72" s="257"/>
      <c r="CN72" s="257"/>
      <c r="CO72" s="257"/>
      <c r="CP72" s="257"/>
      <c r="CQ72" s="257"/>
      <c r="CR72" s="257"/>
      <c r="CS72" s="257"/>
      <c r="CT72" s="257"/>
      <c r="CU72" s="257"/>
      <c r="CV72" s="257"/>
      <c r="CW72" s="257"/>
      <c r="CX72" s="257"/>
      <c r="CY72" s="257"/>
      <c r="CZ72" s="257"/>
      <c r="DA72" s="257"/>
      <c r="DB72" s="202"/>
      <c r="DC72" s="202"/>
      <c r="DD72" s="202"/>
      <c r="DE72" s="202"/>
      <c r="DF72" s="202"/>
      <c r="DG72" s="202"/>
      <c r="DH72" s="202"/>
      <c r="DI72" s="202"/>
      <c r="DJ72" s="202"/>
      <c r="DK72" s="202"/>
      <c r="DL72" s="202"/>
      <c r="DM72" s="202"/>
      <c r="DN72" s="202"/>
      <c r="DO72" s="202"/>
      <c r="DP72" s="202"/>
      <c r="DQ72" s="202"/>
      <c r="DR72" s="202"/>
      <c r="DS72" s="202"/>
      <c r="DT72" s="196"/>
      <c r="DU72" s="196"/>
      <c r="DV72" s="196"/>
      <c r="DW72" s="196"/>
      <c r="DX72" s="196"/>
      <c r="DY72" s="196"/>
      <c r="DZ72" s="196"/>
      <c r="EA72" s="196"/>
      <c r="EB72" s="176">
        <f t="shared" si="8"/>
        <v>0</v>
      </c>
      <c r="EC72" s="176">
        <f t="shared" si="9"/>
        <v>0</v>
      </c>
      <c r="ED72" s="176">
        <f t="shared" si="10"/>
        <v>0</v>
      </c>
      <c r="EE72" s="176">
        <f t="shared" si="11"/>
        <v>0</v>
      </c>
      <c r="EG72" s="129">
        <f t="shared" si="12"/>
        <v>0</v>
      </c>
      <c r="EI72" s="176">
        <f t="shared" si="13"/>
        <v>0</v>
      </c>
      <c r="EK72" s="176">
        <f t="shared" si="14"/>
        <v>0</v>
      </c>
      <c r="EL72" s="176"/>
      <c r="EM72" s="177"/>
      <c r="EN72" s="178"/>
      <c r="EO72" s="177"/>
      <c r="EP72" s="177"/>
      <c r="EQ72" s="176">
        <f t="shared" si="15"/>
        <v>0</v>
      </c>
      <c r="ER72" s="179">
        <v>23300</v>
      </c>
      <c r="ES72" s="177">
        <v>7.5</v>
      </c>
    </row>
    <row r="73" spans="1:149" x14ac:dyDescent="0.3">
      <c r="A73" s="197">
        <v>68</v>
      </c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247"/>
      <c r="AQ73" s="247"/>
      <c r="AR73" s="247"/>
      <c r="AS73" s="247"/>
      <c r="AT73" s="247"/>
      <c r="AU73" s="247"/>
      <c r="AV73" s="247"/>
      <c r="AW73" s="247"/>
      <c r="AX73" s="247"/>
      <c r="AY73" s="247"/>
      <c r="AZ73" s="247"/>
      <c r="BA73" s="247"/>
      <c r="BB73" s="247"/>
      <c r="BC73" s="247"/>
      <c r="BD73" s="206"/>
      <c r="BE73" s="206"/>
      <c r="BF73" s="206"/>
      <c r="BG73" s="206"/>
      <c r="BH73" s="206"/>
      <c r="BI73" s="206"/>
      <c r="BJ73" s="206"/>
      <c r="BK73" s="206"/>
      <c r="BL73" s="206"/>
      <c r="BM73" s="206"/>
      <c r="BN73" s="206"/>
      <c r="BO73" s="206"/>
      <c r="BP73" s="206"/>
      <c r="BQ73" s="206"/>
      <c r="BR73" s="252"/>
      <c r="BS73" s="252"/>
      <c r="BT73" s="252"/>
      <c r="BU73" s="252"/>
      <c r="BV73" s="252"/>
      <c r="BW73" s="252"/>
      <c r="BX73" s="252"/>
      <c r="BY73" s="252"/>
      <c r="BZ73" s="252"/>
      <c r="CA73" s="252"/>
      <c r="CB73" s="252"/>
      <c r="CC73" s="252"/>
      <c r="CD73" s="252"/>
      <c r="CE73" s="252"/>
      <c r="CF73" s="252"/>
      <c r="CG73" s="252"/>
      <c r="CH73" s="252"/>
      <c r="CI73" s="252"/>
      <c r="CJ73" s="257"/>
      <c r="CK73" s="257"/>
      <c r="CL73" s="257"/>
      <c r="CM73" s="257"/>
      <c r="CN73" s="257"/>
      <c r="CO73" s="257"/>
      <c r="CP73" s="257"/>
      <c r="CQ73" s="257"/>
      <c r="CR73" s="257"/>
      <c r="CS73" s="257"/>
      <c r="CT73" s="257"/>
      <c r="CU73" s="257"/>
      <c r="CV73" s="257"/>
      <c r="CW73" s="257"/>
      <c r="CX73" s="257"/>
      <c r="CY73" s="257"/>
      <c r="CZ73" s="257"/>
      <c r="DA73" s="257"/>
      <c r="DB73" s="202"/>
      <c r="DC73" s="202"/>
      <c r="DD73" s="202"/>
      <c r="DE73" s="202"/>
      <c r="DF73" s="202"/>
      <c r="DG73" s="202"/>
      <c r="DH73" s="202"/>
      <c r="DI73" s="202"/>
      <c r="DJ73" s="202"/>
      <c r="DK73" s="202"/>
      <c r="DL73" s="202"/>
      <c r="DM73" s="202"/>
      <c r="DN73" s="202"/>
      <c r="DO73" s="202"/>
      <c r="DP73" s="202"/>
      <c r="DQ73" s="202"/>
      <c r="DR73" s="202"/>
      <c r="DS73" s="202"/>
      <c r="DT73" s="196"/>
      <c r="DU73" s="196"/>
      <c r="DV73" s="196"/>
      <c r="DW73" s="196"/>
      <c r="DX73" s="196"/>
      <c r="DY73" s="196"/>
      <c r="DZ73" s="196"/>
      <c r="EA73" s="196"/>
      <c r="EB73" s="176">
        <f t="shared" si="8"/>
        <v>0</v>
      </c>
      <c r="EC73" s="176">
        <f t="shared" si="9"/>
        <v>0</v>
      </c>
      <c r="ED73" s="176">
        <f t="shared" si="10"/>
        <v>0</v>
      </c>
      <c r="EE73" s="176">
        <f t="shared" si="11"/>
        <v>0</v>
      </c>
      <c r="EG73" s="129">
        <f t="shared" si="12"/>
        <v>0</v>
      </c>
      <c r="EI73" s="176">
        <f t="shared" si="13"/>
        <v>0</v>
      </c>
      <c r="EK73" s="176">
        <f t="shared" si="14"/>
        <v>0</v>
      </c>
      <c r="EL73" s="176"/>
      <c r="EM73" s="177"/>
      <c r="EN73" s="178"/>
      <c r="EO73" s="177"/>
      <c r="EP73" s="177"/>
      <c r="EQ73" s="176">
        <f t="shared" si="15"/>
        <v>0</v>
      </c>
      <c r="ER73" s="179">
        <v>23300</v>
      </c>
      <c r="ES73" s="177">
        <v>7.5</v>
      </c>
    </row>
    <row r="74" spans="1:149" x14ac:dyDescent="0.3">
      <c r="A74" s="197">
        <v>69</v>
      </c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247"/>
      <c r="AQ74" s="247"/>
      <c r="AR74" s="247"/>
      <c r="AS74" s="247"/>
      <c r="AT74" s="247"/>
      <c r="AU74" s="247"/>
      <c r="AV74" s="247"/>
      <c r="AW74" s="247"/>
      <c r="AX74" s="247"/>
      <c r="AY74" s="247"/>
      <c r="AZ74" s="247"/>
      <c r="BA74" s="247"/>
      <c r="BB74" s="247"/>
      <c r="BC74" s="247"/>
      <c r="BD74" s="206"/>
      <c r="BE74" s="206"/>
      <c r="BF74" s="206"/>
      <c r="BG74" s="206"/>
      <c r="BH74" s="206"/>
      <c r="BI74" s="206"/>
      <c r="BJ74" s="206"/>
      <c r="BK74" s="206"/>
      <c r="BL74" s="206"/>
      <c r="BM74" s="206"/>
      <c r="BN74" s="206"/>
      <c r="BO74" s="206"/>
      <c r="BP74" s="206"/>
      <c r="BQ74" s="206"/>
      <c r="BR74" s="252"/>
      <c r="BS74" s="252"/>
      <c r="BT74" s="252"/>
      <c r="BU74" s="252"/>
      <c r="BV74" s="252"/>
      <c r="BW74" s="252"/>
      <c r="BX74" s="252"/>
      <c r="BY74" s="252"/>
      <c r="BZ74" s="252"/>
      <c r="CA74" s="252"/>
      <c r="CB74" s="252"/>
      <c r="CC74" s="252"/>
      <c r="CD74" s="252"/>
      <c r="CE74" s="252"/>
      <c r="CF74" s="252"/>
      <c r="CG74" s="252"/>
      <c r="CH74" s="252"/>
      <c r="CI74" s="252"/>
      <c r="CJ74" s="257"/>
      <c r="CK74" s="257"/>
      <c r="CL74" s="257"/>
      <c r="CM74" s="257"/>
      <c r="CN74" s="257"/>
      <c r="CO74" s="257"/>
      <c r="CP74" s="257"/>
      <c r="CQ74" s="257"/>
      <c r="CR74" s="257"/>
      <c r="CS74" s="257"/>
      <c r="CT74" s="257"/>
      <c r="CU74" s="257"/>
      <c r="CV74" s="257"/>
      <c r="CW74" s="257"/>
      <c r="CX74" s="257"/>
      <c r="CY74" s="257"/>
      <c r="CZ74" s="257"/>
      <c r="DA74" s="257"/>
      <c r="DB74" s="202"/>
      <c r="DC74" s="202"/>
      <c r="DD74" s="202"/>
      <c r="DE74" s="202"/>
      <c r="DF74" s="202"/>
      <c r="DG74" s="202"/>
      <c r="DH74" s="202"/>
      <c r="DI74" s="202"/>
      <c r="DJ74" s="202"/>
      <c r="DK74" s="202"/>
      <c r="DL74" s="202"/>
      <c r="DM74" s="202"/>
      <c r="DN74" s="202"/>
      <c r="DO74" s="202"/>
      <c r="DP74" s="202"/>
      <c r="DQ74" s="202"/>
      <c r="DR74" s="202"/>
      <c r="DS74" s="202"/>
      <c r="DT74" s="196"/>
      <c r="DU74" s="196"/>
      <c r="DV74" s="196"/>
      <c r="DW74" s="196"/>
      <c r="DX74" s="196"/>
      <c r="DY74" s="196"/>
      <c r="DZ74" s="196"/>
      <c r="EA74" s="196"/>
      <c r="EB74" s="176">
        <f t="shared" si="8"/>
        <v>0</v>
      </c>
      <c r="EC74" s="176">
        <f t="shared" si="9"/>
        <v>0</v>
      </c>
      <c r="ED74" s="176">
        <f t="shared" si="10"/>
        <v>0</v>
      </c>
      <c r="EE74" s="176">
        <f t="shared" si="11"/>
        <v>0</v>
      </c>
      <c r="EG74" s="129">
        <f t="shared" si="12"/>
        <v>0</v>
      </c>
      <c r="EI74" s="176">
        <f t="shared" si="13"/>
        <v>0</v>
      </c>
      <c r="EK74" s="176">
        <f t="shared" si="14"/>
        <v>0</v>
      </c>
      <c r="EL74" s="176"/>
      <c r="EM74" s="177"/>
      <c r="EN74" s="178"/>
      <c r="EO74" s="177"/>
      <c r="EP74" s="177"/>
      <c r="EQ74" s="176">
        <f t="shared" si="15"/>
        <v>0</v>
      </c>
      <c r="ER74" s="179">
        <v>23300</v>
      </c>
      <c r="ES74" s="177">
        <v>7.5</v>
      </c>
    </row>
    <row r="75" spans="1:149" x14ac:dyDescent="0.3">
      <c r="A75" s="197">
        <v>70</v>
      </c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247"/>
      <c r="AQ75" s="247"/>
      <c r="AR75" s="247"/>
      <c r="AS75" s="247"/>
      <c r="AT75" s="247"/>
      <c r="AU75" s="247"/>
      <c r="AV75" s="247"/>
      <c r="AW75" s="247"/>
      <c r="AX75" s="247"/>
      <c r="AY75" s="247"/>
      <c r="AZ75" s="247"/>
      <c r="BA75" s="247"/>
      <c r="BB75" s="247"/>
      <c r="BC75" s="247"/>
      <c r="BD75" s="206"/>
      <c r="BE75" s="206"/>
      <c r="BF75" s="206"/>
      <c r="BG75" s="206"/>
      <c r="BH75" s="206"/>
      <c r="BI75" s="206"/>
      <c r="BJ75" s="206"/>
      <c r="BK75" s="206"/>
      <c r="BL75" s="206"/>
      <c r="BM75" s="206"/>
      <c r="BN75" s="206"/>
      <c r="BO75" s="206"/>
      <c r="BP75" s="206"/>
      <c r="BQ75" s="206"/>
      <c r="BR75" s="252"/>
      <c r="BS75" s="252"/>
      <c r="BT75" s="252"/>
      <c r="BU75" s="252"/>
      <c r="BV75" s="252"/>
      <c r="BW75" s="252"/>
      <c r="BX75" s="252"/>
      <c r="BY75" s="252"/>
      <c r="BZ75" s="252"/>
      <c r="CA75" s="252"/>
      <c r="CB75" s="252"/>
      <c r="CC75" s="252"/>
      <c r="CD75" s="252"/>
      <c r="CE75" s="252"/>
      <c r="CF75" s="252"/>
      <c r="CG75" s="252"/>
      <c r="CH75" s="252"/>
      <c r="CI75" s="252"/>
      <c r="CJ75" s="257"/>
      <c r="CK75" s="257"/>
      <c r="CL75" s="257"/>
      <c r="CM75" s="257"/>
      <c r="CN75" s="257"/>
      <c r="CO75" s="257"/>
      <c r="CP75" s="257"/>
      <c r="CQ75" s="257"/>
      <c r="CR75" s="257"/>
      <c r="CS75" s="257"/>
      <c r="CT75" s="257"/>
      <c r="CU75" s="257"/>
      <c r="CV75" s="257"/>
      <c r="CW75" s="257"/>
      <c r="CX75" s="257"/>
      <c r="CY75" s="257"/>
      <c r="CZ75" s="257"/>
      <c r="DA75" s="257"/>
      <c r="DB75" s="202"/>
      <c r="DC75" s="202"/>
      <c r="DD75" s="202"/>
      <c r="DE75" s="202"/>
      <c r="DF75" s="202"/>
      <c r="DG75" s="202"/>
      <c r="DH75" s="202"/>
      <c r="DI75" s="202"/>
      <c r="DJ75" s="202"/>
      <c r="DK75" s="202"/>
      <c r="DL75" s="202"/>
      <c r="DM75" s="202"/>
      <c r="DN75" s="202"/>
      <c r="DO75" s="202"/>
      <c r="DP75" s="202"/>
      <c r="DQ75" s="202"/>
      <c r="DR75" s="202"/>
      <c r="DS75" s="202"/>
      <c r="DT75" s="196"/>
      <c r="DU75" s="196"/>
      <c r="DV75" s="196"/>
      <c r="DW75" s="196"/>
      <c r="DX75" s="196"/>
      <c r="DY75" s="196"/>
      <c r="DZ75" s="196"/>
      <c r="EA75" s="196"/>
      <c r="EB75" s="176">
        <f t="shared" si="8"/>
        <v>0</v>
      </c>
      <c r="EC75" s="176">
        <f t="shared" si="9"/>
        <v>0</v>
      </c>
      <c r="ED75" s="176">
        <f t="shared" si="10"/>
        <v>0</v>
      </c>
      <c r="EE75" s="176">
        <f t="shared" si="11"/>
        <v>0</v>
      </c>
      <c r="EG75" s="129">
        <f t="shared" si="12"/>
        <v>0</v>
      </c>
      <c r="EI75" s="176">
        <f t="shared" si="13"/>
        <v>0</v>
      </c>
      <c r="EK75" s="176">
        <f t="shared" si="14"/>
        <v>0</v>
      </c>
      <c r="EL75" s="176"/>
      <c r="EM75" s="177"/>
      <c r="EN75" s="178"/>
      <c r="EO75" s="177"/>
      <c r="EP75" s="177"/>
      <c r="EQ75" s="176">
        <f t="shared" si="15"/>
        <v>0</v>
      </c>
      <c r="ER75" s="179">
        <v>23300</v>
      </c>
      <c r="ES75" s="177">
        <v>7.5</v>
      </c>
    </row>
    <row r="76" spans="1:149" x14ac:dyDescent="0.3">
      <c r="A76" s="197">
        <v>71</v>
      </c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247"/>
      <c r="AQ76" s="247"/>
      <c r="AR76" s="247"/>
      <c r="AS76" s="247"/>
      <c r="AT76" s="247"/>
      <c r="AU76" s="247"/>
      <c r="AV76" s="247"/>
      <c r="AW76" s="247"/>
      <c r="AX76" s="247"/>
      <c r="AY76" s="247"/>
      <c r="AZ76" s="247"/>
      <c r="BA76" s="247"/>
      <c r="BB76" s="247"/>
      <c r="BC76" s="247"/>
      <c r="BD76" s="206"/>
      <c r="BE76" s="206"/>
      <c r="BF76" s="206"/>
      <c r="BG76" s="206"/>
      <c r="BH76" s="206"/>
      <c r="BI76" s="206"/>
      <c r="BJ76" s="206"/>
      <c r="BK76" s="206"/>
      <c r="BL76" s="206"/>
      <c r="BM76" s="206"/>
      <c r="BN76" s="206"/>
      <c r="BO76" s="206"/>
      <c r="BP76" s="206"/>
      <c r="BQ76" s="206"/>
      <c r="BR76" s="252"/>
      <c r="BS76" s="252"/>
      <c r="BT76" s="252"/>
      <c r="BU76" s="252"/>
      <c r="BV76" s="252"/>
      <c r="BW76" s="252"/>
      <c r="BX76" s="252"/>
      <c r="BY76" s="252"/>
      <c r="BZ76" s="252"/>
      <c r="CA76" s="252"/>
      <c r="CB76" s="252"/>
      <c r="CC76" s="252"/>
      <c r="CD76" s="252"/>
      <c r="CE76" s="252"/>
      <c r="CF76" s="252"/>
      <c r="CG76" s="252"/>
      <c r="CH76" s="252"/>
      <c r="CI76" s="252"/>
      <c r="CJ76" s="257"/>
      <c r="CK76" s="257"/>
      <c r="CL76" s="257"/>
      <c r="CM76" s="257"/>
      <c r="CN76" s="257"/>
      <c r="CO76" s="257"/>
      <c r="CP76" s="257"/>
      <c r="CQ76" s="257"/>
      <c r="CR76" s="257"/>
      <c r="CS76" s="257"/>
      <c r="CT76" s="257"/>
      <c r="CU76" s="257"/>
      <c r="CV76" s="257"/>
      <c r="CW76" s="257"/>
      <c r="CX76" s="257"/>
      <c r="CY76" s="257"/>
      <c r="CZ76" s="257"/>
      <c r="DA76" s="257"/>
      <c r="DB76" s="202"/>
      <c r="DC76" s="202"/>
      <c r="DD76" s="202"/>
      <c r="DE76" s="202"/>
      <c r="DF76" s="202"/>
      <c r="DG76" s="202"/>
      <c r="DH76" s="202"/>
      <c r="DI76" s="202"/>
      <c r="DJ76" s="202"/>
      <c r="DK76" s="202"/>
      <c r="DL76" s="202"/>
      <c r="DM76" s="202"/>
      <c r="DN76" s="202"/>
      <c r="DO76" s="202"/>
      <c r="DP76" s="202"/>
      <c r="DQ76" s="202"/>
      <c r="DR76" s="202"/>
      <c r="DS76" s="202"/>
      <c r="DT76" s="196"/>
      <c r="DU76" s="196"/>
      <c r="DV76" s="196"/>
      <c r="DW76" s="196"/>
      <c r="DX76" s="196"/>
      <c r="DY76" s="196"/>
      <c r="DZ76" s="196"/>
      <c r="EA76" s="196"/>
      <c r="EB76" s="176">
        <f t="shared" si="8"/>
        <v>0</v>
      </c>
      <c r="EC76" s="176">
        <f t="shared" si="9"/>
        <v>0</v>
      </c>
      <c r="ED76" s="176">
        <f t="shared" si="10"/>
        <v>0</v>
      </c>
      <c r="EE76" s="176">
        <f t="shared" si="11"/>
        <v>0</v>
      </c>
      <c r="EG76" s="129">
        <f t="shared" si="12"/>
        <v>0</v>
      </c>
      <c r="EI76" s="176">
        <f t="shared" si="13"/>
        <v>0</v>
      </c>
      <c r="EK76" s="176">
        <f t="shared" si="14"/>
        <v>0</v>
      </c>
      <c r="EL76" s="176"/>
      <c r="EM76" s="177"/>
      <c r="EN76" s="178"/>
      <c r="EO76" s="177"/>
      <c r="EP76" s="177"/>
      <c r="EQ76" s="176">
        <f t="shared" si="15"/>
        <v>0</v>
      </c>
      <c r="ER76" s="179">
        <v>23300</v>
      </c>
      <c r="ES76" s="177">
        <v>7.5</v>
      </c>
    </row>
    <row r="77" spans="1:149" x14ac:dyDescent="0.3">
      <c r="A77" s="197">
        <v>72</v>
      </c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247"/>
      <c r="AQ77" s="247"/>
      <c r="AR77" s="247"/>
      <c r="AS77" s="247"/>
      <c r="AT77" s="247"/>
      <c r="AU77" s="247"/>
      <c r="AV77" s="247"/>
      <c r="AW77" s="247"/>
      <c r="AX77" s="247"/>
      <c r="AY77" s="247"/>
      <c r="AZ77" s="247"/>
      <c r="BA77" s="247"/>
      <c r="BB77" s="247"/>
      <c r="BC77" s="247"/>
      <c r="BD77" s="206"/>
      <c r="BE77" s="206"/>
      <c r="BF77" s="206"/>
      <c r="BG77" s="206"/>
      <c r="BH77" s="206"/>
      <c r="BI77" s="206"/>
      <c r="BJ77" s="206"/>
      <c r="BK77" s="206"/>
      <c r="BL77" s="206"/>
      <c r="BM77" s="206"/>
      <c r="BN77" s="206"/>
      <c r="BO77" s="206"/>
      <c r="BP77" s="206"/>
      <c r="BQ77" s="206"/>
      <c r="BR77" s="252"/>
      <c r="BS77" s="252"/>
      <c r="BT77" s="252"/>
      <c r="BU77" s="252"/>
      <c r="BV77" s="252"/>
      <c r="BW77" s="252"/>
      <c r="BX77" s="252"/>
      <c r="BY77" s="252"/>
      <c r="BZ77" s="252"/>
      <c r="CA77" s="252"/>
      <c r="CB77" s="252"/>
      <c r="CC77" s="252"/>
      <c r="CD77" s="252"/>
      <c r="CE77" s="252"/>
      <c r="CF77" s="252"/>
      <c r="CG77" s="252"/>
      <c r="CH77" s="252"/>
      <c r="CI77" s="252"/>
      <c r="CJ77" s="257"/>
      <c r="CK77" s="257"/>
      <c r="CL77" s="257"/>
      <c r="CM77" s="257"/>
      <c r="CN77" s="257"/>
      <c r="CO77" s="257"/>
      <c r="CP77" s="257"/>
      <c r="CQ77" s="257"/>
      <c r="CR77" s="257"/>
      <c r="CS77" s="257"/>
      <c r="CT77" s="257"/>
      <c r="CU77" s="257"/>
      <c r="CV77" s="257"/>
      <c r="CW77" s="257"/>
      <c r="CX77" s="257"/>
      <c r="CY77" s="257"/>
      <c r="CZ77" s="257"/>
      <c r="DA77" s="257"/>
      <c r="DB77" s="202"/>
      <c r="DC77" s="202"/>
      <c r="DD77" s="202"/>
      <c r="DE77" s="202"/>
      <c r="DF77" s="202"/>
      <c r="DG77" s="202"/>
      <c r="DH77" s="202"/>
      <c r="DI77" s="202"/>
      <c r="DJ77" s="202"/>
      <c r="DK77" s="202"/>
      <c r="DL77" s="202"/>
      <c r="DM77" s="202"/>
      <c r="DN77" s="202"/>
      <c r="DO77" s="202"/>
      <c r="DP77" s="202"/>
      <c r="DQ77" s="202"/>
      <c r="DR77" s="202"/>
      <c r="DS77" s="202"/>
      <c r="DT77" s="196"/>
      <c r="DU77" s="196"/>
      <c r="DV77" s="196"/>
      <c r="DW77" s="196"/>
      <c r="DX77" s="196"/>
      <c r="DY77" s="196"/>
      <c r="DZ77" s="196"/>
      <c r="EA77" s="196"/>
      <c r="EB77" s="176">
        <f t="shared" si="8"/>
        <v>0</v>
      </c>
      <c r="EC77" s="176">
        <f t="shared" si="9"/>
        <v>0</v>
      </c>
      <c r="ED77" s="176">
        <f t="shared" si="10"/>
        <v>0</v>
      </c>
      <c r="EE77" s="176">
        <f t="shared" si="11"/>
        <v>0</v>
      </c>
      <c r="EG77" s="129">
        <f t="shared" si="12"/>
        <v>0</v>
      </c>
      <c r="EI77" s="176">
        <f t="shared" si="13"/>
        <v>0</v>
      </c>
      <c r="EK77" s="176">
        <f t="shared" si="14"/>
        <v>0</v>
      </c>
      <c r="EL77" s="176"/>
      <c r="EM77" s="177"/>
      <c r="EN77" s="178"/>
      <c r="EO77" s="177"/>
      <c r="EP77" s="177"/>
      <c r="EQ77" s="176">
        <f t="shared" si="15"/>
        <v>0</v>
      </c>
      <c r="ER77" s="179">
        <v>23300</v>
      </c>
      <c r="ES77" s="177">
        <v>7.5</v>
      </c>
    </row>
    <row r="78" spans="1:149" x14ac:dyDescent="0.3">
      <c r="A78" s="197">
        <v>73</v>
      </c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247"/>
      <c r="AQ78" s="247"/>
      <c r="AR78" s="247"/>
      <c r="AS78" s="247"/>
      <c r="AT78" s="247"/>
      <c r="AU78" s="247"/>
      <c r="AV78" s="247"/>
      <c r="AW78" s="247"/>
      <c r="AX78" s="247"/>
      <c r="AY78" s="247"/>
      <c r="AZ78" s="247"/>
      <c r="BA78" s="247"/>
      <c r="BB78" s="247"/>
      <c r="BC78" s="247"/>
      <c r="BD78" s="206"/>
      <c r="BE78" s="206"/>
      <c r="BF78" s="206"/>
      <c r="BG78" s="206"/>
      <c r="BH78" s="206"/>
      <c r="BI78" s="206"/>
      <c r="BJ78" s="206"/>
      <c r="BK78" s="206"/>
      <c r="BL78" s="206"/>
      <c r="BM78" s="206"/>
      <c r="BN78" s="206"/>
      <c r="BO78" s="206"/>
      <c r="BP78" s="206"/>
      <c r="BQ78" s="206"/>
      <c r="BR78" s="252"/>
      <c r="BS78" s="252"/>
      <c r="BT78" s="252"/>
      <c r="BU78" s="252"/>
      <c r="BV78" s="252"/>
      <c r="BW78" s="252"/>
      <c r="BX78" s="252"/>
      <c r="BY78" s="252"/>
      <c r="BZ78" s="252"/>
      <c r="CA78" s="252"/>
      <c r="CB78" s="252"/>
      <c r="CC78" s="252"/>
      <c r="CD78" s="252"/>
      <c r="CE78" s="252"/>
      <c r="CF78" s="252"/>
      <c r="CG78" s="252"/>
      <c r="CH78" s="252"/>
      <c r="CI78" s="252"/>
      <c r="CJ78" s="257"/>
      <c r="CK78" s="257"/>
      <c r="CL78" s="257"/>
      <c r="CM78" s="257"/>
      <c r="CN78" s="257"/>
      <c r="CO78" s="257"/>
      <c r="CP78" s="257"/>
      <c r="CQ78" s="257"/>
      <c r="CR78" s="257"/>
      <c r="CS78" s="257"/>
      <c r="CT78" s="257"/>
      <c r="CU78" s="257"/>
      <c r="CV78" s="257"/>
      <c r="CW78" s="257"/>
      <c r="CX78" s="257"/>
      <c r="CY78" s="257"/>
      <c r="CZ78" s="257"/>
      <c r="DA78" s="257"/>
      <c r="DB78" s="202"/>
      <c r="DC78" s="202"/>
      <c r="DD78" s="202"/>
      <c r="DE78" s="202"/>
      <c r="DF78" s="202"/>
      <c r="DG78" s="202"/>
      <c r="DH78" s="202"/>
      <c r="DI78" s="202"/>
      <c r="DJ78" s="202"/>
      <c r="DK78" s="202"/>
      <c r="DL78" s="202"/>
      <c r="DM78" s="202"/>
      <c r="DN78" s="202"/>
      <c r="DO78" s="202"/>
      <c r="DP78" s="202"/>
      <c r="DQ78" s="202"/>
      <c r="DR78" s="202"/>
      <c r="DS78" s="202"/>
      <c r="DT78" s="196"/>
      <c r="DU78" s="196"/>
      <c r="DV78" s="196"/>
      <c r="DW78" s="196"/>
      <c r="DX78" s="196"/>
      <c r="DY78" s="196"/>
      <c r="DZ78" s="196"/>
      <c r="EA78" s="196"/>
      <c r="EB78" s="176">
        <f t="shared" si="8"/>
        <v>0</v>
      </c>
      <c r="EC78" s="176">
        <f t="shared" si="9"/>
        <v>0</v>
      </c>
      <c r="ED78" s="176">
        <f t="shared" si="10"/>
        <v>0</v>
      </c>
      <c r="EE78" s="176">
        <f t="shared" si="11"/>
        <v>0</v>
      </c>
      <c r="EG78" s="129">
        <f t="shared" si="12"/>
        <v>0</v>
      </c>
      <c r="EI78" s="176">
        <f t="shared" si="13"/>
        <v>0</v>
      </c>
      <c r="EK78" s="176">
        <f t="shared" si="14"/>
        <v>0</v>
      </c>
      <c r="EL78" s="176"/>
      <c r="EM78" s="177"/>
      <c r="EN78" s="178"/>
      <c r="EO78" s="177"/>
      <c r="EP78" s="177"/>
      <c r="EQ78" s="176">
        <f t="shared" si="15"/>
        <v>0</v>
      </c>
      <c r="ER78" s="179">
        <v>23300</v>
      </c>
      <c r="ES78" s="177">
        <v>7.5</v>
      </c>
    </row>
    <row r="79" spans="1:149" x14ac:dyDescent="0.3">
      <c r="A79" s="197">
        <v>74</v>
      </c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247"/>
      <c r="AQ79" s="247"/>
      <c r="AR79" s="247"/>
      <c r="AS79" s="247"/>
      <c r="AT79" s="247"/>
      <c r="AU79" s="247"/>
      <c r="AV79" s="247"/>
      <c r="AW79" s="247"/>
      <c r="AX79" s="247"/>
      <c r="AY79" s="247"/>
      <c r="AZ79" s="247"/>
      <c r="BA79" s="247"/>
      <c r="BB79" s="247"/>
      <c r="BC79" s="247"/>
      <c r="BD79" s="206"/>
      <c r="BE79" s="206"/>
      <c r="BF79" s="206"/>
      <c r="BG79" s="206"/>
      <c r="BH79" s="206"/>
      <c r="BI79" s="206"/>
      <c r="BJ79" s="206"/>
      <c r="BK79" s="206"/>
      <c r="BL79" s="206"/>
      <c r="BM79" s="206"/>
      <c r="BN79" s="206"/>
      <c r="BO79" s="206"/>
      <c r="BP79" s="206"/>
      <c r="BQ79" s="206"/>
      <c r="BR79" s="252"/>
      <c r="BS79" s="252"/>
      <c r="BT79" s="252"/>
      <c r="BU79" s="252"/>
      <c r="BV79" s="252"/>
      <c r="BW79" s="252"/>
      <c r="BX79" s="252"/>
      <c r="BY79" s="252"/>
      <c r="BZ79" s="252"/>
      <c r="CA79" s="252"/>
      <c r="CB79" s="252"/>
      <c r="CC79" s="252"/>
      <c r="CD79" s="252"/>
      <c r="CE79" s="252"/>
      <c r="CF79" s="252"/>
      <c r="CG79" s="252"/>
      <c r="CH79" s="252"/>
      <c r="CI79" s="252"/>
      <c r="CJ79" s="257"/>
      <c r="CK79" s="257"/>
      <c r="CL79" s="257"/>
      <c r="CM79" s="257"/>
      <c r="CN79" s="257"/>
      <c r="CO79" s="257"/>
      <c r="CP79" s="257"/>
      <c r="CQ79" s="257"/>
      <c r="CR79" s="257"/>
      <c r="CS79" s="257"/>
      <c r="CT79" s="257"/>
      <c r="CU79" s="257"/>
      <c r="CV79" s="257"/>
      <c r="CW79" s="257"/>
      <c r="CX79" s="257"/>
      <c r="CY79" s="257"/>
      <c r="CZ79" s="257"/>
      <c r="DA79" s="257"/>
      <c r="DB79" s="202"/>
      <c r="DC79" s="202"/>
      <c r="DD79" s="202"/>
      <c r="DE79" s="202"/>
      <c r="DF79" s="202"/>
      <c r="DG79" s="202"/>
      <c r="DH79" s="202"/>
      <c r="DI79" s="202"/>
      <c r="DJ79" s="202"/>
      <c r="DK79" s="202"/>
      <c r="DL79" s="202"/>
      <c r="DM79" s="202"/>
      <c r="DN79" s="202"/>
      <c r="DO79" s="202"/>
      <c r="DP79" s="202"/>
      <c r="DQ79" s="202"/>
      <c r="DR79" s="202"/>
      <c r="DS79" s="202"/>
      <c r="DT79" s="196"/>
      <c r="DU79" s="196"/>
      <c r="DV79" s="196"/>
      <c r="DW79" s="196"/>
      <c r="DX79" s="196"/>
      <c r="DY79" s="196"/>
      <c r="DZ79" s="196"/>
      <c r="EA79" s="196"/>
      <c r="EB79" s="176">
        <f t="shared" si="8"/>
        <v>0</v>
      </c>
      <c r="EC79" s="176">
        <f t="shared" si="9"/>
        <v>0</v>
      </c>
      <c r="ED79" s="176">
        <f t="shared" si="10"/>
        <v>0</v>
      </c>
      <c r="EE79" s="176">
        <f t="shared" si="11"/>
        <v>0</v>
      </c>
      <c r="EG79" s="129">
        <f t="shared" si="12"/>
        <v>0</v>
      </c>
      <c r="EI79" s="176">
        <f t="shared" si="13"/>
        <v>0</v>
      </c>
      <c r="EK79" s="176">
        <f t="shared" si="14"/>
        <v>0</v>
      </c>
      <c r="EL79" s="176"/>
      <c r="EM79" s="177"/>
      <c r="EN79" s="178"/>
      <c r="EO79" s="177"/>
      <c r="EP79" s="177"/>
      <c r="EQ79" s="176">
        <f t="shared" si="15"/>
        <v>0</v>
      </c>
      <c r="ER79" s="179">
        <v>23300</v>
      </c>
      <c r="ES79" s="177">
        <v>7.5</v>
      </c>
    </row>
    <row r="80" spans="1:149" x14ac:dyDescent="0.3">
      <c r="A80" s="197">
        <v>75</v>
      </c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247"/>
      <c r="AQ80" s="247"/>
      <c r="AR80" s="247"/>
      <c r="AS80" s="247"/>
      <c r="AT80" s="247"/>
      <c r="AU80" s="247"/>
      <c r="AV80" s="247"/>
      <c r="AW80" s="247"/>
      <c r="AX80" s="247"/>
      <c r="AY80" s="247"/>
      <c r="AZ80" s="247"/>
      <c r="BA80" s="247"/>
      <c r="BB80" s="247"/>
      <c r="BC80" s="247"/>
      <c r="BD80" s="206"/>
      <c r="BE80" s="206"/>
      <c r="BF80" s="206"/>
      <c r="BG80" s="206"/>
      <c r="BH80" s="206"/>
      <c r="BI80" s="206"/>
      <c r="BJ80" s="206"/>
      <c r="BK80" s="206"/>
      <c r="BL80" s="206"/>
      <c r="BM80" s="206"/>
      <c r="BN80" s="206"/>
      <c r="BO80" s="206"/>
      <c r="BP80" s="206"/>
      <c r="BQ80" s="206"/>
      <c r="BR80" s="252"/>
      <c r="BS80" s="252"/>
      <c r="BT80" s="252"/>
      <c r="BU80" s="252"/>
      <c r="BV80" s="252"/>
      <c r="BW80" s="252"/>
      <c r="BX80" s="252"/>
      <c r="BY80" s="252"/>
      <c r="BZ80" s="252"/>
      <c r="CA80" s="252"/>
      <c r="CB80" s="252"/>
      <c r="CC80" s="252"/>
      <c r="CD80" s="252"/>
      <c r="CE80" s="252"/>
      <c r="CF80" s="252"/>
      <c r="CG80" s="252"/>
      <c r="CH80" s="252"/>
      <c r="CI80" s="252"/>
      <c r="CJ80" s="257"/>
      <c r="CK80" s="257"/>
      <c r="CL80" s="257"/>
      <c r="CM80" s="257"/>
      <c r="CN80" s="257"/>
      <c r="CO80" s="257"/>
      <c r="CP80" s="257"/>
      <c r="CQ80" s="257"/>
      <c r="CR80" s="257"/>
      <c r="CS80" s="257"/>
      <c r="CT80" s="257"/>
      <c r="CU80" s="257"/>
      <c r="CV80" s="257"/>
      <c r="CW80" s="257"/>
      <c r="CX80" s="257"/>
      <c r="CY80" s="257"/>
      <c r="CZ80" s="257"/>
      <c r="DA80" s="257"/>
      <c r="DB80" s="202"/>
      <c r="DC80" s="202"/>
      <c r="DD80" s="202"/>
      <c r="DE80" s="202"/>
      <c r="DF80" s="202"/>
      <c r="DG80" s="202"/>
      <c r="DH80" s="202"/>
      <c r="DI80" s="202"/>
      <c r="DJ80" s="202"/>
      <c r="DK80" s="202"/>
      <c r="DL80" s="202"/>
      <c r="DM80" s="202"/>
      <c r="DN80" s="202"/>
      <c r="DO80" s="202"/>
      <c r="DP80" s="202"/>
      <c r="DQ80" s="202"/>
      <c r="DR80" s="202"/>
      <c r="DS80" s="202"/>
      <c r="DT80" s="196"/>
      <c r="DU80" s="196"/>
      <c r="DV80" s="196"/>
      <c r="DW80" s="196"/>
      <c r="DX80" s="196"/>
      <c r="DY80" s="196"/>
      <c r="DZ80" s="196"/>
      <c r="EA80" s="196"/>
      <c r="EB80" s="176">
        <f t="shared" si="8"/>
        <v>0</v>
      </c>
      <c r="EC80" s="176">
        <f t="shared" si="9"/>
        <v>0</v>
      </c>
      <c r="ED80" s="176">
        <f t="shared" si="10"/>
        <v>0</v>
      </c>
      <c r="EE80" s="176">
        <f t="shared" si="11"/>
        <v>0</v>
      </c>
      <c r="EG80" s="129">
        <f t="shared" si="12"/>
        <v>0</v>
      </c>
      <c r="EI80" s="176">
        <f t="shared" si="13"/>
        <v>0</v>
      </c>
      <c r="EK80" s="176">
        <f t="shared" si="14"/>
        <v>0</v>
      </c>
      <c r="EL80" s="176"/>
      <c r="EM80" s="177"/>
      <c r="EN80" s="178"/>
      <c r="EO80" s="177"/>
      <c r="EP80" s="177"/>
      <c r="EQ80" s="176">
        <f t="shared" si="15"/>
        <v>0</v>
      </c>
      <c r="ER80" s="179">
        <v>23300</v>
      </c>
      <c r="ES80" s="177">
        <v>7.5</v>
      </c>
    </row>
    <row r="81" spans="1:149" x14ac:dyDescent="0.3">
      <c r="A81" s="197">
        <v>76</v>
      </c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247"/>
      <c r="AQ81" s="247"/>
      <c r="AR81" s="247"/>
      <c r="AS81" s="247"/>
      <c r="AT81" s="247"/>
      <c r="AU81" s="247"/>
      <c r="AV81" s="247"/>
      <c r="AW81" s="247"/>
      <c r="AX81" s="247"/>
      <c r="AY81" s="247"/>
      <c r="AZ81" s="247"/>
      <c r="BA81" s="247"/>
      <c r="BB81" s="247"/>
      <c r="BC81" s="247"/>
      <c r="BD81" s="206"/>
      <c r="BE81" s="206"/>
      <c r="BF81" s="206"/>
      <c r="BG81" s="206"/>
      <c r="BH81" s="206"/>
      <c r="BI81" s="206"/>
      <c r="BJ81" s="206"/>
      <c r="BK81" s="206"/>
      <c r="BL81" s="206"/>
      <c r="BM81" s="206"/>
      <c r="BN81" s="206"/>
      <c r="BO81" s="206"/>
      <c r="BP81" s="206"/>
      <c r="BQ81" s="206"/>
      <c r="BR81" s="252"/>
      <c r="BS81" s="252"/>
      <c r="BT81" s="252"/>
      <c r="BU81" s="252"/>
      <c r="BV81" s="252"/>
      <c r="BW81" s="252"/>
      <c r="BX81" s="252"/>
      <c r="BY81" s="252"/>
      <c r="BZ81" s="252"/>
      <c r="CA81" s="252"/>
      <c r="CB81" s="252"/>
      <c r="CC81" s="252"/>
      <c r="CD81" s="252"/>
      <c r="CE81" s="252"/>
      <c r="CF81" s="252"/>
      <c r="CG81" s="252"/>
      <c r="CH81" s="252"/>
      <c r="CI81" s="252"/>
      <c r="CJ81" s="257"/>
      <c r="CK81" s="257"/>
      <c r="CL81" s="257"/>
      <c r="CM81" s="257"/>
      <c r="CN81" s="257"/>
      <c r="CO81" s="257"/>
      <c r="CP81" s="257"/>
      <c r="CQ81" s="257"/>
      <c r="CR81" s="257"/>
      <c r="CS81" s="257"/>
      <c r="CT81" s="257"/>
      <c r="CU81" s="257"/>
      <c r="CV81" s="257"/>
      <c r="CW81" s="257"/>
      <c r="CX81" s="257"/>
      <c r="CY81" s="257"/>
      <c r="CZ81" s="257"/>
      <c r="DA81" s="257"/>
      <c r="DB81" s="202"/>
      <c r="DC81" s="202"/>
      <c r="DD81" s="202"/>
      <c r="DE81" s="202"/>
      <c r="DF81" s="202"/>
      <c r="DG81" s="202"/>
      <c r="DH81" s="202"/>
      <c r="DI81" s="202"/>
      <c r="DJ81" s="202"/>
      <c r="DK81" s="202"/>
      <c r="DL81" s="202"/>
      <c r="DM81" s="202"/>
      <c r="DN81" s="202"/>
      <c r="DO81" s="202"/>
      <c r="DP81" s="202"/>
      <c r="DQ81" s="202"/>
      <c r="DR81" s="202"/>
      <c r="DS81" s="202"/>
      <c r="DT81" s="196"/>
      <c r="DU81" s="196"/>
      <c r="DV81" s="196"/>
      <c r="DW81" s="196"/>
      <c r="DX81" s="196"/>
      <c r="DY81" s="196"/>
      <c r="DZ81" s="196"/>
      <c r="EA81" s="196"/>
      <c r="EB81" s="176">
        <f t="shared" si="8"/>
        <v>0</v>
      </c>
      <c r="EC81" s="176">
        <f t="shared" si="9"/>
        <v>0</v>
      </c>
      <c r="ED81" s="176">
        <f t="shared" si="10"/>
        <v>0</v>
      </c>
      <c r="EE81" s="176">
        <f t="shared" si="11"/>
        <v>0</v>
      </c>
      <c r="EG81" s="129">
        <f t="shared" si="12"/>
        <v>0</v>
      </c>
      <c r="EI81" s="176">
        <f t="shared" si="13"/>
        <v>0</v>
      </c>
      <c r="EK81" s="176">
        <f t="shared" si="14"/>
        <v>0</v>
      </c>
      <c r="EL81" s="176"/>
      <c r="EM81" s="177"/>
      <c r="EN81" s="178"/>
      <c r="EO81" s="177"/>
      <c r="EP81" s="177"/>
      <c r="EQ81" s="176">
        <f t="shared" si="15"/>
        <v>0</v>
      </c>
      <c r="ER81" s="179">
        <v>23300</v>
      </c>
      <c r="ES81" s="177">
        <v>7.5</v>
      </c>
    </row>
    <row r="82" spans="1:149" x14ac:dyDescent="0.3">
      <c r="A82" s="197">
        <v>77</v>
      </c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247"/>
      <c r="AQ82" s="247"/>
      <c r="AR82" s="247"/>
      <c r="AS82" s="247"/>
      <c r="AT82" s="247"/>
      <c r="AU82" s="247"/>
      <c r="AV82" s="247"/>
      <c r="AW82" s="247"/>
      <c r="AX82" s="247"/>
      <c r="AY82" s="247"/>
      <c r="AZ82" s="247"/>
      <c r="BA82" s="247"/>
      <c r="BB82" s="247"/>
      <c r="BC82" s="247"/>
      <c r="BD82" s="206"/>
      <c r="BE82" s="206"/>
      <c r="BF82" s="206"/>
      <c r="BG82" s="206"/>
      <c r="BH82" s="206"/>
      <c r="BI82" s="206"/>
      <c r="BJ82" s="206"/>
      <c r="BK82" s="206"/>
      <c r="BL82" s="206"/>
      <c r="BM82" s="206"/>
      <c r="BN82" s="206"/>
      <c r="BO82" s="206"/>
      <c r="BP82" s="206"/>
      <c r="BQ82" s="206"/>
      <c r="BR82" s="252"/>
      <c r="BS82" s="252"/>
      <c r="BT82" s="252"/>
      <c r="BU82" s="252"/>
      <c r="BV82" s="252"/>
      <c r="BW82" s="252"/>
      <c r="BX82" s="252"/>
      <c r="BY82" s="252"/>
      <c r="BZ82" s="252"/>
      <c r="CA82" s="252"/>
      <c r="CB82" s="252"/>
      <c r="CC82" s="252"/>
      <c r="CD82" s="252"/>
      <c r="CE82" s="252"/>
      <c r="CF82" s="252"/>
      <c r="CG82" s="252"/>
      <c r="CH82" s="252"/>
      <c r="CI82" s="252"/>
      <c r="CJ82" s="257"/>
      <c r="CK82" s="257"/>
      <c r="CL82" s="257"/>
      <c r="CM82" s="257"/>
      <c r="CN82" s="257"/>
      <c r="CO82" s="257"/>
      <c r="CP82" s="257"/>
      <c r="CQ82" s="257"/>
      <c r="CR82" s="257"/>
      <c r="CS82" s="257"/>
      <c r="CT82" s="257"/>
      <c r="CU82" s="257"/>
      <c r="CV82" s="257"/>
      <c r="CW82" s="257"/>
      <c r="CX82" s="257"/>
      <c r="CY82" s="257"/>
      <c r="CZ82" s="257"/>
      <c r="DA82" s="257"/>
      <c r="DB82" s="202"/>
      <c r="DC82" s="202"/>
      <c r="DD82" s="202"/>
      <c r="DE82" s="202"/>
      <c r="DF82" s="202"/>
      <c r="DG82" s="202"/>
      <c r="DH82" s="202"/>
      <c r="DI82" s="202"/>
      <c r="DJ82" s="202"/>
      <c r="DK82" s="202"/>
      <c r="DL82" s="202"/>
      <c r="DM82" s="202"/>
      <c r="DN82" s="202"/>
      <c r="DO82" s="202"/>
      <c r="DP82" s="202"/>
      <c r="DQ82" s="202"/>
      <c r="DR82" s="202"/>
      <c r="DS82" s="202"/>
      <c r="DT82" s="196"/>
      <c r="DU82" s="196"/>
      <c r="DV82" s="196"/>
      <c r="DW82" s="196"/>
      <c r="DX82" s="196"/>
      <c r="DY82" s="196"/>
      <c r="DZ82" s="196"/>
      <c r="EA82" s="196"/>
      <c r="EB82" s="176">
        <f t="shared" si="8"/>
        <v>0</v>
      </c>
      <c r="EC82" s="176">
        <f t="shared" si="9"/>
        <v>0</v>
      </c>
      <c r="ED82" s="176">
        <f t="shared" si="10"/>
        <v>0</v>
      </c>
      <c r="EE82" s="176">
        <f t="shared" si="11"/>
        <v>0</v>
      </c>
      <c r="EG82" s="129">
        <f t="shared" si="12"/>
        <v>0</v>
      </c>
      <c r="EI82" s="176">
        <f t="shared" si="13"/>
        <v>0</v>
      </c>
      <c r="EK82" s="176">
        <f t="shared" si="14"/>
        <v>0</v>
      </c>
      <c r="EL82" s="176"/>
      <c r="EM82" s="177"/>
      <c r="EN82" s="178"/>
      <c r="EO82" s="177"/>
      <c r="EP82" s="177"/>
      <c r="EQ82" s="176">
        <f t="shared" si="15"/>
        <v>0</v>
      </c>
      <c r="ER82" s="179">
        <v>23300</v>
      </c>
      <c r="ES82" s="177">
        <v>7.5</v>
      </c>
    </row>
    <row r="83" spans="1:149" x14ac:dyDescent="0.3">
      <c r="A83" s="197">
        <v>78</v>
      </c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247"/>
      <c r="AQ83" s="247"/>
      <c r="AR83" s="247"/>
      <c r="AS83" s="247"/>
      <c r="AT83" s="247"/>
      <c r="AU83" s="247"/>
      <c r="AV83" s="247"/>
      <c r="AW83" s="247"/>
      <c r="AX83" s="247"/>
      <c r="AY83" s="247"/>
      <c r="AZ83" s="247"/>
      <c r="BA83" s="247"/>
      <c r="BB83" s="247"/>
      <c r="BC83" s="247"/>
      <c r="BD83" s="206"/>
      <c r="BE83" s="206"/>
      <c r="BF83" s="206"/>
      <c r="BG83" s="206"/>
      <c r="BH83" s="206"/>
      <c r="BI83" s="206"/>
      <c r="BJ83" s="206"/>
      <c r="BK83" s="206"/>
      <c r="BL83" s="206"/>
      <c r="BM83" s="206"/>
      <c r="BN83" s="206"/>
      <c r="BO83" s="206"/>
      <c r="BP83" s="206"/>
      <c r="BQ83" s="206"/>
      <c r="BR83" s="252"/>
      <c r="BS83" s="252"/>
      <c r="BT83" s="252"/>
      <c r="BU83" s="252"/>
      <c r="BV83" s="252"/>
      <c r="BW83" s="252"/>
      <c r="BX83" s="252"/>
      <c r="BY83" s="252"/>
      <c r="BZ83" s="252"/>
      <c r="CA83" s="252"/>
      <c r="CB83" s="252"/>
      <c r="CC83" s="252"/>
      <c r="CD83" s="252"/>
      <c r="CE83" s="252"/>
      <c r="CF83" s="252"/>
      <c r="CG83" s="252"/>
      <c r="CH83" s="252"/>
      <c r="CI83" s="252"/>
      <c r="CJ83" s="257"/>
      <c r="CK83" s="257"/>
      <c r="CL83" s="257"/>
      <c r="CM83" s="257"/>
      <c r="CN83" s="257"/>
      <c r="CO83" s="257"/>
      <c r="CP83" s="257"/>
      <c r="CQ83" s="257"/>
      <c r="CR83" s="257"/>
      <c r="CS83" s="257"/>
      <c r="CT83" s="257"/>
      <c r="CU83" s="257"/>
      <c r="CV83" s="257"/>
      <c r="CW83" s="257"/>
      <c r="CX83" s="257"/>
      <c r="CY83" s="257"/>
      <c r="CZ83" s="257"/>
      <c r="DA83" s="257"/>
      <c r="DB83" s="202"/>
      <c r="DC83" s="202"/>
      <c r="DD83" s="202"/>
      <c r="DE83" s="202"/>
      <c r="DF83" s="202"/>
      <c r="DG83" s="202"/>
      <c r="DH83" s="202"/>
      <c r="DI83" s="202"/>
      <c r="DJ83" s="202"/>
      <c r="DK83" s="202"/>
      <c r="DL83" s="202"/>
      <c r="DM83" s="202"/>
      <c r="DN83" s="202"/>
      <c r="DO83" s="202"/>
      <c r="DP83" s="202"/>
      <c r="DQ83" s="202"/>
      <c r="DR83" s="202"/>
      <c r="DS83" s="202"/>
      <c r="DT83" s="196"/>
      <c r="DU83" s="196"/>
      <c r="DV83" s="196"/>
      <c r="DW83" s="196"/>
      <c r="DX83" s="196"/>
      <c r="DY83" s="196"/>
      <c r="DZ83" s="196"/>
      <c r="EA83" s="196"/>
      <c r="EB83" s="176">
        <f t="shared" si="8"/>
        <v>0</v>
      </c>
      <c r="EC83" s="176">
        <f t="shared" si="9"/>
        <v>0</v>
      </c>
      <c r="ED83" s="176">
        <f t="shared" si="10"/>
        <v>0</v>
      </c>
      <c r="EE83" s="176">
        <f t="shared" si="11"/>
        <v>0</v>
      </c>
      <c r="EG83" s="129">
        <f t="shared" si="12"/>
        <v>0</v>
      </c>
      <c r="EI83" s="176">
        <f t="shared" si="13"/>
        <v>0</v>
      </c>
      <c r="EK83" s="176">
        <f t="shared" si="14"/>
        <v>0</v>
      </c>
      <c r="EL83" s="176"/>
      <c r="EM83" s="177"/>
      <c r="EN83" s="178"/>
      <c r="EO83" s="177"/>
      <c r="EP83" s="177"/>
      <c r="EQ83" s="176">
        <f t="shared" si="15"/>
        <v>0</v>
      </c>
      <c r="ER83" s="179">
        <v>23300</v>
      </c>
      <c r="ES83" s="177">
        <v>7.5</v>
      </c>
    </row>
    <row r="84" spans="1:149" x14ac:dyDescent="0.3">
      <c r="A84" s="197">
        <v>79</v>
      </c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247"/>
      <c r="AQ84" s="247"/>
      <c r="AR84" s="247"/>
      <c r="AS84" s="247"/>
      <c r="AT84" s="247"/>
      <c r="AU84" s="247"/>
      <c r="AV84" s="247"/>
      <c r="AW84" s="247"/>
      <c r="AX84" s="247"/>
      <c r="AY84" s="247"/>
      <c r="AZ84" s="247"/>
      <c r="BA84" s="247"/>
      <c r="BB84" s="247"/>
      <c r="BC84" s="247"/>
      <c r="BD84" s="206"/>
      <c r="BE84" s="206"/>
      <c r="BF84" s="206"/>
      <c r="BG84" s="206"/>
      <c r="BH84" s="206"/>
      <c r="BI84" s="206"/>
      <c r="BJ84" s="206"/>
      <c r="BK84" s="206"/>
      <c r="BL84" s="206"/>
      <c r="BM84" s="206"/>
      <c r="BN84" s="206"/>
      <c r="BO84" s="206"/>
      <c r="BP84" s="206"/>
      <c r="BQ84" s="206"/>
      <c r="BR84" s="252"/>
      <c r="BS84" s="252"/>
      <c r="BT84" s="252"/>
      <c r="BU84" s="252"/>
      <c r="BV84" s="252"/>
      <c r="BW84" s="252"/>
      <c r="BX84" s="252"/>
      <c r="BY84" s="252"/>
      <c r="BZ84" s="252"/>
      <c r="CA84" s="252"/>
      <c r="CB84" s="252"/>
      <c r="CC84" s="252"/>
      <c r="CD84" s="252"/>
      <c r="CE84" s="252"/>
      <c r="CF84" s="252"/>
      <c r="CG84" s="252"/>
      <c r="CH84" s="252"/>
      <c r="CI84" s="252"/>
      <c r="CJ84" s="257"/>
      <c r="CK84" s="257"/>
      <c r="CL84" s="257"/>
      <c r="CM84" s="257"/>
      <c r="CN84" s="257"/>
      <c r="CO84" s="257"/>
      <c r="CP84" s="257"/>
      <c r="CQ84" s="257"/>
      <c r="CR84" s="257"/>
      <c r="CS84" s="257"/>
      <c r="CT84" s="257"/>
      <c r="CU84" s="257"/>
      <c r="CV84" s="257"/>
      <c r="CW84" s="257"/>
      <c r="CX84" s="257"/>
      <c r="CY84" s="257"/>
      <c r="CZ84" s="257"/>
      <c r="DA84" s="257"/>
      <c r="DB84" s="202"/>
      <c r="DC84" s="202"/>
      <c r="DD84" s="202"/>
      <c r="DE84" s="202"/>
      <c r="DF84" s="202"/>
      <c r="DG84" s="202"/>
      <c r="DH84" s="202"/>
      <c r="DI84" s="202"/>
      <c r="DJ84" s="202"/>
      <c r="DK84" s="202"/>
      <c r="DL84" s="202"/>
      <c r="DM84" s="202"/>
      <c r="DN84" s="202"/>
      <c r="DO84" s="202"/>
      <c r="DP84" s="202"/>
      <c r="DQ84" s="202"/>
      <c r="DR84" s="202"/>
      <c r="DS84" s="202"/>
      <c r="DT84" s="196"/>
      <c r="DU84" s="196"/>
      <c r="DV84" s="196"/>
      <c r="DW84" s="196"/>
      <c r="DX84" s="196"/>
      <c r="DY84" s="196"/>
      <c r="DZ84" s="196"/>
      <c r="EA84" s="196"/>
      <c r="EB84" s="176">
        <f t="shared" si="8"/>
        <v>0</v>
      </c>
      <c r="EC84" s="176">
        <f t="shared" si="9"/>
        <v>0</v>
      </c>
      <c r="ED84" s="176">
        <f t="shared" si="10"/>
        <v>0</v>
      </c>
      <c r="EE84" s="176">
        <f t="shared" si="11"/>
        <v>0</v>
      </c>
      <c r="EG84" s="129">
        <f t="shared" si="12"/>
        <v>0</v>
      </c>
      <c r="EI84" s="176">
        <f t="shared" si="13"/>
        <v>0</v>
      </c>
      <c r="EK84" s="176">
        <f t="shared" si="14"/>
        <v>0</v>
      </c>
      <c r="EL84" s="176"/>
      <c r="EM84" s="177"/>
      <c r="EN84" s="178"/>
      <c r="EO84" s="177"/>
      <c r="EP84" s="177"/>
      <c r="EQ84" s="176">
        <f t="shared" si="15"/>
        <v>0</v>
      </c>
      <c r="ER84" s="179">
        <v>23300</v>
      </c>
      <c r="ES84" s="177">
        <v>7.5</v>
      </c>
    </row>
    <row r="85" spans="1:149" x14ac:dyDescent="0.3">
      <c r="A85" s="197">
        <v>80</v>
      </c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247"/>
      <c r="AQ85" s="247"/>
      <c r="AR85" s="247"/>
      <c r="AS85" s="247"/>
      <c r="AT85" s="247"/>
      <c r="AU85" s="247"/>
      <c r="AV85" s="247"/>
      <c r="AW85" s="247"/>
      <c r="AX85" s="247"/>
      <c r="AY85" s="247"/>
      <c r="AZ85" s="247"/>
      <c r="BA85" s="247"/>
      <c r="BB85" s="247"/>
      <c r="BC85" s="247"/>
      <c r="BD85" s="206"/>
      <c r="BE85" s="206"/>
      <c r="BF85" s="206"/>
      <c r="BG85" s="206"/>
      <c r="BH85" s="206"/>
      <c r="BI85" s="206"/>
      <c r="BJ85" s="206"/>
      <c r="BK85" s="206"/>
      <c r="BL85" s="206"/>
      <c r="BM85" s="206"/>
      <c r="BN85" s="206"/>
      <c r="BO85" s="206"/>
      <c r="BP85" s="206"/>
      <c r="BQ85" s="206"/>
      <c r="BR85" s="252"/>
      <c r="BS85" s="252"/>
      <c r="BT85" s="252"/>
      <c r="BU85" s="252"/>
      <c r="BV85" s="252"/>
      <c r="BW85" s="252"/>
      <c r="BX85" s="252"/>
      <c r="BY85" s="252"/>
      <c r="BZ85" s="252"/>
      <c r="CA85" s="252"/>
      <c r="CB85" s="252"/>
      <c r="CC85" s="252"/>
      <c r="CD85" s="252"/>
      <c r="CE85" s="252"/>
      <c r="CF85" s="252"/>
      <c r="CG85" s="252"/>
      <c r="CH85" s="252"/>
      <c r="CI85" s="252"/>
      <c r="CJ85" s="257"/>
      <c r="CK85" s="257"/>
      <c r="CL85" s="257"/>
      <c r="CM85" s="257"/>
      <c r="CN85" s="257"/>
      <c r="CO85" s="257"/>
      <c r="CP85" s="257"/>
      <c r="CQ85" s="257"/>
      <c r="CR85" s="257"/>
      <c r="CS85" s="257"/>
      <c r="CT85" s="257"/>
      <c r="CU85" s="257"/>
      <c r="CV85" s="257"/>
      <c r="CW85" s="257"/>
      <c r="CX85" s="257"/>
      <c r="CY85" s="257"/>
      <c r="CZ85" s="257"/>
      <c r="DA85" s="257"/>
      <c r="DB85" s="202"/>
      <c r="DC85" s="202"/>
      <c r="DD85" s="202"/>
      <c r="DE85" s="202"/>
      <c r="DF85" s="202"/>
      <c r="DG85" s="202"/>
      <c r="DH85" s="202"/>
      <c r="DI85" s="202"/>
      <c r="DJ85" s="202"/>
      <c r="DK85" s="202"/>
      <c r="DL85" s="202"/>
      <c r="DM85" s="202"/>
      <c r="DN85" s="202"/>
      <c r="DO85" s="202"/>
      <c r="DP85" s="202"/>
      <c r="DQ85" s="202"/>
      <c r="DR85" s="202"/>
      <c r="DS85" s="202"/>
      <c r="DT85" s="196"/>
      <c r="DU85" s="196"/>
      <c r="DV85" s="196"/>
      <c r="DW85" s="196"/>
      <c r="DX85" s="196"/>
      <c r="DY85" s="196"/>
      <c r="DZ85" s="196"/>
      <c r="EA85" s="196"/>
      <c r="EB85" s="176">
        <f t="shared" si="8"/>
        <v>0</v>
      </c>
      <c r="EC85" s="176">
        <f t="shared" si="9"/>
        <v>0</v>
      </c>
      <c r="ED85" s="176">
        <f t="shared" si="10"/>
        <v>0</v>
      </c>
      <c r="EE85" s="176">
        <f t="shared" si="11"/>
        <v>0</v>
      </c>
      <c r="EG85" s="129">
        <f t="shared" si="12"/>
        <v>0</v>
      </c>
      <c r="EI85" s="176">
        <f t="shared" si="13"/>
        <v>0</v>
      </c>
      <c r="EK85" s="176">
        <f t="shared" si="14"/>
        <v>0</v>
      </c>
      <c r="EL85" s="176"/>
      <c r="EM85" s="177"/>
      <c r="EN85" s="178"/>
      <c r="EO85" s="177"/>
      <c r="EP85" s="177"/>
      <c r="EQ85" s="176">
        <f t="shared" si="15"/>
        <v>0</v>
      </c>
      <c r="ER85" s="179">
        <v>23300</v>
      </c>
      <c r="ES85" s="177">
        <v>7.5</v>
      </c>
    </row>
    <row r="86" spans="1:149" x14ac:dyDescent="0.3">
      <c r="A86" s="197">
        <v>81</v>
      </c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247"/>
      <c r="AQ86" s="247"/>
      <c r="AR86" s="247"/>
      <c r="AS86" s="247"/>
      <c r="AT86" s="247"/>
      <c r="AU86" s="247"/>
      <c r="AV86" s="247"/>
      <c r="AW86" s="247"/>
      <c r="AX86" s="247"/>
      <c r="AY86" s="247"/>
      <c r="AZ86" s="247"/>
      <c r="BA86" s="247"/>
      <c r="BB86" s="247"/>
      <c r="BC86" s="247"/>
      <c r="BD86" s="206"/>
      <c r="BE86" s="206"/>
      <c r="BF86" s="206"/>
      <c r="BG86" s="206"/>
      <c r="BH86" s="206"/>
      <c r="BI86" s="206"/>
      <c r="BJ86" s="206"/>
      <c r="BK86" s="206"/>
      <c r="BL86" s="206"/>
      <c r="BM86" s="206"/>
      <c r="BN86" s="206"/>
      <c r="BO86" s="206"/>
      <c r="BP86" s="206"/>
      <c r="BQ86" s="206"/>
      <c r="BR86" s="252"/>
      <c r="BS86" s="252"/>
      <c r="BT86" s="252"/>
      <c r="BU86" s="252"/>
      <c r="BV86" s="252"/>
      <c r="BW86" s="252"/>
      <c r="BX86" s="252"/>
      <c r="BY86" s="252"/>
      <c r="BZ86" s="252"/>
      <c r="CA86" s="252"/>
      <c r="CB86" s="252"/>
      <c r="CC86" s="252"/>
      <c r="CD86" s="252"/>
      <c r="CE86" s="252"/>
      <c r="CF86" s="252"/>
      <c r="CG86" s="252"/>
      <c r="CH86" s="252"/>
      <c r="CI86" s="252"/>
      <c r="CJ86" s="257"/>
      <c r="CK86" s="257"/>
      <c r="CL86" s="257"/>
      <c r="CM86" s="257"/>
      <c r="CN86" s="257"/>
      <c r="CO86" s="257"/>
      <c r="CP86" s="257"/>
      <c r="CQ86" s="257"/>
      <c r="CR86" s="257"/>
      <c r="CS86" s="257"/>
      <c r="CT86" s="257"/>
      <c r="CU86" s="257"/>
      <c r="CV86" s="257"/>
      <c r="CW86" s="257"/>
      <c r="CX86" s="257"/>
      <c r="CY86" s="257"/>
      <c r="CZ86" s="257"/>
      <c r="DA86" s="257"/>
      <c r="DB86" s="202"/>
      <c r="DC86" s="202"/>
      <c r="DD86" s="202"/>
      <c r="DE86" s="202"/>
      <c r="DF86" s="202"/>
      <c r="DG86" s="202"/>
      <c r="DH86" s="202"/>
      <c r="DI86" s="202"/>
      <c r="DJ86" s="202"/>
      <c r="DK86" s="202"/>
      <c r="DL86" s="202"/>
      <c r="DM86" s="202"/>
      <c r="DN86" s="202"/>
      <c r="DO86" s="202"/>
      <c r="DP86" s="202"/>
      <c r="DQ86" s="202"/>
      <c r="DR86" s="202"/>
      <c r="DS86" s="202"/>
      <c r="DT86" s="196"/>
      <c r="DU86" s="196"/>
      <c r="DV86" s="196"/>
      <c r="DW86" s="196"/>
      <c r="DX86" s="196"/>
      <c r="DY86" s="196"/>
      <c r="DZ86" s="196"/>
      <c r="EA86" s="196"/>
      <c r="EB86" s="176">
        <f t="shared" si="8"/>
        <v>0</v>
      </c>
      <c r="EC86" s="176">
        <f t="shared" si="9"/>
        <v>0</v>
      </c>
      <c r="ED86" s="176">
        <f t="shared" si="10"/>
        <v>0</v>
      </c>
      <c r="EE86" s="176">
        <f t="shared" si="11"/>
        <v>0</v>
      </c>
      <c r="EG86" s="129">
        <f t="shared" si="12"/>
        <v>0</v>
      </c>
      <c r="EI86" s="176">
        <f t="shared" si="13"/>
        <v>0</v>
      </c>
      <c r="EK86" s="176">
        <f t="shared" si="14"/>
        <v>0</v>
      </c>
      <c r="EL86" s="176"/>
      <c r="EM86" s="177"/>
      <c r="EN86" s="178"/>
      <c r="EO86" s="177"/>
      <c r="EP86" s="177"/>
      <c r="EQ86" s="176">
        <f t="shared" si="15"/>
        <v>0</v>
      </c>
      <c r="ER86" s="179">
        <v>23300</v>
      </c>
      <c r="ES86" s="177">
        <v>7.5</v>
      </c>
    </row>
    <row r="87" spans="1:149" x14ac:dyDescent="0.3">
      <c r="A87" s="197">
        <v>82</v>
      </c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247"/>
      <c r="AQ87" s="247"/>
      <c r="AR87" s="247"/>
      <c r="AS87" s="247"/>
      <c r="AT87" s="247"/>
      <c r="AU87" s="247"/>
      <c r="AV87" s="247"/>
      <c r="AW87" s="247"/>
      <c r="AX87" s="247"/>
      <c r="AY87" s="247"/>
      <c r="AZ87" s="247"/>
      <c r="BA87" s="247"/>
      <c r="BB87" s="247"/>
      <c r="BC87" s="247"/>
      <c r="BD87" s="206"/>
      <c r="BE87" s="206"/>
      <c r="BF87" s="206"/>
      <c r="BG87" s="206"/>
      <c r="BH87" s="206"/>
      <c r="BI87" s="206"/>
      <c r="BJ87" s="206"/>
      <c r="BK87" s="206"/>
      <c r="BL87" s="206"/>
      <c r="BM87" s="206"/>
      <c r="BN87" s="206"/>
      <c r="BO87" s="206"/>
      <c r="BP87" s="206"/>
      <c r="BQ87" s="206"/>
      <c r="BR87" s="252"/>
      <c r="BS87" s="252"/>
      <c r="BT87" s="252"/>
      <c r="BU87" s="252"/>
      <c r="BV87" s="252"/>
      <c r="BW87" s="252"/>
      <c r="BX87" s="252"/>
      <c r="BY87" s="252"/>
      <c r="BZ87" s="252"/>
      <c r="CA87" s="252"/>
      <c r="CB87" s="252"/>
      <c r="CC87" s="252"/>
      <c r="CD87" s="252"/>
      <c r="CE87" s="252"/>
      <c r="CF87" s="252"/>
      <c r="CG87" s="252"/>
      <c r="CH87" s="252"/>
      <c r="CI87" s="252"/>
      <c r="CJ87" s="257"/>
      <c r="CK87" s="257"/>
      <c r="CL87" s="257"/>
      <c r="CM87" s="257"/>
      <c r="CN87" s="257"/>
      <c r="CO87" s="257"/>
      <c r="CP87" s="257"/>
      <c r="CQ87" s="257"/>
      <c r="CR87" s="257"/>
      <c r="CS87" s="257"/>
      <c r="CT87" s="257"/>
      <c r="CU87" s="257"/>
      <c r="CV87" s="257"/>
      <c r="CW87" s="257"/>
      <c r="CX87" s="257"/>
      <c r="CY87" s="257"/>
      <c r="CZ87" s="257"/>
      <c r="DA87" s="257"/>
      <c r="DB87" s="202"/>
      <c r="DC87" s="202"/>
      <c r="DD87" s="202"/>
      <c r="DE87" s="202"/>
      <c r="DF87" s="202"/>
      <c r="DG87" s="202"/>
      <c r="DH87" s="202"/>
      <c r="DI87" s="202"/>
      <c r="DJ87" s="202"/>
      <c r="DK87" s="202"/>
      <c r="DL87" s="202"/>
      <c r="DM87" s="202"/>
      <c r="DN87" s="202"/>
      <c r="DO87" s="202"/>
      <c r="DP87" s="202"/>
      <c r="DQ87" s="202"/>
      <c r="DR87" s="202"/>
      <c r="DS87" s="202"/>
      <c r="DT87" s="196"/>
      <c r="DU87" s="196"/>
      <c r="DV87" s="196"/>
      <c r="DW87" s="196"/>
      <c r="DX87" s="196"/>
      <c r="DY87" s="196"/>
      <c r="DZ87" s="196"/>
      <c r="EA87" s="196"/>
      <c r="EB87" s="176">
        <f t="shared" si="8"/>
        <v>0</v>
      </c>
      <c r="EC87" s="176">
        <f t="shared" si="9"/>
        <v>0</v>
      </c>
      <c r="ED87" s="176">
        <f t="shared" si="10"/>
        <v>0</v>
      </c>
      <c r="EE87" s="176">
        <f t="shared" si="11"/>
        <v>0</v>
      </c>
      <c r="EG87" s="129">
        <f t="shared" si="12"/>
        <v>0</v>
      </c>
      <c r="EI87" s="176">
        <f t="shared" si="13"/>
        <v>0</v>
      </c>
      <c r="EK87" s="176">
        <f t="shared" si="14"/>
        <v>0</v>
      </c>
      <c r="EL87" s="176"/>
      <c r="EM87" s="177"/>
      <c r="EN87" s="178"/>
      <c r="EO87" s="177"/>
      <c r="EP87" s="177"/>
      <c r="EQ87" s="176">
        <f t="shared" si="15"/>
        <v>0</v>
      </c>
      <c r="ER87" s="179">
        <v>23300</v>
      </c>
      <c r="ES87" s="177">
        <v>7.5</v>
      </c>
    </row>
    <row r="88" spans="1:149" x14ac:dyDescent="0.3">
      <c r="A88" s="197">
        <v>83</v>
      </c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247"/>
      <c r="AQ88" s="247"/>
      <c r="AR88" s="247"/>
      <c r="AS88" s="247"/>
      <c r="AT88" s="247"/>
      <c r="AU88" s="247"/>
      <c r="AV88" s="247"/>
      <c r="AW88" s="247"/>
      <c r="AX88" s="247"/>
      <c r="AY88" s="247"/>
      <c r="AZ88" s="247"/>
      <c r="BA88" s="247"/>
      <c r="BB88" s="247"/>
      <c r="BC88" s="247"/>
      <c r="BD88" s="206"/>
      <c r="BE88" s="206"/>
      <c r="BF88" s="206"/>
      <c r="BG88" s="206"/>
      <c r="BH88" s="206"/>
      <c r="BI88" s="206"/>
      <c r="BJ88" s="206"/>
      <c r="BK88" s="206"/>
      <c r="BL88" s="206"/>
      <c r="BM88" s="206"/>
      <c r="BN88" s="206"/>
      <c r="BO88" s="206"/>
      <c r="BP88" s="206"/>
      <c r="BQ88" s="206"/>
      <c r="BR88" s="252"/>
      <c r="BS88" s="252"/>
      <c r="BT88" s="252"/>
      <c r="BU88" s="252"/>
      <c r="BV88" s="252"/>
      <c r="BW88" s="252"/>
      <c r="BX88" s="252"/>
      <c r="BY88" s="252"/>
      <c r="BZ88" s="252"/>
      <c r="CA88" s="252"/>
      <c r="CB88" s="252"/>
      <c r="CC88" s="252"/>
      <c r="CD88" s="252"/>
      <c r="CE88" s="252"/>
      <c r="CF88" s="252"/>
      <c r="CG88" s="252"/>
      <c r="CH88" s="252"/>
      <c r="CI88" s="252"/>
      <c r="CJ88" s="257"/>
      <c r="CK88" s="257"/>
      <c r="CL88" s="257"/>
      <c r="CM88" s="257"/>
      <c r="CN88" s="257"/>
      <c r="CO88" s="257"/>
      <c r="CP88" s="257"/>
      <c r="CQ88" s="257"/>
      <c r="CR88" s="257"/>
      <c r="CS88" s="257"/>
      <c r="CT88" s="257"/>
      <c r="CU88" s="257"/>
      <c r="CV88" s="257"/>
      <c r="CW88" s="257"/>
      <c r="CX88" s="257"/>
      <c r="CY88" s="257"/>
      <c r="CZ88" s="257"/>
      <c r="DA88" s="257"/>
      <c r="DB88" s="202"/>
      <c r="DC88" s="202"/>
      <c r="DD88" s="202"/>
      <c r="DE88" s="202"/>
      <c r="DF88" s="202"/>
      <c r="DG88" s="202"/>
      <c r="DH88" s="202"/>
      <c r="DI88" s="202"/>
      <c r="DJ88" s="202"/>
      <c r="DK88" s="202"/>
      <c r="DL88" s="202"/>
      <c r="DM88" s="202"/>
      <c r="DN88" s="202"/>
      <c r="DO88" s="202"/>
      <c r="DP88" s="202"/>
      <c r="DQ88" s="202"/>
      <c r="DR88" s="202"/>
      <c r="DS88" s="202"/>
      <c r="DT88" s="196"/>
      <c r="DU88" s="196"/>
      <c r="DV88" s="196"/>
      <c r="DW88" s="196"/>
      <c r="DX88" s="196"/>
      <c r="DY88" s="196"/>
      <c r="DZ88" s="196"/>
      <c r="EA88" s="196"/>
      <c r="EB88" s="176">
        <f t="shared" si="8"/>
        <v>0</v>
      </c>
      <c r="EC88" s="176">
        <f t="shared" si="9"/>
        <v>0</v>
      </c>
      <c r="ED88" s="176">
        <f t="shared" si="10"/>
        <v>0</v>
      </c>
      <c r="EE88" s="176">
        <f t="shared" si="11"/>
        <v>0</v>
      </c>
      <c r="EG88" s="129">
        <f t="shared" si="12"/>
        <v>0</v>
      </c>
      <c r="EI88" s="176">
        <f t="shared" si="13"/>
        <v>0</v>
      </c>
      <c r="EK88" s="176">
        <f t="shared" si="14"/>
        <v>0</v>
      </c>
      <c r="EL88" s="176"/>
      <c r="EM88" s="177"/>
      <c r="EN88" s="178"/>
      <c r="EO88" s="177"/>
      <c r="EP88" s="177"/>
      <c r="EQ88" s="176">
        <f t="shared" si="15"/>
        <v>0</v>
      </c>
      <c r="ER88" s="179">
        <v>23300</v>
      </c>
      <c r="ES88" s="177">
        <v>7.5</v>
      </c>
    </row>
    <row r="89" spans="1:149" x14ac:dyDescent="0.3">
      <c r="A89" s="197">
        <v>84</v>
      </c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247"/>
      <c r="AQ89" s="247"/>
      <c r="AR89" s="247"/>
      <c r="AS89" s="247"/>
      <c r="AT89" s="247"/>
      <c r="AU89" s="247"/>
      <c r="AV89" s="247"/>
      <c r="AW89" s="247"/>
      <c r="AX89" s="247"/>
      <c r="AY89" s="247"/>
      <c r="AZ89" s="247"/>
      <c r="BA89" s="247"/>
      <c r="BB89" s="247"/>
      <c r="BC89" s="247"/>
      <c r="BD89" s="206"/>
      <c r="BE89" s="206"/>
      <c r="BF89" s="206"/>
      <c r="BG89" s="206"/>
      <c r="BH89" s="206"/>
      <c r="BI89" s="206"/>
      <c r="BJ89" s="206"/>
      <c r="BK89" s="206"/>
      <c r="BL89" s="206"/>
      <c r="BM89" s="206"/>
      <c r="BN89" s="206"/>
      <c r="BO89" s="206"/>
      <c r="BP89" s="206"/>
      <c r="BQ89" s="206"/>
      <c r="BR89" s="252"/>
      <c r="BS89" s="252"/>
      <c r="BT89" s="252"/>
      <c r="BU89" s="252"/>
      <c r="BV89" s="252"/>
      <c r="BW89" s="252"/>
      <c r="BX89" s="252"/>
      <c r="BY89" s="252"/>
      <c r="BZ89" s="252"/>
      <c r="CA89" s="252"/>
      <c r="CB89" s="252"/>
      <c r="CC89" s="252"/>
      <c r="CD89" s="252"/>
      <c r="CE89" s="252"/>
      <c r="CF89" s="252"/>
      <c r="CG89" s="252"/>
      <c r="CH89" s="252"/>
      <c r="CI89" s="252"/>
      <c r="CJ89" s="257"/>
      <c r="CK89" s="257"/>
      <c r="CL89" s="257"/>
      <c r="CM89" s="257"/>
      <c r="CN89" s="257"/>
      <c r="CO89" s="257"/>
      <c r="CP89" s="257"/>
      <c r="CQ89" s="257"/>
      <c r="CR89" s="257"/>
      <c r="CS89" s="257"/>
      <c r="CT89" s="257"/>
      <c r="CU89" s="257"/>
      <c r="CV89" s="257"/>
      <c r="CW89" s="257"/>
      <c r="CX89" s="257"/>
      <c r="CY89" s="257"/>
      <c r="CZ89" s="257"/>
      <c r="DA89" s="257"/>
      <c r="DB89" s="202"/>
      <c r="DC89" s="202"/>
      <c r="DD89" s="202"/>
      <c r="DE89" s="202"/>
      <c r="DF89" s="202"/>
      <c r="DG89" s="202"/>
      <c r="DH89" s="202"/>
      <c r="DI89" s="202"/>
      <c r="DJ89" s="202"/>
      <c r="DK89" s="202"/>
      <c r="DL89" s="202"/>
      <c r="DM89" s="202"/>
      <c r="DN89" s="202"/>
      <c r="DO89" s="202"/>
      <c r="DP89" s="202"/>
      <c r="DQ89" s="202"/>
      <c r="DR89" s="202"/>
      <c r="DS89" s="202"/>
      <c r="DT89" s="196"/>
      <c r="DU89" s="196"/>
      <c r="DV89" s="196"/>
      <c r="DW89" s="196"/>
      <c r="DX89" s="196"/>
      <c r="DY89" s="196"/>
      <c r="DZ89" s="196"/>
      <c r="EA89" s="196"/>
      <c r="EB89" s="176">
        <f t="shared" si="8"/>
        <v>0</v>
      </c>
      <c r="EC89" s="176">
        <f t="shared" si="9"/>
        <v>0</v>
      </c>
      <c r="ED89" s="176">
        <f t="shared" si="10"/>
        <v>0</v>
      </c>
      <c r="EE89" s="176">
        <f t="shared" si="11"/>
        <v>0</v>
      </c>
      <c r="EG89" s="129">
        <f t="shared" si="12"/>
        <v>0</v>
      </c>
      <c r="EI89" s="176">
        <f t="shared" si="13"/>
        <v>0</v>
      </c>
      <c r="EK89" s="176">
        <f t="shared" si="14"/>
        <v>0</v>
      </c>
      <c r="EL89" s="176"/>
      <c r="EM89" s="177"/>
      <c r="EN89" s="178"/>
      <c r="EO89" s="177"/>
      <c r="EP89" s="177"/>
      <c r="EQ89" s="176">
        <f t="shared" si="15"/>
        <v>0</v>
      </c>
      <c r="ER89" s="179">
        <v>23300</v>
      </c>
      <c r="ES89" s="177">
        <v>7.5</v>
      </c>
    </row>
    <row r="90" spans="1:149" x14ac:dyDescent="0.3">
      <c r="A90" s="197">
        <v>85</v>
      </c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247"/>
      <c r="AQ90" s="247"/>
      <c r="AR90" s="247"/>
      <c r="AS90" s="247"/>
      <c r="AT90" s="247"/>
      <c r="AU90" s="247"/>
      <c r="AV90" s="247"/>
      <c r="AW90" s="247"/>
      <c r="AX90" s="247"/>
      <c r="AY90" s="247"/>
      <c r="AZ90" s="247"/>
      <c r="BA90" s="247"/>
      <c r="BB90" s="247"/>
      <c r="BC90" s="247"/>
      <c r="BD90" s="206"/>
      <c r="BE90" s="206"/>
      <c r="BF90" s="206"/>
      <c r="BG90" s="206"/>
      <c r="BH90" s="206"/>
      <c r="BI90" s="206"/>
      <c r="BJ90" s="206"/>
      <c r="BK90" s="206"/>
      <c r="BL90" s="206"/>
      <c r="BM90" s="206"/>
      <c r="BN90" s="206"/>
      <c r="BO90" s="206"/>
      <c r="BP90" s="206"/>
      <c r="BQ90" s="206"/>
      <c r="BR90" s="252"/>
      <c r="BS90" s="252"/>
      <c r="BT90" s="252"/>
      <c r="BU90" s="252"/>
      <c r="BV90" s="252"/>
      <c r="BW90" s="252"/>
      <c r="BX90" s="252"/>
      <c r="BY90" s="252"/>
      <c r="BZ90" s="252"/>
      <c r="CA90" s="252"/>
      <c r="CB90" s="252"/>
      <c r="CC90" s="252"/>
      <c r="CD90" s="252"/>
      <c r="CE90" s="252"/>
      <c r="CF90" s="252"/>
      <c r="CG90" s="252"/>
      <c r="CH90" s="252"/>
      <c r="CI90" s="252"/>
      <c r="CJ90" s="257"/>
      <c r="CK90" s="257"/>
      <c r="CL90" s="257"/>
      <c r="CM90" s="257"/>
      <c r="CN90" s="257"/>
      <c r="CO90" s="257"/>
      <c r="CP90" s="257"/>
      <c r="CQ90" s="257"/>
      <c r="CR90" s="257"/>
      <c r="CS90" s="257"/>
      <c r="CT90" s="257"/>
      <c r="CU90" s="257"/>
      <c r="CV90" s="257"/>
      <c r="CW90" s="257"/>
      <c r="CX90" s="257"/>
      <c r="CY90" s="257"/>
      <c r="CZ90" s="257"/>
      <c r="DA90" s="257"/>
      <c r="DB90" s="202"/>
      <c r="DC90" s="202"/>
      <c r="DD90" s="202"/>
      <c r="DE90" s="202"/>
      <c r="DF90" s="202"/>
      <c r="DG90" s="202"/>
      <c r="DH90" s="202"/>
      <c r="DI90" s="202"/>
      <c r="DJ90" s="202"/>
      <c r="DK90" s="202"/>
      <c r="DL90" s="202"/>
      <c r="DM90" s="202"/>
      <c r="DN90" s="202"/>
      <c r="DO90" s="202"/>
      <c r="DP90" s="202"/>
      <c r="DQ90" s="202"/>
      <c r="DR90" s="202"/>
      <c r="DS90" s="202"/>
      <c r="DT90" s="196"/>
      <c r="DU90" s="196"/>
      <c r="DV90" s="196"/>
      <c r="DW90" s="196"/>
      <c r="DX90" s="196"/>
      <c r="DY90" s="196"/>
      <c r="DZ90" s="196"/>
      <c r="EA90" s="196"/>
      <c r="EB90" s="176">
        <f t="shared" si="8"/>
        <v>0</v>
      </c>
      <c r="EC90" s="176">
        <f t="shared" si="9"/>
        <v>0</v>
      </c>
      <c r="ED90" s="176">
        <f t="shared" si="10"/>
        <v>0</v>
      </c>
      <c r="EE90" s="176">
        <f t="shared" si="11"/>
        <v>0</v>
      </c>
      <c r="EG90" s="129">
        <f t="shared" si="12"/>
        <v>0</v>
      </c>
      <c r="EI90" s="176">
        <f t="shared" si="13"/>
        <v>0</v>
      </c>
      <c r="EK90" s="176">
        <f t="shared" si="14"/>
        <v>0</v>
      </c>
      <c r="EL90" s="176"/>
      <c r="EM90" s="177"/>
      <c r="EN90" s="178"/>
      <c r="EO90" s="177"/>
      <c r="EP90" s="177"/>
      <c r="EQ90" s="176">
        <f t="shared" si="15"/>
        <v>0</v>
      </c>
      <c r="ER90" s="179">
        <v>23300</v>
      </c>
      <c r="ES90" s="177">
        <v>7.5</v>
      </c>
    </row>
    <row r="91" spans="1:149" x14ac:dyDescent="0.3">
      <c r="A91" s="197">
        <v>86</v>
      </c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247"/>
      <c r="AQ91" s="247"/>
      <c r="AR91" s="247"/>
      <c r="AS91" s="247"/>
      <c r="AT91" s="247"/>
      <c r="AU91" s="247"/>
      <c r="AV91" s="247"/>
      <c r="AW91" s="247"/>
      <c r="AX91" s="247"/>
      <c r="AY91" s="247"/>
      <c r="AZ91" s="247"/>
      <c r="BA91" s="247"/>
      <c r="BB91" s="247"/>
      <c r="BC91" s="247"/>
      <c r="BD91" s="206"/>
      <c r="BE91" s="206"/>
      <c r="BF91" s="206"/>
      <c r="BG91" s="206"/>
      <c r="BH91" s="206"/>
      <c r="BI91" s="206"/>
      <c r="BJ91" s="206"/>
      <c r="BK91" s="206"/>
      <c r="BL91" s="206"/>
      <c r="BM91" s="206"/>
      <c r="BN91" s="206"/>
      <c r="BO91" s="206"/>
      <c r="BP91" s="206"/>
      <c r="BQ91" s="206"/>
      <c r="BR91" s="252"/>
      <c r="BS91" s="252"/>
      <c r="BT91" s="252"/>
      <c r="BU91" s="252"/>
      <c r="BV91" s="252"/>
      <c r="BW91" s="252"/>
      <c r="BX91" s="252"/>
      <c r="BY91" s="252"/>
      <c r="BZ91" s="252"/>
      <c r="CA91" s="252"/>
      <c r="CB91" s="252"/>
      <c r="CC91" s="252"/>
      <c r="CD91" s="252"/>
      <c r="CE91" s="252"/>
      <c r="CF91" s="252"/>
      <c r="CG91" s="252"/>
      <c r="CH91" s="252"/>
      <c r="CI91" s="252"/>
      <c r="CJ91" s="257"/>
      <c r="CK91" s="257"/>
      <c r="CL91" s="257"/>
      <c r="CM91" s="257"/>
      <c r="CN91" s="257"/>
      <c r="CO91" s="257"/>
      <c r="CP91" s="257"/>
      <c r="CQ91" s="257"/>
      <c r="CR91" s="257"/>
      <c r="CS91" s="257"/>
      <c r="CT91" s="257"/>
      <c r="CU91" s="257"/>
      <c r="CV91" s="257"/>
      <c r="CW91" s="257"/>
      <c r="CX91" s="257"/>
      <c r="CY91" s="257"/>
      <c r="CZ91" s="257"/>
      <c r="DA91" s="257"/>
      <c r="DB91" s="202"/>
      <c r="DC91" s="202"/>
      <c r="DD91" s="202"/>
      <c r="DE91" s="202"/>
      <c r="DF91" s="202"/>
      <c r="DG91" s="202"/>
      <c r="DH91" s="202"/>
      <c r="DI91" s="202"/>
      <c r="DJ91" s="202"/>
      <c r="DK91" s="202"/>
      <c r="DL91" s="202"/>
      <c r="DM91" s="202"/>
      <c r="DN91" s="202"/>
      <c r="DO91" s="202"/>
      <c r="DP91" s="202"/>
      <c r="DQ91" s="202"/>
      <c r="DR91" s="202"/>
      <c r="DS91" s="202"/>
      <c r="DT91" s="196"/>
      <c r="DU91" s="196"/>
      <c r="DV91" s="196"/>
      <c r="DW91" s="196"/>
      <c r="DX91" s="196"/>
      <c r="DY91" s="196"/>
      <c r="DZ91" s="196"/>
      <c r="EA91" s="196"/>
      <c r="EB91" s="176">
        <f t="shared" si="8"/>
        <v>0</v>
      </c>
      <c r="EC91" s="176">
        <f t="shared" si="9"/>
        <v>0</v>
      </c>
      <c r="ED91" s="176">
        <f t="shared" si="10"/>
        <v>0</v>
      </c>
      <c r="EE91" s="176">
        <f t="shared" si="11"/>
        <v>0</v>
      </c>
      <c r="EG91" s="129">
        <f t="shared" si="12"/>
        <v>0</v>
      </c>
      <c r="EI91" s="176">
        <f t="shared" si="13"/>
        <v>0</v>
      </c>
      <c r="EK91" s="176">
        <f t="shared" si="14"/>
        <v>0</v>
      </c>
      <c r="EL91" s="176"/>
      <c r="EM91" s="177"/>
      <c r="EN91" s="178"/>
      <c r="EO91" s="177"/>
      <c r="EP91" s="177"/>
      <c r="EQ91" s="176">
        <f t="shared" si="15"/>
        <v>0</v>
      </c>
      <c r="ER91" s="179">
        <v>23300</v>
      </c>
      <c r="ES91" s="177">
        <v>7.5</v>
      </c>
    </row>
    <row r="92" spans="1:149" x14ac:dyDescent="0.3">
      <c r="A92" s="197">
        <v>87</v>
      </c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247"/>
      <c r="AQ92" s="247"/>
      <c r="AR92" s="247"/>
      <c r="AS92" s="247"/>
      <c r="AT92" s="247"/>
      <c r="AU92" s="247"/>
      <c r="AV92" s="247"/>
      <c r="AW92" s="247"/>
      <c r="AX92" s="247"/>
      <c r="AY92" s="247"/>
      <c r="AZ92" s="247"/>
      <c r="BA92" s="247"/>
      <c r="BB92" s="247"/>
      <c r="BC92" s="247"/>
      <c r="BD92" s="206"/>
      <c r="BE92" s="206"/>
      <c r="BF92" s="206"/>
      <c r="BG92" s="206"/>
      <c r="BH92" s="206"/>
      <c r="BI92" s="206"/>
      <c r="BJ92" s="206"/>
      <c r="BK92" s="206"/>
      <c r="BL92" s="206"/>
      <c r="BM92" s="206"/>
      <c r="BN92" s="206"/>
      <c r="BO92" s="206"/>
      <c r="BP92" s="206"/>
      <c r="BQ92" s="206"/>
      <c r="BR92" s="252"/>
      <c r="BS92" s="252"/>
      <c r="BT92" s="252"/>
      <c r="BU92" s="252"/>
      <c r="BV92" s="252"/>
      <c r="BW92" s="252"/>
      <c r="BX92" s="252"/>
      <c r="BY92" s="252"/>
      <c r="BZ92" s="252"/>
      <c r="CA92" s="252"/>
      <c r="CB92" s="252"/>
      <c r="CC92" s="252"/>
      <c r="CD92" s="252"/>
      <c r="CE92" s="252"/>
      <c r="CF92" s="252"/>
      <c r="CG92" s="252"/>
      <c r="CH92" s="252"/>
      <c r="CI92" s="252"/>
      <c r="CJ92" s="257"/>
      <c r="CK92" s="257"/>
      <c r="CL92" s="257"/>
      <c r="CM92" s="257"/>
      <c r="CN92" s="257"/>
      <c r="CO92" s="257"/>
      <c r="CP92" s="257"/>
      <c r="CQ92" s="257"/>
      <c r="CR92" s="257"/>
      <c r="CS92" s="257"/>
      <c r="CT92" s="257"/>
      <c r="CU92" s="257"/>
      <c r="CV92" s="257"/>
      <c r="CW92" s="257"/>
      <c r="CX92" s="257"/>
      <c r="CY92" s="257"/>
      <c r="CZ92" s="257"/>
      <c r="DA92" s="257"/>
      <c r="DB92" s="202"/>
      <c r="DC92" s="202"/>
      <c r="DD92" s="202"/>
      <c r="DE92" s="202"/>
      <c r="DF92" s="202"/>
      <c r="DG92" s="202"/>
      <c r="DH92" s="202"/>
      <c r="DI92" s="202"/>
      <c r="DJ92" s="202"/>
      <c r="DK92" s="202"/>
      <c r="DL92" s="202"/>
      <c r="DM92" s="202"/>
      <c r="DN92" s="202"/>
      <c r="DO92" s="202"/>
      <c r="DP92" s="202"/>
      <c r="DQ92" s="202"/>
      <c r="DR92" s="202"/>
      <c r="DS92" s="202"/>
      <c r="DT92" s="196"/>
      <c r="DU92" s="196"/>
      <c r="DV92" s="196"/>
      <c r="DW92" s="196"/>
      <c r="DX92" s="196"/>
      <c r="DY92" s="196"/>
      <c r="DZ92" s="196"/>
      <c r="EA92" s="196"/>
      <c r="EB92" s="176">
        <f t="shared" si="8"/>
        <v>0</v>
      </c>
      <c r="EC92" s="176">
        <f t="shared" si="9"/>
        <v>0</v>
      </c>
      <c r="ED92" s="176">
        <f t="shared" si="10"/>
        <v>0</v>
      </c>
      <c r="EE92" s="176">
        <f t="shared" si="11"/>
        <v>0</v>
      </c>
      <c r="EG92" s="129">
        <f t="shared" si="12"/>
        <v>0</v>
      </c>
      <c r="EI92" s="176">
        <f t="shared" si="13"/>
        <v>0</v>
      </c>
      <c r="EK92" s="176">
        <f t="shared" si="14"/>
        <v>0</v>
      </c>
      <c r="EL92" s="176"/>
      <c r="EM92" s="177"/>
      <c r="EN92" s="178"/>
      <c r="EO92" s="177"/>
      <c r="EP92" s="177"/>
      <c r="EQ92" s="176">
        <f t="shared" si="15"/>
        <v>0</v>
      </c>
      <c r="ER92" s="179">
        <v>23300</v>
      </c>
      <c r="ES92" s="177">
        <v>7.5</v>
      </c>
    </row>
    <row r="93" spans="1:149" x14ac:dyDescent="0.3">
      <c r="A93" s="197">
        <v>88</v>
      </c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247"/>
      <c r="AQ93" s="247"/>
      <c r="AR93" s="247"/>
      <c r="AS93" s="247"/>
      <c r="AT93" s="247"/>
      <c r="AU93" s="247"/>
      <c r="AV93" s="247"/>
      <c r="AW93" s="247"/>
      <c r="AX93" s="247"/>
      <c r="AY93" s="247"/>
      <c r="AZ93" s="247"/>
      <c r="BA93" s="247"/>
      <c r="BB93" s="247"/>
      <c r="BC93" s="247"/>
      <c r="BD93" s="206"/>
      <c r="BE93" s="206"/>
      <c r="BF93" s="206"/>
      <c r="BG93" s="206"/>
      <c r="BH93" s="206"/>
      <c r="BI93" s="206"/>
      <c r="BJ93" s="206"/>
      <c r="BK93" s="206"/>
      <c r="BL93" s="206"/>
      <c r="BM93" s="206"/>
      <c r="BN93" s="206"/>
      <c r="BO93" s="206"/>
      <c r="BP93" s="206"/>
      <c r="BQ93" s="206"/>
      <c r="BR93" s="252"/>
      <c r="BS93" s="252"/>
      <c r="BT93" s="252"/>
      <c r="BU93" s="252"/>
      <c r="BV93" s="252"/>
      <c r="BW93" s="252"/>
      <c r="BX93" s="252"/>
      <c r="BY93" s="252"/>
      <c r="BZ93" s="252"/>
      <c r="CA93" s="252"/>
      <c r="CB93" s="252"/>
      <c r="CC93" s="252"/>
      <c r="CD93" s="252"/>
      <c r="CE93" s="252"/>
      <c r="CF93" s="252"/>
      <c r="CG93" s="252"/>
      <c r="CH93" s="252"/>
      <c r="CI93" s="252"/>
      <c r="CJ93" s="257"/>
      <c r="CK93" s="257"/>
      <c r="CL93" s="257"/>
      <c r="CM93" s="257"/>
      <c r="CN93" s="257"/>
      <c r="CO93" s="257"/>
      <c r="CP93" s="257"/>
      <c r="CQ93" s="257"/>
      <c r="CR93" s="257"/>
      <c r="CS93" s="257"/>
      <c r="CT93" s="257"/>
      <c r="CU93" s="257"/>
      <c r="CV93" s="257"/>
      <c r="CW93" s="257"/>
      <c r="CX93" s="257"/>
      <c r="CY93" s="257"/>
      <c r="CZ93" s="257"/>
      <c r="DA93" s="257"/>
      <c r="DB93" s="202"/>
      <c r="DC93" s="202"/>
      <c r="DD93" s="202"/>
      <c r="DE93" s="202"/>
      <c r="DF93" s="202"/>
      <c r="DG93" s="202"/>
      <c r="DH93" s="202"/>
      <c r="DI93" s="202"/>
      <c r="DJ93" s="202"/>
      <c r="DK93" s="202"/>
      <c r="DL93" s="202"/>
      <c r="DM93" s="202"/>
      <c r="DN93" s="202"/>
      <c r="DO93" s="202"/>
      <c r="DP93" s="202"/>
      <c r="DQ93" s="202"/>
      <c r="DR93" s="202"/>
      <c r="DS93" s="202"/>
      <c r="DT93" s="196"/>
      <c r="DU93" s="196"/>
      <c r="DV93" s="196"/>
      <c r="DW93" s="196"/>
      <c r="DX93" s="196"/>
      <c r="DY93" s="196"/>
      <c r="DZ93" s="196"/>
      <c r="EA93" s="196"/>
      <c r="EB93" s="176">
        <f t="shared" si="8"/>
        <v>0</v>
      </c>
      <c r="EC93" s="176">
        <f t="shared" si="9"/>
        <v>0</v>
      </c>
      <c r="ED93" s="176">
        <f t="shared" si="10"/>
        <v>0</v>
      </c>
      <c r="EE93" s="176">
        <f t="shared" si="11"/>
        <v>0</v>
      </c>
      <c r="EG93" s="129">
        <f t="shared" si="12"/>
        <v>0</v>
      </c>
      <c r="EI93" s="176">
        <f t="shared" si="13"/>
        <v>0</v>
      </c>
      <c r="EK93" s="176">
        <f t="shared" si="14"/>
        <v>0</v>
      </c>
      <c r="EL93" s="176"/>
      <c r="EM93" s="177"/>
      <c r="EN93" s="178"/>
      <c r="EO93" s="177"/>
      <c r="EP93" s="177"/>
      <c r="EQ93" s="176">
        <f t="shared" si="15"/>
        <v>0</v>
      </c>
      <c r="ER93" s="179">
        <v>23300</v>
      </c>
      <c r="ES93" s="177">
        <v>7.5</v>
      </c>
    </row>
    <row r="94" spans="1:149" x14ac:dyDescent="0.3">
      <c r="A94" s="197">
        <v>89</v>
      </c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247"/>
      <c r="AQ94" s="247"/>
      <c r="AR94" s="247"/>
      <c r="AS94" s="247"/>
      <c r="AT94" s="247"/>
      <c r="AU94" s="247"/>
      <c r="AV94" s="247"/>
      <c r="AW94" s="247"/>
      <c r="AX94" s="247"/>
      <c r="AY94" s="247"/>
      <c r="AZ94" s="247"/>
      <c r="BA94" s="247"/>
      <c r="BB94" s="247"/>
      <c r="BC94" s="247"/>
      <c r="BD94" s="206"/>
      <c r="BE94" s="206"/>
      <c r="BF94" s="206"/>
      <c r="BG94" s="206"/>
      <c r="BH94" s="206"/>
      <c r="BI94" s="206"/>
      <c r="BJ94" s="206"/>
      <c r="BK94" s="206"/>
      <c r="BL94" s="206"/>
      <c r="BM94" s="206"/>
      <c r="BN94" s="206"/>
      <c r="BO94" s="206"/>
      <c r="BP94" s="206"/>
      <c r="BQ94" s="206"/>
      <c r="BR94" s="252"/>
      <c r="BS94" s="252"/>
      <c r="BT94" s="252"/>
      <c r="BU94" s="252"/>
      <c r="BV94" s="252"/>
      <c r="BW94" s="252"/>
      <c r="BX94" s="252"/>
      <c r="BY94" s="252"/>
      <c r="BZ94" s="252"/>
      <c r="CA94" s="252"/>
      <c r="CB94" s="252"/>
      <c r="CC94" s="252"/>
      <c r="CD94" s="252"/>
      <c r="CE94" s="252"/>
      <c r="CF94" s="252"/>
      <c r="CG94" s="252"/>
      <c r="CH94" s="252"/>
      <c r="CI94" s="252"/>
      <c r="CJ94" s="257"/>
      <c r="CK94" s="257"/>
      <c r="CL94" s="257"/>
      <c r="CM94" s="257"/>
      <c r="CN94" s="257"/>
      <c r="CO94" s="257"/>
      <c r="CP94" s="257"/>
      <c r="CQ94" s="257"/>
      <c r="CR94" s="257"/>
      <c r="CS94" s="257"/>
      <c r="CT94" s="257"/>
      <c r="CU94" s="257"/>
      <c r="CV94" s="257"/>
      <c r="CW94" s="257"/>
      <c r="CX94" s="257"/>
      <c r="CY94" s="257"/>
      <c r="CZ94" s="257"/>
      <c r="DA94" s="257"/>
      <c r="DB94" s="202"/>
      <c r="DC94" s="202"/>
      <c r="DD94" s="202"/>
      <c r="DE94" s="202"/>
      <c r="DF94" s="202"/>
      <c r="DG94" s="202"/>
      <c r="DH94" s="202"/>
      <c r="DI94" s="202"/>
      <c r="DJ94" s="202"/>
      <c r="DK94" s="202"/>
      <c r="DL94" s="202"/>
      <c r="DM94" s="202"/>
      <c r="DN94" s="202"/>
      <c r="DO94" s="202"/>
      <c r="DP94" s="202"/>
      <c r="DQ94" s="202"/>
      <c r="DR94" s="202"/>
      <c r="DS94" s="202"/>
      <c r="DT94" s="196"/>
      <c r="DU94" s="196"/>
      <c r="DV94" s="196"/>
      <c r="DW94" s="196"/>
      <c r="DX94" s="196"/>
      <c r="DY94" s="196"/>
      <c r="DZ94" s="196"/>
      <c r="EA94" s="196"/>
      <c r="EB94" s="176">
        <f t="shared" si="8"/>
        <v>0</v>
      </c>
      <c r="EC94" s="176">
        <f t="shared" si="9"/>
        <v>0</v>
      </c>
      <c r="ED94" s="176">
        <f t="shared" si="10"/>
        <v>0</v>
      </c>
      <c r="EE94" s="176">
        <f t="shared" si="11"/>
        <v>0</v>
      </c>
      <c r="EG94" s="129">
        <f t="shared" si="12"/>
        <v>0</v>
      </c>
      <c r="EI94" s="176">
        <f t="shared" si="13"/>
        <v>0</v>
      </c>
      <c r="EK94" s="176">
        <f t="shared" si="14"/>
        <v>0</v>
      </c>
      <c r="EL94" s="176"/>
      <c r="EM94" s="177"/>
      <c r="EN94" s="178"/>
      <c r="EO94" s="177"/>
      <c r="EP94" s="177"/>
      <c r="EQ94" s="176">
        <f t="shared" si="15"/>
        <v>0</v>
      </c>
      <c r="ER94" s="179">
        <v>23300</v>
      </c>
      <c r="ES94" s="177">
        <v>7.5</v>
      </c>
    </row>
    <row r="95" spans="1:149" x14ac:dyDescent="0.3">
      <c r="A95" s="197">
        <v>90</v>
      </c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247"/>
      <c r="AQ95" s="247"/>
      <c r="AR95" s="247"/>
      <c r="AS95" s="247"/>
      <c r="AT95" s="247"/>
      <c r="AU95" s="247"/>
      <c r="AV95" s="247"/>
      <c r="AW95" s="247"/>
      <c r="AX95" s="247"/>
      <c r="AY95" s="247"/>
      <c r="AZ95" s="247"/>
      <c r="BA95" s="247"/>
      <c r="BB95" s="247"/>
      <c r="BC95" s="247"/>
      <c r="BD95" s="206"/>
      <c r="BE95" s="206"/>
      <c r="BF95" s="206"/>
      <c r="BG95" s="206"/>
      <c r="BH95" s="206"/>
      <c r="BI95" s="206"/>
      <c r="BJ95" s="206"/>
      <c r="BK95" s="206"/>
      <c r="BL95" s="206"/>
      <c r="BM95" s="206"/>
      <c r="BN95" s="206"/>
      <c r="BO95" s="206"/>
      <c r="BP95" s="206"/>
      <c r="BQ95" s="206"/>
      <c r="BR95" s="252"/>
      <c r="BS95" s="252"/>
      <c r="BT95" s="252"/>
      <c r="BU95" s="252"/>
      <c r="BV95" s="252"/>
      <c r="BW95" s="252"/>
      <c r="BX95" s="252"/>
      <c r="BY95" s="252"/>
      <c r="BZ95" s="252"/>
      <c r="CA95" s="252"/>
      <c r="CB95" s="252"/>
      <c r="CC95" s="252"/>
      <c r="CD95" s="252"/>
      <c r="CE95" s="252"/>
      <c r="CF95" s="252"/>
      <c r="CG95" s="252"/>
      <c r="CH95" s="252"/>
      <c r="CI95" s="252"/>
      <c r="CJ95" s="257"/>
      <c r="CK95" s="257"/>
      <c r="CL95" s="257"/>
      <c r="CM95" s="257"/>
      <c r="CN95" s="257"/>
      <c r="CO95" s="257"/>
      <c r="CP95" s="257"/>
      <c r="CQ95" s="257"/>
      <c r="CR95" s="257"/>
      <c r="CS95" s="257"/>
      <c r="CT95" s="257"/>
      <c r="CU95" s="257"/>
      <c r="CV95" s="257"/>
      <c r="CW95" s="257"/>
      <c r="CX95" s="257"/>
      <c r="CY95" s="257"/>
      <c r="CZ95" s="257"/>
      <c r="DA95" s="257"/>
      <c r="DB95" s="202"/>
      <c r="DC95" s="202"/>
      <c r="DD95" s="202"/>
      <c r="DE95" s="202"/>
      <c r="DF95" s="202"/>
      <c r="DG95" s="202"/>
      <c r="DH95" s="202"/>
      <c r="DI95" s="202"/>
      <c r="DJ95" s="202"/>
      <c r="DK95" s="202"/>
      <c r="DL95" s="202"/>
      <c r="DM95" s="202"/>
      <c r="DN95" s="202"/>
      <c r="DO95" s="202"/>
      <c r="DP95" s="202"/>
      <c r="DQ95" s="202"/>
      <c r="DR95" s="202"/>
      <c r="DS95" s="202"/>
      <c r="DT95" s="196"/>
      <c r="DU95" s="196"/>
      <c r="DV95" s="196"/>
      <c r="DW95" s="196"/>
      <c r="DX95" s="196"/>
      <c r="DY95" s="196"/>
      <c r="DZ95" s="196"/>
      <c r="EA95" s="196"/>
      <c r="EB95" s="176">
        <f t="shared" si="8"/>
        <v>0</v>
      </c>
      <c r="EC95" s="176">
        <f t="shared" si="9"/>
        <v>0</v>
      </c>
      <c r="ED95" s="176">
        <f t="shared" si="10"/>
        <v>0</v>
      </c>
      <c r="EE95" s="176">
        <f t="shared" si="11"/>
        <v>0</v>
      </c>
      <c r="EG95" s="129">
        <f t="shared" si="12"/>
        <v>0</v>
      </c>
      <c r="EI95" s="176">
        <f t="shared" si="13"/>
        <v>0</v>
      </c>
      <c r="EK95" s="176">
        <f t="shared" si="14"/>
        <v>0</v>
      </c>
      <c r="EL95" s="176"/>
      <c r="EM95" s="177"/>
      <c r="EN95" s="178"/>
      <c r="EO95" s="177"/>
      <c r="EP95" s="177"/>
      <c r="EQ95" s="176">
        <f t="shared" si="15"/>
        <v>0</v>
      </c>
      <c r="ER95" s="179">
        <v>23300</v>
      </c>
      <c r="ES95" s="177">
        <v>7.5</v>
      </c>
    </row>
    <row r="96" spans="1:149" x14ac:dyDescent="0.3">
      <c r="A96" s="197">
        <v>91</v>
      </c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247"/>
      <c r="AQ96" s="247"/>
      <c r="AR96" s="247"/>
      <c r="AS96" s="247"/>
      <c r="AT96" s="247"/>
      <c r="AU96" s="247"/>
      <c r="AV96" s="247"/>
      <c r="AW96" s="247"/>
      <c r="AX96" s="247"/>
      <c r="AY96" s="247"/>
      <c r="AZ96" s="247"/>
      <c r="BA96" s="247"/>
      <c r="BB96" s="247"/>
      <c r="BC96" s="247"/>
      <c r="BD96" s="206"/>
      <c r="BE96" s="206"/>
      <c r="BF96" s="206"/>
      <c r="BG96" s="206"/>
      <c r="BH96" s="206"/>
      <c r="BI96" s="206"/>
      <c r="BJ96" s="206"/>
      <c r="BK96" s="206"/>
      <c r="BL96" s="206"/>
      <c r="BM96" s="206"/>
      <c r="BN96" s="206"/>
      <c r="BO96" s="206"/>
      <c r="BP96" s="206"/>
      <c r="BQ96" s="206"/>
      <c r="BR96" s="252"/>
      <c r="BS96" s="252"/>
      <c r="BT96" s="252"/>
      <c r="BU96" s="252"/>
      <c r="BV96" s="252"/>
      <c r="BW96" s="252"/>
      <c r="BX96" s="252"/>
      <c r="BY96" s="252"/>
      <c r="BZ96" s="252"/>
      <c r="CA96" s="252"/>
      <c r="CB96" s="252"/>
      <c r="CC96" s="252"/>
      <c r="CD96" s="252"/>
      <c r="CE96" s="252"/>
      <c r="CF96" s="252"/>
      <c r="CG96" s="252"/>
      <c r="CH96" s="252"/>
      <c r="CI96" s="252"/>
      <c r="CJ96" s="257"/>
      <c r="CK96" s="257"/>
      <c r="CL96" s="257"/>
      <c r="CM96" s="257"/>
      <c r="CN96" s="257"/>
      <c r="CO96" s="257"/>
      <c r="CP96" s="257"/>
      <c r="CQ96" s="257"/>
      <c r="CR96" s="257"/>
      <c r="CS96" s="257"/>
      <c r="CT96" s="257"/>
      <c r="CU96" s="257"/>
      <c r="CV96" s="257"/>
      <c r="CW96" s="257"/>
      <c r="CX96" s="257"/>
      <c r="CY96" s="257"/>
      <c r="CZ96" s="257"/>
      <c r="DA96" s="257"/>
      <c r="DB96" s="202"/>
      <c r="DC96" s="202"/>
      <c r="DD96" s="202"/>
      <c r="DE96" s="202"/>
      <c r="DF96" s="202"/>
      <c r="DG96" s="202"/>
      <c r="DH96" s="202"/>
      <c r="DI96" s="202"/>
      <c r="DJ96" s="202"/>
      <c r="DK96" s="202"/>
      <c r="DL96" s="202"/>
      <c r="DM96" s="202"/>
      <c r="DN96" s="202"/>
      <c r="DO96" s="202"/>
      <c r="DP96" s="202"/>
      <c r="DQ96" s="202"/>
      <c r="DR96" s="202"/>
      <c r="DS96" s="202"/>
      <c r="DT96" s="196"/>
      <c r="DU96" s="196"/>
      <c r="DV96" s="196"/>
      <c r="DW96" s="196"/>
      <c r="DX96" s="196"/>
      <c r="DY96" s="196"/>
      <c r="DZ96" s="196"/>
      <c r="EA96" s="196"/>
      <c r="EB96" s="176">
        <f t="shared" si="8"/>
        <v>0</v>
      </c>
      <c r="EC96" s="176">
        <f t="shared" si="9"/>
        <v>0</v>
      </c>
      <c r="ED96" s="176">
        <f t="shared" si="10"/>
        <v>0</v>
      </c>
      <c r="EE96" s="176">
        <f t="shared" si="11"/>
        <v>0</v>
      </c>
      <c r="EG96" s="129">
        <f t="shared" si="12"/>
        <v>0</v>
      </c>
      <c r="EI96" s="176">
        <f t="shared" si="13"/>
        <v>0</v>
      </c>
      <c r="EK96" s="176">
        <f t="shared" si="14"/>
        <v>0</v>
      </c>
      <c r="EL96" s="176"/>
      <c r="EM96" s="177"/>
      <c r="EN96" s="178"/>
      <c r="EO96" s="177"/>
      <c r="EP96" s="177"/>
      <c r="EQ96" s="176">
        <f t="shared" si="15"/>
        <v>0</v>
      </c>
      <c r="ER96" s="179">
        <v>23300</v>
      </c>
      <c r="ES96" s="177">
        <v>7.5</v>
      </c>
    </row>
    <row r="97" spans="1:149" x14ac:dyDescent="0.3">
      <c r="A97" s="197">
        <v>92</v>
      </c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247"/>
      <c r="AQ97" s="247"/>
      <c r="AR97" s="247"/>
      <c r="AS97" s="247"/>
      <c r="AT97" s="247"/>
      <c r="AU97" s="247"/>
      <c r="AV97" s="247"/>
      <c r="AW97" s="247"/>
      <c r="AX97" s="247"/>
      <c r="AY97" s="247"/>
      <c r="AZ97" s="247"/>
      <c r="BA97" s="247"/>
      <c r="BB97" s="247"/>
      <c r="BC97" s="247"/>
      <c r="BD97" s="206"/>
      <c r="BE97" s="206"/>
      <c r="BF97" s="206"/>
      <c r="BG97" s="206"/>
      <c r="BH97" s="206"/>
      <c r="BI97" s="206"/>
      <c r="BJ97" s="206"/>
      <c r="BK97" s="206"/>
      <c r="BL97" s="206"/>
      <c r="BM97" s="206"/>
      <c r="BN97" s="206"/>
      <c r="BO97" s="206"/>
      <c r="BP97" s="206"/>
      <c r="BQ97" s="206"/>
      <c r="BR97" s="252"/>
      <c r="BS97" s="252"/>
      <c r="BT97" s="252"/>
      <c r="BU97" s="252"/>
      <c r="BV97" s="252"/>
      <c r="BW97" s="252"/>
      <c r="BX97" s="252"/>
      <c r="BY97" s="252"/>
      <c r="BZ97" s="252"/>
      <c r="CA97" s="252"/>
      <c r="CB97" s="252"/>
      <c r="CC97" s="252"/>
      <c r="CD97" s="252"/>
      <c r="CE97" s="252"/>
      <c r="CF97" s="252"/>
      <c r="CG97" s="252"/>
      <c r="CH97" s="252"/>
      <c r="CI97" s="252"/>
      <c r="CJ97" s="257"/>
      <c r="CK97" s="257"/>
      <c r="CL97" s="257"/>
      <c r="CM97" s="257"/>
      <c r="CN97" s="257"/>
      <c r="CO97" s="257"/>
      <c r="CP97" s="257"/>
      <c r="CQ97" s="257"/>
      <c r="CR97" s="257"/>
      <c r="CS97" s="257"/>
      <c r="CT97" s="257"/>
      <c r="CU97" s="257"/>
      <c r="CV97" s="257"/>
      <c r="CW97" s="257"/>
      <c r="CX97" s="257"/>
      <c r="CY97" s="257"/>
      <c r="CZ97" s="257"/>
      <c r="DA97" s="257"/>
      <c r="DB97" s="202"/>
      <c r="DC97" s="202"/>
      <c r="DD97" s="202"/>
      <c r="DE97" s="202"/>
      <c r="DF97" s="202"/>
      <c r="DG97" s="202"/>
      <c r="DH97" s="202"/>
      <c r="DI97" s="202"/>
      <c r="DJ97" s="202"/>
      <c r="DK97" s="202"/>
      <c r="DL97" s="202"/>
      <c r="DM97" s="202"/>
      <c r="DN97" s="202"/>
      <c r="DO97" s="202"/>
      <c r="DP97" s="202"/>
      <c r="DQ97" s="202"/>
      <c r="DR97" s="202"/>
      <c r="DS97" s="202"/>
      <c r="DT97" s="196"/>
      <c r="DU97" s="196"/>
      <c r="DV97" s="196"/>
      <c r="DW97" s="196"/>
      <c r="DX97" s="196"/>
      <c r="DY97" s="196"/>
      <c r="DZ97" s="196"/>
      <c r="EA97" s="196"/>
      <c r="EB97" s="176">
        <f t="shared" si="8"/>
        <v>0</v>
      </c>
      <c r="EC97" s="176">
        <f t="shared" si="9"/>
        <v>0</v>
      </c>
      <c r="ED97" s="176">
        <f t="shared" si="10"/>
        <v>0</v>
      </c>
      <c r="EE97" s="176">
        <f t="shared" si="11"/>
        <v>0</v>
      </c>
      <c r="EG97" s="129">
        <f t="shared" si="12"/>
        <v>0</v>
      </c>
      <c r="EI97" s="176">
        <f t="shared" si="13"/>
        <v>0</v>
      </c>
      <c r="EK97" s="176">
        <f t="shared" si="14"/>
        <v>0</v>
      </c>
      <c r="EL97" s="176"/>
      <c r="EM97" s="177"/>
      <c r="EN97" s="178"/>
      <c r="EO97" s="177"/>
      <c r="EP97" s="177"/>
      <c r="EQ97" s="176">
        <f t="shared" si="15"/>
        <v>0</v>
      </c>
      <c r="ER97" s="179">
        <v>23300</v>
      </c>
      <c r="ES97" s="177">
        <v>7.5</v>
      </c>
    </row>
    <row r="98" spans="1:149" x14ac:dyDescent="0.3">
      <c r="A98" s="197">
        <v>93</v>
      </c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247"/>
      <c r="AQ98" s="247"/>
      <c r="AR98" s="247"/>
      <c r="AS98" s="247"/>
      <c r="AT98" s="247"/>
      <c r="AU98" s="247"/>
      <c r="AV98" s="247"/>
      <c r="AW98" s="247"/>
      <c r="AX98" s="247"/>
      <c r="AY98" s="247"/>
      <c r="AZ98" s="247"/>
      <c r="BA98" s="247"/>
      <c r="BB98" s="247"/>
      <c r="BC98" s="247"/>
      <c r="BD98" s="206"/>
      <c r="BE98" s="206"/>
      <c r="BF98" s="206"/>
      <c r="BG98" s="206"/>
      <c r="BH98" s="206"/>
      <c r="BI98" s="206"/>
      <c r="BJ98" s="206"/>
      <c r="BK98" s="206"/>
      <c r="BL98" s="206"/>
      <c r="BM98" s="206"/>
      <c r="BN98" s="206"/>
      <c r="BO98" s="206"/>
      <c r="BP98" s="206"/>
      <c r="BQ98" s="206"/>
      <c r="BR98" s="252"/>
      <c r="BS98" s="252"/>
      <c r="BT98" s="252"/>
      <c r="BU98" s="252"/>
      <c r="BV98" s="252"/>
      <c r="BW98" s="252"/>
      <c r="BX98" s="252"/>
      <c r="BY98" s="252"/>
      <c r="BZ98" s="252"/>
      <c r="CA98" s="252"/>
      <c r="CB98" s="252"/>
      <c r="CC98" s="252"/>
      <c r="CD98" s="252"/>
      <c r="CE98" s="252"/>
      <c r="CF98" s="252"/>
      <c r="CG98" s="252"/>
      <c r="CH98" s="252"/>
      <c r="CI98" s="252"/>
      <c r="CJ98" s="257"/>
      <c r="CK98" s="257"/>
      <c r="CL98" s="257"/>
      <c r="CM98" s="257"/>
      <c r="CN98" s="257"/>
      <c r="CO98" s="257"/>
      <c r="CP98" s="257"/>
      <c r="CQ98" s="257"/>
      <c r="CR98" s="257"/>
      <c r="CS98" s="257"/>
      <c r="CT98" s="257"/>
      <c r="CU98" s="257"/>
      <c r="CV98" s="257"/>
      <c r="CW98" s="257"/>
      <c r="CX98" s="257"/>
      <c r="CY98" s="257"/>
      <c r="CZ98" s="257"/>
      <c r="DA98" s="257"/>
      <c r="DB98" s="202"/>
      <c r="DC98" s="202"/>
      <c r="DD98" s="202"/>
      <c r="DE98" s="202"/>
      <c r="DF98" s="202"/>
      <c r="DG98" s="202"/>
      <c r="DH98" s="202"/>
      <c r="DI98" s="202"/>
      <c r="DJ98" s="202"/>
      <c r="DK98" s="202"/>
      <c r="DL98" s="202"/>
      <c r="DM98" s="202"/>
      <c r="DN98" s="202"/>
      <c r="DO98" s="202"/>
      <c r="DP98" s="202"/>
      <c r="DQ98" s="202"/>
      <c r="DR98" s="202"/>
      <c r="DS98" s="202"/>
      <c r="DT98" s="196"/>
      <c r="DU98" s="196"/>
      <c r="DV98" s="196"/>
      <c r="DW98" s="196"/>
      <c r="DX98" s="196"/>
      <c r="DY98" s="196"/>
      <c r="DZ98" s="196"/>
      <c r="EA98" s="196"/>
      <c r="EB98" s="176">
        <f t="shared" si="8"/>
        <v>0</v>
      </c>
      <c r="EC98" s="176">
        <f t="shared" si="9"/>
        <v>0</v>
      </c>
      <c r="ED98" s="176">
        <f t="shared" si="10"/>
        <v>0</v>
      </c>
      <c r="EE98" s="176">
        <f t="shared" si="11"/>
        <v>0</v>
      </c>
      <c r="EG98" s="129">
        <f t="shared" si="12"/>
        <v>0</v>
      </c>
      <c r="EI98" s="176">
        <f t="shared" si="13"/>
        <v>0</v>
      </c>
      <c r="EK98" s="176">
        <f t="shared" si="14"/>
        <v>0</v>
      </c>
      <c r="EL98" s="176"/>
      <c r="EM98" s="177"/>
      <c r="EN98" s="178"/>
      <c r="EO98" s="177"/>
      <c r="EP98" s="177"/>
      <c r="EQ98" s="176">
        <f t="shared" si="15"/>
        <v>0</v>
      </c>
      <c r="ER98" s="179">
        <v>23300</v>
      </c>
      <c r="ES98" s="177">
        <v>7.5</v>
      </c>
    </row>
    <row r="99" spans="1:149" x14ac:dyDescent="0.3">
      <c r="A99" s="197">
        <v>94</v>
      </c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247"/>
      <c r="AQ99" s="247"/>
      <c r="AR99" s="247"/>
      <c r="AS99" s="247"/>
      <c r="AT99" s="247"/>
      <c r="AU99" s="247"/>
      <c r="AV99" s="247"/>
      <c r="AW99" s="247"/>
      <c r="AX99" s="247"/>
      <c r="AY99" s="247"/>
      <c r="AZ99" s="247"/>
      <c r="BA99" s="247"/>
      <c r="BB99" s="247"/>
      <c r="BC99" s="247"/>
      <c r="BD99" s="206"/>
      <c r="BE99" s="206"/>
      <c r="BF99" s="206"/>
      <c r="BG99" s="206"/>
      <c r="BH99" s="206"/>
      <c r="BI99" s="206"/>
      <c r="BJ99" s="206"/>
      <c r="BK99" s="206"/>
      <c r="BL99" s="206"/>
      <c r="BM99" s="206"/>
      <c r="BN99" s="206"/>
      <c r="BO99" s="206"/>
      <c r="BP99" s="206"/>
      <c r="BQ99" s="206"/>
      <c r="BR99" s="252"/>
      <c r="BS99" s="252"/>
      <c r="BT99" s="252"/>
      <c r="BU99" s="252"/>
      <c r="BV99" s="252"/>
      <c r="BW99" s="252"/>
      <c r="BX99" s="252"/>
      <c r="BY99" s="252"/>
      <c r="BZ99" s="252"/>
      <c r="CA99" s="252"/>
      <c r="CB99" s="252"/>
      <c r="CC99" s="252"/>
      <c r="CD99" s="252"/>
      <c r="CE99" s="252"/>
      <c r="CF99" s="252"/>
      <c r="CG99" s="252"/>
      <c r="CH99" s="252"/>
      <c r="CI99" s="252"/>
      <c r="CJ99" s="257"/>
      <c r="CK99" s="257"/>
      <c r="CL99" s="257"/>
      <c r="CM99" s="257"/>
      <c r="CN99" s="257"/>
      <c r="CO99" s="257"/>
      <c r="CP99" s="257"/>
      <c r="CQ99" s="257"/>
      <c r="CR99" s="257"/>
      <c r="CS99" s="257"/>
      <c r="CT99" s="257"/>
      <c r="CU99" s="257"/>
      <c r="CV99" s="257"/>
      <c r="CW99" s="257"/>
      <c r="CX99" s="257"/>
      <c r="CY99" s="257"/>
      <c r="CZ99" s="257"/>
      <c r="DA99" s="257"/>
      <c r="DB99" s="202"/>
      <c r="DC99" s="202"/>
      <c r="DD99" s="202"/>
      <c r="DE99" s="202"/>
      <c r="DF99" s="202"/>
      <c r="DG99" s="202"/>
      <c r="DH99" s="202"/>
      <c r="DI99" s="202"/>
      <c r="DJ99" s="202"/>
      <c r="DK99" s="202"/>
      <c r="DL99" s="202"/>
      <c r="DM99" s="202"/>
      <c r="DN99" s="202"/>
      <c r="DO99" s="202"/>
      <c r="DP99" s="202"/>
      <c r="DQ99" s="202"/>
      <c r="DR99" s="202"/>
      <c r="DS99" s="202"/>
      <c r="DT99" s="196"/>
      <c r="DU99" s="196"/>
      <c r="DV99" s="196"/>
      <c r="DW99" s="196"/>
      <c r="DX99" s="196"/>
      <c r="DY99" s="196"/>
      <c r="DZ99" s="196"/>
      <c r="EA99" s="196"/>
      <c r="EB99" s="176">
        <f t="shared" si="8"/>
        <v>0</v>
      </c>
      <c r="EC99" s="176">
        <f t="shared" si="9"/>
        <v>0</v>
      </c>
      <c r="ED99" s="176">
        <f t="shared" si="10"/>
        <v>0</v>
      </c>
      <c r="EE99" s="176">
        <f t="shared" si="11"/>
        <v>0</v>
      </c>
      <c r="EG99" s="129">
        <f t="shared" si="12"/>
        <v>0</v>
      </c>
      <c r="EI99" s="176">
        <f t="shared" si="13"/>
        <v>0</v>
      </c>
      <c r="EK99" s="176">
        <f t="shared" si="14"/>
        <v>0</v>
      </c>
      <c r="EL99" s="176"/>
      <c r="EM99" s="177"/>
      <c r="EN99" s="178"/>
      <c r="EO99" s="177"/>
      <c r="EP99" s="177"/>
      <c r="EQ99" s="176">
        <f t="shared" si="15"/>
        <v>0</v>
      </c>
      <c r="ER99" s="179">
        <v>23300</v>
      </c>
      <c r="ES99" s="177">
        <v>7.5</v>
      </c>
    </row>
    <row r="100" spans="1:149" x14ac:dyDescent="0.3">
      <c r="A100" s="197">
        <v>95</v>
      </c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247"/>
      <c r="AQ100" s="247"/>
      <c r="AR100" s="247"/>
      <c r="AS100" s="247"/>
      <c r="AT100" s="247"/>
      <c r="AU100" s="247"/>
      <c r="AV100" s="247"/>
      <c r="AW100" s="247"/>
      <c r="AX100" s="247"/>
      <c r="AY100" s="247"/>
      <c r="AZ100" s="247"/>
      <c r="BA100" s="247"/>
      <c r="BB100" s="247"/>
      <c r="BC100" s="247"/>
      <c r="BD100" s="206"/>
      <c r="BE100" s="206"/>
      <c r="BF100" s="206"/>
      <c r="BG100" s="206"/>
      <c r="BH100" s="206"/>
      <c r="BI100" s="206"/>
      <c r="BJ100" s="206"/>
      <c r="BK100" s="206"/>
      <c r="BL100" s="206"/>
      <c r="BM100" s="206"/>
      <c r="BN100" s="206"/>
      <c r="BO100" s="206"/>
      <c r="BP100" s="206"/>
      <c r="BQ100" s="206"/>
      <c r="BR100" s="252"/>
      <c r="BS100" s="252"/>
      <c r="BT100" s="252"/>
      <c r="BU100" s="252"/>
      <c r="BV100" s="252"/>
      <c r="BW100" s="252"/>
      <c r="BX100" s="252"/>
      <c r="BY100" s="252"/>
      <c r="BZ100" s="252"/>
      <c r="CA100" s="252"/>
      <c r="CB100" s="252"/>
      <c r="CC100" s="252"/>
      <c r="CD100" s="252"/>
      <c r="CE100" s="252"/>
      <c r="CF100" s="252"/>
      <c r="CG100" s="252"/>
      <c r="CH100" s="252"/>
      <c r="CI100" s="252"/>
      <c r="CJ100" s="257"/>
      <c r="CK100" s="257"/>
      <c r="CL100" s="257"/>
      <c r="CM100" s="257"/>
      <c r="CN100" s="257"/>
      <c r="CO100" s="257"/>
      <c r="CP100" s="257"/>
      <c r="CQ100" s="257"/>
      <c r="CR100" s="257"/>
      <c r="CS100" s="257"/>
      <c r="CT100" s="257"/>
      <c r="CU100" s="257"/>
      <c r="CV100" s="257"/>
      <c r="CW100" s="257"/>
      <c r="CX100" s="257"/>
      <c r="CY100" s="257"/>
      <c r="CZ100" s="257"/>
      <c r="DA100" s="257"/>
      <c r="DB100" s="202"/>
      <c r="DC100" s="202"/>
      <c r="DD100" s="202"/>
      <c r="DE100" s="202"/>
      <c r="DF100" s="202"/>
      <c r="DG100" s="202"/>
      <c r="DH100" s="202"/>
      <c r="DI100" s="202"/>
      <c r="DJ100" s="202"/>
      <c r="DK100" s="202"/>
      <c r="DL100" s="202"/>
      <c r="DM100" s="202"/>
      <c r="DN100" s="202"/>
      <c r="DO100" s="202"/>
      <c r="DP100" s="202"/>
      <c r="DQ100" s="202"/>
      <c r="DR100" s="202"/>
      <c r="DS100" s="202"/>
      <c r="DT100" s="196"/>
      <c r="DU100" s="196"/>
      <c r="DV100" s="196"/>
      <c r="DW100" s="196"/>
      <c r="DX100" s="196"/>
      <c r="DY100" s="196"/>
      <c r="DZ100" s="196"/>
      <c r="EA100" s="196"/>
      <c r="EB100" s="176">
        <f t="shared" si="8"/>
        <v>0</v>
      </c>
      <c r="EC100" s="176">
        <f t="shared" si="9"/>
        <v>0</v>
      </c>
      <c r="ED100" s="176">
        <f t="shared" si="10"/>
        <v>0</v>
      </c>
      <c r="EE100" s="176">
        <f t="shared" si="11"/>
        <v>0</v>
      </c>
      <c r="EG100" s="129">
        <f t="shared" si="12"/>
        <v>0</v>
      </c>
      <c r="EI100" s="176">
        <f t="shared" si="13"/>
        <v>0</v>
      </c>
      <c r="EK100" s="176">
        <f t="shared" si="14"/>
        <v>0</v>
      </c>
      <c r="EL100" s="176"/>
      <c r="EM100" s="177"/>
      <c r="EN100" s="178"/>
      <c r="EO100" s="177"/>
      <c r="EP100" s="177"/>
      <c r="EQ100" s="176">
        <f t="shared" si="15"/>
        <v>0</v>
      </c>
      <c r="ER100" s="179">
        <v>23300</v>
      </c>
      <c r="ES100" s="177">
        <v>7.5</v>
      </c>
    </row>
    <row r="101" spans="1:149" x14ac:dyDescent="0.3">
      <c r="A101" s="197">
        <v>96</v>
      </c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247"/>
      <c r="AQ101" s="247"/>
      <c r="AR101" s="247"/>
      <c r="AS101" s="247"/>
      <c r="AT101" s="247"/>
      <c r="AU101" s="247"/>
      <c r="AV101" s="247"/>
      <c r="AW101" s="247"/>
      <c r="AX101" s="247"/>
      <c r="AY101" s="247"/>
      <c r="AZ101" s="247"/>
      <c r="BA101" s="247"/>
      <c r="BB101" s="247"/>
      <c r="BC101" s="247"/>
      <c r="BD101" s="206"/>
      <c r="BE101" s="206"/>
      <c r="BF101" s="206"/>
      <c r="BG101" s="206"/>
      <c r="BH101" s="206"/>
      <c r="BI101" s="206"/>
      <c r="BJ101" s="206"/>
      <c r="BK101" s="206"/>
      <c r="BL101" s="206"/>
      <c r="BM101" s="206"/>
      <c r="BN101" s="206"/>
      <c r="BO101" s="206"/>
      <c r="BP101" s="206"/>
      <c r="BQ101" s="206"/>
      <c r="BR101" s="252"/>
      <c r="BS101" s="252"/>
      <c r="BT101" s="252"/>
      <c r="BU101" s="252"/>
      <c r="BV101" s="252"/>
      <c r="BW101" s="252"/>
      <c r="BX101" s="252"/>
      <c r="BY101" s="252"/>
      <c r="BZ101" s="252"/>
      <c r="CA101" s="252"/>
      <c r="CB101" s="252"/>
      <c r="CC101" s="252"/>
      <c r="CD101" s="252"/>
      <c r="CE101" s="252"/>
      <c r="CF101" s="252"/>
      <c r="CG101" s="252"/>
      <c r="CH101" s="252"/>
      <c r="CI101" s="252"/>
      <c r="CJ101" s="257"/>
      <c r="CK101" s="257"/>
      <c r="CL101" s="257"/>
      <c r="CM101" s="257"/>
      <c r="CN101" s="257"/>
      <c r="CO101" s="257"/>
      <c r="CP101" s="257"/>
      <c r="CQ101" s="257"/>
      <c r="CR101" s="257"/>
      <c r="CS101" s="257"/>
      <c r="CT101" s="257"/>
      <c r="CU101" s="257"/>
      <c r="CV101" s="257"/>
      <c r="CW101" s="257"/>
      <c r="CX101" s="257"/>
      <c r="CY101" s="257"/>
      <c r="CZ101" s="257"/>
      <c r="DA101" s="257"/>
      <c r="DB101" s="202"/>
      <c r="DC101" s="202"/>
      <c r="DD101" s="202"/>
      <c r="DE101" s="202"/>
      <c r="DF101" s="202"/>
      <c r="DG101" s="202"/>
      <c r="DH101" s="202"/>
      <c r="DI101" s="202"/>
      <c r="DJ101" s="202"/>
      <c r="DK101" s="202"/>
      <c r="DL101" s="202"/>
      <c r="DM101" s="202"/>
      <c r="DN101" s="202"/>
      <c r="DO101" s="202"/>
      <c r="DP101" s="202"/>
      <c r="DQ101" s="202"/>
      <c r="DR101" s="202"/>
      <c r="DS101" s="202"/>
      <c r="DT101" s="196"/>
      <c r="DU101" s="196"/>
      <c r="DV101" s="196"/>
      <c r="DW101" s="196"/>
      <c r="DX101" s="196"/>
      <c r="DY101" s="196"/>
      <c r="DZ101" s="196"/>
      <c r="EA101" s="196"/>
      <c r="EB101" s="176">
        <f t="shared" si="8"/>
        <v>0</v>
      </c>
      <c r="EC101" s="176">
        <f t="shared" si="9"/>
        <v>0</v>
      </c>
      <c r="ED101" s="176">
        <f t="shared" si="10"/>
        <v>0</v>
      </c>
      <c r="EE101" s="176">
        <f t="shared" si="11"/>
        <v>0</v>
      </c>
      <c r="EG101" s="129">
        <f t="shared" si="12"/>
        <v>0</v>
      </c>
      <c r="EI101" s="176">
        <f t="shared" si="13"/>
        <v>0</v>
      </c>
      <c r="EK101" s="176">
        <f t="shared" si="14"/>
        <v>0</v>
      </c>
      <c r="EL101" s="176"/>
      <c r="EM101" s="177"/>
      <c r="EN101" s="178"/>
      <c r="EO101" s="177"/>
      <c r="EP101" s="177"/>
      <c r="EQ101" s="176">
        <f t="shared" si="15"/>
        <v>0</v>
      </c>
      <c r="ER101" s="179">
        <v>23300</v>
      </c>
      <c r="ES101" s="177">
        <v>7.5</v>
      </c>
    </row>
    <row r="102" spans="1:149" x14ac:dyDescent="0.3">
      <c r="A102" s="197">
        <v>97</v>
      </c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247"/>
      <c r="AQ102" s="247"/>
      <c r="AR102" s="247"/>
      <c r="AS102" s="247"/>
      <c r="AT102" s="247"/>
      <c r="AU102" s="247"/>
      <c r="AV102" s="247"/>
      <c r="AW102" s="247"/>
      <c r="AX102" s="247"/>
      <c r="AY102" s="247"/>
      <c r="AZ102" s="247"/>
      <c r="BA102" s="247"/>
      <c r="BB102" s="247"/>
      <c r="BC102" s="247"/>
      <c r="BD102" s="206"/>
      <c r="BE102" s="206"/>
      <c r="BF102" s="206"/>
      <c r="BG102" s="206"/>
      <c r="BH102" s="206"/>
      <c r="BI102" s="206"/>
      <c r="BJ102" s="206"/>
      <c r="BK102" s="206"/>
      <c r="BL102" s="206"/>
      <c r="BM102" s="206"/>
      <c r="BN102" s="206"/>
      <c r="BO102" s="206"/>
      <c r="BP102" s="206"/>
      <c r="BQ102" s="206"/>
      <c r="BR102" s="252"/>
      <c r="BS102" s="252"/>
      <c r="BT102" s="252"/>
      <c r="BU102" s="252"/>
      <c r="BV102" s="252"/>
      <c r="BW102" s="252"/>
      <c r="BX102" s="252"/>
      <c r="BY102" s="252"/>
      <c r="BZ102" s="252"/>
      <c r="CA102" s="252"/>
      <c r="CB102" s="252"/>
      <c r="CC102" s="252"/>
      <c r="CD102" s="252"/>
      <c r="CE102" s="252"/>
      <c r="CF102" s="252"/>
      <c r="CG102" s="252"/>
      <c r="CH102" s="252"/>
      <c r="CI102" s="252"/>
      <c r="CJ102" s="257"/>
      <c r="CK102" s="257"/>
      <c r="CL102" s="257"/>
      <c r="CM102" s="257"/>
      <c r="CN102" s="257"/>
      <c r="CO102" s="257"/>
      <c r="CP102" s="257"/>
      <c r="CQ102" s="257"/>
      <c r="CR102" s="257"/>
      <c r="CS102" s="257"/>
      <c r="CT102" s="257"/>
      <c r="CU102" s="257"/>
      <c r="CV102" s="257"/>
      <c r="CW102" s="257"/>
      <c r="CX102" s="257"/>
      <c r="CY102" s="257"/>
      <c r="CZ102" s="257"/>
      <c r="DA102" s="257"/>
      <c r="DB102" s="202"/>
      <c r="DC102" s="202"/>
      <c r="DD102" s="202"/>
      <c r="DE102" s="202"/>
      <c r="DF102" s="202"/>
      <c r="DG102" s="202"/>
      <c r="DH102" s="202"/>
      <c r="DI102" s="202"/>
      <c r="DJ102" s="202"/>
      <c r="DK102" s="202"/>
      <c r="DL102" s="202"/>
      <c r="DM102" s="202"/>
      <c r="DN102" s="202"/>
      <c r="DO102" s="202"/>
      <c r="DP102" s="202"/>
      <c r="DQ102" s="202"/>
      <c r="DR102" s="202"/>
      <c r="DS102" s="202"/>
      <c r="DT102" s="196"/>
      <c r="DU102" s="196"/>
      <c r="DV102" s="196"/>
      <c r="DW102" s="196"/>
      <c r="DX102" s="196"/>
      <c r="DY102" s="196"/>
      <c r="DZ102" s="196"/>
      <c r="EA102" s="196"/>
      <c r="EB102" s="176">
        <f t="shared" si="8"/>
        <v>0</v>
      </c>
      <c r="EC102" s="176">
        <f t="shared" si="9"/>
        <v>0</v>
      </c>
      <c r="ED102" s="176">
        <f t="shared" si="10"/>
        <v>0</v>
      </c>
      <c r="EE102" s="176">
        <f t="shared" si="11"/>
        <v>0</v>
      </c>
      <c r="EG102" s="129">
        <f t="shared" si="12"/>
        <v>0</v>
      </c>
      <c r="EI102" s="176">
        <f t="shared" si="13"/>
        <v>0</v>
      </c>
      <c r="EK102" s="176">
        <f t="shared" si="14"/>
        <v>0</v>
      </c>
      <c r="EL102" s="176"/>
      <c r="EM102" s="177"/>
      <c r="EN102" s="178"/>
      <c r="EO102" s="177"/>
      <c r="EP102" s="177"/>
      <c r="EQ102" s="176">
        <f t="shared" si="15"/>
        <v>0</v>
      </c>
      <c r="ER102" s="179">
        <v>23300</v>
      </c>
      <c r="ES102" s="177">
        <v>7.5</v>
      </c>
    </row>
    <row r="103" spans="1:149" x14ac:dyDescent="0.3">
      <c r="A103" s="197">
        <v>98</v>
      </c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247"/>
      <c r="AQ103" s="247"/>
      <c r="AR103" s="247"/>
      <c r="AS103" s="247"/>
      <c r="AT103" s="247"/>
      <c r="AU103" s="247"/>
      <c r="AV103" s="247"/>
      <c r="AW103" s="247"/>
      <c r="AX103" s="247"/>
      <c r="AY103" s="247"/>
      <c r="AZ103" s="247"/>
      <c r="BA103" s="247"/>
      <c r="BB103" s="247"/>
      <c r="BC103" s="247"/>
      <c r="BD103" s="206"/>
      <c r="BE103" s="206"/>
      <c r="BF103" s="206"/>
      <c r="BG103" s="206"/>
      <c r="BH103" s="206"/>
      <c r="BI103" s="206"/>
      <c r="BJ103" s="206"/>
      <c r="BK103" s="206"/>
      <c r="BL103" s="206"/>
      <c r="BM103" s="206"/>
      <c r="BN103" s="206"/>
      <c r="BO103" s="206"/>
      <c r="BP103" s="206"/>
      <c r="BQ103" s="206"/>
      <c r="BR103" s="252"/>
      <c r="BS103" s="252"/>
      <c r="BT103" s="252"/>
      <c r="BU103" s="252"/>
      <c r="BV103" s="252"/>
      <c r="BW103" s="252"/>
      <c r="BX103" s="252"/>
      <c r="BY103" s="252"/>
      <c r="BZ103" s="252"/>
      <c r="CA103" s="252"/>
      <c r="CB103" s="252"/>
      <c r="CC103" s="252"/>
      <c r="CD103" s="252"/>
      <c r="CE103" s="252"/>
      <c r="CF103" s="252"/>
      <c r="CG103" s="252"/>
      <c r="CH103" s="252"/>
      <c r="CI103" s="252"/>
      <c r="CJ103" s="257"/>
      <c r="CK103" s="257"/>
      <c r="CL103" s="257"/>
      <c r="CM103" s="257"/>
      <c r="CN103" s="257"/>
      <c r="CO103" s="257"/>
      <c r="CP103" s="257"/>
      <c r="CQ103" s="257"/>
      <c r="CR103" s="257"/>
      <c r="CS103" s="257"/>
      <c r="CT103" s="257"/>
      <c r="CU103" s="257"/>
      <c r="CV103" s="257"/>
      <c r="CW103" s="257"/>
      <c r="CX103" s="257"/>
      <c r="CY103" s="257"/>
      <c r="CZ103" s="257"/>
      <c r="DA103" s="257"/>
      <c r="DB103" s="202"/>
      <c r="DC103" s="202"/>
      <c r="DD103" s="202"/>
      <c r="DE103" s="202"/>
      <c r="DF103" s="202"/>
      <c r="DG103" s="202"/>
      <c r="DH103" s="202"/>
      <c r="DI103" s="202"/>
      <c r="DJ103" s="202"/>
      <c r="DK103" s="202"/>
      <c r="DL103" s="202"/>
      <c r="DM103" s="202"/>
      <c r="DN103" s="202"/>
      <c r="DO103" s="202"/>
      <c r="DP103" s="202"/>
      <c r="DQ103" s="202"/>
      <c r="DR103" s="202"/>
      <c r="DS103" s="202"/>
      <c r="DT103" s="196"/>
      <c r="DU103" s="196"/>
      <c r="DV103" s="196"/>
      <c r="DW103" s="196"/>
      <c r="DX103" s="196"/>
      <c r="DY103" s="196"/>
      <c r="DZ103" s="196"/>
      <c r="EA103" s="196"/>
      <c r="EB103" s="176">
        <f t="shared" si="8"/>
        <v>0</v>
      </c>
      <c r="EC103" s="176">
        <f t="shared" si="9"/>
        <v>0</v>
      </c>
      <c r="ED103" s="176">
        <f t="shared" si="10"/>
        <v>0</v>
      </c>
      <c r="EE103" s="176">
        <f t="shared" si="11"/>
        <v>0</v>
      </c>
      <c r="EG103" s="129">
        <f t="shared" si="12"/>
        <v>0</v>
      </c>
      <c r="EI103" s="176">
        <f t="shared" si="13"/>
        <v>0</v>
      </c>
      <c r="EK103" s="176">
        <f t="shared" si="14"/>
        <v>0</v>
      </c>
      <c r="EL103" s="176"/>
      <c r="EM103" s="177"/>
      <c r="EN103" s="178"/>
      <c r="EO103" s="177"/>
      <c r="EP103" s="177"/>
      <c r="EQ103" s="176">
        <f t="shared" si="15"/>
        <v>0</v>
      </c>
      <c r="ER103" s="179">
        <v>23300</v>
      </c>
      <c r="ES103" s="177">
        <v>7.5</v>
      </c>
    </row>
    <row r="104" spans="1:149" x14ac:dyDescent="0.3">
      <c r="A104" s="197">
        <v>99</v>
      </c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247"/>
      <c r="AQ104" s="247"/>
      <c r="AR104" s="247"/>
      <c r="AS104" s="247"/>
      <c r="AT104" s="247"/>
      <c r="AU104" s="247"/>
      <c r="AV104" s="247"/>
      <c r="AW104" s="247"/>
      <c r="AX104" s="247"/>
      <c r="AY104" s="247"/>
      <c r="AZ104" s="247"/>
      <c r="BA104" s="247"/>
      <c r="BB104" s="247"/>
      <c r="BC104" s="247"/>
      <c r="BD104" s="206"/>
      <c r="BE104" s="206"/>
      <c r="BF104" s="206"/>
      <c r="BG104" s="206"/>
      <c r="BH104" s="206"/>
      <c r="BI104" s="206"/>
      <c r="BJ104" s="206"/>
      <c r="BK104" s="206"/>
      <c r="BL104" s="206"/>
      <c r="BM104" s="206"/>
      <c r="BN104" s="206"/>
      <c r="BO104" s="206"/>
      <c r="BP104" s="206"/>
      <c r="BQ104" s="206"/>
      <c r="BR104" s="252"/>
      <c r="BS104" s="252"/>
      <c r="BT104" s="252"/>
      <c r="BU104" s="252"/>
      <c r="BV104" s="252"/>
      <c r="BW104" s="252"/>
      <c r="BX104" s="252"/>
      <c r="BY104" s="252"/>
      <c r="BZ104" s="252"/>
      <c r="CA104" s="252"/>
      <c r="CB104" s="252"/>
      <c r="CC104" s="252"/>
      <c r="CD104" s="252"/>
      <c r="CE104" s="252"/>
      <c r="CF104" s="252"/>
      <c r="CG104" s="252"/>
      <c r="CH104" s="252"/>
      <c r="CI104" s="252"/>
      <c r="CJ104" s="257"/>
      <c r="CK104" s="257"/>
      <c r="CL104" s="257"/>
      <c r="CM104" s="257"/>
      <c r="CN104" s="257"/>
      <c r="CO104" s="257"/>
      <c r="CP104" s="257"/>
      <c r="CQ104" s="257"/>
      <c r="CR104" s="257"/>
      <c r="CS104" s="257"/>
      <c r="CT104" s="257"/>
      <c r="CU104" s="257"/>
      <c r="CV104" s="257"/>
      <c r="CW104" s="257"/>
      <c r="CX104" s="257"/>
      <c r="CY104" s="257"/>
      <c r="CZ104" s="257"/>
      <c r="DA104" s="257"/>
      <c r="DB104" s="202"/>
      <c r="DC104" s="202"/>
      <c r="DD104" s="202"/>
      <c r="DE104" s="202"/>
      <c r="DF104" s="202"/>
      <c r="DG104" s="202"/>
      <c r="DH104" s="202"/>
      <c r="DI104" s="202"/>
      <c r="DJ104" s="202"/>
      <c r="DK104" s="202"/>
      <c r="DL104" s="202"/>
      <c r="DM104" s="202"/>
      <c r="DN104" s="202"/>
      <c r="DO104" s="202"/>
      <c r="DP104" s="202"/>
      <c r="DQ104" s="202"/>
      <c r="DR104" s="202"/>
      <c r="DS104" s="202"/>
      <c r="DT104" s="196"/>
      <c r="DU104" s="196"/>
      <c r="DV104" s="196"/>
      <c r="DW104" s="196"/>
      <c r="DX104" s="196"/>
      <c r="DY104" s="196"/>
      <c r="DZ104" s="196"/>
      <c r="EA104" s="196"/>
      <c r="EB104" s="176">
        <f t="shared" si="8"/>
        <v>0</v>
      </c>
      <c r="EC104" s="176">
        <f t="shared" si="9"/>
        <v>0</v>
      </c>
      <c r="ED104" s="176">
        <f t="shared" si="10"/>
        <v>0</v>
      </c>
      <c r="EE104" s="176">
        <f t="shared" si="11"/>
        <v>0</v>
      </c>
      <c r="EG104" s="129">
        <f t="shared" si="12"/>
        <v>0</v>
      </c>
      <c r="EI104" s="176">
        <f t="shared" si="13"/>
        <v>0</v>
      </c>
      <c r="EK104" s="176">
        <f t="shared" si="14"/>
        <v>0</v>
      </c>
      <c r="EL104" s="176"/>
      <c r="EM104" s="177"/>
      <c r="EN104" s="178"/>
      <c r="EO104" s="177"/>
      <c r="EP104" s="177"/>
      <c r="EQ104" s="176">
        <f t="shared" si="15"/>
        <v>0</v>
      </c>
      <c r="ER104" s="179">
        <v>23300</v>
      </c>
      <c r="ES104" s="177">
        <v>7.5</v>
      </c>
    </row>
    <row r="105" spans="1:149" x14ac:dyDescent="0.3">
      <c r="A105" s="197">
        <v>100</v>
      </c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247"/>
      <c r="AQ105" s="247"/>
      <c r="AR105" s="247"/>
      <c r="AS105" s="247"/>
      <c r="AT105" s="247"/>
      <c r="AU105" s="247"/>
      <c r="AV105" s="247"/>
      <c r="AW105" s="247"/>
      <c r="AX105" s="247"/>
      <c r="AY105" s="247"/>
      <c r="AZ105" s="247"/>
      <c r="BA105" s="247"/>
      <c r="BB105" s="247"/>
      <c r="BC105" s="247"/>
      <c r="BD105" s="206"/>
      <c r="BE105" s="206"/>
      <c r="BF105" s="206"/>
      <c r="BG105" s="206"/>
      <c r="BH105" s="206"/>
      <c r="BI105" s="206"/>
      <c r="BJ105" s="206"/>
      <c r="BK105" s="206"/>
      <c r="BL105" s="206"/>
      <c r="BM105" s="206"/>
      <c r="BN105" s="206"/>
      <c r="BO105" s="206"/>
      <c r="BP105" s="206"/>
      <c r="BQ105" s="206"/>
      <c r="BR105" s="252"/>
      <c r="BS105" s="252"/>
      <c r="BT105" s="252"/>
      <c r="BU105" s="252"/>
      <c r="BV105" s="252"/>
      <c r="BW105" s="252"/>
      <c r="BX105" s="252"/>
      <c r="BY105" s="252"/>
      <c r="BZ105" s="252"/>
      <c r="CA105" s="252"/>
      <c r="CB105" s="252"/>
      <c r="CC105" s="252"/>
      <c r="CD105" s="252"/>
      <c r="CE105" s="252"/>
      <c r="CF105" s="252"/>
      <c r="CG105" s="252"/>
      <c r="CH105" s="252"/>
      <c r="CI105" s="252"/>
      <c r="CJ105" s="257"/>
      <c r="CK105" s="257"/>
      <c r="CL105" s="257"/>
      <c r="CM105" s="257"/>
      <c r="CN105" s="257"/>
      <c r="CO105" s="257"/>
      <c r="CP105" s="257"/>
      <c r="CQ105" s="257"/>
      <c r="CR105" s="257"/>
      <c r="CS105" s="257"/>
      <c r="CT105" s="257"/>
      <c r="CU105" s="257"/>
      <c r="CV105" s="257"/>
      <c r="CW105" s="257"/>
      <c r="CX105" s="257"/>
      <c r="CY105" s="257"/>
      <c r="CZ105" s="257"/>
      <c r="DA105" s="257"/>
      <c r="DB105" s="202"/>
      <c r="DC105" s="202"/>
      <c r="DD105" s="202"/>
      <c r="DE105" s="202"/>
      <c r="DF105" s="202"/>
      <c r="DG105" s="202"/>
      <c r="DH105" s="202"/>
      <c r="DI105" s="202"/>
      <c r="DJ105" s="202"/>
      <c r="DK105" s="202"/>
      <c r="DL105" s="202"/>
      <c r="DM105" s="202"/>
      <c r="DN105" s="202"/>
      <c r="DO105" s="202"/>
      <c r="DP105" s="202"/>
      <c r="DQ105" s="202"/>
      <c r="DR105" s="202"/>
      <c r="DS105" s="202"/>
      <c r="DT105" s="196"/>
      <c r="DU105" s="196"/>
      <c r="DV105" s="196"/>
      <c r="DW105" s="196"/>
      <c r="DX105" s="196"/>
      <c r="DY105" s="196"/>
      <c r="DZ105" s="196"/>
      <c r="EA105" s="196"/>
      <c r="EB105" s="176">
        <f t="shared" si="8"/>
        <v>0</v>
      </c>
      <c r="EC105" s="176">
        <f t="shared" si="9"/>
        <v>0</v>
      </c>
      <c r="ED105" s="176">
        <f t="shared" si="10"/>
        <v>0</v>
      </c>
      <c r="EE105" s="176">
        <f t="shared" si="11"/>
        <v>0</v>
      </c>
      <c r="EG105" s="129">
        <f t="shared" si="12"/>
        <v>0</v>
      </c>
      <c r="EI105" s="176">
        <f t="shared" si="13"/>
        <v>0</v>
      </c>
      <c r="EK105" s="176">
        <f t="shared" si="14"/>
        <v>0</v>
      </c>
      <c r="EL105" s="176"/>
      <c r="EM105" s="177"/>
      <c r="EN105" s="178"/>
      <c r="EO105" s="177"/>
      <c r="EP105" s="177"/>
      <c r="EQ105" s="176">
        <f t="shared" si="15"/>
        <v>0</v>
      </c>
      <c r="ER105" s="179">
        <v>23300</v>
      </c>
      <c r="ES105" s="177">
        <v>7.5</v>
      </c>
    </row>
    <row r="106" spans="1:149" x14ac:dyDescent="0.3">
      <c r="A106" s="197">
        <v>101</v>
      </c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247"/>
      <c r="AQ106" s="247"/>
      <c r="AR106" s="247"/>
      <c r="AS106" s="247"/>
      <c r="AT106" s="247"/>
      <c r="AU106" s="247"/>
      <c r="AV106" s="247"/>
      <c r="AW106" s="247"/>
      <c r="AX106" s="247"/>
      <c r="AY106" s="247"/>
      <c r="AZ106" s="247"/>
      <c r="BA106" s="247"/>
      <c r="BB106" s="247"/>
      <c r="BC106" s="247"/>
      <c r="BD106" s="206"/>
      <c r="BE106" s="206"/>
      <c r="BF106" s="206"/>
      <c r="BG106" s="206"/>
      <c r="BH106" s="206"/>
      <c r="BI106" s="206"/>
      <c r="BJ106" s="206"/>
      <c r="BK106" s="206"/>
      <c r="BL106" s="206"/>
      <c r="BM106" s="206"/>
      <c r="BN106" s="206"/>
      <c r="BO106" s="206"/>
      <c r="BP106" s="206"/>
      <c r="BQ106" s="206"/>
      <c r="BR106" s="252"/>
      <c r="BS106" s="252"/>
      <c r="BT106" s="252"/>
      <c r="BU106" s="252"/>
      <c r="BV106" s="252"/>
      <c r="BW106" s="252"/>
      <c r="BX106" s="252"/>
      <c r="BY106" s="252"/>
      <c r="BZ106" s="252"/>
      <c r="CA106" s="252"/>
      <c r="CB106" s="252"/>
      <c r="CC106" s="252"/>
      <c r="CD106" s="252"/>
      <c r="CE106" s="252"/>
      <c r="CF106" s="252"/>
      <c r="CG106" s="252"/>
      <c r="CH106" s="252"/>
      <c r="CI106" s="252"/>
      <c r="CJ106" s="257"/>
      <c r="CK106" s="257"/>
      <c r="CL106" s="257"/>
      <c r="CM106" s="257"/>
      <c r="CN106" s="257"/>
      <c r="CO106" s="257"/>
      <c r="CP106" s="257"/>
      <c r="CQ106" s="257"/>
      <c r="CR106" s="257"/>
      <c r="CS106" s="257"/>
      <c r="CT106" s="257"/>
      <c r="CU106" s="257"/>
      <c r="CV106" s="257"/>
      <c r="CW106" s="257"/>
      <c r="CX106" s="257"/>
      <c r="CY106" s="257"/>
      <c r="CZ106" s="257"/>
      <c r="DA106" s="257"/>
      <c r="DB106" s="202"/>
      <c r="DC106" s="202"/>
      <c r="DD106" s="202"/>
      <c r="DE106" s="202"/>
      <c r="DF106" s="202"/>
      <c r="DG106" s="202"/>
      <c r="DH106" s="202"/>
      <c r="DI106" s="202"/>
      <c r="DJ106" s="202"/>
      <c r="DK106" s="202"/>
      <c r="DL106" s="202"/>
      <c r="DM106" s="202"/>
      <c r="DN106" s="202"/>
      <c r="DO106" s="202"/>
      <c r="DP106" s="202"/>
      <c r="DQ106" s="202"/>
      <c r="DR106" s="202"/>
      <c r="DS106" s="202"/>
      <c r="DT106" s="196"/>
      <c r="DU106" s="196"/>
      <c r="DV106" s="196"/>
      <c r="DW106" s="196"/>
      <c r="DX106" s="196"/>
      <c r="DY106" s="196"/>
      <c r="DZ106" s="196"/>
      <c r="EA106" s="196"/>
      <c r="EB106" s="176">
        <f t="shared" si="8"/>
        <v>0</v>
      </c>
      <c r="EC106" s="176">
        <f t="shared" si="9"/>
        <v>0</v>
      </c>
      <c r="ED106" s="176">
        <f t="shared" si="10"/>
        <v>0</v>
      </c>
      <c r="EE106" s="176">
        <f t="shared" si="11"/>
        <v>0</v>
      </c>
      <c r="EG106" s="129">
        <f t="shared" si="12"/>
        <v>0</v>
      </c>
      <c r="EI106" s="176">
        <f t="shared" si="13"/>
        <v>0</v>
      </c>
      <c r="EK106" s="176">
        <f t="shared" si="14"/>
        <v>0</v>
      </c>
      <c r="EL106" s="176"/>
      <c r="EM106" s="177"/>
      <c r="EN106" s="178"/>
      <c r="EO106" s="177"/>
      <c r="EP106" s="177"/>
      <c r="EQ106" s="176">
        <f t="shared" si="15"/>
        <v>0</v>
      </c>
      <c r="ER106" s="179">
        <v>23300</v>
      </c>
      <c r="ES106" s="177">
        <v>7.5</v>
      </c>
    </row>
    <row r="107" spans="1:149" x14ac:dyDescent="0.3">
      <c r="A107" s="197">
        <v>102</v>
      </c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247"/>
      <c r="AQ107" s="247"/>
      <c r="AR107" s="247"/>
      <c r="AS107" s="247"/>
      <c r="AT107" s="247"/>
      <c r="AU107" s="247"/>
      <c r="AV107" s="247"/>
      <c r="AW107" s="247"/>
      <c r="AX107" s="247"/>
      <c r="AY107" s="247"/>
      <c r="AZ107" s="247"/>
      <c r="BA107" s="247"/>
      <c r="BB107" s="247"/>
      <c r="BC107" s="247"/>
      <c r="BD107" s="206"/>
      <c r="BE107" s="206"/>
      <c r="BF107" s="206"/>
      <c r="BG107" s="206"/>
      <c r="BH107" s="206"/>
      <c r="BI107" s="206"/>
      <c r="BJ107" s="206"/>
      <c r="BK107" s="206"/>
      <c r="BL107" s="206"/>
      <c r="BM107" s="206"/>
      <c r="BN107" s="206"/>
      <c r="BO107" s="206"/>
      <c r="BP107" s="206"/>
      <c r="BQ107" s="206"/>
      <c r="BR107" s="252"/>
      <c r="BS107" s="252"/>
      <c r="BT107" s="252"/>
      <c r="BU107" s="252"/>
      <c r="BV107" s="252"/>
      <c r="BW107" s="252"/>
      <c r="BX107" s="252"/>
      <c r="BY107" s="252"/>
      <c r="BZ107" s="252"/>
      <c r="CA107" s="252"/>
      <c r="CB107" s="252"/>
      <c r="CC107" s="252"/>
      <c r="CD107" s="252"/>
      <c r="CE107" s="252"/>
      <c r="CF107" s="252"/>
      <c r="CG107" s="252"/>
      <c r="CH107" s="252"/>
      <c r="CI107" s="252"/>
      <c r="CJ107" s="257"/>
      <c r="CK107" s="257"/>
      <c r="CL107" s="257"/>
      <c r="CM107" s="257"/>
      <c r="CN107" s="257"/>
      <c r="CO107" s="257"/>
      <c r="CP107" s="257"/>
      <c r="CQ107" s="257"/>
      <c r="CR107" s="257"/>
      <c r="CS107" s="257"/>
      <c r="CT107" s="257"/>
      <c r="CU107" s="257"/>
      <c r="CV107" s="257"/>
      <c r="CW107" s="257"/>
      <c r="CX107" s="257"/>
      <c r="CY107" s="257"/>
      <c r="CZ107" s="257"/>
      <c r="DA107" s="257"/>
      <c r="DB107" s="202"/>
      <c r="DC107" s="202"/>
      <c r="DD107" s="202"/>
      <c r="DE107" s="202"/>
      <c r="DF107" s="202"/>
      <c r="DG107" s="202"/>
      <c r="DH107" s="202"/>
      <c r="DI107" s="202"/>
      <c r="DJ107" s="202"/>
      <c r="DK107" s="202"/>
      <c r="DL107" s="202"/>
      <c r="DM107" s="202"/>
      <c r="DN107" s="202"/>
      <c r="DO107" s="202"/>
      <c r="DP107" s="202"/>
      <c r="DQ107" s="202"/>
      <c r="DR107" s="202"/>
      <c r="DS107" s="202"/>
      <c r="DT107" s="196"/>
      <c r="DU107" s="196"/>
      <c r="DV107" s="196"/>
      <c r="DW107" s="196"/>
      <c r="DX107" s="196"/>
      <c r="DY107" s="196"/>
      <c r="DZ107" s="196"/>
      <c r="EA107" s="196"/>
      <c r="EB107" s="176">
        <f t="shared" si="8"/>
        <v>0</v>
      </c>
      <c r="EC107" s="176">
        <f t="shared" si="9"/>
        <v>0</v>
      </c>
      <c r="ED107" s="176">
        <f t="shared" si="10"/>
        <v>0</v>
      </c>
      <c r="EE107" s="176">
        <f t="shared" si="11"/>
        <v>0</v>
      </c>
      <c r="EG107" s="129">
        <f t="shared" si="12"/>
        <v>0</v>
      </c>
      <c r="EI107" s="176">
        <f t="shared" si="13"/>
        <v>0</v>
      </c>
      <c r="EK107" s="176">
        <f t="shared" si="14"/>
        <v>0</v>
      </c>
      <c r="EL107" s="176"/>
      <c r="EM107" s="177"/>
      <c r="EN107" s="178"/>
      <c r="EO107" s="177"/>
      <c r="EP107" s="177"/>
      <c r="EQ107" s="176">
        <f t="shared" si="15"/>
        <v>0</v>
      </c>
      <c r="ER107" s="179">
        <v>23300</v>
      </c>
      <c r="ES107" s="177">
        <v>7.5</v>
      </c>
    </row>
    <row r="108" spans="1:149" x14ac:dyDescent="0.3">
      <c r="A108" s="197">
        <v>103</v>
      </c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247"/>
      <c r="AQ108" s="247"/>
      <c r="AR108" s="247"/>
      <c r="AS108" s="247"/>
      <c r="AT108" s="247"/>
      <c r="AU108" s="247"/>
      <c r="AV108" s="247"/>
      <c r="AW108" s="247"/>
      <c r="AX108" s="247"/>
      <c r="AY108" s="247"/>
      <c r="AZ108" s="247"/>
      <c r="BA108" s="247"/>
      <c r="BB108" s="247"/>
      <c r="BC108" s="247"/>
      <c r="BD108" s="206"/>
      <c r="BE108" s="206"/>
      <c r="BF108" s="206"/>
      <c r="BG108" s="206"/>
      <c r="BH108" s="206"/>
      <c r="BI108" s="206"/>
      <c r="BJ108" s="206"/>
      <c r="BK108" s="206"/>
      <c r="BL108" s="206"/>
      <c r="BM108" s="206"/>
      <c r="BN108" s="206"/>
      <c r="BO108" s="206"/>
      <c r="BP108" s="206"/>
      <c r="BQ108" s="206"/>
      <c r="BR108" s="252"/>
      <c r="BS108" s="252"/>
      <c r="BT108" s="252"/>
      <c r="BU108" s="252"/>
      <c r="BV108" s="252"/>
      <c r="BW108" s="252"/>
      <c r="BX108" s="252"/>
      <c r="BY108" s="252"/>
      <c r="BZ108" s="252"/>
      <c r="CA108" s="252"/>
      <c r="CB108" s="252"/>
      <c r="CC108" s="252"/>
      <c r="CD108" s="252"/>
      <c r="CE108" s="252"/>
      <c r="CF108" s="252"/>
      <c r="CG108" s="252"/>
      <c r="CH108" s="252"/>
      <c r="CI108" s="252"/>
      <c r="CJ108" s="257"/>
      <c r="CK108" s="257"/>
      <c r="CL108" s="257"/>
      <c r="CM108" s="257"/>
      <c r="CN108" s="257"/>
      <c r="CO108" s="257"/>
      <c r="CP108" s="257"/>
      <c r="CQ108" s="257"/>
      <c r="CR108" s="257"/>
      <c r="CS108" s="257"/>
      <c r="CT108" s="257"/>
      <c r="CU108" s="257"/>
      <c r="CV108" s="257"/>
      <c r="CW108" s="257"/>
      <c r="CX108" s="257"/>
      <c r="CY108" s="257"/>
      <c r="CZ108" s="257"/>
      <c r="DA108" s="257"/>
      <c r="DB108" s="202"/>
      <c r="DC108" s="202"/>
      <c r="DD108" s="202"/>
      <c r="DE108" s="202"/>
      <c r="DF108" s="202"/>
      <c r="DG108" s="202"/>
      <c r="DH108" s="202"/>
      <c r="DI108" s="202"/>
      <c r="DJ108" s="202"/>
      <c r="DK108" s="202"/>
      <c r="DL108" s="202"/>
      <c r="DM108" s="202"/>
      <c r="DN108" s="202"/>
      <c r="DO108" s="202"/>
      <c r="DP108" s="202"/>
      <c r="DQ108" s="202"/>
      <c r="DR108" s="202"/>
      <c r="DS108" s="202"/>
      <c r="DT108" s="196"/>
      <c r="DU108" s="196"/>
      <c r="DV108" s="196"/>
      <c r="DW108" s="196"/>
      <c r="DX108" s="196"/>
      <c r="DY108" s="196"/>
      <c r="DZ108" s="196"/>
      <c r="EA108" s="196"/>
      <c r="EB108" s="176">
        <f t="shared" si="8"/>
        <v>0</v>
      </c>
      <c r="EC108" s="176">
        <f t="shared" si="9"/>
        <v>0</v>
      </c>
      <c r="ED108" s="176">
        <f t="shared" si="10"/>
        <v>0</v>
      </c>
      <c r="EE108" s="176">
        <f t="shared" si="11"/>
        <v>0</v>
      </c>
      <c r="EG108" s="129">
        <f t="shared" si="12"/>
        <v>0</v>
      </c>
      <c r="EI108" s="176">
        <f t="shared" si="13"/>
        <v>0</v>
      </c>
      <c r="EK108" s="176">
        <f t="shared" si="14"/>
        <v>0</v>
      </c>
      <c r="EL108" s="176"/>
      <c r="EM108" s="177"/>
      <c r="EN108" s="178"/>
      <c r="EO108" s="177"/>
      <c r="EP108" s="177"/>
      <c r="EQ108" s="176">
        <f t="shared" si="15"/>
        <v>0</v>
      </c>
      <c r="ER108" s="179">
        <v>23300</v>
      </c>
      <c r="ES108" s="177">
        <v>7.5</v>
      </c>
    </row>
    <row r="109" spans="1:149" x14ac:dyDescent="0.3">
      <c r="A109" s="197">
        <v>104</v>
      </c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247"/>
      <c r="AQ109" s="247"/>
      <c r="AR109" s="247"/>
      <c r="AS109" s="247"/>
      <c r="AT109" s="247"/>
      <c r="AU109" s="247"/>
      <c r="AV109" s="247"/>
      <c r="AW109" s="247"/>
      <c r="AX109" s="247"/>
      <c r="AY109" s="247"/>
      <c r="AZ109" s="247"/>
      <c r="BA109" s="247"/>
      <c r="BB109" s="247"/>
      <c r="BC109" s="247"/>
      <c r="BD109" s="206"/>
      <c r="BE109" s="206"/>
      <c r="BF109" s="206"/>
      <c r="BG109" s="206"/>
      <c r="BH109" s="206"/>
      <c r="BI109" s="206"/>
      <c r="BJ109" s="206"/>
      <c r="BK109" s="206"/>
      <c r="BL109" s="206"/>
      <c r="BM109" s="206"/>
      <c r="BN109" s="206"/>
      <c r="BO109" s="206"/>
      <c r="BP109" s="206"/>
      <c r="BQ109" s="206"/>
      <c r="BR109" s="252"/>
      <c r="BS109" s="252"/>
      <c r="BT109" s="252"/>
      <c r="BU109" s="252"/>
      <c r="BV109" s="252"/>
      <c r="BW109" s="252"/>
      <c r="BX109" s="252"/>
      <c r="BY109" s="252"/>
      <c r="BZ109" s="252"/>
      <c r="CA109" s="252"/>
      <c r="CB109" s="252"/>
      <c r="CC109" s="252"/>
      <c r="CD109" s="252"/>
      <c r="CE109" s="252"/>
      <c r="CF109" s="252"/>
      <c r="CG109" s="252"/>
      <c r="CH109" s="252"/>
      <c r="CI109" s="252"/>
      <c r="CJ109" s="257"/>
      <c r="CK109" s="257"/>
      <c r="CL109" s="257"/>
      <c r="CM109" s="257"/>
      <c r="CN109" s="257"/>
      <c r="CO109" s="257"/>
      <c r="CP109" s="257"/>
      <c r="CQ109" s="257"/>
      <c r="CR109" s="257"/>
      <c r="CS109" s="257"/>
      <c r="CT109" s="257"/>
      <c r="CU109" s="257"/>
      <c r="CV109" s="257"/>
      <c r="CW109" s="257"/>
      <c r="CX109" s="257"/>
      <c r="CY109" s="257"/>
      <c r="CZ109" s="257"/>
      <c r="DA109" s="257"/>
      <c r="DB109" s="202"/>
      <c r="DC109" s="202"/>
      <c r="DD109" s="202"/>
      <c r="DE109" s="202"/>
      <c r="DF109" s="202"/>
      <c r="DG109" s="202"/>
      <c r="DH109" s="202"/>
      <c r="DI109" s="202"/>
      <c r="DJ109" s="202"/>
      <c r="DK109" s="202"/>
      <c r="DL109" s="202"/>
      <c r="DM109" s="202"/>
      <c r="DN109" s="202"/>
      <c r="DO109" s="202"/>
      <c r="DP109" s="202"/>
      <c r="DQ109" s="202"/>
      <c r="DR109" s="202"/>
      <c r="DS109" s="202"/>
      <c r="DT109" s="196"/>
      <c r="DU109" s="196"/>
      <c r="DV109" s="196"/>
      <c r="DW109" s="196"/>
      <c r="DX109" s="196"/>
      <c r="DY109" s="196"/>
      <c r="DZ109" s="196"/>
      <c r="EA109" s="196"/>
      <c r="EB109" s="176">
        <f t="shared" si="8"/>
        <v>0</v>
      </c>
      <c r="EC109" s="176">
        <f t="shared" si="9"/>
        <v>0</v>
      </c>
      <c r="ED109" s="176">
        <f t="shared" si="10"/>
        <v>0</v>
      </c>
      <c r="EE109" s="176">
        <f t="shared" si="11"/>
        <v>0</v>
      </c>
      <c r="EG109" s="129">
        <f t="shared" si="12"/>
        <v>0</v>
      </c>
      <c r="EI109" s="176">
        <f t="shared" si="13"/>
        <v>0</v>
      </c>
      <c r="EK109" s="176">
        <f t="shared" si="14"/>
        <v>0</v>
      </c>
      <c r="EL109" s="176"/>
      <c r="EM109" s="177"/>
      <c r="EN109" s="178"/>
      <c r="EO109" s="177"/>
      <c r="EP109" s="177"/>
      <c r="EQ109" s="176">
        <f t="shared" si="15"/>
        <v>0</v>
      </c>
      <c r="ER109" s="179">
        <v>23300</v>
      </c>
      <c r="ES109" s="177">
        <v>7.5</v>
      </c>
    </row>
    <row r="110" spans="1:149" x14ac:dyDescent="0.3">
      <c r="A110" s="197">
        <v>105</v>
      </c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247"/>
      <c r="AQ110" s="247"/>
      <c r="AR110" s="247"/>
      <c r="AS110" s="247"/>
      <c r="AT110" s="247"/>
      <c r="AU110" s="247"/>
      <c r="AV110" s="247"/>
      <c r="AW110" s="247"/>
      <c r="AX110" s="247"/>
      <c r="AY110" s="247"/>
      <c r="AZ110" s="247"/>
      <c r="BA110" s="247"/>
      <c r="BB110" s="247"/>
      <c r="BC110" s="247"/>
      <c r="BD110" s="206"/>
      <c r="BE110" s="206"/>
      <c r="BF110" s="206"/>
      <c r="BG110" s="206"/>
      <c r="BH110" s="206"/>
      <c r="BI110" s="206"/>
      <c r="BJ110" s="206"/>
      <c r="BK110" s="206"/>
      <c r="BL110" s="206"/>
      <c r="BM110" s="206"/>
      <c r="BN110" s="206"/>
      <c r="BO110" s="206"/>
      <c r="BP110" s="206"/>
      <c r="BQ110" s="206"/>
      <c r="BR110" s="252"/>
      <c r="BS110" s="252"/>
      <c r="BT110" s="252"/>
      <c r="BU110" s="252"/>
      <c r="BV110" s="252"/>
      <c r="BW110" s="252"/>
      <c r="BX110" s="252"/>
      <c r="BY110" s="252"/>
      <c r="BZ110" s="252"/>
      <c r="CA110" s="252"/>
      <c r="CB110" s="252"/>
      <c r="CC110" s="252"/>
      <c r="CD110" s="252"/>
      <c r="CE110" s="252"/>
      <c r="CF110" s="252"/>
      <c r="CG110" s="252"/>
      <c r="CH110" s="252"/>
      <c r="CI110" s="252"/>
      <c r="CJ110" s="257"/>
      <c r="CK110" s="257"/>
      <c r="CL110" s="257"/>
      <c r="CM110" s="257"/>
      <c r="CN110" s="257"/>
      <c r="CO110" s="257"/>
      <c r="CP110" s="257"/>
      <c r="CQ110" s="257"/>
      <c r="CR110" s="257"/>
      <c r="CS110" s="257"/>
      <c r="CT110" s="257"/>
      <c r="CU110" s="257"/>
      <c r="CV110" s="257"/>
      <c r="CW110" s="257"/>
      <c r="CX110" s="257"/>
      <c r="CY110" s="257"/>
      <c r="CZ110" s="257"/>
      <c r="DA110" s="257"/>
      <c r="DB110" s="202"/>
      <c r="DC110" s="202"/>
      <c r="DD110" s="202"/>
      <c r="DE110" s="202"/>
      <c r="DF110" s="202"/>
      <c r="DG110" s="202"/>
      <c r="DH110" s="202"/>
      <c r="DI110" s="202"/>
      <c r="DJ110" s="202"/>
      <c r="DK110" s="202"/>
      <c r="DL110" s="202"/>
      <c r="DM110" s="202"/>
      <c r="DN110" s="202"/>
      <c r="DO110" s="202"/>
      <c r="DP110" s="202"/>
      <c r="DQ110" s="202"/>
      <c r="DR110" s="202"/>
      <c r="DS110" s="202"/>
      <c r="DT110" s="196"/>
      <c r="DU110" s="196"/>
      <c r="DV110" s="196"/>
      <c r="DW110" s="196"/>
      <c r="DX110" s="196"/>
      <c r="DY110" s="196"/>
      <c r="DZ110" s="196"/>
      <c r="EA110" s="196"/>
      <c r="EB110" s="176">
        <f t="shared" si="8"/>
        <v>0</v>
      </c>
      <c r="EC110" s="176">
        <f t="shared" si="9"/>
        <v>0</v>
      </c>
      <c r="ED110" s="176">
        <f t="shared" si="10"/>
        <v>0</v>
      </c>
      <c r="EE110" s="176">
        <f t="shared" si="11"/>
        <v>0</v>
      </c>
      <c r="EG110" s="129">
        <f t="shared" si="12"/>
        <v>0</v>
      </c>
      <c r="EI110" s="176">
        <f t="shared" si="13"/>
        <v>0</v>
      </c>
      <c r="EK110" s="176">
        <f t="shared" si="14"/>
        <v>0</v>
      </c>
      <c r="EL110" s="176"/>
      <c r="EM110" s="177"/>
      <c r="EN110" s="178"/>
      <c r="EO110" s="177"/>
      <c r="EP110" s="177"/>
      <c r="EQ110" s="176">
        <f t="shared" si="15"/>
        <v>0</v>
      </c>
      <c r="ER110" s="179">
        <v>23300</v>
      </c>
      <c r="ES110" s="177">
        <v>7.5</v>
      </c>
    </row>
    <row r="111" spans="1:149" x14ac:dyDescent="0.3">
      <c r="A111" s="197">
        <v>106</v>
      </c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247"/>
      <c r="AQ111" s="247"/>
      <c r="AR111" s="247"/>
      <c r="AS111" s="247"/>
      <c r="AT111" s="247"/>
      <c r="AU111" s="247"/>
      <c r="AV111" s="247"/>
      <c r="AW111" s="247"/>
      <c r="AX111" s="247"/>
      <c r="AY111" s="247"/>
      <c r="AZ111" s="247"/>
      <c r="BA111" s="247"/>
      <c r="BB111" s="247"/>
      <c r="BC111" s="247"/>
      <c r="BD111" s="206"/>
      <c r="BE111" s="206"/>
      <c r="BF111" s="206"/>
      <c r="BG111" s="206"/>
      <c r="BH111" s="206"/>
      <c r="BI111" s="206"/>
      <c r="BJ111" s="206"/>
      <c r="BK111" s="206"/>
      <c r="BL111" s="206"/>
      <c r="BM111" s="206"/>
      <c r="BN111" s="206"/>
      <c r="BO111" s="206"/>
      <c r="BP111" s="206"/>
      <c r="BQ111" s="206"/>
      <c r="BR111" s="252"/>
      <c r="BS111" s="252"/>
      <c r="BT111" s="252"/>
      <c r="BU111" s="252"/>
      <c r="BV111" s="252"/>
      <c r="BW111" s="252"/>
      <c r="BX111" s="252"/>
      <c r="BY111" s="252"/>
      <c r="BZ111" s="252"/>
      <c r="CA111" s="252"/>
      <c r="CB111" s="252"/>
      <c r="CC111" s="252"/>
      <c r="CD111" s="252"/>
      <c r="CE111" s="252"/>
      <c r="CF111" s="252"/>
      <c r="CG111" s="252"/>
      <c r="CH111" s="252"/>
      <c r="CI111" s="252"/>
      <c r="CJ111" s="257"/>
      <c r="CK111" s="257"/>
      <c r="CL111" s="257"/>
      <c r="CM111" s="257"/>
      <c r="CN111" s="257"/>
      <c r="CO111" s="257"/>
      <c r="CP111" s="257"/>
      <c r="CQ111" s="257"/>
      <c r="CR111" s="257"/>
      <c r="CS111" s="257"/>
      <c r="CT111" s="257"/>
      <c r="CU111" s="257"/>
      <c r="CV111" s="257"/>
      <c r="CW111" s="257"/>
      <c r="CX111" s="257"/>
      <c r="CY111" s="257"/>
      <c r="CZ111" s="257"/>
      <c r="DA111" s="257"/>
      <c r="DB111" s="202"/>
      <c r="DC111" s="202"/>
      <c r="DD111" s="202"/>
      <c r="DE111" s="202"/>
      <c r="DF111" s="202"/>
      <c r="DG111" s="202"/>
      <c r="DH111" s="202"/>
      <c r="DI111" s="202"/>
      <c r="DJ111" s="202"/>
      <c r="DK111" s="202"/>
      <c r="DL111" s="202"/>
      <c r="DM111" s="202"/>
      <c r="DN111" s="202"/>
      <c r="DO111" s="202"/>
      <c r="DP111" s="202"/>
      <c r="DQ111" s="202"/>
      <c r="DR111" s="202"/>
      <c r="DS111" s="202"/>
      <c r="DT111" s="196"/>
      <c r="DU111" s="196"/>
      <c r="DV111" s="196"/>
      <c r="DW111" s="196"/>
      <c r="DX111" s="196"/>
      <c r="DY111" s="196"/>
      <c r="DZ111" s="196"/>
      <c r="EA111" s="196"/>
      <c r="EB111" s="176">
        <f t="shared" si="8"/>
        <v>0</v>
      </c>
      <c r="EC111" s="176">
        <f t="shared" si="9"/>
        <v>0</v>
      </c>
      <c r="ED111" s="176">
        <f t="shared" si="10"/>
        <v>0</v>
      </c>
      <c r="EE111" s="176">
        <f t="shared" si="11"/>
        <v>0</v>
      </c>
      <c r="EG111" s="129">
        <f t="shared" si="12"/>
        <v>0</v>
      </c>
      <c r="EI111" s="176">
        <f t="shared" si="13"/>
        <v>0</v>
      </c>
      <c r="EK111" s="176">
        <f t="shared" si="14"/>
        <v>0</v>
      </c>
      <c r="EL111" s="176"/>
      <c r="EM111" s="177"/>
      <c r="EN111" s="178"/>
      <c r="EO111" s="177"/>
      <c r="EP111" s="177"/>
      <c r="EQ111" s="176">
        <f t="shared" si="15"/>
        <v>0</v>
      </c>
      <c r="ER111" s="179">
        <v>23300</v>
      </c>
      <c r="ES111" s="177">
        <v>7.5</v>
      </c>
    </row>
    <row r="112" spans="1:149" x14ac:dyDescent="0.3">
      <c r="A112" s="197">
        <v>107</v>
      </c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247"/>
      <c r="AQ112" s="247"/>
      <c r="AR112" s="247"/>
      <c r="AS112" s="247"/>
      <c r="AT112" s="247"/>
      <c r="AU112" s="247"/>
      <c r="AV112" s="247"/>
      <c r="AW112" s="247"/>
      <c r="AX112" s="247"/>
      <c r="AY112" s="247"/>
      <c r="AZ112" s="247"/>
      <c r="BA112" s="247"/>
      <c r="BB112" s="247"/>
      <c r="BC112" s="247"/>
      <c r="BD112" s="206"/>
      <c r="BE112" s="206"/>
      <c r="BF112" s="206"/>
      <c r="BG112" s="206"/>
      <c r="BH112" s="206"/>
      <c r="BI112" s="206"/>
      <c r="BJ112" s="206"/>
      <c r="BK112" s="206"/>
      <c r="BL112" s="206"/>
      <c r="BM112" s="206"/>
      <c r="BN112" s="206"/>
      <c r="BO112" s="206"/>
      <c r="BP112" s="206"/>
      <c r="BQ112" s="206"/>
      <c r="BR112" s="252"/>
      <c r="BS112" s="252"/>
      <c r="BT112" s="252"/>
      <c r="BU112" s="252"/>
      <c r="BV112" s="252"/>
      <c r="BW112" s="252"/>
      <c r="BX112" s="252"/>
      <c r="BY112" s="252"/>
      <c r="BZ112" s="252"/>
      <c r="CA112" s="252"/>
      <c r="CB112" s="252"/>
      <c r="CC112" s="252"/>
      <c r="CD112" s="252"/>
      <c r="CE112" s="252"/>
      <c r="CF112" s="252"/>
      <c r="CG112" s="252"/>
      <c r="CH112" s="252"/>
      <c r="CI112" s="252"/>
      <c r="CJ112" s="257"/>
      <c r="CK112" s="257"/>
      <c r="CL112" s="257"/>
      <c r="CM112" s="257"/>
      <c r="CN112" s="257"/>
      <c r="CO112" s="257"/>
      <c r="CP112" s="257"/>
      <c r="CQ112" s="257"/>
      <c r="CR112" s="257"/>
      <c r="CS112" s="257"/>
      <c r="CT112" s="257"/>
      <c r="CU112" s="257"/>
      <c r="CV112" s="257"/>
      <c r="CW112" s="257"/>
      <c r="CX112" s="257"/>
      <c r="CY112" s="257"/>
      <c r="CZ112" s="257"/>
      <c r="DA112" s="257"/>
      <c r="DB112" s="202"/>
      <c r="DC112" s="202"/>
      <c r="DD112" s="202"/>
      <c r="DE112" s="202"/>
      <c r="DF112" s="202"/>
      <c r="DG112" s="202"/>
      <c r="DH112" s="202"/>
      <c r="DI112" s="202"/>
      <c r="DJ112" s="202"/>
      <c r="DK112" s="202"/>
      <c r="DL112" s="202"/>
      <c r="DM112" s="202"/>
      <c r="DN112" s="202"/>
      <c r="DO112" s="202"/>
      <c r="DP112" s="202"/>
      <c r="DQ112" s="202"/>
      <c r="DR112" s="202"/>
      <c r="DS112" s="202"/>
      <c r="DT112" s="196"/>
      <c r="DU112" s="196"/>
      <c r="DV112" s="196"/>
      <c r="DW112" s="196"/>
      <c r="DX112" s="196"/>
      <c r="DY112" s="196"/>
      <c r="DZ112" s="196"/>
      <c r="EA112" s="196"/>
      <c r="EB112" s="176">
        <f t="shared" si="8"/>
        <v>0</v>
      </c>
      <c r="EC112" s="176">
        <f t="shared" si="9"/>
        <v>0</v>
      </c>
      <c r="ED112" s="176">
        <f t="shared" si="10"/>
        <v>0</v>
      </c>
      <c r="EE112" s="176">
        <f t="shared" si="11"/>
        <v>0</v>
      </c>
      <c r="EG112" s="129">
        <f t="shared" si="12"/>
        <v>0</v>
      </c>
      <c r="EI112" s="176">
        <f t="shared" si="13"/>
        <v>0</v>
      </c>
      <c r="EK112" s="176">
        <f t="shared" si="14"/>
        <v>0</v>
      </c>
      <c r="EL112" s="176"/>
      <c r="EM112" s="177"/>
      <c r="EN112" s="178"/>
      <c r="EO112" s="177"/>
      <c r="EP112" s="177"/>
      <c r="EQ112" s="176">
        <f t="shared" si="15"/>
        <v>0</v>
      </c>
      <c r="ER112" s="179">
        <v>23300</v>
      </c>
      <c r="ES112" s="177">
        <v>7.5</v>
      </c>
    </row>
    <row r="113" spans="1:149" x14ac:dyDescent="0.3">
      <c r="A113" s="197">
        <v>108</v>
      </c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247"/>
      <c r="AQ113" s="247"/>
      <c r="AR113" s="247"/>
      <c r="AS113" s="247"/>
      <c r="AT113" s="247"/>
      <c r="AU113" s="247"/>
      <c r="AV113" s="247"/>
      <c r="AW113" s="247"/>
      <c r="AX113" s="247"/>
      <c r="AY113" s="247"/>
      <c r="AZ113" s="247"/>
      <c r="BA113" s="247"/>
      <c r="BB113" s="247"/>
      <c r="BC113" s="247"/>
      <c r="BD113" s="206"/>
      <c r="BE113" s="206"/>
      <c r="BF113" s="206"/>
      <c r="BG113" s="206"/>
      <c r="BH113" s="206"/>
      <c r="BI113" s="206"/>
      <c r="BJ113" s="206"/>
      <c r="BK113" s="206"/>
      <c r="BL113" s="206"/>
      <c r="BM113" s="206"/>
      <c r="BN113" s="206"/>
      <c r="BO113" s="206"/>
      <c r="BP113" s="206"/>
      <c r="BQ113" s="206"/>
      <c r="BR113" s="252"/>
      <c r="BS113" s="252"/>
      <c r="BT113" s="252"/>
      <c r="BU113" s="252"/>
      <c r="BV113" s="252"/>
      <c r="BW113" s="252"/>
      <c r="BX113" s="252"/>
      <c r="BY113" s="252"/>
      <c r="BZ113" s="252"/>
      <c r="CA113" s="252"/>
      <c r="CB113" s="252"/>
      <c r="CC113" s="252"/>
      <c r="CD113" s="252"/>
      <c r="CE113" s="252"/>
      <c r="CF113" s="252"/>
      <c r="CG113" s="252"/>
      <c r="CH113" s="252"/>
      <c r="CI113" s="252"/>
      <c r="CJ113" s="257"/>
      <c r="CK113" s="257"/>
      <c r="CL113" s="257"/>
      <c r="CM113" s="257"/>
      <c r="CN113" s="257"/>
      <c r="CO113" s="257"/>
      <c r="CP113" s="257"/>
      <c r="CQ113" s="257"/>
      <c r="CR113" s="257"/>
      <c r="CS113" s="257"/>
      <c r="CT113" s="257"/>
      <c r="CU113" s="257"/>
      <c r="CV113" s="257"/>
      <c r="CW113" s="257"/>
      <c r="CX113" s="257"/>
      <c r="CY113" s="257"/>
      <c r="CZ113" s="257"/>
      <c r="DA113" s="257"/>
      <c r="DB113" s="202"/>
      <c r="DC113" s="202"/>
      <c r="DD113" s="202"/>
      <c r="DE113" s="202"/>
      <c r="DF113" s="202"/>
      <c r="DG113" s="202"/>
      <c r="DH113" s="202"/>
      <c r="DI113" s="202"/>
      <c r="DJ113" s="202"/>
      <c r="DK113" s="202"/>
      <c r="DL113" s="202"/>
      <c r="DM113" s="202"/>
      <c r="DN113" s="202"/>
      <c r="DO113" s="202"/>
      <c r="DP113" s="202"/>
      <c r="DQ113" s="202"/>
      <c r="DR113" s="202"/>
      <c r="DS113" s="202"/>
      <c r="DT113" s="196"/>
      <c r="DU113" s="196"/>
      <c r="DV113" s="196"/>
      <c r="DW113" s="196"/>
      <c r="DX113" s="196"/>
      <c r="DY113" s="196"/>
      <c r="DZ113" s="196"/>
      <c r="EA113" s="196"/>
      <c r="EB113" s="176">
        <f t="shared" si="8"/>
        <v>0</v>
      </c>
      <c r="EC113" s="176">
        <f t="shared" si="9"/>
        <v>0</v>
      </c>
      <c r="ED113" s="176">
        <f t="shared" si="10"/>
        <v>0</v>
      </c>
      <c r="EE113" s="176">
        <f t="shared" si="11"/>
        <v>0</v>
      </c>
      <c r="EG113" s="129">
        <f t="shared" si="12"/>
        <v>0</v>
      </c>
      <c r="EI113" s="176">
        <f t="shared" si="13"/>
        <v>0</v>
      </c>
      <c r="EK113" s="176">
        <f t="shared" si="14"/>
        <v>0</v>
      </c>
      <c r="EL113" s="176"/>
      <c r="EM113" s="177"/>
      <c r="EN113" s="178"/>
      <c r="EO113" s="177"/>
      <c r="EP113" s="177"/>
      <c r="EQ113" s="176">
        <f t="shared" si="15"/>
        <v>0</v>
      </c>
      <c r="ER113" s="179">
        <v>23300</v>
      </c>
      <c r="ES113" s="177">
        <v>7.5</v>
      </c>
    </row>
    <row r="114" spans="1:149" x14ac:dyDescent="0.3">
      <c r="A114" s="197">
        <v>109</v>
      </c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247"/>
      <c r="AQ114" s="247"/>
      <c r="AR114" s="247"/>
      <c r="AS114" s="247"/>
      <c r="AT114" s="247"/>
      <c r="AU114" s="247"/>
      <c r="AV114" s="247"/>
      <c r="AW114" s="247"/>
      <c r="AX114" s="247"/>
      <c r="AY114" s="247"/>
      <c r="AZ114" s="247"/>
      <c r="BA114" s="247"/>
      <c r="BB114" s="247"/>
      <c r="BC114" s="247"/>
      <c r="BD114" s="206"/>
      <c r="BE114" s="206"/>
      <c r="BF114" s="206"/>
      <c r="BG114" s="206"/>
      <c r="BH114" s="206"/>
      <c r="BI114" s="206"/>
      <c r="BJ114" s="206"/>
      <c r="BK114" s="206"/>
      <c r="BL114" s="206"/>
      <c r="BM114" s="206"/>
      <c r="BN114" s="206"/>
      <c r="BO114" s="206"/>
      <c r="BP114" s="206"/>
      <c r="BQ114" s="206"/>
      <c r="BR114" s="252"/>
      <c r="BS114" s="252"/>
      <c r="BT114" s="252"/>
      <c r="BU114" s="252"/>
      <c r="BV114" s="252"/>
      <c r="BW114" s="252"/>
      <c r="BX114" s="252"/>
      <c r="BY114" s="252"/>
      <c r="BZ114" s="252"/>
      <c r="CA114" s="252"/>
      <c r="CB114" s="252"/>
      <c r="CC114" s="252"/>
      <c r="CD114" s="252"/>
      <c r="CE114" s="252"/>
      <c r="CF114" s="252"/>
      <c r="CG114" s="252"/>
      <c r="CH114" s="252"/>
      <c r="CI114" s="252"/>
      <c r="CJ114" s="257"/>
      <c r="CK114" s="257"/>
      <c r="CL114" s="257"/>
      <c r="CM114" s="257"/>
      <c r="CN114" s="257"/>
      <c r="CO114" s="257"/>
      <c r="CP114" s="257"/>
      <c r="CQ114" s="257"/>
      <c r="CR114" s="257"/>
      <c r="CS114" s="257"/>
      <c r="CT114" s="257"/>
      <c r="CU114" s="257"/>
      <c r="CV114" s="257"/>
      <c r="CW114" s="257"/>
      <c r="CX114" s="257"/>
      <c r="CY114" s="257"/>
      <c r="CZ114" s="257"/>
      <c r="DA114" s="257"/>
      <c r="DB114" s="202"/>
      <c r="DC114" s="202"/>
      <c r="DD114" s="202"/>
      <c r="DE114" s="202"/>
      <c r="DF114" s="202"/>
      <c r="DG114" s="202"/>
      <c r="DH114" s="202"/>
      <c r="DI114" s="202"/>
      <c r="DJ114" s="202"/>
      <c r="DK114" s="202"/>
      <c r="DL114" s="202"/>
      <c r="DM114" s="202"/>
      <c r="DN114" s="202"/>
      <c r="DO114" s="202"/>
      <c r="DP114" s="202"/>
      <c r="DQ114" s="202"/>
      <c r="DR114" s="202"/>
      <c r="DS114" s="202"/>
      <c r="DT114" s="196"/>
      <c r="DU114" s="196"/>
      <c r="DV114" s="196"/>
      <c r="DW114" s="196"/>
      <c r="DX114" s="196"/>
      <c r="DY114" s="196"/>
      <c r="DZ114" s="196"/>
      <c r="EA114" s="196"/>
      <c r="EB114" s="176">
        <f t="shared" si="8"/>
        <v>0</v>
      </c>
      <c r="EC114" s="176">
        <f t="shared" si="9"/>
        <v>0</v>
      </c>
      <c r="ED114" s="176">
        <f t="shared" si="10"/>
        <v>0</v>
      </c>
      <c r="EE114" s="176">
        <f t="shared" si="11"/>
        <v>0</v>
      </c>
      <c r="EG114" s="129">
        <f t="shared" si="12"/>
        <v>0</v>
      </c>
      <c r="EI114" s="176">
        <f t="shared" si="13"/>
        <v>0</v>
      </c>
      <c r="EK114" s="176">
        <f t="shared" si="14"/>
        <v>0</v>
      </c>
      <c r="EL114" s="176"/>
      <c r="EM114" s="177"/>
      <c r="EN114" s="178"/>
      <c r="EO114" s="177"/>
      <c r="EP114" s="177"/>
      <c r="EQ114" s="176">
        <f t="shared" si="15"/>
        <v>0</v>
      </c>
      <c r="ER114" s="179">
        <v>23300</v>
      </c>
      <c r="ES114" s="177">
        <v>7.5</v>
      </c>
    </row>
    <row r="115" spans="1:149" x14ac:dyDescent="0.3">
      <c r="A115" s="197">
        <v>110</v>
      </c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247"/>
      <c r="AQ115" s="247"/>
      <c r="AR115" s="247"/>
      <c r="AS115" s="247"/>
      <c r="AT115" s="247"/>
      <c r="AU115" s="247"/>
      <c r="AV115" s="247"/>
      <c r="AW115" s="247"/>
      <c r="AX115" s="247"/>
      <c r="AY115" s="247"/>
      <c r="AZ115" s="247"/>
      <c r="BA115" s="247"/>
      <c r="BB115" s="247"/>
      <c r="BC115" s="247"/>
      <c r="BD115" s="206"/>
      <c r="BE115" s="206"/>
      <c r="BF115" s="206"/>
      <c r="BG115" s="206"/>
      <c r="BH115" s="206"/>
      <c r="BI115" s="206"/>
      <c r="BJ115" s="206"/>
      <c r="BK115" s="206"/>
      <c r="BL115" s="206"/>
      <c r="BM115" s="206"/>
      <c r="BN115" s="206"/>
      <c r="BO115" s="206"/>
      <c r="BP115" s="206"/>
      <c r="BQ115" s="206"/>
      <c r="BR115" s="252"/>
      <c r="BS115" s="252"/>
      <c r="BT115" s="252"/>
      <c r="BU115" s="252"/>
      <c r="BV115" s="252"/>
      <c r="BW115" s="252"/>
      <c r="BX115" s="252"/>
      <c r="BY115" s="252"/>
      <c r="BZ115" s="252"/>
      <c r="CA115" s="252"/>
      <c r="CB115" s="252"/>
      <c r="CC115" s="252"/>
      <c r="CD115" s="252"/>
      <c r="CE115" s="252"/>
      <c r="CF115" s="252"/>
      <c r="CG115" s="252"/>
      <c r="CH115" s="252"/>
      <c r="CI115" s="252"/>
      <c r="CJ115" s="257"/>
      <c r="CK115" s="257"/>
      <c r="CL115" s="257"/>
      <c r="CM115" s="257"/>
      <c r="CN115" s="257"/>
      <c r="CO115" s="257"/>
      <c r="CP115" s="257"/>
      <c r="CQ115" s="257"/>
      <c r="CR115" s="257"/>
      <c r="CS115" s="257"/>
      <c r="CT115" s="257"/>
      <c r="CU115" s="257"/>
      <c r="CV115" s="257"/>
      <c r="CW115" s="257"/>
      <c r="CX115" s="257"/>
      <c r="CY115" s="257"/>
      <c r="CZ115" s="257"/>
      <c r="DA115" s="257"/>
      <c r="DB115" s="202"/>
      <c r="DC115" s="202"/>
      <c r="DD115" s="202"/>
      <c r="DE115" s="202"/>
      <c r="DF115" s="202"/>
      <c r="DG115" s="202"/>
      <c r="DH115" s="202"/>
      <c r="DI115" s="202"/>
      <c r="DJ115" s="202"/>
      <c r="DK115" s="202"/>
      <c r="DL115" s="202"/>
      <c r="DM115" s="202"/>
      <c r="DN115" s="202"/>
      <c r="DO115" s="202"/>
      <c r="DP115" s="202"/>
      <c r="DQ115" s="202"/>
      <c r="DR115" s="202"/>
      <c r="DS115" s="202"/>
      <c r="DT115" s="196"/>
      <c r="DU115" s="196"/>
      <c r="DV115" s="196"/>
      <c r="DW115" s="196"/>
      <c r="DX115" s="196"/>
      <c r="DY115" s="196"/>
      <c r="DZ115" s="196"/>
      <c r="EA115" s="196"/>
      <c r="EB115" s="176">
        <f t="shared" si="8"/>
        <v>0</v>
      </c>
      <c r="EC115" s="176">
        <f t="shared" si="9"/>
        <v>0</v>
      </c>
      <c r="ED115" s="176">
        <f t="shared" si="10"/>
        <v>0</v>
      </c>
      <c r="EE115" s="176">
        <f t="shared" si="11"/>
        <v>0</v>
      </c>
      <c r="EG115" s="129">
        <f t="shared" si="12"/>
        <v>0</v>
      </c>
      <c r="EI115" s="176">
        <f t="shared" si="13"/>
        <v>0</v>
      </c>
      <c r="EK115" s="176">
        <f t="shared" si="14"/>
        <v>0</v>
      </c>
      <c r="EL115" s="176"/>
      <c r="EM115" s="177"/>
      <c r="EN115" s="178"/>
      <c r="EO115" s="177"/>
      <c r="EP115" s="177"/>
      <c r="EQ115" s="176">
        <f t="shared" si="15"/>
        <v>0</v>
      </c>
      <c r="ER115" s="179">
        <v>23300</v>
      </c>
      <c r="ES115" s="177">
        <v>7.5</v>
      </c>
    </row>
    <row r="116" spans="1:149" x14ac:dyDescent="0.3">
      <c r="A116" s="197">
        <v>111</v>
      </c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247"/>
      <c r="AQ116" s="247"/>
      <c r="AR116" s="247"/>
      <c r="AS116" s="247"/>
      <c r="AT116" s="247"/>
      <c r="AU116" s="247"/>
      <c r="AV116" s="247"/>
      <c r="AW116" s="247"/>
      <c r="AX116" s="247"/>
      <c r="AY116" s="247"/>
      <c r="AZ116" s="247"/>
      <c r="BA116" s="247"/>
      <c r="BB116" s="247"/>
      <c r="BC116" s="247"/>
      <c r="BD116" s="206"/>
      <c r="BE116" s="206"/>
      <c r="BF116" s="206"/>
      <c r="BG116" s="206"/>
      <c r="BH116" s="206"/>
      <c r="BI116" s="206"/>
      <c r="BJ116" s="206"/>
      <c r="BK116" s="206"/>
      <c r="BL116" s="206"/>
      <c r="BM116" s="206"/>
      <c r="BN116" s="206"/>
      <c r="BO116" s="206"/>
      <c r="BP116" s="206"/>
      <c r="BQ116" s="206"/>
      <c r="BR116" s="252"/>
      <c r="BS116" s="252"/>
      <c r="BT116" s="252"/>
      <c r="BU116" s="252"/>
      <c r="BV116" s="252"/>
      <c r="BW116" s="252"/>
      <c r="BX116" s="252"/>
      <c r="BY116" s="252"/>
      <c r="BZ116" s="252"/>
      <c r="CA116" s="252"/>
      <c r="CB116" s="252"/>
      <c r="CC116" s="252"/>
      <c r="CD116" s="252"/>
      <c r="CE116" s="252"/>
      <c r="CF116" s="252"/>
      <c r="CG116" s="252"/>
      <c r="CH116" s="252"/>
      <c r="CI116" s="252"/>
      <c r="CJ116" s="257"/>
      <c r="CK116" s="257"/>
      <c r="CL116" s="257"/>
      <c r="CM116" s="257"/>
      <c r="CN116" s="257"/>
      <c r="CO116" s="257"/>
      <c r="CP116" s="257"/>
      <c r="CQ116" s="257"/>
      <c r="CR116" s="257"/>
      <c r="CS116" s="257"/>
      <c r="CT116" s="257"/>
      <c r="CU116" s="257"/>
      <c r="CV116" s="257"/>
      <c r="CW116" s="257"/>
      <c r="CX116" s="257"/>
      <c r="CY116" s="257"/>
      <c r="CZ116" s="257"/>
      <c r="DA116" s="257"/>
      <c r="DB116" s="202"/>
      <c r="DC116" s="202"/>
      <c r="DD116" s="202"/>
      <c r="DE116" s="202"/>
      <c r="DF116" s="202"/>
      <c r="DG116" s="202"/>
      <c r="DH116" s="202"/>
      <c r="DI116" s="202"/>
      <c r="DJ116" s="202"/>
      <c r="DK116" s="202"/>
      <c r="DL116" s="202"/>
      <c r="DM116" s="202"/>
      <c r="DN116" s="202"/>
      <c r="DO116" s="202"/>
      <c r="DP116" s="202"/>
      <c r="DQ116" s="202"/>
      <c r="DR116" s="202"/>
      <c r="DS116" s="202"/>
      <c r="DT116" s="196"/>
      <c r="DU116" s="196"/>
      <c r="DV116" s="196"/>
      <c r="DW116" s="196"/>
      <c r="DX116" s="196"/>
      <c r="DY116" s="196"/>
      <c r="DZ116" s="196"/>
      <c r="EA116" s="196"/>
      <c r="EB116" s="176">
        <f t="shared" si="8"/>
        <v>0</v>
      </c>
      <c r="EC116" s="176">
        <f t="shared" si="9"/>
        <v>0</v>
      </c>
      <c r="ED116" s="176">
        <f t="shared" si="10"/>
        <v>0</v>
      </c>
      <c r="EE116" s="176">
        <f t="shared" si="11"/>
        <v>0</v>
      </c>
      <c r="EG116" s="129">
        <f t="shared" si="12"/>
        <v>0</v>
      </c>
      <c r="EI116" s="176">
        <f t="shared" si="13"/>
        <v>0</v>
      </c>
      <c r="EK116" s="176">
        <f t="shared" si="14"/>
        <v>0</v>
      </c>
      <c r="EL116" s="176"/>
      <c r="EM116" s="177"/>
      <c r="EN116" s="178"/>
      <c r="EO116" s="177"/>
      <c r="EP116" s="177"/>
      <c r="EQ116" s="176">
        <f t="shared" si="15"/>
        <v>0</v>
      </c>
      <c r="ER116" s="179">
        <v>23300</v>
      </c>
      <c r="ES116" s="177">
        <v>7.5</v>
      </c>
    </row>
    <row r="117" spans="1:149" x14ac:dyDescent="0.3">
      <c r="A117" s="197">
        <v>112</v>
      </c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247"/>
      <c r="AQ117" s="247"/>
      <c r="AR117" s="247"/>
      <c r="AS117" s="247"/>
      <c r="AT117" s="247"/>
      <c r="AU117" s="247"/>
      <c r="AV117" s="247"/>
      <c r="AW117" s="247"/>
      <c r="AX117" s="247"/>
      <c r="AY117" s="247"/>
      <c r="AZ117" s="247"/>
      <c r="BA117" s="247"/>
      <c r="BB117" s="247"/>
      <c r="BC117" s="247"/>
      <c r="BD117" s="206"/>
      <c r="BE117" s="206"/>
      <c r="BF117" s="206"/>
      <c r="BG117" s="206"/>
      <c r="BH117" s="206"/>
      <c r="BI117" s="206"/>
      <c r="BJ117" s="206"/>
      <c r="BK117" s="206"/>
      <c r="BL117" s="206"/>
      <c r="BM117" s="206"/>
      <c r="BN117" s="206"/>
      <c r="BO117" s="206"/>
      <c r="BP117" s="206"/>
      <c r="BQ117" s="206"/>
      <c r="BR117" s="252"/>
      <c r="BS117" s="252"/>
      <c r="BT117" s="252"/>
      <c r="BU117" s="252"/>
      <c r="BV117" s="252"/>
      <c r="BW117" s="252"/>
      <c r="BX117" s="252"/>
      <c r="BY117" s="252"/>
      <c r="BZ117" s="252"/>
      <c r="CA117" s="252"/>
      <c r="CB117" s="252"/>
      <c r="CC117" s="252"/>
      <c r="CD117" s="252"/>
      <c r="CE117" s="252"/>
      <c r="CF117" s="252"/>
      <c r="CG117" s="252"/>
      <c r="CH117" s="252"/>
      <c r="CI117" s="252"/>
      <c r="CJ117" s="257"/>
      <c r="CK117" s="257"/>
      <c r="CL117" s="257"/>
      <c r="CM117" s="257"/>
      <c r="CN117" s="257"/>
      <c r="CO117" s="257"/>
      <c r="CP117" s="257"/>
      <c r="CQ117" s="257"/>
      <c r="CR117" s="257"/>
      <c r="CS117" s="257"/>
      <c r="CT117" s="257"/>
      <c r="CU117" s="257"/>
      <c r="CV117" s="257"/>
      <c r="CW117" s="257"/>
      <c r="CX117" s="257"/>
      <c r="CY117" s="257"/>
      <c r="CZ117" s="257"/>
      <c r="DA117" s="257"/>
      <c r="DB117" s="202"/>
      <c r="DC117" s="202"/>
      <c r="DD117" s="202"/>
      <c r="DE117" s="202"/>
      <c r="DF117" s="202"/>
      <c r="DG117" s="202"/>
      <c r="DH117" s="202"/>
      <c r="DI117" s="202"/>
      <c r="DJ117" s="202"/>
      <c r="DK117" s="202"/>
      <c r="DL117" s="202"/>
      <c r="DM117" s="202"/>
      <c r="DN117" s="202"/>
      <c r="DO117" s="202"/>
      <c r="DP117" s="202"/>
      <c r="DQ117" s="202"/>
      <c r="DR117" s="202"/>
      <c r="DS117" s="202"/>
      <c r="DT117" s="196"/>
      <c r="DU117" s="196"/>
      <c r="DV117" s="196"/>
      <c r="DW117" s="196"/>
      <c r="DX117" s="196"/>
      <c r="DY117" s="196"/>
      <c r="DZ117" s="196"/>
      <c r="EA117" s="196"/>
      <c r="EB117" s="176">
        <f t="shared" si="8"/>
        <v>0</v>
      </c>
      <c r="EC117" s="176">
        <f t="shared" si="9"/>
        <v>0</v>
      </c>
      <c r="ED117" s="176">
        <f t="shared" si="10"/>
        <v>0</v>
      </c>
      <c r="EE117" s="176">
        <f t="shared" si="11"/>
        <v>0</v>
      </c>
      <c r="EG117" s="129">
        <f t="shared" si="12"/>
        <v>0</v>
      </c>
      <c r="EI117" s="176">
        <f t="shared" si="13"/>
        <v>0</v>
      </c>
      <c r="EK117" s="176">
        <f t="shared" si="14"/>
        <v>0</v>
      </c>
      <c r="EL117" s="176"/>
      <c r="EM117" s="177"/>
      <c r="EN117" s="178"/>
      <c r="EO117" s="177"/>
      <c r="EP117" s="177"/>
      <c r="EQ117" s="176">
        <f t="shared" si="15"/>
        <v>0</v>
      </c>
      <c r="ER117" s="179">
        <v>23300</v>
      </c>
      <c r="ES117" s="177">
        <v>7.5</v>
      </c>
    </row>
    <row r="118" spans="1:149" x14ac:dyDescent="0.3">
      <c r="A118" s="197">
        <v>113</v>
      </c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247"/>
      <c r="AQ118" s="247"/>
      <c r="AR118" s="247"/>
      <c r="AS118" s="247"/>
      <c r="AT118" s="247"/>
      <c r="AU118" s="247"/>
      <c r="AV118" s="247"/>
      <c r="AW118" s="247"/>
      <c r="AX118" s="247"/>
      <c r="AY118" s="247"/>
      <c r="AZ118" s="247"/>
      <c r="BA118" s="247"/>
      <c r="BB118" s="247"/>
      <c r="BC118" s="247"/>
      <c r="BD118" s="206"/>
      <c r="BE118" s="206"/>
      <c r="BF118" s="206"/>
      <c r="BG118" s="206"/>
      <c r="BH118" s="206"/>
      <c r="BI118" s="206"/>
      <c r="BJ118" s="206"/>
      <c r="BK118" s="206"/>
      <c r="BL118" s="206"/>
      <c r="BM118" s="206"/>
      <c r="BN118" s="206"/>
      <c r="BO118" s="206"/>
      <c r="BP118" s="206"/>
      <c r="BQ118" s="206"/>
      <c r="BR118" s="252"/>
      <c r="BS118" s="252"/>
      <c r="BT118" s="252"/>
      <c r="BU118" s="252"/>
      <c r="BV118" s="252"/>
      <c r="BW118" s="252"/>
      <c r="BX118" s="252"/>
      <c r="BY118" s="252"/>
      <c r="BZ118" s="252"/>
      <c r="CA118" s="252"/>
      <c r="CB118" s="252"/>
      <c r="CC118" s="252"/>
      <c r="CD118" s="252"/>
      <c r="CE118" s="252"/>
      <c r="CF118" s="252"/>
      <c r="CG118" s="252"/>
      <c r="CH118" s="252"/>
      <c r="CI118" s="252"/>
      <c r="CJ118" s="257"/>
      <c r="CK118" s="257"/>
      <c r="CL118" s="257"/>
      <c r="CM118" s="257"/>
      <c r="CN118" s="257"/>
      <c r="CO118" s="257"/>
      <c r="CP118" s="257"/>
      <c r="CQ118" s="257"/>
      <c r="CR118" s="257"/>
      <c r="CS118" s="257"/>
      <c r="CT118" s="257"/>
      <c r="CU118" s="257"/>
      <c r="CV118" s="257"/>
      <c r="CW118" s="257"/>
      <c r="CX118" s="257"/>
      <c r="CY118" s="257"/>
      <c r="CZ118" s="257"/>
      <c r="DA118" s="257"/>
      <c r="DB118" s="202"/>
      <c r="DC118" s="202"/>
      <c r="DD118" s="202"/>
      <c r="DE118" s="202"/>
      <c r="DF118" s="202"/>
      <c r="DG118" s="202"/>
      <c r="DH118" s="202"/>
      <c r="DI118" s="202"/>
      <c r="DJ118" s="202"/>
      <c r="DK118" s="202"/>
      <c r="DL118" s="202"/>
      <c r="DM118" s="202"/>
      <c r="DN118" s="202"/>
      <c r="DO118" s="202"/>
      <c r="DP118" s="202"/>
      <c r="DQ118" s="202"/>
      <c r="DR118" s="202"/>
      <c r="DS118" s="202"/>
      <c r="DT118" s="196"/>
      <c r="DU118" s="196"/>
      <c r="DV118" s="196"/>
      <c r="DW118" s="196"/>
      <c r="DX118" s="196"/>
      <c r="DY118" s="196"/>
      <c r="DZ118" s="196"/>
      <c r="EA118" s="196"/>
      <c r="EB118" s="176">
        <f t="shared" si="8"/>
        <v>0</v>
      </c>
      <c r="EC118" s="176">
        <f t="shared" si="9"/>
        <v>0</v>
      </c>
      <c r="ED118" s="176">
        <f t="shared" si="10"/>
        <v>0</v>
      </c>
      <c r="EE118" s="176">
        <f t="shared" si="11"/>
        <v>0</v>
      </c>
      <c r="EG118" s="129">
        <f t="shared" si="12"/>
        <v>0</v>
      </c>
      <c r="EI118" s="176">
        <f t="shared" si="13"/>
        <v>0</v>
      </c>
      <c r="EK118" s="176">
        <f t="shared" si="14"/>
        <v>0</v>
      </c>
      <c r="EL118" s="176"/>
      <c r="EM118" s="177"/>
      <c r="EN118" s="178"/>
      <c r="EO118" s="177"/>
      <c r="EP118" s="177"/>
      <c r="EQ118" s="176">
        <f t="shared" si="15"/>
        <v>0</v>
      </c>
      <c r="ER118" s="179">
        <v>23300</v>
      </c>
      <c r="ES118" s="177">
        <v>7.5</v>
      </c>
    </row>
    <row r="119" spans="1:149" x14ac:dyDescent="0.3">
      <c r="A119" s="197">
        <v>114</v>
      </c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247"/>
      <c r="AQ119" s="247"/>
      <c r="AR119" s="247"/>
      <c r="AS119" s="247"/>
      <c r="AT119" s="247"/>
      <c r="AU119" s="247"/>
      <c r="AV119" s="247"/>
      <c r="AW119" s="247"/>
      <c r="AX119" s="247"/>
      <c r="AY119" s="247"/>
      <c r="AZ119" s="247"/>
      <c r="BA119" s="247"/>
      <c r="BB119" s="247"/>
      <c r="BC119" s="247"/>
      <c r="BD119" s="206"/>
      <c r="BE119" s="206"/>
      <c r="BF119" s="206"/>
      <c r="BG119" s="206"/>
      <c r="BH119" s="206"/>
      <c r="BI119" s="206"/>
      <c r="BJ119" s="206"/>
      <c r="BK119" s="206"/>
      <c r="BL119" s="206"/>
      <c r="BM119" s="206"/>
      <c r="BN119" s="206"/>
      <c r="BO119" s="206"/>
      <c r="BP119" s="206"/>
      <c r="BQ119" s="206"/>
      <c r="BR119" s="252"/>
      <c r="BS119" s="252"/>
      <c r="BT119" s="252"/>
      <c r="BU119" s="252"/>
      <c r="BV119" s="252"/>
      <c r="BW119" s="252"/>
      <c r="BX119" s="252"/>
      <c r="BY119" s="252"/>
      <c r="BZ119" s="252"/>
      <c r="CA119" s="252"/>
      <c r="CB119" s="252"/>
      <c r="CC119" s="252"/>
      <c r="CD119" s="252"/>
      <c r="CE119" s="252"/>
      <c r="CF119" s="252"/>
      <c r="CG119" s="252"/>
      <c r="CH119" s="252"/>
      <c r="CI119" s="252"/>
      <c r="CJ119" s="257"/>
      <c r="CK119" s="257"/>
      <c r="CL119" s="257"/>
      <c r="CM119" s="257"/>
      <c r="CN119" s="257"/>
      <c r="CO119" s="257"/>
      <c r="CP119" s="257"/>
      <c r="CQ119" s="257"/>
      <c r="CR119" s="257"/>
      <c r="CS119" s="257"/>
      <c r="CT119" s="257"/>
      <c r="CU119" s="257"/>
      <c r="CV119" s="257"/>
      <c r="CW119" s="257"/>
      <c r="CX119" s="257"/>
      <c r="CY119" s="257"/>
      <c r="CZ119" s="257"/>
      <c r="DA119" s="257"/>
      <c r="DB119" s="202"/>
      <c r="DC119" s="202"/>
      <c r="DD119" s="202"/>
      <c r="DE119" s="202"/>
      <c r="DF119" s="202"/>
      <c r="DG119" s="202"/>
      <c r="DH119" s="202"/>
      <c r="DI119" s="202"/>
      <c r="DJ119" s="202"/>
      <c r="DK119" s="202"/>
      <c r="DL119" s="202"/>
      <c r="DM119" s="202"/>
      <c r="DN119" s="202"/>
      <c r="DO119" s="202"/>
      <c r="DP119" s="202"/>
      <c r="DQ119" s="202"/>
      <c r="DR119" s="202"/>
      <c r="DS119" s="202"/>
      <c r="DT119" s="196"/>
      <c r="DU119" s="196"/>
      <c r="DV119" s="196"/>
      <c r="DW119" s="196"/>
      <c r="DX119" s="196"/>
      <c r="DY119" s="196"/>
      <c r="DZ119" s="196"/>
      <c r="EA119" s="196"/>
      <c r="EB119" s="176">
        <f t="shared" si="8"/>
        <v>0</v>
      </c>
      <c r="EC119" s="176">
        <f t="shared" si="9"/>
        <v>0</v>
      </c>
      <c r="ED119" s="176">
        <f t="shared" si="10"/>
        <v>0</v>
      </c>
      <c r="EE119" s="176">
        <f t="shared" si="11"/>
        <v>0</v>
      </c>
      <c r="EG119" s="129">
        <f t="shared" si="12"/>
        <v>0</v>
      </c>
      <c r="EI119" s="176">
        <f t="shared" si="13"/>
        <v>0</v>
      </c>
      <c r="EK119" s="176">
        <f t="shared" si="14"/>
        <v>0</v>
      </c>
      <c r="EL119" s="176"/>
      <c r="EM119" s="177"/>
      <c r="EN119" s="178"/>
      <c r="EO119" s="177"/>
      <c r="EP119" s="177"/>
      <c r="EQ119" s="176">
        <f t="shared" si="15"/>
        <v>0</v>
      </c>
      <c r="ER119" s="179">
        <v>23300</v>
      </c>
      <c r="ES119" s="177">
        <v>7.5</v>
      </c>
    </row>
    <row r="120" spans="1:149" x14ac:dyDescent="0.3">
      <c r="A120" s="197">
        <v>115</v>
      </c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247"/>
      <c r="AQ120" s="247"/>
      <c r="AR120" s="247"/>
      <c r="AS120" s="247"/>
      <c r="AT120" s="247"/>
      <c r="AU120" s="247"/>
      <c r="AV120" s="247"/>
      <c r="AW120" s="247"/>
      <c r="AX120" s="247"/>
      <c r="AY120" s="247"/>
      <c r="AZ120" s="247"/>
      <c r="BA120" s="247"/>
      <c r="BB120" s="247"/>
      <c r="BC120" s="247"/>
      <c r="BD120" s="206"/>
      <c r="BE120" s="206"/>
      <c r="BF120" s="206"/>
      <c r="BG120" s="206"/>
      <c r="BH120" s="206"/>
      <c r="BI120" s="206"/>
      <c r="BJ120" s="206"/>
      <c r="BK120" s="206"/>
      <c r="BL120" s="206"/>
      <c r="BM120" s="206"/>
      <c r="BN120" s="206"/>
      <c r="BO120" s="206"/>
      <c r="BP120" s="206"/>
      <c r="BQ120" s="206"/>
      <c r="BR120" s="252"/>
      <c r="BS120" s="252"/>
      <c r="BT120" s="252"/>
      <c r="BU120" s="252"/>
      <c r="BV120" s="252"/>
      <c r="BW120" s="252"/>
      <c r="BX120" s="252"/>
      <c r="BY120" s="252"/>
      <c r="BZ120" s="252"/>
      <c r="CA120" s="252"/>
      <c r="CB120" s="252"/>
      <c r="CC120" s="252"/>
      <c r="CD120" s="252"/>
      <c r="CE120" s="252"/>
      <c r="CF120" s="252"/>
      <c r="CG120" s="252"/>
      <c r="CH120" s="252"/>
      <c r="CI120" s="252"/>
      <c r="CJ120" s="257"/>
      <c r="CK120" s="257"/>
      <c r="CL120" s="257"/>
      <c r="CM120" s="257"/>
      <c r="CN120" s="257"/>
      <c r="CO120" s="257"/>
      <c r="CP120" s="257"/>
      <c r="CQ120" s="257"/>
      <c r="CR120" s="257"/>
      <c r="CS120" s="257"/>
      <c r="CT120" s="257"/>
      <c r="CU120" s="257"/>
      <c r="CV120" s="257"/>
      <c r="CW120" s="257"/>
      <c r="CX120" s="257"/>
      <c r="CY120" s="257"/>
      <c r="CZ120" s="257"/>
      <c r="DA120" s="257"/>
      <c r="DB120" s="202"/>
      <c r="DC120" s="202"/>
      <c r="DD120" s="202"/>
      <c r="DE120" s="202"/>
      <c r="DF120" s="202"/>
      <c r="DG120" s="202"/>
      <c r="DH120" s="202"/>
      <c r="DI120" s="202"/>
      <c r="DJ120" s="202"/>
      <c r="DK120" s="202"/>
      <c r="DL120" s="202"/>
      <c r="DM120" s="202"/>
      <c r="DN120" s="202"/>
      <c r="DO120" s="202"/>
      <c r="DP120" s="202"/>
      <c r="DQ120" s="202"/>
      <c r="DR120" s="202"/>
      <c r="DS120" s="202"/>
      <c r="DT120" s="196"/>
      <c r="DU120" s="196"/>
      <c r="DV120" s="196"/>
      <c r="DW120" s="196"/>
      <c r="DX120" s="196"/>
      <c r="DY120" s="196"/>
      <c r="DZ120" s="196"/>
      <c r="EA120" s="196"/>
      <c r="EB120" s="176">
        <f t="shared" si="8"/>
        <v>0</v>
      </c>
      <c r="EC120" s="176">
        <f t="shared" si="9"/>
        <v>0</v>
      </c>
      <c r="ED120" s="176">
        <f t="shared" si="10"/>
        <v>0</v>
      </c>
      <c r="EE120" s="176">
        <f t="shared" si="11"/>
        <v>0</v>
      </c>
      <c r="EG120" s="129">
        <f t="shared" si="12"/>
        <v>0</v>
      </c>
      <c r="EI120" s="176">
        <f t="shared" si="13"/>
        <v>0</v>
      </c>
      <c r="EK120" s="176">
        <f t="shared" si="14"/>
        <v>0</v>
      </c>
      <c r="EL120" s="176"/>
      <c r="EM120" s="177"/>
      <c r="EN120" s="178"/>
      <c r="EO120" s="177"/>
      <c r="EP120" s="177"/>
      <c r="EQ120" s="176">
        <f t="shared" si="15"/>
        <v>0</v>
      </c>
      <c r="ER120" s="179">
        <v>23300</v>
      </c>
      <c r="ES120" s="177">
        <v>7.5</v>
      </c>
    </row>
    <row r="121" spans="1:149" x14ac:dyDescent="0.3">
      <c r="A121" s="197">
        <v>116</v>
      </c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247"/>
      <c r="AQ121" s="247"/>
      <c r="AR121" s="247"/>
      <c r="AS121" s="247"/>
      <c r="AT121" s="247"/>
      <c r="AU121" s="247"/>
      <c r="AV121" s="247"/>
      <c r="AW121" s="247"/>
      <c r="AX121" s="247"/>
      <c r="AY121" s="247"/>
      <c r="AZ121" s="247"/>
      <c r="BA121" s="247"/>
      <c r="BB121" s="247"/>
      <c r="BC121" s="247"/>
      <c r="BD121" s="206"/>
      <c r="BE121" s="206"/>
      <c r="BF121" s="206"/>
      <c r="BG121" s="206"/>
      <c r="BH121" s="206"/>
      <c r="BI121" s="206"/>
      <c r="BJ121" s="206"/>
      <c r="BK121" s="206"/>
      <c r="BL121" s="206"/>
      <c r="BM121" s="206"/>
      <c r="BN121" s="206"/>
      <c r="BO121" s="206"/>
      <c r="BP121" s="206"/>
      <c r="BQ121" s="206"/>
      <c r="BR121" s="252"/>
      <c r="BS121" s="252"/>
      <c r="BT121" s="252"/>
      <c r="BU121" s="252"/>
      <c r="BV121" s="252"/>
      <c r="BW121" s="252"/>
      <c r="BX121" s="252"/>
      <c r="BY121" s="252"/>
      <c r="BZ121" s="252"/>
      <c r="CA121" s="252"/>
      <c r="CB121" s="252"/>
      <c r="CC121" s="252"/>
      <c r="CD121" s="252"/>
      <c r="CE121" s="252"/>
      <c r="CF121" s="252"/>
      <c r="CG121" s="252"/>
      <c r="CH121" s="252"/>
      <c r="CI121" s="252"/>
      <c r="CJ121" s="257"/>
      <c r="CK121" s="257"/>
      <c r="CL121" s="257"/>
      <c r="CM121" s="257"/>
      <c r="CN121" s="257"/>
      <c r="CO121" s="257"/>
      <c r="CP121" s="257"/>
      <c r="CQ121" s="257"/>
      <c r="CR121" s="257"/>
      <c r="CS121" s="257"/>
      <c r="CT121" s="257"/>
      <c r="CU121" s="257"/>
      <c r="CV121" s="257"/>
      <c r="CW121" s="257"/>
      <c r="CX121" s="257"/>
      <c r="CY121" s="257"/>
      <c r="CZ121" s="257"/>
      <c r="DA121" s="257"/>
      <c r="DB121" s="202"/>
      <c r="DC121" s="202"/>
      <c r="DD121" s="202"/>
      <c r="DE121" s="202"/>
      <c r="DF121" s="202"/>
      <c r="DG121" s="202"/>
      <c r="DH121" s="202"/>
      <c r="DI121" s="202"/>
      <c r="DJ121" s="202"/>
      <c r="DK121" s="202"/>
      <c r="DL121" s="202"/>
      <c r="DM121" s="202"/>
      <c r="DN121" s="202"/>
      <c r="DO121" s="202"/>
      <c r="DP121" s="202"/>
      <c r="DQ121" s="202"/>
      <c r="DR121" s="202"/>
      <c r="DS121" s="202"/>
      <c r="DT121" s="196"/>
      <c r="DU121" s="196"/>
      <c r="DV121" s="196"/>
      <c r="DW121" s="196"/>
      <c r="DX121" s="196"/>
      <c r="DY121" s="196"/>
      <c r="DZ121" s="196"/>
      <c r="EA121" s="196"/>
      <c r="EB121" s="176">
        <f t="shared" si="8"/>
        <v>0</v>
      </c>
      <c r="EC121" s="176">
        <f t="shared" si="9"/>
        <v>0</v>
      </c>
      <c r="ED121" s="176">
        <f t="shared" si="10"/>
        <v>0</v>
      </c>
      <c r="EE121" s="176">
        <f t="shared" si="11"/>
        <v>0</v>
      </c>
      <c r="EG121" s="129">
        <f t="shared" si="12"/>
        <v>0</v>
      </c>
      <c r="EI121" s="176">
        <f t="shared" si="13"/>
        <v>0</v>
      </c>
      <c r="EK121" s="176">
        <f t="shared" si="14"/>
        <v>0</v>
      </c>
      <c r="EL121" s="176"/>
      <c r="EM121" s="177"/>
      <c r="EN121" s="178"/>
      <c r="EO121" s="177"/>
      <c r="EP121" s="177"/>
      <c r="EQ121" s="176">
        <f t="shared" si="15"/>
        <v>0</v>
      </c>
      <c r="ER121" s="179">
        <v>23300</v>
      </c>
      <c r="ES121" s="177">
        <v>7.5</v>
      </c>
    </row>
    <row r="122" spans="1:149" x14ac:dyDescent="0.3">
      <c r="A122" s="197">
        <v>117</v>
      </c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247"/>
      <c r="AQ122" s="247"/>
      <c r="AR122" s="247"/>
      <c r="AS122" s="247"/>
      <c r="AT122" s="247"/>
      <c r="AU122" s="247"/>
      <c r="AV122" s="247"/>
      <c r="AW122" s="247"/>
      <c r="AX122" s="247"/>
      <c r="AY122" s="247"/>
      <c r="AZ122" s="247"/>
      <c r="BA122" s="247"/>
      <c r="BB122" s="247"/>
      <c r="BC122" s="247"/>
      <c r="BD122" s="206"/>
      <c r="BE122" s="206"/>
      <c r="BF122" s="206"/>
      <c r="BG122" s="206"/>
      <c r="BH122" s="206"/>
      <c r="BI122" s="206"/>
      <c r="BJ122" s="206"/>
      <c r="BK122" s="206"/>
      <c r="BL122" s="206"/>
      <c r="BM122" s="206"/>
      <c r="BN122" s="206"/>
      <c r="BO122" s="206"/>
      <c r="BP122" s="206"/>
      <c r="BQ122" s="206"/>
      <c r="BR122" s="252"/>
      <c r="BS122" s="252"/>
      <c r="BT122" s="252"/>
      <c r="BU122" s="252"/>
      <c r="BV122" s="252"/>
      <c r="BW122" s="252"/>
      <c r="BX122" s="252"/>
      <c r="BY122" s="252"/>
      <c r="BZ122" s="252"/>
      <c r="CA122" s="252"/>
      <c r="CB122" s="252"/>
      <c r="CC122" s="252"/>
      <c r="CD122" s="252"/>
      <c r="CE122" s="252"/>
      <c r="CF122" s="252"/>
      <c r="CG122" s="252"/>
      <c r="CH122" s="252"/>
      <c r="CI122" s="252"/>
      <c r="CJ122" s="257"/>
      <c r="CK122" s="257"/>
      <c r="CL122" s="257"/>
      <c r="CM122" s="257"/>
      <c r="CN122" s="257"/>
      <c r="CO122" s="257"/>
      <c r="CP122" s="257"/>
      <c r="CQ122" s="257"/>
      <c r="CR122" s="257"/>
      <c r="CS122" s="257"/>
      <c r="CT122" s="257"/>
      <c r="CU122" s="257"/>
      <c r="CV122" s="257"/>
      <c r="CW122" s="257"/>
      <c r="CX122" s="257"/>
      <c r="CY122" s="257"/>
      <c r="CZ122" s="257"/>
      <c r="DA122" s="257"/>
      <c r="DB122" s="202"/>
      <c r="DC122" s="202"/>
      <c r="DD122" s="202"/>
      <c r="DE122" s="202"/>
      <c r="DF122" s="202"/>
      <c r="DG122" s="202"/>
      <c r="DH122" s="202"/>
      <c r="DI122" s="202"/>
      <c r="DJ122" s="202"/>
      <c r="DK122" s="202"/>
      <c r="DL122" s="202"/>
      <c r="DM122" s="202"/>
      <c r="DN122" s="202"/>
      <c r="DO122" s="202"/>
      <c r="DP122" s="202"/>
      <c r="DQ122" s="202"/>
      <c r="DR122" s="202"/>
      <c r="DS122" s="202"/>
      <c r="DT122" s="196"/>
      <c r="DU122" s="196"/>
      <c r="DV122" s="196"/>
      <c r="DW122" s="196"/>
      <c r="DX122" s="196"/>
      <c r="DY122" s="196"/>
      <c r="DZ122" s="196"/>
      <c r="EA122" s="196"/>
      <c r="EB122" s="176">
        <f t="shared" si="8"/>
        <v>0</v>
      </c>
      <c r="EC122" s="176">
        <f t="shared" si="9"/>
        <v>0</v>
      </c>
      <c r="ED122" s="176">
        <f t="shared" si="10"/>
        <v>0</v>
      </c>
      <c r="EE122" s="176">
        <f t="shared" si="11"/>
        <v>0</v>
      </c>
      <c r="EG122" s="129">
        <f t="shared" si="12"/>
        <v>0</v>
      </c>
      <c r="EI122" s="176">
        <f t="shared" si="13"/>
        <v>0</v>
      </c>
      <c r="EK122" s="176">
        <f t="shared" si="14"/>
        <v>0</v>
      </c>
      <c r="EL122" s="176"/>
      <c r="EM122" s="177"/>
      <c r="EN122" s="178"/>
      <c r="EO122" s="177"/>
      <c r="EP122" s="177"/>
      <c r="EQ122" s="176">
        <f t="shared" si="15"/>
        <v>0</v>
      </c>
      <c r="ER122" s="179">
        <v>23300</v>
      </c>
      <c r="ES122" s="177">
        <v>7.5</v>
      </c>
    </row>
    <row r="123" spans="1:149" x14ac:dyDescent="0.3">
      <c r="A123" s="197">
        <v>118</v>
      </c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247"/>
      <c r="AQ123" s="247"/>
      <c r="AR123" s="247"/>
      <c r="AS123" s="247"/>
      <c r="AT123" s="247"/>
      <c r="AU123" s="247"/>
      <c r="AV123" s="247"/>
      <c r="AW123" s="247"/>
      <c r="AX123" s="247"/>
      <c r="AY123" s="247"/>
      <c r="AZ123" s="247"/>
      <c r="BA123" s="247"/>
      <c r="BB123" s="247"/>
      <c r="BC123" s="247"/>
      <c r="BD123" s="206"/>
      <c r="BE123" s="206"/>
      <c r="BF123" s="206"/>
      <c r="BG123" s="206"/>
      <c r="BH123" s="206"/>
      <c r="BI123" s="206"/>
      <c r="BJ123" s="206"/>
      <c r="BK123" s="206"/>
      <c r="BL123" s="206"/>
      <c r="BM123" s="206"/>
      <c r="BN123" s="206"/>
      <c r="BO123" s="206"/>
      <c r="BP123" s="206"/>
      <c r="BQ123" s="206"/>
      <c r="BR123" s="252"/>
      <c r="BS123" s="252"/>
      <c r="BT123" s="252"/>
      <c r="BU123" s="252"/>
      <c r="BV123" s="252"/>
      <c r="BW123" s="252"/>
      <c r="BX123" s="252"/>
      <c r="BY123" s="252"/>
      <c r="BZ123" s="252"/>
      <c r="CA123" s="252"/>
      <c r="CB123" s="252"/>
      <c r="CC123" s="252"/>
      <c r="CD123" s="252"/>
      <c r="CE123" s="252"/>
      <c r="CF123" s="252"/>
      <c r="CG123" s="252"/>
      <c r="CH123" s="252"/>
      <c r="CI123" s="252"/>
      <c r="CJ123" s="257"/>
      <c r="CK123" s="257"/>
      <c r="CL123" s="257"/>
      <c r="CM123" s="257"/>
      <c r="CN123" s="257"/>
      <c r="CO123" s="257"/>
      <c r="CP123" s="257"/>
      <c r="CQ123" s="257"/>
      <c r="CR123" s="257"/>
      <c r="CS123" s="257"/>
      <c r="CT123" s="257"/>
      <c r="CU123" s="257"/>
      <c r="CV123" s="257"/>
      <c r="CW123" s="257"/>
      <c r="CX123" s="257"/>
      <c r="CY123" s="257"/>
      <c r="CZ123" s="257"/>
      <c r="DA123" s="257"/>
      <c r="DB123" s="202"/>
      <c r="DC123" s="202"/>
      <c r="DD123" s="202"/>
      <c r="DE123" s="202"/>
      <c r="DF123" s="202"/>
      <c r="DG123" s="202"/>
      <c r="DH123" s="202"/>
      <c r="DI123" s="202"/>
      <c r="DJ123" s="202"/>
      <c r="DK123" s="202"/>
      <c r="DL123" s="202"/>
      <c r="DM123" s="202"/>
      <c r="DN123" s="202"/>
      <c r="DO123" s="202"/>
      <c r="DP123" s="202"/>
      <c r="DQ123" s="202"/>
      <c r="DR123" s="202"/>
      <c r="DS123" s="202"/>
      <c r="DT123" s="196"/>
      <c r="DU123" s="196"/>
      <c r="DV123" s="196"/>
      <c r="DW123" s="196"/>
      <c r="DX123" s="196"/>
      <c r="DY123" s="196"/>
      <c r="DZ123" s="196"/>
      <c r="EA123" s="196"/>
      <c r="EB123" s="176">
        <f t="shared" si="8"/>
        <v>0</v>
      </c>
      <c r="EC123" s="176">
        <f t="shared" si="9"/>
        <v>0</v>
      </c>
      <c r="ED123" s="176">
        <f t="shared" si="10"/>
        <v>0</v>
      </c>
      <c r="EE123" s="176">
        <f t="shared" si="11"/>
        <v>0</v>
      </c>
      <c r="EG123" s="129">
        <f t="shared" si="12"/>
        <v>0</v>
      </c>
      <c r="EI123" s="176">
        <f t="shared" si="13"/>
        <v>0</v>
      </c>
      <c r="EK123" s="176">
        <f t="shared" si="14"/>
        <v>0</v>
      </c>
      <c r="EL123" s="176"/>
      <c r="EM123" s="177"/>
      <c r="EN123" s="178"/>
      <c r="EO123" s="177"/>
      <c r="EP123" s="177"/>
      <c r="EQ123" s="176">
        <f t="shared" si="15"/>
        <v>0</v>
      </c>
      <c r="ER123" s="179">
        <v>23300</v>
      </c>
      <c r="ES123" s="177">
        <v>7.5</v>
      </c>
    </row>
    <row r="124" spans="1:149" x14ac:dyDescent="0.3">
      <c r="A124" s="197">
        <v>119</v>
      </c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247"/>
      <c r="AQ124" s="247"/>
      <c r="AR124" s="247"/>
      <c r="AS124" s="247"/>
      <c r="AT124" s="247"/>
      <c r="AU124" s="247"/>
      <c r="AV124" s="247"/>
      <c r="AW124" s="247"/>
      <c r="AX124" s="247"/>
      <c r="AY124" s="247"/>
      <c r="AZ124" s="247"/>
      <c r="BA124" s="247"/>
      <c r="BB124" s="247"/>
      <c r="BC124" s="247"/>
      <c r="BD124" s="206"/>
      <c r="BE124" s="206"/>
      <c r="BF124" s="206"/>
      <c r="BG124" s="206"/>
      <c r="BH124" s="206"/>
      <c r="BI124" s="206"/>
      <c r="BJ124" s="206"/>
      <c r="BK124" s="206"/>
      <c r="BL124" s="206"/>
      <c r="BM124" s="206"/>
      <c r="BN124" s="206"/>
      <c r="BO124" s="206"/>
      <c r="BP124" s="206"/>
      <c r="BQ124" s="206"/>
      <c r="BR124" s="252"/>
      <c r="BS124" s="252"/>
      <c r="BT124" s="252"/>
      <c r="BU124" s="252"/>
      <c r="BV124" s="252"/>
      <c r="BW124" s="252"/>
      <c r="BX124" s="252"/>
      <c r="BY124" s="252"/>
      <c r="BZ124" s="252"/>
      <c r="CA124" s="252"/>
      <c r="CB124" s="252"/>
      <c r="CC124" s="252"/>
      <c r="CD124" s="252"/>
      <c r="CE124" s="252"/>
      <c r="CF124" s="252"/>
      <c r="CG124" s="252"/>
      <c r="CH124" s="252"/>
      <c r="CI124" s="252"/>
      <c r="CJ124" s="257"/>
      <c r="CK124" s="257"/>
      <c r="CL124" s="257"/>
      <c r="CM124" s="257"/>
      <c r="CN124" s="257"/>
      <c r="CO124" s="257"/>
      <c r="CP124" s="257"/>
      <c r="CQ124" s="257"/>
      <c r="CR124" s="257"/>
      <c r="CS124" s="257"/>
      <c r="CT124" s="257"/>
      <c r="CU124" s="257"/>
      <c r="CV124" s="257"/>
      <c r="CW124" s="257"/>
      <c r="CX124" s="257"/>
      <c r="CY124" s="257"/>
      <c r="CZ124" s="257"/>
      <c r="DA124" s="257"/>
      <c r="DB124" s="202"/>
      <c r="DC124" s="202"/>
      <c r="DD124" s="202"/>
      <c r="DE124" s="202"/>
      <c r="DF124" s="202"/>
      <c r="DG124" s="202"/>
      <c r="DH124" s="202"/>
      <c r="DI124" s="202"/>
      <c r="DJ124" s="202"/>
      <c r="DK124" s="202"/>
      <c r="DL124" s="202"/>
      <c r="DM124" s="202"/>
      <c r="DN124" s="202"/>
      <c r="DO124" s="202"/>
      <c r="DP124" s="202"/>
      <c r="DQ124" s="202"/>
      <c r="DR124" s="202"/>
      <c r="DS124" s="202"/>
      <c r="DT124" s="196"/>
      <c r="DU124" s="196"/>
      <c r="DV124" s="196"/>
      <c r="DW124" s="196"/>
      <c r="DX124" s="196"/>
      <c r="DY124" s="196"/>
      <c r="DZ124" s="196"/>
      <c r="EA124" s="196"/>
      <c r="EB124" s="176">
        <f t="shared" si="8"/>
        <v>0</v>
      </c>
      <c r="EC124" s="176">
        <f t="shared" si="9"/>
        <v>0</v>
      </c>
      <c r="ED124" s="176">
        <f t="shared" si="10"/>
        <v>0</v>
      </c>
      <c r="EE124" s="176">
        <f t="shared" si="11"/>
        <v>0</v>
      </c>
      <c r="EG124" s="129">
        <f t="shared" si="12"/>
        <v>0</v>
      </c>
      <c r="EI124" s="176">
        <f t="shared" si="13"/>
        <v>0</v>
      </c>
      <c r="EK124" s="176">
        <f t="shared" si="14"/>
        <v>0</v>
      </c>
      <c r="EL124" s="176"/>
      <c r="EM124" s="177"/>
      <c r="EN124" s="178"/>
      <c r="EO124" s="177"/>
      <c r="EP124" s="177"/>
      <c r="EQ124" s="176">
        <f t="shared" si="15"/>
        <v>0</v>
      </c>
      <c r="ER124" s="179">
        <v>23300</v>
      </c>
      <c r="ES124" s="177">
        <v>7.5</v>
      </c>
    </row>
    <row r="125" spans="1:149" x14ac:dyDescent="0.3">
      <c r="A125" s="197">
        <v>120</v>
      </c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247"/>
      <c r="AQ125" s="247"/>
      <c r="AR125" s="247"/>
      <c r="AS125" s="247"/>
      <c r="AT125" s="247"/>
      <c r="AU125" s="247"/>
      <c r="AV125" s="247"/>
      <c r="AW125" s="247"/>
      <c r="AX125" s="247"/>
      <c r="AY125" s="247"/>
      <c r="AZ125" s="247"/>
      <c r="BA125" s="247"/>
      <c r="BB125" s="247"/>
      <c r="BC125" s="247"/>
      <c r="BD125" s="206"/>
      <c r="BE125" s="206"/>
      <c r="BF125" s="206"/>
      <c r="BG125" s="206"/>
      <c r="BH125" s="206"/>
      <c r="BI125" s="206"/>
      <c r="BJ125" s="206"/>
      <c r="BK125" s="206"/>
      <c r="BL125" s="206"/>
      <c r="BM125" s="206"/>
      <c r="BN125" s="206"/>
      <c r="BO125" s="206"/>
      <c r="BP125" s="206"/>
      <c r="BQ125" s="206"/>
      <c r="BR125" s="252"/>
      <c r="BS125" s="252"/>
      <c r="BT125" s="252"/>
      <c r="BU125" s="252"/>
      <c r="BV125" s="252"/>
      <c r="BW125" s="252"/>
      <c r="BX125" s="252"/>
      <c r="BY125" s="252"/>
      <c r="BZ125" s="252"/>
      <c r="CA125" s="252"/>
      <c r="CB125" s="252"/>
      <c r="CC125" s="252"/>
      <c r="CD125" s="252"/>
      <c r="CE125" s="252"/>
      <c r="CF125" s="252"/>
      <c r="CG125" s="252"/>
      <c r="CH125" s="252"/>
      <c r="CI125" s="252"/>
      <c r="CJ125" s="257"/>
      <c r="CK125" s="257"/>
      <c r="CL125" s="257"/>
      <c r="CM125" s="257"/>
      <c r="CN125" s="257"/>
      <c r="CO125" s="257"/>
      <c r="CP125" s="257"/>
      <c r="CQ125" s="257"/>
      <c r="CR125" s="257"/>
      <c r="CS125" s="257"/>
      <c r="CT125" s="257"/>
      <c r="CU125" s="257"/>
      <c r="CV125" s="257"/>
      <c r="CW125" s="257"/>
      <c r="CX125" s="257"/>
      <c r="CY125" s="257"/>
      <c r="CZ125" s="257"/>
      <c r="DA125" s="257"/>
      <c r="DB125" s="202"/>
      <c r="DC125" s="202"/>
      <c r="DD125" s="202"/>
      <c r="DE125" s="202"/>
      <c r="DF125" s="202"/>
      <c r="DG125" s="202"/>
      <c r="DH125" s="202"/>
      <c r="DI125" s="202"/>
      <c r="DJ125" s="202"/>
      <c r="DK125" s="202"/>
      <c r="DL125" s="202"/>
      <c r="DM125" s="202"/>
      <c r="DN125" s="202"/>
      <c r="DO125" s="202"/>
      <c r="DP125" s="202"/>
      <c r="DQ125" s="202"/>
      <c r="DR125" s="202"/>
      <c r="DS125" s="202"/>
      <c r="DT125" s="196"/>
      <c r="DU125" s="196"/>
      <c r="DV125" s="196"/>
      <c r="DW125" s="196"/>
      <c r="DX125" s="196"/>
      <c r="DY125" s="196"/>
      <c r="DZ125" s="196"/>
      <c r="EA125" s="196"/>
      <c r="EB125" s="176">
        <f t="shared" si="8"/>
        <v>0</v>
      </c>
      <c r="EC125" s="176">
        <f t="shared" si="9"/>
        <v>0</v>
      </c>
      <c r="ED125" s="176">
        <f t="shared" si="10"/>
        <v>0</v>
      </c>
      <c r="EE125" s="176">
        <f t="shared" si="11"/>
        <v>0</v>
      </c>
      <c r="EG125" s="129">
        <f t="shared" si="12"/>
        <v>0</v>
      </c>
      <c r="EI125" s="176">
        <f t="shared" si="13"/>
        <v>0</v>
      </c>
      <c r="EK125" s="176">
        <f t="shared" si="14"/>
        <v>0</v>
      </c>
      <c r="EL125" s="176"/>
      <c r="EM125" s="177"/>
      <c r="EN125" s="178"/>
      <c r="EO125" s="177"/>
      <c r="EP125" s="177"/>
      <c r="EQ125" s="176">
        <f t="shared" si="15"/>
        <v>0</v>
      </c>
      <c r="ER125" s="179">
        <v>23300</v>
      </c>
      <c r="ES125" s="177">
        <v>7.5</v>
      </c>
    </row>
    <row r="126" spans="1:149" x14ac:dyDescent="0.3">
      <c r="A126" s="197">
        <v>121</v>
      </c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247"/>
      <c r="AQ126" s="247"/>
      <c r="AR126" s="247"/>
      <c r="AS126" s="247"/>
      <c r="AT126" s="247"/>
      <c r="AU126" s="247"/>
      <c r="AV126" s="247"/>
      <c r="AW126" s="247"/>
      <c r="AX126" s="247"/>
      <c r="AY126" s="247"/>
      <c r="AZ126" s="247"/>
      <c r="BA126" s="247"/>
      <c r="BB126" s="247"/>
      <c r="BC126" s="247"/>
      <c r="BD126" s="206"/>
      <c r="BE126" s="206"/>
      <c r="BF126" s="206"/>
      <c r="BG126" s="206"/>
      <c r="BH126" s="206"/>
      <c r="BI126" s="206"/>
      <c r="BJ126" s="206"/>
      <c r="BK126" s="206"/>
      <c r="BL126" s="206"/>
      <c r="BM126" s="206"/>
      <c r="BN126" s="206"/>
      <c r="BO126" s="206"/>
      <c r="BP126" s="206"/>
      <c r="BQ126" s="206"/>
      <c r="BR126" s="252"/>
      <c r="BS126" s="252"/>
      <c r="BT126" s="252"/>
      <c r="BU126" s="252"/>
      <c r="BV126" s="252"/>
      <c r="BW126" s="252"/>
      <c r="BX126" s="252"/>
      <c r="BY126" s="252"/>
      <c r="BZ126" s="252"/>
      <c r="CA126" s="252"/>
      <c r="CB126" s="252"/>
      <c r="CC126" s="252"/>
      <c r="CD126" s="252"/>
      <c r="CE126" s="252"/>
      <c r="CF126" s="252"/>
      <c r="CG126" s="252"/>
      <c r="CH126" s="252"/>
      <c r="CI126" s="252"/>
      <c r="CJ126" s="257"/>
      <c r="CK126" s="257"/>
      <c r="CL126" s="257"/>
      <c r="CM126" s="257"/>
      <c r="CN126" s="257"/>
      <c r="CO126" s="257"/>
      <c r="CP126" s="257"/>
      <c r="CQ126" s="257"/>
      <c r="CR126" s="257"/>
      <c r="CS126" s="257"/>
      <c r="CT126" s="257"/>
      <c r="CU126" s="257"/>
      <c r="CV126" s="257"/>
      <c r="CW126" s="257"/>
      <c r="CX126" s="257"/>
      <c r="CY126" s="257"/>
      <c r="CZ126" s="257"/>
      <c r="DA126" s="257"/>
      <c r="DB126" s="202"/>
      <c r="DC126" s="202"/>
      <c r="DD126" s="202"/>
      <c r="DE126" s="202"/>
      <c r="DF126" s="202"/>
      <c r="DG126" s="202"/>
      <c r="DH126" s="202"/>
      <c r="DI126" s="202"/>
      <c r="DJ126" s="202"/>
      <c r="DK126" s="202"/>
      <c r="DL126" s="202"/>
      <c r="DM126" s="202"/>
      <c r="DN126" s="202"/>
      <c r="DO126" s="202"/>
      <c r="DP126" s="202"/>
      <c r="DQ126" s="202"/>
      <c r="DR126" s="202"/>
      <c r="DS126" s="202"/>
      <c r="DT126" s="196"/>
      <c r="DU126" s="196"/>
      <c r="DV126" s="196"/>
      <c r="DW126" s="196"/>
      <c r="DX126" s="196"/>
      <c r="DY126" s="196"/>
      <c r="DZ126" s="196"/>
      <c r="EA126" s="196"/>
      <c r="EB126" s="176">
        <f t="shared" si="8"/>
        <v>0</v>
      </c>
      <c r="EC126" s="176">
        <f t="shared" si="9"/>
        <v>0</v>
      </c>
      <c r="ED126" s="176">
        <f t="shared" si="10"/>
        <v>0</v>
      </c>
      <c r="EE126" s="176">
        <f t="shared" si="11"/>
        <v>0</v>
      </c>
      <c r="EG126" s="129">
        <f t="shared" si="12"/>
        <v>0</v>
      </c>
      <c r="EI126" s="176">
        <f t="shared" si="13"/>
        <v>0</v>
      </c>
      <c r="EK126" s="176">
        <f t="shared" si="14"/>
        <v>0</v>
      </c>
      <c r="EL126" s="176"/>
      <c r="EM126" s="177"/>
      <c r="EN126" s="178"/>
      <c r="EO126" s="177"/>
      <c r="EP126" s="177"/>
      <c r="EQ126" s="176">
        <f t="shared" si="15"/>
        <v>0</v>
      </c>
      <c r="ER126" s="179">
        <v>23300</v>
      </c>
      <c r="ES126" s="177">
        <v>7.5</v>
      </c>
    </row>
    <row r="127" spans="1:149" x14ac:dyDescent="0.3">
      <c r="A127" s="197">
        <v>122</v>
      </c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247"/>
      <c r="AQ127" s="247"/>
      <c r="AR127" s="247"/>
      <c r="AS127" s="247"/>
      <c r="AT127" s="247"/>
      <c r="AU127" s="247"/>
      <c r="AV127" s="247"/>
      <c r="AW127" s="247"/>
      <c r="AX127" s="247"/>
      <c r="AY127" s="247"/>
      <c r="AZ127" s="247"/>
      <c r="BA127" s="247"/>
      <c r="BB127" s="247"/>
      <c r="BC127" s="247"/>
      <c r="BD127" s="206"/>
      <c r="BE127" s="206"/>
      <c r="BF127" s="206"/>
      <c r="BG127" s="206"/>
      <c r="BH127" s="206"/>
      <c r="BI127" s="206"/>
      <c r="BJ127" s="206"/>
      <c r="BK127" s="206"/>
      <c r="BL127" s="206"/>
      <c r="BM127" s="206"/>
      <c r="BN127" s="206"/>
      <c r="BO127" s="206"/>
      <c r="BP127" s="206"/>
      <c r="BQ127" s="206"/>
      <c r="BR127" s="252"/>
      <c r="BS127" s="252"/>
      <c r="BT127" s="252"/>
      <c r="BU127" s="252"/>
      <c r="BV127" s="252"/>
      <c r="BW127" s="252"/>
      <c r="BX127" s="252"/>
      <c r="BY127" s="252"/>
      <c r="BZ127" s="252"/>
      <c r="CA127" s="252"/>
      <c r="CB127" s="252"/>
      <c r="CC127" s="252"/>
      <c r="CD127" s="252"/>
      <c r="CE127" s="252"/>
      <c r="CF127" s="252"/>
      <c r="CG127" s="252"/>
      <c r="CH127" s="252"/>
      <c r="CI127" s="252"/>
      <c r="CJ127" s="257"/>
      <c r="CK127" s="257"/>
      <c r="CL127" s="257"/>
      <c r="CM127" s="257"/>
      <c r="CN127" s="257"/>
      <c r="CO127" s="257"/>
      <c r="CP127" s="257"/>
      <c r="CQ127" s="257"/>
      <c r="CR127" s="257"/>
      <c r="CS127" s="257"/>
      <c r="CT127" s="257"/>
      <c r="CU127" s="257"/>
      <c r="CV127" s="257"/>
      <c r="CW127" s="257"/>
      <c r="CX127" s="257"/>
      <c r="CY127" s="257"/>
      <c r="CZ127" s="257"/>
      <c r="DA127" s="257"/>
      <c r="DB127" s="202"/>
      <c r="DC127" s="202"/>
      <c r="DD127" s="202"/>
      <c r="DE127" s="202"/>
      <c r="DF127" s="202"/>
      <c r="DG127" s="202"/>
      <c r="DH127" s="202"/>
      <c r="DI127" s="202"/>
      <c r="DJ127" s="202"/>
      <c r="DK127" s="202"/>
      <c r="DL127" s="202"/>
      <c r="DM127" s="202"/>
      <c r="DN127" s="202"/>
      <c r="DO127" s="202"/>
      <c r="DP127" s="202"/>
      <c r="DQ127" s="202"/>
      <c r="DR127" s="202"/>
      <c r="DS127" s="202"/>
      <c r="DT127" s="196"/>
      <c r="DU127" s="196"/>
      <c r="DV127" s="196"/>
      <c r="DW127" s="196"/>
      <c r="DX127" s="196"/>
      <c r="DY127" s="196"/>
      <c r="DZ127" s="196"/>
      <c r="EA127" s="196"/>
      <c r="EB127" s="176">
        <f t="shared" si="8"/>
        <v>0</v>
      </c>
      <c r="EC127" s="176">
        <f t="shared" si="9"/>
        <v>0</v>
      </c>
      <c r="ED127" s="176">
        <f t="shared" si="10"/>
        <v>0</v>
      </c>
      <c r="EE127" s="176">
        <f t="shared" si="11"/>
        <v>0</v>
      </c>
      <c r="EG127" s="129">
        <f t="shared" si="12"/>
        <v>0</v>
      </c>
      <c r="EI127" s="176">
        <f t="shared" si="13"/>
        <v>0</v>
      </c>
      <c r="EK127" s="176">
        <f t="shared" si="14"/>
        <v>0</v>
      </c>
      <c r="EL127" s="176"/>
      <c r="EM127" s="177"/>
      <c r="EN127" s="178"/>
      <c r="EO127" s="177"/>
      <c r="EP127" s="177"/>
      <c r="EQ127" s="176">
        <f t="shared" si="15"/>
        <v>0</v>
      </c>
      <c r="ER127" s="179">
        <v>23300</v>
      </c>
      <c r="ES127" s="177">
        <v>7.5</v>
      </c>
    </row>
    <row r="128" spans="1:149" x14ac:dyDescent="0.3">
      <c r="A128" s="197">
        <v>123</v>
      </c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247"/>
      <c r="AQ128" s="247"/>
      <c r="AR128" s="247"/>
      <c r="AS128" s="247"/>
      <c r="AT128" s="247"/>
      <c r="AU128" s="247"/>
      <c r="AV128" s="247"/>
      <c r="AW128" s="247"/>
      <c r="AX128" s="247"/>
      <c r="AY128" s="247"/>
      <c r="AZ128" s="247"/>
      <c r="BA128" s="247"/>
      <c r="BB128" s="247"/>
      <c r="BC128" s="247"/>
      <c r="BD128" s="206"/>
      <c r="BE128" s="206"/>
      <c r="BF128" s="206"/>
      <c r="BG128" s="206"/>
      <c r="BH128" s="206"/>
      <c r="BI128" s="206"/>
      <c r="BJ128" s="206"/>
      <c r="BK128" s="206"/>
      <c r="BL128" s="206"/>
      <c r="BM128" s="206"/>
      <c r="BN128" s="206"/>
      <c r="BO128" s="206"/>
      <c r="BP128" s="206"/>
      <c r="BQ128" s="206"/>
      <c r="BR128" s="252"/>
      <c r="BS128" s="252"/>
      <c r="BT128" s="252"/>
      <c r="BU128" s="252"/>
      <c r="BV128" s="252"/>
      <c r="BW128" s="252"/>
      <c r="BX128" s="252"/>
      <c r="BY128" s="252"/>
      <c r="BZ128" s="252"/>
      <c r="CA128" s="252"/>
      <c r="CB128" s="252"/>
      <c r="CC128" s="252"/>
      <c r="CD128" s="252"/>
      <c r="CE128" s="252"/>
      <c r="CF128" s="252"/>
      <c r="CG128" s="252"/>
      <c r="CH128" s="252"/>
      <c r="CI128" s="252"/>
      <c r="CJ128" s="257"/>
      <c r="CK128" s="257"/>
      <c r="CL128" s="257"/>
      <c r="CM128" s="257"/>
      <c r="CN128" s="257"/>
      <c r="CO128" s="257"/>
      <c r="CP128" s="257"/>
      <c r="CQ128" s="257"/>
      <c r="CR128" s="257"/>
      <c r="CS128" s="257"/>
      <c r="CT128" s="257"/>
      <c r="CU128" s="257"/>
      <c r="CV128" s="257"/>
      <c r="CW128" s="257"/>
      <c r="CX128" s="257"/>
      <c r="CY128" s="257"/>
      <c r="CZ128" s="257"/>
      <c r="DA128" s="257"/>
      <c r="DB128" s="202"/>
      <c r="DC128" s="202"/>
      <c r="DD128" s="202"/>
      <c r="DE128" s="202"/>
      <c r="DF128" s="202"/>
      <c r="DG128" s="202"/>
      <c r="DH128" s="202"/>
      <c r="DI128" s="202"/>
      <c r="DJ128" s="202"/>
      <c r="DK128" s="202"/>
      <c r="DL128" s="202"/>
      <c r="DM128" s="202"/>
      <c r="DN128" s="202"/>
      <c r="DO128" s="202"/>
      <c r="DP128" s="202"/>
      <c r="DQ128" s="202"/>
      <c r="DR128" s="202"/>
      <c r="DS128" s="202"/>
      <c r="DT128" s="196"/>
      <c r="DU128" s="196"/>
      <c r="DV128" s="196"/>
      <c r="DW128" s="196"/>
      <c r="DX128" s="196"/>
      <c r="DY128" s="196"/>
      <c r="DZ128" s="196"/>
      <c r="EA128" s="196"/>
      <c r="EB128" s="176">
        <f t="shared" si="8"/>
        <v>0</v>
      </c>
      <c r="EC128" s="176">
        <f t="shared" si="9"/>
        <v>0</v>
      </c>
      <c r="ED128" s="176">
        <f t="shared" si="10"/>
        <v>0</v>
      </c>
      <c r="EE128" s="176">
        <f t="shared" si="11"/>
        <v>0</v>
      </c>
      <c r="EG128" s="129">
        <f t="shared" si="12"/>
        <v>0</v>
      </c>
      <c r="EI128" s="176">
        <f t="shared" si="13"/>
        <v>0</v>
      </c>
      <c r="EK128" s="176">
        <f t="shared" si="14"/>
        <v>0</v>
      </c>
      <c r="EL128" s="176"/>
      <c r="EM128" s="177"/>
      <c r="EN128" s="178"/>
      <c r="EO128" s="177"/>
      <c r="EP128" s="177"/>
      <c r="EQ128" s="176">
        <f t="shared" si="15"/>
        <v>0</v>
      </c>
      <c r="ER128" s="179">
        <v>23300</v>
      </c>
      <c r="ES128" s="177">
        <v>7.5</v>
      </c>
    </row>
    <row r="129" spans="1:149" x14ac:dyDescent="0.3">
      <c r="A129" s="197">
        <v>124</v>
      </c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247"/>
      <c r="AQ129" s="247"/>
      <c r="AR129" s="247"/>
      <c r="AS129" s="247"/>
      <c r="AT129" s="247"/>
      <c r="AU129" s="247"/>
      <c r="AV129" s="247"/>
      <c r="AW129" s="247"/>
      <c r="AX129" s="247"/>
      <c r="AY129" s="247"/>
      <c r="AZ129" s="247"/>
      <c r="BA129" s="247"/>
      <c r="BB129" s="247"/>
      <c r="BC129" s="247"/>
      <c r="BD129" s="206"/>
      <c r="BE129" s="206"/>
      <c r="BF129" s="206"/>
      <c r="BG129" s="206"/>
      <c r="BH129" s="206"/>
      <c r="BI129" s="206"/>
      <c r="BJ129" s="206"/>
      <c r="BK129" s="206"/>
      <c r="BL129" s="206"/>
      <c r="BM129" s="206"/>
      <c r="BN129" s="206"/>
      <c r="BO129" s="206"/>
      <c r="BP129" s="206"/>
      <c r="BQ129" s="206"/>
      <c r="BR129" s="252"/>
      <c r="BS129" s="252"/>
      <c r="BT129" s="252"/>
      <c r="BU129" s="252"/>
      <c r="BV129" s="252"/>
      <c r="BW129" s="252"/>
      <c r="BX129" s="252"/>
      <c r="BY129" s="252"/>
      <c r="BZ129" s="252"/>
      <c r="CA129" s="252"/>
      <c r="CB129" s="252"/>
      <c r="CC129" s="252"/>
      <c r="CD129" s="252"/>
      <c r="CE129" s="252"/>
      <c r="CF129" s="252"/>
      <c r="CG129" s="252"/>
      <c r="CH129" s="252"/>
      <c r="CI129" s="252"/>
      <c r="CJ129" s="257"/>
      <c r="CK129" s="257"/>
      <c r="CL129" s="257"/>
      <c r="CM129" s="257"/>
      <c r="CN129" s="257"/>
      <c r="CO129" s="257"/>
      <c r="CP129" s="257"/>
      <c r="CQ129" s="257"/>
      <c r="CR129" s="257"/>
      <c r="CS129" s="257"/>
      <c r="CT129" s="257"/>
      <c r="CU129" s="257"/>
      <c r="CV129" s="257"/>
      <c r="CW129" s="257"/>
      <c r="CX129" s="257"/>
      <c r="CY129" s="257"/>
      <c r="CZ129" s="257"/>
      <c r="DA129" s="257"/>
      <c r="DB129" s="202"/>
      <c r="DC129" s="202"/>
      <c r="DD129" s="202"/>
      <c r="DE129" s="202"/>
      <c r="DF129" s="202"/>
      <c r="DG129" s="202"/>
      <c r="DH129" s="202"/>
      <c r="DI129" s="202"/>
      <c r="DJ129" s="202"/>
      <c r="DK129" s="202"/>
      <c r="DL129" s="202"/>
      <c r="DM129" s="202"/>
      <c r="DN129" s="202"/>
      <c r="DO129" s="202"/>
      <c r="DP129" s="202"/>
      <c r="DQ129" s="202"/>
      <c r="DR129" s="202"/>
      <c r="DS129" s="202"/>
      <c r="DT129" s="196"/>
      <c r="DU129" s="196"/>
      <c r="DV129" s="196"/>
      <c r="DW129" s="196"/>
      <c r="DX129" s="196"/>
      <c r="DY129" s="196"/>
      <c r="DZ129" s="196"/>
      <c r="EA129" s="196"/>
      <c r="EB129" s="176">
        <f t="shared" si="8"/>
        <v>0</v>
      </c>
      <c r="EC129" s="176">
        <f t="shared" si="9"/>
        <v>0</v>
      </c>
      <c r="ED129" s="176">
        <f t="shared" si="10"/>
        <v>0</v>
      </c>
      <c r="EE129" s="176">
        <f t="shared" si="11"/>
        <v>0</v>
      </c>
      <c r="EG129" s="129">
        <f t="shared" si="12"/>
        <v>0</v>
      </c>
      <c r="EI129" s="176">
        <f t="shared" si="13"/>
        <v>0</v>
      </c>
      <c r="EK129" s="176">
        <f t="shared" si="14"/>
        <v>0</v>
      </c>
      <c r="EL129" s="176"/>
      <c r="EM129" s="177"/>
      <c r="EN129" s="178"/>
      <c r="EO129" s="177"/>
      <c r="EP129" s="177"/>
      <c r="EQ129" s="176">
        <f t="shared" si="15"/>
        <v>0</v>
      </c>
      <c r="ER129" s="179">
        <v>23300</v>
      </c>
      <c r="ES129" s="177">
        <v>7.5</v>
      </c>
    </row>
    <row r="130" spans="1:149" x14ac:dyDescent="0.3">
      <c r="A130" s="197">
        <v>125</v>
      </c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247"/>
      <c r="AQ130" s="247"/>
      <c r="AR130" s="247"/>
      <c r="AS130" s="247"/>
      <c r="AT130" s="247"/>
      <c r="AU130" s="247"/>
      <c r="AV130" s="247"/>
      <c r="AW130" s="247"/>
      <c r="AX130" s="247"/>
      <c r="AY130" s="247"/>
      <c r="AZ130" s="247"/>
      <c r="BA130" s="247"/>
      <c r="BB130" s="247"/>
      <c r="BC130" s="247"/>
      <c r="BD130" s="206"/>
      <c r="BE130" s="206"/>
      <c r="BF130" s="206"/>
      <c r="BG130" s="206"/>
      <c r="BH130" s="206"/>
      <c r="BI130" s="206"/>
      <c r="BJ130" s="206"/>
      <c r="BK130" s="206"/>
      <c r="BL130" s="206"/>
      <c r="BM130" s="206"/>
      <c r="BN130" s="206"/>
      <c r="BO130" s="206"/>
      <c r="BP130" s="206"/>
      <c r="BQ130" s="206"/>
      <c r="BR130" s="252"/>
      <c r="BS130" s="252"/>
      <c r="BT130" s="252"/>
      <c r="BU130" s="252"/>
      <c r="BV130" s="252"/>
      <c r="BW130" s="252"/>
      <c r="BX130" s="252"/>
      <c r="BY130" s="252"/>
      <c r="BZ130" s="252"/>
      <c r="CA130" s="252"/>
      <c r="CB130" s="252"/>
      <c r="CC130" s="252"/>
      <c r="CD130" s="252"/>
      <c r="CE130" s="252"/>
      <c r="CF130" s="252"/>
      <c r="CG130" s="252"/>
      <c r="CH130" s="252"/>
      <c r="CI130" s="252"/>
      <c r="CJ130" s="257"/>
      <c r="CK130" s="257"/>
      <c r="CL130" s="257"/>
      <c r="CM130" s="257"/>
      <c r="CN130" s="257"/>
      <c r="CO130" s="257"/>
      <c r="CP130" s="257"/>
      <c r="CQ130" s="257"/>
      <c r="CR130" s="257"/>
      <c r="CS130" s="257"/>
      <c r="CT130" s="257"/>
      <c r="CU130" s="257"/>
      <c r="CV130" s="257"/>
      <c r="CW130" s="257"/>
      <c r="CX130" s="257"/>
      <c r="CY130" s="257"/>
      <c r="CZ130" s="257"/>
      <c r="DA130" s="257"/>
      <c r="DB130" s="202"/>
      <c r="DC130" s="202"/>
      <c r="DD130" s="202"/>
      <c r="DE130" s="202"/>
      <c r="DF130" s="202"/>
      <c r="DG130" s="202"/>
      <c r="DH130" s="202"/>
      <c r="DI130" s="202"/>
      <c r="DJ130" s="202"/>
      <c r="DK130" s="202"/>
      <c r="DL130" s="202"/>
      <c r="DM130" s="202"/>
      <c r="DN130" s="202"/>
      <c r="DO130" s="202"/>
      <c r="DP130" s="202"/>
      <c r="DQ130" s="202"/>
      <c r="DR130" s="202"/>
      <c r="DS130" s="202"/>
      <c r="DT130" s="196"/>
      <c r="DU130" s="196"/>
      <c r="DV130" s="196"/>
      <c r="DW130" s="196"/>
      <c r="DX130" s="196"/>
      <c r="DY130" s="196"/>
      <c r="DZ130" s="196"/>
      <c r="EA130" s="196"/>
      <c r="EB130" s="176">
        <f t="shared" si="8"/>
        <v>0</v>
      </c>
      <c r="EC130" s="176">
        <f t="shared" si="9"/>
        <v>0</v>
      </c>
      <c r="ED130" s="176">
        <f t="shared" si="10"/>
        <v>0</v>
      </c>
      <c r="EE130" s="176">
        <f t="shared" si="11"/>
        <v>0</v>
      </c>
      <c r="EG130" s="129">
        <f t="shared" si="12"/>
        <v>0</v>
      </c>
      <c r="EI130" s="176">
        <f t="shared" si="13"/>
        <v>0</v>
      </c>
      <c r="EK130" s="176">
        <f t="shared" si="14"/>
        <v>0</v>
      </c>
      <c r="EL130" s="176"/>
      <c r="EM130" s="177"/>
      <c r="EN130" s="178"/>
      <c r="EO130" s="177"/>
      <c r="EP130" s="177"/>
      <c r="EQ130" s="176">
        <f t="shared" si="15"/>
        <v>0</v>
      </c>
      <c r="ER130" s="179">
        <v>23300</v>
      </c>
      <c r="ES130" s="177">
        <v>7.5</v>
      </c>
    </row>
    <row r="131" spans="1:149" x14ac:dyDescent="0.3">
      <c r="A131" s="197">
        <v>126</v>
      </c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247"/>
      <c r="AQ131" s="247"/>
      <c r="AR131" s="247"/>
      <c r="AS131" s="247"/>
      <c r="AT131" s="247"/>
      <c r="AU131" s="247"/>
      <c r="AV131" s="247"/>
      <c r="AW131" s="247"/>
      <c r="AX131" s="247"/>
      <c r="AY131" s="247"/>
      <c r="AZ131" s="247"/>
      <c r="BA131" s="247"/>
      <c r="BB131" s="247"/>
      <c r="BC131" s="247"/>
      <c r="BD131" s="206"/>
      <c r="BE131" s="206"/>
      <c r="BF131" s="206"/>
      <c r="BG131" s="206"/>
      <c r="BH131" s="206"/>
      <c r="BI131" s="206"/>
      <c r="BJ131" s="206"/>
      <c r="BK131" s="206"/>
      <c r="BL131" s="206"/>
      <c r="BM131" s="206"/>
      <c r="BN131" s="206"/>
      <c r="BO131" s="206"/>
      <c r="BP131" s="206"/>
      <c r="BQ131" s="206"/>
      <c r="BR131" s="252"/>
      <c r="BS131" s="252"/>
      <c r="BT131" s="252"/>
      <c r="BU131" s="252"/>
      <c r="BV131" s="252"/>
      <c r="BW131" s="252"/>
      <c r="BX131" s="252"/>
      <c r="BY131" s="252"/>
      <c r="BZ131" s="252"/>
      <c r="CA131" s="252"/>
      <c r="CB131" s="252"/>
      <c r="CC131" s="252"/>
      <c r="CD131" s="252"/>
      <c r="CE131" s="252"/>
      <c r="CF131" s="252"/>
      <c r="CG131" s="252"/>
      <c r="CH131" s="252"/>
      <c r="CI131" s="252"/>
      <c r="CJ131" s="257"/>
      <c r="CK131" s="257"/>
      <c r="CL131" s="257"/>
      <c r="CM131" s="257"/>
      <c r="CN131" s="257"/>
      <c r="CO131" s="257"/>
      <c r="CP131" s="257"/>
      <c r="CQ131" s="257"/>
      <c r="CR131" s="257"/>
      <c r="CS131" s="257"/>
      <c r="CT131" s="257"/>
      <c r="CU131" s="257"/>
      <c r="CV131" s="257"/>
      <c r="CW131" s="257"/>
      <c r="CX131" s="257"/>
      <c r="CY131" s="257"/>
      <c r="CZ131" s="257"/>
      <c r="DA131" s="257"/>
      <c r="DB131" s="202"/>
      <c r="DC131" s="202"/>
      <c r="DD131" s="202"/>
      <c r="DE131" s="202"/>
      <c r="DF131" s="202"/>
      <c r="DG131" s="202"/>
      <c r="DH131" s="202"/>
      <c r="DI131" s="202"/>
      <c r="DJ131" s="202"/>
      <c r="DK131" s="202"/>
      <c r="DL131" s="202"/>
      <c r="DM131" s="202"/>
      <c r="DN131" s="202"/>
      <c r="DO131" s="202"/>
      <c r="DP131" s="202"/>
      <c r="DQ131" s="202"/>
      <c r="DR131" s="202"/>
      <c r="DS131" s="202"/>
      <c r="DT131" s="196"/>
      <c r="DU131" s="196"/>
      <c r="DV131" s="196"/>
      <c r="DW131" s="196"/>
      <c r="DX131" s="196"/>
      <c r="DY131" s="196"/>
      <c r="DZ131" s="196"/>
      <c r="EA131" s="196"/>
      <c r="EB131" s="176">
        <f t="shared" si="8"/>
        <v>0</v>
      </c>
      <c r="EC131" s="176">
        <f t="shared" si="9"/>
        <v>0</v>
      </c>
      <c r="ED131" s="176">
        <f t="shared" si="10"/>
        <v>0</v>
      </c>
      <c r="EE131" s="176">
        <f t="shared" si="11"/>
        <v>0</v>
      </c>
      <c r="EG131" s="129">
        <f t="shared" si="12"/>
        <v>0</v>
      </c>
      <c r="EI131" s="176">
        <f t="shared" si="13"/>
        <v>0</v>
      </c>
      <c r="EK131" s="176">
        <f t="shared" si="14"/>
        <v>0</v>
      </c>
      <c r="EL131" s="176"/>
      <c r="EM131" s="177"/>
      <c r="EN131" s="178"/>
      <c r="EO131" s="177"/>
      <c r="EP131" s="177"/>
      <c r="EQ131" s="176">
        <f t="shared" si="15"/>
        <v>0</v>
      </c>
      <c r="ER131" s="179">
        <v>23300</v>
      </c>
      <c r="ES131" s="177">
        <v>7.5</v>
      </c>
    </row>
    <row r="132" spans="1:149" x14ac:dyDescent="0.3">
      <c r="A132" s="197">
        <v>127</v>
      </c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247"/>
      <c r="AQ132" s="247"/>
      <c r="AR132" s="247"/>
      <c r="AS132" s="247"/>
      <c r="AT132" s="247"/>
      <c r="AU132" s="247"/>
      <c r="AV132" s="247"/>
      <c r="AW132" s="247"/>
      <c r="AX132" s="247"/>
      <c r="AY132" s="247"/>
      <c r="AZ132" s="247"/>
      <c r="BA132" s="247"/>
      <c r="BB132" s="247"/>
      <c r="BC132" s="247"/>
      <c r="BD132" s="206"/>
      <c r="BE132" s="206"/>
      <c r="BF132" s="206"/>
      <c r="BG132" s="206"/>
      <c r="BH132" s="206"/>
      <c r="BI132" s="206"/>
      <c r="BJ132" s="206"/>
      <c r="BK132" s="206"/>
      <c r="BL132" s="206"/>
      <c r="BM132" s="206"/>
      <c r="BN132" s="206"/>
      <c r="BO132" s="206"/>
      <c r="BP132" s="206"/>
      <c r="BQ132" s="206"/>
      <c r="BR132" s="252"/>
      <c r="BS132" s="252"/>
      <c r="BT132" s="252"/>
      <c r="BU132" s="252"/>
      <c r="BV132" s="252"/>
      <c r="BW132" s="252"/>
      <c r="BX132" s="252"/>
      <c r="BY132" s="252"/>
      <c r="BZ132" s="252"/>
      <c r="CA132" s="252"/>
      <c r="CB132" s="252"/>
      <c r="CC132" s="252"/>
      <c r="CD132" s="252"/>
      <c r="CE132" s="252"/>
      <c r="CF132" s="252"/>
      <c r="CG132" s="252"/>
      <c r="CH132" s="252"/>
      <c r="CI132" s="252"/>
      <c r="CJ132" s="257"/>
      <c r="CK132" s="257"/>
      <c r="CL132" s="257"/>
      <c r="CM132" s="257"/>
      <c r="CN132" s="257"/>
      <c r="CO132" s="257"/>
      <c r="CP132" s="257"/>
      <c r="CQ132" s="257"/>
      <c r="CR132" s="257"/>
      <c r="CS132" s="257"/>
      <c r="CT132" s="257"/>
      <c r="CU132" s="257"/>
      <c r="CV132" s="257"/>
      <c r="CW132" s="257"/>
      <c r="CX132" s="257"/>
      <c r="CY132" s="257"/>
      <c r="CZ132" s="257"/>
      <c r="DA132" s="257"/>
      <c r="DB132" s="202"/>
      <c r="DC132" s="202"/>
      <c r="DD132" s="202"/>
      <c r="DE132" s="202"/>
      <c r="DF132" s="202"/>
      <c r="DG132" s="202"/>
      <c r="DH132" s="202"/>
      <c r="DI132" s="202"/>
      <c r="DJ132" s="202"/>
      <c r="DK132" s="202"/>
      <c r="DL132" s="202"/>
      <c r="DM132" s="202"/>
      <c r="DN132" s="202"/>
      <c r="DO132" s="202"/>
      <c r="DP132" s="202"/>
      <c r="DQ132" s="202"/>
      <c r="DR132" s="202"/>
      <c r="DS132" s="202"/>
      <c r="DT132" s="196"/>
      <c r="DU132" s="196"/>
      <c r="DV132" s="196"/>
      <c r="DW132" s="196"/>
      <c r="DX132" s="196"/>
      <c r="DY132" s="196"/>
      <c r="DZ132" s="196"/>
      <c r="EA132" s="196"/>
      <c r="EB132" s="176">
        <f t="shared" si="8"/>
        <v>0</v>
      </c>
      <c r="EC132" s="176">
        <f t="shared" si="9"/>
        <v>0</v>
      </c>
      <c r="ED132" s="176">
        <f t="shared" si="10"/>
        <v>0</v>
      </c>
      <c r="EE132" s="176">
        <f t="shared" si="11"/>
        <v>0</v>
      </c>
      <c r="EG132" s="129">
        <f t="shared" si="12"/>
        <v>0</v>
      </c>
      <c r="EI132" s="176">
        <f t="shared" si="13"/>
        <v>0</v>
      </c>
      <c r="EK132" s="176">
        <f t="shared" si="14"/>
        <v>0</v>
      </c>
      <c r="EL132" s="176"/>
      <c r="EM132" s="177"/>
      <c r="EN132" s="178"/>
      <c r="EO132" s="177"/>
      <c r="EP132" s="177"/>
      <c r="EQ132" s="176">
        <f t="shared" si="15"/>
        <v>0</v>
      </c>
      <c r="ER132" s="179">
        <v>23300</v>
      </c>
      <c r="ES132" s="177">
        <v>7.5</v>
      </c>
    </row>
    <row r="133" spans="1:149" x14ac:dyDescent="0.3">
      <c r="A133" s="197">
        <v>128</v>
      </c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247"/>
      <c r="AQ133" s="247"/>
      <c r="AR133" s="247"/>
      <c r="AS133" s="247"/>
      <c r="AT133" s="247"/>
      <c r="AU133" s="247"/>
      <c r="AV133" s="247"/>
      <c r="AW133" s="247"/>
      <c r="AX133" s="247"/>
      <c r="AY133" s="247"/>
      <c r="AZ133" s="247"/>
      <c r="BA133" s="247"/>
      <c r="BB133" s="247"/>
      <c r="BC133" s="247"/>
      <c r="BD133" s="206"/>
      <c r="BE133" s="206"/>
      <c r="BF133" s="206"/>
      <c r="BG133" s="206"/>
      <c r="BH133" s="206"/>
      <c r="BI133" s="206"/>
      <c r="BJ133" s="206"/>
      <c r="BK133" s="206"/>
      <c r="BL133" s="206"/>
      <c r="BM133" s="206"/>
      <c r="BN133" s="206"/>
      <c r="BO133" s="206"/>
      <c r="BP133" s="206"/>
      <c r="BQ133" s="206"/>
      <c r="BR133" s="252"/>
      <c r="BS133" s="252"/>
      <c r="BT133" s="252"/>
      <c r="BU133" s="252"/>
      <c r="BV133" s="252"/>
      <c r="BW133" s="252"/>
      <c r="BX133" s="252"/>
      <c r="BY133" s="252"/>
      <c r="BZ133" s="252"/>
      <c r="CA133" s="252"/>
      <c r="CB133" s="252"/>
      <c r="CC133" s="252"/>
      <c r="CD133" s="252"/>
      <c r="CE133" s="252"/>
      <c r="CF133" s="252"/>
      <c r="CG133" s="252"/>
      <c r="CH133" s="252"/>
      <c r="CI133" s="252"/>
      <c r="CJ133" s="257"/>
      <c r="CK133" s="257"/>
      <c r="CL133" s="257"/>
      <c r="CM133" s="257"/>
      <c r="CN133" s="257"/>
      <c r="CO133" s="257"/>
      <c r="CP133" s="257"/>
      <c r="CQ133" s="257"/>
      <c r="CR133" s="257"/>
      <c r="CS133" s="257"/>
      <c r="CT133" s="257"/>
      <c r="CU133" s="257"/>
      <c r="CV133" s="257"/>
      <c r="CW133" s="257"/>
      <c r="CX133" s="257"/>
      <c r="CY133" s="257"/>
      <c r="CZ133" s="257"/>
      <c r="DA133" s="257"/>
      <c r="DB133" s="202"/>
      <c r="DC133" s="202"/>
      <c r="DD133" s="202"/>
      <c r="DE133" s="202"/>
      <c r="DF133" s="202"/>
      <c r="DG133" s="202"/>
      <c r="DH133" s="202"/>
      <c r="DI133" s="202"/>
      <c r="DJ133" s="202"/>
      <c r="DK133" s="202"/>
      <c r="DL133" s="202"/>
      <c r="DM133" s="202"/>
      <c r="DN133" s="202"/>
      <c r="DO133" s="202"/>
      <c r="DP133" s="202"/>
      <c r="DQ133" s="202"/>
      <c r="DR133" s="202"/>
      <c r="DS133" s="202"/>
      <c r="DT133" s="196"/>
      <c r="DU133" s="196"/>
      <c r="DV133" s="196"/>
      <c r="DW133" s="196"/>
      <c r="DX133" s="196"/>
      <c r="DY133" s="196"/>
      <c r="DZ133" s="196"/>
      <c r="EA133" s="196"/>
      <c r="EB133" s="176">
        <f t="shared" si="8"/>
        <v>0</v>
      </c>
      <c r="EC133" s="176">
        <f t="shared" si="9"/>
        <v>0</v>
      </c>
      <c r="ED133" s="176">
        <f t="shared" si="10"/>
        <v>0</v>
      </c>
      <c r="EE133" s="176">
        <f t="shared" si="11"/>
        <v>0</v>
      </c>
      <c r="EG133" s="129">
        <f t="shared" si="12"/>
        <v>0</v>
      </c>
      <c r="EI133" s="176">
        <f t="shared" si="13"/>
        <v>0</v>
      </c>
      <c r="EK133" s="176">
        <f t="shared" si="14"/>
        <v>0</v>
      </c>
      <c r="EL133" s="176"/>
      <c r="EM133" s="177"/>
      <c r="EN133" s="178"/>
      <c r="EO133" s="177"/>
      <c r="EP133" s="177"/>
      <c r="EQ133" s="176">
        <f t="shared" si="15"/>
        <v>0</v>
      </c>
      <c r="ER133" s="179">
        <v>23300</v>
      </c>
      <c r="ES133" s="177">
        <v>7.5</v>
      </c>
    </row>
    <row r="134" spans="1:149" x14ac:dyDescent="0.3">
      <c r="A134" s="197">
        <v>129</v>
      </c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247"/>
      <c r="AQ134" s="247"/>
      <c r="AR134" s="247"/>
      <c r="AS134" s="247"/>
      <c r="AT134" s="247"/>
      <c r="AU134" s="247"/>
      <c r="AV134" s="247"/>
      <c r="AW134" s="247"/>
      <c r="AX134" s="247"/>
      <c r="AY134" s="247"/>
      <c r="AZ134" s="247"/>
      <c r="BA134" s="247"/>
      <c r="BB134" s="247"/>
      <c r="BC134" s="247"/>
      <c r="BD134" s="206"/>
      <c r="BE134" s="206"/>
      <c r="BF134" s="206"/>
      <c r="BG134" s="206"/>
      <c r="BH134" s="206"/>
      <c r="BI134" s="206"/>
      <c r="BJ134" s="206"/>
      <c r="BK134" s="206"/>
      <c r="BL134" s="206"/>
      <c r="BM134" s="206"/>
      <c r="BN134" s="206"/>
      <c r="BO134" s="206"/>
      <c r="BP134" s="206"/>
      <c r="BQ134" s="206"/>
      <c r="BR134" s="252"/>
      <c r="BS134" s="252"/>
      <c r="BT134" s="252"/>
      <c r="BU134" s="252"/>
      <c r="BV134" s="252"/>
      <c r="BW134" s="252"/>
      <c r="BX134" s="252"/>
      <c r="BY134" s="252"/>
      <c r="BZ134" s="252"/>
      <c r="CA134" s="252"/>
      <c r="CB134" s="252"/>
      <c r="CC134" s="252"/>
      <c r="CD134" s="252"/>
      <c r="CE134" s="252"/>
      <c r="CF134" s="252"/>
      <c r="CG134" s="252"/>
      <c r="CH134" s="252"/>
      <c r="CI134" s="252"/>
      <c r="CJ134" s="257"/>
      <c r="CK134" s="257"/>
      <c r="CL134" s="257"/>
      <c r="CM134" s="257"/>
      <c r="CN134" s="257"/>
      <c r="CO134" s="257"/>
      <c r="CP134" s="257"/>
      <c r="CQ134" s="257"/>
      <c r="CR134" s="257"/>
      <c r="CS134" s="257"/>
      <c r="CT134" s="257"/>
      <c r="CU134" s="257"/>
      <c r="CV134" s="257"/>
      <c r="CW134" s="257"/>
      <c r="CX134" s="257"/>
      <c r="CY134" s="257"/>
      <c r="CZ134" s="257"/>
      <c r="DA134" s="257"/>
      <c r="DB134" s="202"/>
      <c r="DC134" s="202"/>
      <c r="DD134" s="202"/>
      <c r="DE134" s="202"/>
      <c r="DF134" s="202"/>
      <c r="DG134" s="202"/>
      <c r="DH134" s="202"/>
      <c r="DI134" s="202"/>
      <c r="DJ134" s="202"/>
      <c r="DK134" s="202"/>
      <c r="DL134" s="202"/>
      <c r="DM134" s="202"/>
      <c r="DN134" s="202"/>
      <c r="DO134" s="202"/>
      <c r="DP134" s="202"/>
      <c r="DQ134" s="202"/>
      <c r="DR134" s="202"/>
      <c r="DS134" s="202"/>
      <c r="DT134" s="196"/>
      <c r="DU134" s="196"/>
      <c r="DV134" s="196"/>
      <c r="DW134" s="196"/>
      <c r="DX134" s="196"/>
      <c r="DY134" s="196"/>
      <c r="DZ134" s="196"/>
      <c r="EA134" s="196"/>
      <c r="EB134" s="176">
        <f t="shared" ref="EB134:EB197" si="16">AB134+AC134*K134+AD134*K134+((AF134+AG134+AH134+AJ134+AK134)*K134+AE134+AI134+AL134*K134+AM134*K134)+AP134+AQ134*L134+AR134*L134+((AT134+AU134+AV134+AX134+AY134)*L134+AS134+AW134+AZ134*L134+BA134*L134)+IF(AND(M134&gt;0,MAX(M134,N134/1000)&lt;1),BD134+1*(BE134+BF134)+(1*(BH134+BI134+BJ134+BL134+BM134)+BG134+BK134+BN134+BO134),IF(AND(M134&gt;0,MAX(M134,N134/1000)&gt;1),BD134+MAX(M134,N134/1000)*(BE134+BF134)+(MAX(M134,N134/1000)*(BH134+BI134+BJ134+BL134+BM134)+BG134+BK134+BN134+BO134),IF(AND(K134="",L134="",M134=""),BD134+N134*(BE134+BF134)+((BH134+BI134+BJ134+BL134+BM134)*N134+BG134+BK134+BN134+BO134),0)))</f>
        <v>0</v>
      </c>
      <c r="EC134" s="176">
        <f t="shared" ref="EC134:EC197" si="17">BR134+BS134*K134+BT134*K134+((BV134+BW134+BX134+BZ134+CA134)*K134+BU134+BY134+CB134*K134+CC134*K134)+CJ134+CK134*L134+CL134*L134+((CN134+CO134+CP134+CR134+CS134)*L134+CM134+CQ134+CT134*L134+CU134*L134)+IF(AND(M134&gt;0,MAX(M134,N134/1000)&lt;1),DB134+1*(DC134+DD134)+(1*(DF134+DG134+DH134+DJ134+DK134)+DE134+DI134+DL134+DM134),IF(AND(M134&gt;0,MAX(M134,N134/1000)&gt;1),DB134+MAX(M134,N134/1000)*(DC134+DD134)+(MAX(M134,N134/1000)*(DF134+DG134+DH134+DJ134+DK134)+DE134+DI134+DL134+DM134),IF(AND(K134="",L134="",M134=""),DB134+N134*(DC134+DD134)+((DF134+DG134+DH134+DJ134+DK134)*N134+DE134+DI134+DL134+DM134),0)))</f>
        <v>0</v>
      </c>
      <c r="ED134" s="176">
        <f t="shared" ref="ED134:ED197" si="18">AN134*K134*(1-AO134%)+BB134*L134*(1-BC134%)+BP134*IF(AND(M134&gt;0,M134&lt;1),1,IF(M134&gt;1,MAX(M134,N134/1000),N134))*(1-BQ134%)</f>
        <v>0</v>
      </c>
      <c r="EE134" s="176">
        <f t="shared" ref="EE134:EE197" si="19">(CD134+CE134*K134)*(1-CF134%)+(CG134+CH134*K134)*(1-CI134%)+(CV134+CW134*L134)*(1-CX134%)+(CY134+CZ134*L134)*(1-DA134%)+(DN134+DO134*IF(AND(M134&gt;0,M134&lt;1),1,IF(M134&gt;1,MAX(M134,N134/1000),N134)))*(1-DP134%)+(DQ134+DR134*IF(AND(M134&gt;0,M134&lt;1),1,IF(M134&gt;1,MAX(M134,N134/1000),N134)))*(1-DS134%)</f>
        <v>0</v>
      </c>
      <c r="EG134" s="129">
        <f t="shared" ref="EG134:EG197" si="20">((BR134+BS134*K134+BT134*K134)+(CJ134+CK134*L134*+CL134*L134)+IF(AND(M134&gt;0,MAX(M134,N134/1000)&lt;1),DB134+DC134+DD134,IF(AND(M134&gt;0,MAX(M134,N134/1000)&gt;1),DB134+DC134*M134+DD134*M134,IF(AND(M134&gt;0,MAX(M134,N134/1000)&gt;1),DB134+MAX(M134,N134/1000)*DC134+MAX(M134,N134/1000)*DD134+IF(AND(K134="",L134="",M134=""),DB134+DC134*N134+DD134*N134,0)))))*EF134/365*ES134%</f>
        <v>0</v>
      </c>
      <c r="EI134" s="176">
        <f t="shared" ref="EI134:EI197" si="21">(((BV134+BW134+BX134+BZ134+CA134)*K134+BU134+BY134)*1.08+CJ134+CK134*L134+CL134*L134+((CN134+CO134+CP134+CR134+CS134)*L134+CM134+CQ134)*1.08+IF(AND(M134&gt;0,MAX(M134,N134/1000)&lt;1),DB134+1*(DC134+DD134)+(1*(DF134+DG134+DH134+DJ134+DK134)+DE134+DI134)*1.08,IF(AND(M134&gt;0,MAX(M134,N134/1000)&gt;1),DB134+MAX(M134,N134/1000)*(DC134+DD134)+(MAX(M134,N134/1000)*(DF134+DG134+DH134+DJ134+DK134)+DE134+DI134)*1.08,IF(AND(K134="",L134="",M134=""),DB134+N134*(DC134+DD134)+((DF134+DG134+DH134+DJ134+DK134)*N134+DE134+DI134)*1.08,0))))*EH134/365*ES134%</f>
        <v>0</v>
      </c>
      <c r="EK134" s="176">
        <f t="shared" ref="EK134:EK197" si="22">((CB134*K134+CC134*K134)*1.1+(CT134*L134+CU134*L134)*1.1+(DL134+DM134)*1.1)*EJ134/365*ES134%</f>
        <v>0</v>
      </c>
      <c r="EL134" s="176"/>
      <c r="EM134" s="177"/>
      <c r="EN134" s="178"/>
      <c r="EO134" s="177"/>
      <c r="EP134" s="177"/>
      <c r="EQ134" s="176">
        <f t="shared" ref="EQ134:EQ197" si="23">EC134-EB134-EG134-EI134-EK134-(AN134*K134+BB134*L134+BP134*IF(AND(M134&gt;0,M134&lt;1),1,IF(M134&gt;1,MAX(M134,N134/1000),N134))+CD134+CE134*K134+CV134+CW134*L134+DN134+DO134*IF(AND(M134&gt;0,M134&lt;1),1,IF(M134&gt;1,MAX(M134,N134/1000),N134))+CG134+CH134*K134+CY134+CZ134*L134+DQ134+DR134*IF(AND(M134&gt;0,M134&lt;1),1,IF(M134&gt;1,MAX(M134,N134/1000),N134)))-EL134-EM134*EN134/365*ES134%-EO134*EP134/365*ES134%</f>
        <v>0</v>
      </c>
      <c r="ER134" s="179">
        <v>23300</v>
      </c>
      <c r="ES134" s="177">
        <v>7.5</v>
      </c>
    </row>
    <row r="135" spans="1:149" x14ac:dyDescent="0.3">
      <c r="A135" s="197">
        <v>130</v>
      </c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247"/>
      <c r="AQ135" s="247"/>
      <c r="AR135" s="247"/>
      <c r="AS135" s="247"/>
      <c r="AT135" s="247"/>
      <c r="AU135" s="247"/>
      <c r="AV135" s="247"/>
      <c r="AW135" s="247"/>
      <c r="AX135" s="247"/>
      <c r="AY135" s="247"/>
      <c r="AZ135" s="247"/>
      <c r="BA135" s="247"/>
      <c r="BB135" s="247"/>
      <c r="BC135" s="247"/>
      <c r="BD135" s="206"/>
      <c r="BE135" s="206"/>
      <c r="BF135" s="206"/>
      <c r="BG135" s="206"/>
      <c r="BH135" s="206"/>
      <c r="BI135" s="206"/>
      <c r="BJ135" s="206"/>
      <c r="BK135" s="206"/>
      <c r="BL135" s="206"/>
      <c r="BM135" s="206"/>
      <c r="BN135" s="206"/>
      <c r="BO135" s="206"/>
      <c r="BP135" s="206"/>
      <c r="BQ135" s="206"/>
      <c r="BR135" s="252"/>
      <c r="BS135" s="252"/>
      <c r="BT135" s="252"/>
      <c r="BU135" s="252"/>
      <c r="BV135" s="252"/>
      <c r="BW135" s="252"/>
      <c r="BX135" s="252"/>
      <c r="BY135" s="252"/>
      <c r="BZ135" s="252"/>
      <c r="CA135" s="252"/>
      <c r="CB135" s="252"/>
      <c r="CC135" s="252"/>
      <c r="CD135" s="252"/>
      <c r="CE135" s="252"/>
      <c r="CF135" s="252"/>
      <c r="CG135" s="252"/>
      <c r="CH135" s="252"/>
      <c r="CI135" s="252"/>
      <c r="CJ135" s="257"/>
      <c r="CK135" s="257"/>
      <c r="CL135" s="257"/>
      <c r="CM135" s="257"/>
      <c r="CN135" s="257"/>
      <c r="CO135" s="257"/>
      <c r="CP135" s="257"/>
      <c r="CQ135" s="257"/>
      <c r="CR135" s="257"/>
      <c r="CS135" s="257"/>
      <c r="CT135" s="257"/>
      <c r="CU135" s="257"/>
      <c r="CV135" s="257"/>
      <c r="CW135" s="257"/>
      <c r="CX135" s="257"/>
      <c r="CY135" s="257"/>
      <c r="CZ135" s="257"/>
      <c r="DA135" s="257"/>
      <c r="DB135" s="202"/>
      <c r="DC135" s="202"/>
      <c r="DD135" s="202"/>
      <c r="DE135" s="202"/>
      <c r="DF135" s="202"/>
      <c r="DG135" s="202"/>
      <c r="DH135" s="202"/>
      <c r="DI135" s="202"/>
      <c r="DJ135" s="202"/>
      <c r="DK135" s="202"/>
      <c r="DL135" s="202"/>
      <c r="DM135" s="202"/>
      <c r="DN135" s="202"/>
      <c r="DO135" s="202"/>
      <c r="DP135" s="202"/>
      <c r="DQ135" s="202"/>
      <c r="DR135" s="202"/>
      <c r="DS135" s="202"/>
      <c r="DT135" s="196"/>
      <c r="DU135" s="196"/>
      <c r="DV135" s="196"/>
      <c r="DW135" s="196"/>
      <c r="DX135" s="196"/>
      <c r="DY135" s="196"/>
      <c r="DZ135" s="196"/>
      <c r="EA135" s="196"/>
      <c r="EB135" s="176">
        <f t="shared" si="16"/>
        <v>0</v>
      </c>
      <c r="EC135" s="176">
        <f t="shared" si="17"/>
        <v>0</v>
      </c>
      <c r="ED135" s="176">
        <f t="shared" si="18"/>
        <v>0</v>
      </c>
      <c r="EE135" s="176">
        <f t="shared" si="19"/>
        <v>0</v>
      </c>
      <c r="EG135" s="129">
        <f t="shared" si="20"/>
        <v>0</v>
      </c>
      <c r="EI135" s="176">
        <f t="shared" si="21"/>
        <v>0</v>
      </c>
      <c r="EK135" s="176">
        <f t="shared" si="22"/>
        <v>0</v>
      </c>
      <c r="EL135" s="176"/>
      <c r="EM135" s="177"/>
      <c r="EN135" s="178"/>
      <c r="EO135" s="177"/>
      <c r="EP135" s="177"/>
      <c r="EQ135" s="176">
        <f t="shared" si="23"/>
        <v>0</v>
      </c>
      <c r="ER135" s="179">
        <v>23300</v>
      </c>
      <c r="ES135" s="177">
        <v>7.5</v>
      </c>
    </row>
    <row r="136" spans="1:149" x14ac:dyDescent="0.3">
      <c r="A136" s="197">
        <v>131</v>
      </c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247"/>
      <c r="AQ136" s="247"/>
      <c r="AR136" s="247"/>
      <c r="AS136" s="247"/>
      <c r="AT136" s="247"/>
      <c r="AU136" s="247"/>
      <c r="AV136" s="247"/>
      <c r="AW136" s="247"/>
      <c r="AX136" s="247"/>
      <c r="AY136" s="247"/>
      <c r="AZ136" s="247"/>
      <c r="BA136" s="247"/>
      <c r="BB136" s="247"/>
      <c r="BC136" s="247"/>
      <c r="BD136" s="206"/>
      <c r="BE136" s="206"/>
      <c r="BF136" s="206"/>
      <c r="BG136" s="206"/>
      <c r="BH136" s="206"/>
      <c r="BI136" s="206"/>
      <c r="BJ136" s="206"/>
      <c r="BK136" s="206"/>
      <c r="BL136" s="206"/>
      <c r="BM136" s="206"/>
      <c r="BN136" s="206"/>
      <c r="BO136" s="206"/>
      <c r="BP136" s="206"/>
      <c r="BQ136" s="206"/>
      <c r="BR136" s="252"/>
      <c r="BS136" s="252"/>
      <c r="BT136" s="252"/>
      <c r="BU136" s="252"/>
      <c r="BV136" s="252"/>
      <c r="BW136" s="252"/>
      <c r="BX136" s="252"/>
      <c r="BY136" s="252"/>
      <c r="BZ136" s="252"/>
      <c r="CA136" s="252"/>
      <c r="CB136" s="252"/>
      <c r="CC136" s="252"/>
      <c r="CD136" s="252"/>
      <c r="CE136" s="252"/>
      <c r="CF136" s="252"/>
      <c r="CG136" s="252"/>
      <c r="CH136" s="252"/>
      <c r="CI136" s="252"/>
      <c r="CJ136" s="257"/>
      <c r="CK136" s="257"/>
      <c r="CL136" s="257"/>
      <c r="CM136" s="257"/>
      <c r="CN136" s="257"/>
      <c r="CO136" s="257"/>
      <c r="CP136" s="257"/>
      <c r="CQ136" s="257"/>
      <c r="CR136" s="257"/>
      <c r="CS136" s="257"/>
      <c r="CT136" s="257"/>
      <c r="CU136" s="257"/>
      <c r="CV136" s="257"/>
      <c r="CW136" s="257"/>
      <c r="CX136" s="257"/>
      <c r="CY136" s="257"/>
      <c r="CZ136" s="257"/>
      <c r="DA136" s="257"/>
      <c r="DB136" s="202"/>
      <c r="DC136" s="202"/>
      <c r="DD136" s="202"/>
      <c r="DE136" s="202"/>
      <c r="DF136" s="202"/>
      <c r="DG136" s="202"/>
      <c r="DH136" s="202"/>
      <c r="DI136" s="202"/>
      <c r="DJ136" s="202"/>
      <c r="DK136" s="202"/>
      <c r="DL136" s="202"/>
      <c r="DM136" s="202"/>
      <c r="DN136" s="202"/>
      <c r="DO136" s="202"/>
      <c r="DP136" s="202"/>
      <c r="DQ136" s="202"/>
      <c r="DR136" s="202"/>
      <c r="DS136" s="202"/>
      <c r="DT136" s="196"/>
      <c r="DU136" s="196"/>
      <c r="DV136" s="196"/>
      <c r="DW136" s="196"/>
      <c r="DX136" s="196"/>
      <c r="DY136" s="196"/>
      <c r="DZ136" s="196"/>
      <c r="EA136" s="196"/>
      <c r="EB136" s="176">
        <f t="shared" si="16"/>
        <v>0</v>
      </c>
      <c r="EC136" s="176">
        <f t="shared" si="17"/>
        <v>0</v>
      </c>
      <c r="ED136" s="176">
        <f t="shared" si="18"/>
        <v>0</v>
      </c>
      <c r="EE136" s="176">
        <f t="shared" si="19"/>
        <v>0</v>
      </c>
      <c r="EG136" s="129">
        <f t="shared" si="20"/>
        <v>0</v>
      </c>
      <c r="EI136" s="176">
        <f t="shared" si="21"/>
        <v>0</v>
      </c>
      <c r="EK136" s="176">
        <f t="shared" si="22"/>
        <v>0</v>
      </c>
      <c r="EL136" s="176"/>
      <c r="EM136" s="177"/>
      <c r="EN136" s="178"/>
      <c r="EO136" s="177"/>
      <c r="EP136" s="177"/>
      <c r="EQ136" s="176">
        <f t="shared" si="23"/>
        <v>0</v>
      </c>
      <c r="ER136" s="179">
        <v>23300</v>
      </c>
      <c r="ES136" s="177">
        <v>7.5</v>
      </c>
    </row>
    <row r="137" spans="1:149" x14ac:dyDescent="0.3">
      <c r="A137" s="197">
        <v>132</v>
      </c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247"/>
      <c r="AQ137" s="247"/>
      <c r="AR137" s="247"/>
      <c r="AS137" s="247"/>
      <c r="AT137" s="247"/>
      <c r="AU137" s="247"/>
      <c r="AV137" s="247"/>
      <c r="AW137" s="247"/>
      <c r="AX137" s="247"/>
      <c r="AY137" s="247"/>
      <c r="AZ137" s="247"/>
      <c r="BA137" s="247"/>
      <c r="BB137" s="247"/>
      <c r="BC137" s="247"/>
      <c r="BD137" s="206"/>
      <c r="BE137" s="206"/>
      <c r="BF137" s="206"/>
      <c r="BG137" s="206"/>
      <c r="BH137" s="206"/>
      <c r="BI137" s="206"/>
      <c r="BJ137" s="206"/>
      <c r="BK137" s="206"/>
      <c r="BL137" s="206"/>
      <c r="BM137" s="206"/>
      <c r="BN137" s="206"/>
      <c r="BO137" s="206"/>
      <c r="BP137" s="206"/>
      <c r="BQ137" s="206"/>
      <c r="BR137" s="252"/>
      <c r="BS137" s="252"/>
      <c r="BT137" s="252"/>
      <c r="BU137" s="252"/>
      <c r="BV137" s="252"/>
      <c r="BW137" s="252"/>
      <c r="BX137" s="252"/>
      <c r="BY137" s="252"/>
      <c r="BZ137" s="252"/>
      <c r="CA137" s="252"/>
      <c r="CB137" s="252"/>
      <c r="CC137" s="252"/>
      <c r="CD137" s="252"/>
      <c r="CE137" s="252"/>
      <c r="CF137" s="252"/>
      <c r="CG137" s="252"/>
      <c r="CH137" s="252"/>
      <c r="CI137" s="252"/>
      <c r="CJ137" s="257"/>
      <c r="CK137" s="257"/>
      <c r="CL137" s="257"/>
      <c r="CM137" s="257"/>
      <c r="CN137" s="257"/>
      <c r="CO137" s="257"/>
      <c r="CP137" s="257"/>
      <c r="CQ137" s="257"/>
      <c r="CR137" s="257"/>
      <c r="CS137" s="257"/>
      <c r="CT137" s="257"/>
      <c r="CU137" s="257"/>
      <c r="CV137" s="257"/>
      <c r="CW137" s="257"/>
      <c r="CX137" s="257"/>
      <c r="CY137" s="257"/>
      <c r="CZ137" s="257"/>
      <c r="DA137" s="257"/>
      <c r="DB137" s="202"/>
      <c r="DC137" s="202"/>
      <c r="DD137" s="202"/>
      <c r="DE137" s="202"/>
      <c r="DF137" s="202"/>
      <c r="DG137" s="202"/>
      <c r="DH137" s="202"/>
      <c r="DI137" s="202"/>
      <c r="DJ137" s="202"/>
      <c r="DK137" s="202"/>
      <c r="DL137" s="202"/>
      <c r="DM137" s="202"/>
      <c r="DN137" s="202"/>
      <c r="DO137" s="202"/>
      <c r="DP137" s="202"/>
      <c r="DQ137" s="202"/>
      <c r="DR137" s="202"/>
      <c r="DS137" s="202"/>
      <c r="DT137" s="196"/>
      <c r="DU137" s="196"/>
      <c r="DV137" s="196"/>
      <c r="DW137" s="196"/>
      <c r="DX137" s="196"/>
      <c r="DY137" s="196"/>
      <c r="DZ137" s="196"/>
      <c r="EA137" s="196"/>
      <c r="EB137" s="176">
        <f t="shared" si="16"/>
        <v>0</v>
      </c>
      <c r="EC137" s="176">
        <f t="shared" si="17"/>
        <v>0</v>
      </c>
      <c r="ED137" s="176">
        <f t="shared" si="18"/>
        <v>0</v>
      </c>
      <c r="EE137" s="176">
        <f t="shared" si="19"/>
        <v>0</v>
      </c>
      <c r="EG137" s="129">
        <f t="shared" si="20"/>
        <v>0</v>
      </c>
      <c r="EI137" s="176">
        <f t="shared" si="21"/>
        <v>0</v>
      </c>
      <c r="EK137" s="176">
        <f t="shared" si="22"/>
        <v>0</v>
      </c>
      <c r="EL137" s="176"/>
      <c r="EM137" s="177"/>
      <c r="EN137" s="178"/>
      <c r="EO137" s="177"/>
      <c r="EP137" s="177"/>
      <c r="EQ137" s="176">
        <f t="shared" si="23"/>
        <v>0</v>
      </c>
      <c r="ER137" s="179">
        <v>23300</v>
      </c>
      <c r="ES137" s="177">
        <v>7.5</v>
      </c>
    </row>
    <row r="138" spans="1:149" x14ac:dyDescent="0.3">
      <c r="A138" s="197">
        <v>133</v>
      </c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247"/>
      <c r="AQ138" s="247"/>
      <c r="AR138" s="247"/>
      <c r="AS138" s="247"/>
      <c r="AT138" s="247"/>
      <c r="AU138" s="247"/>
      <c r="AV138" s="247"/>
      <c r="AW138" s="247"/>
      <c r="AX138" s="247"/>
      <c r="AY138" s="247"/>
      <c r="AZ138" s="247"/>
      <c r="BA138" s="247"/>
      <c r="BB138" s="247"/>
      <c r="BC138" s="247"/>
      <c r="BD138" s="206"/>
      <c r="BE138" s="206"/>
      <c r="BF138" s="206"/>
      <c r="BG138" s="206"/>
      <c r="BH138" s="206"/>
      <c r="BI138" s="206"/>
      <c r="BJ138" s="206"/>
      <c r="BK138" s="206"/>
      <c r="BL138" s="206"/>
      <c r="BM138" s="206"/>
      <c r="BN138" s="206"/>
      <c r="BO138" s="206"/>
      <c r="BP138" s="206"/>
      <c r="BQ138" s="206"/>
      <c r="BR138" s="252"/>
      <c r="BS138" s="252"/>
      <c r="BT138" s="252"/>
      <c r="BU138" s="252"/>
      <c r="BV138" s="252"/>
      <c r="BW138" s="252"/>
      <c r="BX138" s="252"/>
      <c r="BY138" s="252"/>
      <c r="BZ138" s="252"/>
      <c r="CA138" s="252"/>
      <c r="CB138" s="252"/>
      <c r="CC138" s="252"/>
      <c r="CD138" s="252"/>
      <c r="CE138" s="252"/>
      <c r="CF138" s="252"/>
      <c r="CG138" s="252"/>
      <c r="CH138" s="252"/>
      <c r="CI138" s="252"/>
      <c r="CJ138" s="257"/>
      <c r="CK138" s="257"/>
      <c r="CL138" s="257"/>
      <c r="CM138" s="257"/>
      <c r="CN138" s="257"/>
      <c r="CO138" s="257"/>
      <c r="CP138" s="257"/>
      <c r="CQ138" s="257"/>
      <c r="CR138" s="257"/>
      <c r="CS138" s="257"/>
      <c r="CT138" s="257"/>
      <c r="CU138" s="257"/>
      <c r="CV138" s="257"/>
      <c r="CW138" s="257"/>
      <c r="CX138" s="257"/>
      <c r="CY138" s="257"/>
      <c r="CZ138" s="257"/>
      <c r="DA138" s="257"/>
      <c r="DB138" s="202"/>
      <c r="DC138" s="202"/>
      <c r="DD138" s="202"/>
      <c r="DE138" s="202"/>
      <c r="DF138" s="202"/>
      <c r="DG138" s="202"/>
      <c r="DH138" s="202"/>
      <c r="DI138" s="202"/>
      <c r="DJ138" s="202"/>
      <c r="DK138" s="202"/>
      <c r="DL138" s="202"/>
      <c r="DM138" s="202"/>
      <c r="DN138" s="202"/>
      <c r="DO138" s="202"/>
      <c r="DP138" s="202"/>
      <c r="DQ138" s="202"/>
      <c r="DR138" s="202"/>
      <c r="DS138" s="202"/>
      <c r="DT138" s="196"/>
      <c r="DU138" s="196"/>
      <c r="DV138" s="196"/>
      <c r="DW138" s="196"/>
      <c r="DX138" s="196"/>
      <c r="DY138" s="196"/>
      <c r="DZ138" s="196"/>
      <c r="EA138" s="196"/>
      <c r="EB138" s="176">
        <f t="shared" si="16"/>
        <v>0</v>
      </c>
      <c r="EC138" s="176">
        <f t="shared" si="17"/>
        <v>0</v>
      </c>
      <c r="ED138" s="176">
        <f t="shared" si="18"/>
        <v>0</v>
      </c>
      <c r="EE138" s="176">
        <f t="shared" si="19"/>
        <v>0</v>
      </c>
      <c r="EG138" s="129">
        <f t="shared" si="20"/>
        <v>0</v>
      </c>
      <c r="EI138" s="176">
        <f t="shared" si="21"/>
        <v>0</v>
      </c>
      <c r="EK138" s="176">
        <f t="shared" si="22"/>
        <v>0</v>
      </c>
      <c r="EL138" s="176"/>
      <c r="EM138" s="177"/>
      <c r="EN138" s="178"/>
      <c r="EO138" s="177"/>
      <c r="EP138" s="177"/>
      <c r="EQ138" s="176">
        <f t="shared" si="23"/>
        <v>0</v>
      </c>
      <c r="ER138" s="179">
        <v>23300</v>
      </c>
      <c r="ES138" s="177">
        <v>7.5</v>
      </c>
    </row>
    <row r="139" spans="1:149" x14ac:dyDescent="0.3">
      <c r="A139" s="197">
        <v>134</v>
      </c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247"/>
      <c r="AQ139" s="247"/>
      <c r="AR139" s="247"/>
      <c r="AS139" s="247"/>
      <c r="AT139" s="247"/>
      <c r="AU139" s="247"/>
      <c r="AV139" s="247"/>
      <c r="AW139" s="247"/>
      <c r="AX139" s="247"/>
      <c r="AY139" s="247"/>
      <c r="AZ139" s="247"/>
      <c r="BA139" s="247"/>
      <c r="BB139" s="247"/>
      <c r="BC139" s="247"/>
      <c r="BD139" s="206"/>
      <c r="BE139" s="206"/>
      <c r="BF139" s="206"/>
      <c r="BG139" s="206"/>
      <c r="BH139" s="206"/>
      <c r="BI139" s="206"/>
      <c r="BJ139" s="206"/>
      <c r="BK139" s="206"/>
      <c r="BL139" s="206"/>
      <c r="BM139" s="206"/>
      <c r="BN139" s="206"/>
      <c r="BO139" s="206"/>
      <c r="BP139" s="206"/>
      <c r="BQ139" s="206"/>
      <c r="BR139" s="252"/>
      <c r="BS139" s="252"/>
      <c r="BT139" s="252"/>
      <c r="BU139" s="252"/>
      <c r="BV139" s="252"/>
      <c r="BW139" s="252"/>
      <c r="BX139" s="252"/>
      <c r="BY139" s="252"/>
      <c r="BZ139" s="252"/>
      <c r="CA139" s="252"/>
      <c r="CB139" s="252"/>
      <c r="CC139" s="252"/>
      <c r="CD139" s="252"/>
      <c r="CE139" s="252"/>
      <c r="CF139" s="252"/>
      <c r="CG139" s="252"/>
      <c r="CH139" s="252"/>
      <c r="CI139" s="252"/>
      <c r="CJ139" s="257"/>
      <c r="CK139" s="257"/>
      <c r="CL139" s="257"/>
      <c r="CM139" s="257"/>
      <c r="CN139" s="257"/>
      <c r="CO139" s="257"/>
      <c r="CP139" s="257"/>
      <c r="CQ139" s="257"/>
      <c r="CR139" s="257"/>
      <c r="CS139" s="257"/>
      <c r="CT139" s="257"/>
      <c r="CU139" s="257"/>
      <c r="CV139" s="257"/>
      <c r="CW139" s="257"/>
      <c r="CX139" s="257"/>
      <c r="CY139" s="257"/>
      <c r="CZ139" s="257"/>
      <c r="DA139" s="257"/>
      <c r="DB139" s="202"/>
      <c r="DC139" s="202"/>
      <c r="DD139" s="202"/>
      <c r="DE139" s="202"/>
      <c r="DF139" s="202"/>
      <c r="DG139" s="202"/>
      <c r="DH139" s="202"/>
      <c r="DI139" s="202"/>
      <c r="DJ139" s="202"/>
      <c r="DK139" s="202"/>
      <c r="DL139" s="202"/>
      <c r="DM139" s="202"/>
      <c r="DN139" s="202"/>
      <c r="DO139" s="202"/>
      <c r="DP139" s="202"/>
      <c r="DQ139" s="202"/>
      <c r="DR139" s="202"/>
      <c r="DS139" s="202"/>
      <c r="DT139" s="196"/>
      <c r="DU139" s="196"/>
      <c r="DV139" s="196"/>
      <c r="DW139" s="196"/>
      <c r="DX139" s="196"/>
      <c r="DY139" s="196"/>
      <c r="DZ139" s="196"/>
      <c r="EA139" s="196"/>
      <c r="EB139" s="176">
        <f t="shared" si="16"/>
        <v>0</v>
      </c>
      <c r="EC139" s="176">
        <f t="shared" si="17"/>
        <v>0</v>
      </c>
      <c r="ED139" s="176">
        <f t="shared" si="18"/>
        <v>0</v>
      </c>
      <c r="EE139" s="176">
        <f t="shared" si="19"/>
        <v>0</v>
      </c>
      <c r="EG139" s="129">
        <f t="shared" si="20"/>
        <v>0</v>
      </c>
      <c r="EI139" s="176">
        <f t="shared" si="21"/>
        <v>0</v>
      </c>
      <c r="EK139" s="176">
        <f t="shared" si="22"/>
        <v>0</v>
      </c>
      <c r="EL139" s="176"/>
      <c r="EM139" s="177"/>
      <c r="EN139" s="178"/>
      <c r="EO139" s="177"/>
      <c r="EP139" s="177"/>
      <c r="EQ139" s="176">
        <f t="shared" si="23"/>
        <v>0</v>
      </c>
      <c r="ER139" s="179">
        <v>23300</v>
      </c>
      <c r="ES139" s="177">
        <v>7.5</v>
      </c>
    </row>
    <row r="140" spans="1:149" x14ac:dyDescent="0.3">
      <c r="A140" s="197">
        <v>135</v>
      </c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247"/>
      <c r="AQ140" s="247"/>
      <c r="AR140" s="247"/>
      <c r="AS140" s="247"/>
      <c r="AT140" s="247"/>
      <c r="AU140" s="247"/>
      <c r="AV140" s="247"/>
      <c r="AW140" s="247"/>
      <c r="AX140" s="247"/>
      <c r="AY140" s="247"/>
      <c r="AZ140" s="247"/>
      <c r="BA140" s="247"/>
      <c r="BB140" s="247"/>
      <c r="BC140" s="247"/>
      <c r="BD140" s="206"/>
      <c r="BE140" s="206"/>
      <c r="BF140" s="206"/>
      <c r="BG140" s="206"/>
      <c r="BH140" s="206"/>
      <c r="BI140" s="206"/>
      <c r="BJ140" s="206"/>
      <c r="BK140" s="206"/>
      <c r="BL140" s="206"/>
      <c r="BM140" s="206"/>
      <c r="BN140" s="206"/>
      <c r="BO140" s="206"/>
      <c r="BP140" s="206"/>
      <c r="BQ140" s="206"/>
      <c r="BR140" s="252"/>
      <c r="BS140" s="252"/>
      <c r="BT140" s="252"/>
      <c r="BU140" s="252"/>
      <c r="BV140" s="252"/>
      <c r="BW140" s="252"/>
      <c r="BX140" s="252"/>
      <c r="BY140" s="252"/>
      <c r="BZ140" s="252"/>
      <c r="CA140" s="252"/>
      <c r="CB140" s="252"/>
      <c r="CC140" s="252"/>
      <c r="CD140" s="252"/>
      <c r="CE140" s="252"/>
      <c r="CF140" s="252"/>
      <c r="CG140" s="252"/>
      <c r="CH140" s="252"/>
      <c r="CI140" s="252"/>
      <c r="CJ140" s="257"/>
      <c r="CK140" s="257"/>
      <c r="CL140" s="257"/>
      <c r="CM140" s="257"/>
      <c r="CN140" s="257"/>
      <c r="CO140" s="257"/>
      <c r="CP140" s="257"/>
      <c r="CQ140" s="257"/>
      <c r="CR140" s="257"/>
      <c r="CS140" s="257"/>
      <c r="CT140" s="257"/>
      <c r="CU140" s="257"/>
      <c r="CV140" s="257"/>
      <c r="CW140" s="257"/>
      <c r="CX140" s="257"/>
      <c r="CY140" s="257"/>
      <c r="CZ140" s="257"/>
      <c r="DA140" s="257"/>
      <c r="DB140" s="202"/>
      <c r="DC140" s="202"/>
      <c r="DD140" s="202"/>
      <c r="DE140" s="202"/>
      <c r="DF140" s="202"/>
      <c r="DG140" s="202"/>
      <c r="DH140" s="202"/>
      <c r="DI140" s="202"/>
      <c r="DJ140" s="202"/>
      <c r="DK140" s="202"/>
      <c r="DL140" s="202"/>
      <c r="DM140" s="202"/>
      <c r="DN140" s="202"/>
      <c r="DO140" s="202"/>
      <c r="DP140" s="202"/>
      <c r="DQ140" s="202"/>
      <c r="DR140" s="202"/>
      <c r="DS140" s="202"/>
      <c r="DT140" s="196"/>
      <c r="DU140" s="196"/>
      <c r="DV140" s="196"/>
      <c r="DW140" s="196"/>
      <c r="DX140" s="196"/>
      <c r="DY140" s="196"/>
      <c r="DZ140" s="196"/>
      <c r="EA140" s="196"/>
      <c r="EB140" s="176">
        <f t="shared" si="16"/>
        <v>0</v>
      </c>
      <c r="EC140" s="176">
        <f t="shared" si="17"/>
        <v>0</v>
      </c>
      <c r="ED140" s="176">
        <f t="shared" si="18"/>
        <v>0</v>
      </c>
      <c r="EE140" s="176">
        <f t="shared" si="19"/>
        <v>0</v>
      </c>
      <c r="EG140" s="129">
        <f t="shared" si="20"/>
        <v>0</v>
      </c>
      <c r="EI140" s="176">
        <f t="shared" si="21"/>
        <v>0</v>
      </c>
      <c r="EK140" s="176">
        <f t="shared" si="22"/>
        <v>0</v>
      </c>
      <c r="EL140" s="176"/>
      <c r="EM140" s="177"/>
      <c r="EN140" s="178"/>
      <c r="EO140" s="177"/>
      <c r="EP140" s="177"/>
      <c r="EQ140" s="176">
        <f t="shared" si="23"/>
        <v>0</v>
      </c>
      <c r="ER140" s="179">
        <v>23300</v>
      </c>
      <c r="ES140" s="177">
        <v>7.5</v>
      </c>
    </row>
    <row r="141" spans="1:149" x14ac:dyDescent="0.3">
      <c r="A141" s="197">
        <v>136</v>
      </c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247"/>
      <c r="AQ141" s="247"/>
      <c r="AR141" s="247"/>
      <c r="AS141" s="247"/>
      <c r="AT141" s="247"/>
      <c r="AU141" s="247"/>
      <c r="AV141" s="247"/>
      <c r="AW141" s="247"/>
      <c r="AX141" s="247"/>
      <c r="AY141" s="247"/>
      <c r="AZ141" s="247"/>
      <c r="BA141" s="247"/>
      <c r="BB141" s="247"/>
      <c r="BC141" s="247"/>
      <c r="BD141" s="206"/>
      <c r="BE141" s="206"/>
      <c r="BF141" s="206"/>
      <c r="BG141" s="206"/>
      <c r="BH141" s="206"/>
      <c r="BI141" s="206"/>
      <c r="BJ141" s="206"/>
      <c r="BK141" s="206"/>
      <c r="BL141" s="206"/>
      <c r="BM141" s="206"/>
      <c r="BN141" s="206"/>
      <c r="BO141" s="206"/>
      <c r="BP141" s="206"/>
      <c r="BQ141" s="206"/>
      <c r="BR141" s="252"/>
      <c r="BS141" s="252"/>
      <c r="BT141" s="252"/>
      <c r="BU141" s="252"/>
      <c r="BV141" s="252"/>
      <c r="BW141" s="252"/>
      <c r="BX141" s="252"/>
      <c r="BY141" s="252"/>
      <c r="BZ141" s="252"/>
      <c r="CA141" s="252"/>
      <c r="CB141" s="252"/>
      <c r="CC141" s="252"/>
      <c r="CD141" s="252"/>
      <c r="CE141" s="252"/>
      <c r="CF141" s="252"/>
      <c r="CG141" s="252"/>
      <c r="CH141" s="252"/>
      <c r="CI141" s="252"/>
      <c r="CJ141" s="257"/>
      <c r="CK141" s="257"/>
      <c r="CL141" s="257"/>
      <c r="CM141" s="257"/>
      <c r="CN141" s="257"/>
      <c r="CO141" s="257"/>
      <c r="CP141" s="257"/>
      <c r="CQ141" s="257"/>
      <c r="CR141" s="257"/>
      <c r="CS141" s="257"/>
      <c r="CT141" s="257"/>
      <c r="CU141" s="257"/>
      <c r="CV141" s="257"/>
      <c r="CW141" s="257"/>
      <c r="CX141" s="257"/>
      <c r="CY141" s="257"/>
      <c r="CZ141" s="257"/>
      <c r="DA141" s="257"/>
      <c r="DB141" s="202"/>
      <c r="DC141" s="202"/>
      <c r="DD141" s="202"/>
      <c r="DE141" s="202"/>
      <c r="DF141" s="202"/>
      <c r="DG141" s="202"/>
      <c r="DH141" s="202"/>
      <c r="DI141" s="202"/>
      <c r="DJ141" s="202"/>
      <c r="DK141" s="202"/>
      <c r="DL141" s="202"/>
      <c r="DM141" s="202"/>
      <c r="DN141" s="202"/>
      <c r="DO141" s="202"/>
      <c r="DP141" s="202"/>
      <c r="DQ141" s="202"/>
      <c r="DR141" s="202"/>
      <c r="DS141" s="202"/>
      <c r="DT141" s="196"/>
      <c r="DU141" s="196"/>
      <c r="DV141" s="196"/>
      <c r="DW141" s="196"/>
      <c r="DX141" s="196"/>
      <c r="DY141" s="196"/>
      <c r="DZ141" s="196"/>
      <c r="EA141" s="196"/>
      <c r="EB141" s="176">
        <f t="shared" si="16"/>
        <v>0</v>
      </c>
      <c r="EC141" s="176">
        <f t="shared" si="17"/>
        <v>0</v>
      </c>
      <c r="ED141" s="176">
        <f t="shared" si="18"/>
        <v>0</v>
      </c>
      <c r="EE141" s="176">
        <f t="shared" si="19"/>
        <v>0</v>
      </c>
      <c r="EG141" s="129">
        <f t="shared" si="20"/>
        <v>0</v>
      </c>
      <c r="EI141" s="176">
        <f t="shared" si="21"/>
        <v>0</v>
      </c>
      <c r="EK141" s="176">
        <f t="shared" si="22"/>
        <v>0</v>
      </c>
      <c r="EL141" s="176"/>
      <c r="EM141" s="177"/>
      <c r="EN141" s="178"/>
      <c r="EO141" s="177"/>
      <c r="EP141" s="177"/>
      <c r="EQ141" s="176">
        <f t="shared" si="23"/>
        <v>0</v>
      </c>
      <c r="ER141" s="179">
        <v>23300</v>
      </c>
      <c r="ES141" s="177">
        <v>7.5</v>
      </c>
    </row>
    <row r="142" spans="1:149" x14ac:dyDescent="0.3">
      <c r="A142" s="197">
        <v>137</v>
      </c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247"/>
      <c r="AQ142" s="247"/>
      <c r="AR142" s="247"/>
      <c r="AS142" s="247"/>
      <c r="AT142" s="247"/>
      <c r="AU142" s="247"/>
      <c r="AV142" s="247"/>
      <c r="AW142" s="247"/>
      <c r="AX142" s="247"/>
      <c r="AY142" s="247"/>
      <c r="AZ142" s="247"/>
      <c r="BA142" s="247"/>
      <c r="BB142" s="247"/>
      <c r="BC142" s="247"/>
      <c r="BD142" s="206"/>
      <c r="BE142" s="206"/>
      <c r="BF142" s="206"/>
      <c r="BG142" s="206"/>
      <c r="BH142" s="206"/>
      <c r="BI142" s="206"/>
      <c r="BJ142" s="206"/>
      <c r="BK142" s="206"/>
      <c r="BL142" s="206"/>
      <c r="BM142" s="206"/>
      <c r="BN142" s="206"/>
      <c r="BO142" s="206"/>
      <c r="BP142" s="206"/>
      <c r="BQ142" s="206"/>
      <c r="BR142" s="252"/>
      <c r="BS142" s="252"/>
      <c r="BT142" s="252"/>
      <c r="BU142" s="252"/>
      <c r="BV142" s="252"/>
      <c r="BW142" s="252"/>
      <c r="BX142" s="252"/>
      <c r="BY142" s="252"/>
      <c r="BZ142" s="252"/>
      <c r="CA142" s="252"/>
      <c r="CB142" s="252"/>
      <c r="CC142" s="252"/>
      <c r="CD142" s="252"/>
      <c r="CE142" s="252"/>
      <c r="CF142" s="252"/>
      <c r="CG142" s="252"/>
      <c r="CH142" s="252"/>
      <c r="CI142" s="252"/>
      <c r="CJ142" s="257"/>
      <c r="CK142" s="257"/>
      <c r="CL142" s="257"/>
      <c r="CM142" s="257"/>
      <c r="CN142" s="257"/>
      <c r="CO142" s="257"/>
      <c r="CP142" s="257"/>
      <c r="CQ142" s="257"/>
      <c r="CR142" s="257"/>
      <c r="CS142" s="257"/>
      <c r="CT142" s="257"/>
      <c r="CU142" s="257"/>
      <c r="CV142" s="257"/>
      <c r="CW142" s="257"/>
      <c r="CX142" s="257"/>
      <c r="CY142" s="257"/>
      <c r="CZ142" s="257"/>
      <c r="DA142" s="257"/>
      <c r="DB142" s="202"/>
      <c r="DC142" s="202"/>
      <c r="DD142" s="202"/>
      <c r="DE142" s="202"/>
      <c r="DF142" s="202"/>
      <c r="DG142" s="202"/>
      <c r="DH142" s="202"/>
      <c r="DI142" s="202"/>
      <c r="DJ142" s="202"/>
      <c r="DK142" s="202"/>
      <c r="DL142" s="202"/>
      <c r="DM142" s="202"/>
      <c r="DN142" s="202"/>
      <c r="DO142" s="202"/>
      <c r="DP142" s="202"/>
      <c r="DQ142" s="202"/>
      <c r="DR142" s="202"/>
      <c r="DS142" s="202"/>
      <c r="DT142" s="196"/>
      <c r="DU142" s="196"/>
      <c r="DV142" s="196"/>
      <c r="DW142" s="196"/>
      <c r="DX142" s="196"/>
      <c r="DY142" s="196"/>
      <c r="DZ142" s="196"/>
      <c r="EA142" s="196"/>
      <c r="EB142" s="176">
        <f t="shared" si="16"/>
        <v>0</v>
      </c>
      <c r="EC142" s="176">
        <f t="shared" si="17"/>
        <v>0</v>
      </c>
      <c r="ED142" s="176">
        <f t="shared" si="18"/>
        <v>0</v>
      </c>
      <c r="EE142" s="176">
        <f t="shared" si="19"/>
        <v>0</v>
      </c>
      <c r="EG142" s="129">
        <f t="shared" si="20"/>
        <v>0</v>
      </c>
      <c r="EI142" s="176">
        <f t="shared" si="21"/>
        <v>0</v>
      </c>
      <c r="EK142" s="176">
        <f t="shared" si="22"/>
        <v>0</v>
      </c>
      <c r="EL142" s="176"/>
      <c r="EM142" s="177"/>
      <c r="EN142" s="178"/>
      <c r="EO142" s="177"/>
      <c r="EP142" s="177"/>
      <c r="EQ142" s="176">
        <f t="shared" si="23"/>
        <v>0</v>
      </c>
      <c r="ER142" s="179">
        <v>23300</v>
      </c>
      <c r="ES142" s="177">
        <v>7.5</v>
      </c>
    </row>
    <row r="143" spans="1:149" x14ac:dyDescent="0.3">
      <c r="A143" s="197">
        <v>138</v>
      </c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247"/>
      <c r="AQ143" s="247"/>
      <c r="AR143" s="247"/>
      <c r="AS143" s="247"/>
      <c r="AT143" s="247"/>
      <c r="AU143" s="247"/>
      <c r="AV143" s="247"/>
      <c r="AW143" s="247"/>
      <c r="AX143" s="247"/>
      <c r="AY143" s="247"/>
      <c r="AZ143" s="247"/>
      <c r="BA143" s="247"/>
      <c r="BB143" s="247"/>
      <c r="BC143" s="247"/>
      <c r="BD143" s="206"/>
      <c r="BE143" s="206"/>
      <c r="BF143" s="206"/>
      <c r="BG143" s="206"/>
      <c r="BH143" s="206"/>
      <c r="BI143" s="206"/>
      <c r="BJ143" s="206"/>
      <c r="BK143" s="206"/>
      <c r="BL143" s="206"/>
      <c r="BM143" s="206"/>
      <c r="BN143" s="206"/>
      <c r="BO143" s="206"/>
      <c r="BP143" s="206"/>
      <c r="BQ143" s="206"/>
      <c r="BR143" s="252"/>
      <c r="BS143" s="252"/>
      <c r="BT143" s="252"/>
      <c r="BU143" s="252"/>
      <c r="BV143" s="252"/>
      <c r="BW143" s="252"/>
      <c r="BX143" s="252"/>
      <c r="BY143" s="252"/>
      <c r="BZ143" s="252"/>
      <c r="CA143" s="252"/>
      <c r="CB143" s="252"/>
      <c r="CC143" s="252"/>
      <c r="CD143" s="252"/>
      <c r="CE143" s="252"/>
      <c r="CF143" s="252"/>
      <c r="CG143" s="252"/>
      <c r="CH143" s="252"/>
      <c r="CI143" s="252"/>
      <c r="CJ143" s="257"/>
      <c r="CK143" s="257"/>
      <c r="CL143" s="257"/>
      <c r="CM143" s="257"/>
      <c r="CN143" s="257"/>
      <c r="CO143" s="257"/>
      <c r="CP143" s="257"/>
      <c r="CQ143" s="257"/>
      <c r="CR143" s="257"/>
      <c r="CS143" s="257"/>
      <c r="CT143" s="257"/>
      <c r="CU143" s="257"/>
      <c r="CV143" s="257"/>
      <c r="CW143" s="257"/>
      <c r="CX143" s="257"/>
      <c r="CY143" s="257"/>
      <c r="CZ143" s="257"/>
      <c r="DA143" s="257"/>
      <c r="DB143" s="202"/>
      <c r="DC143" s="202"/>
      <c r="DD143" s="202"/>
      <c r="DE143" s="202"/>
      <c r="DF143" s="202"/>
      <c r="DG143" s="202"/>
      <c r="DH143" s="202"/>
      <c r="DI143" s="202"/>
      <c r="DJ143" s="202"/>
      <c r="DK143" s="202"/>
      <c r="DL143" s="202"/>
      <c r="DM143" s="202"/>
      <c r="DN143" s="202"/>
      <c r="DO143" s="202"/>
      <c r="DP143" s="202"/>
      <c r="DQ143" s="202"/>
      <c r="DR143" s="202"/>
      <c r="DS143" s="202"/>
      <c r="DT143" s="196"/>
      <c r="DU143" s="196"/>
      <c r="DV143" s="196"/>
      <c r="DW143" s="196"/>
      <c r="DX143" s="196"/>
      <c r="DY143" s="196"/>
      <c r="DZ143" s="196"/>
      <c r="EA143" s="196"/>
      <c r="EB143" s="176">
        <f t="shared" si="16"/>
        <v>0</v>
      </c>
      <c r="EC143" s="176">
        <f t="shared" si="17"/>
        <v>0</v>
      </c>
      <c r="ED143" s="176">
        <f t="shared" si="18"/>
        <v>0</v>
      </c>
      <c r="EE143" s="176">
        <f t="shared" si="19"/>
        <v>0</v>
      </c>
      <c r="EG143" s="129">
        <f t="shared" si="20"/>
        <v>0</v>
      </c>
      <c r="EI143" s="176">
        <f t="shared" si="21"/>
        <v>0</v>
      </c>
      <c r="EK143" s="176">
        <f t="shared" si="22"/>
        <v>0</v>
      </c>
      <c r="EL143" s="176"/>
      <c r="EM143" s="177"/>
      <c r="EN143" s="178"/>
      <c r="EO143" s="177"/>
      <c r="EP143" s="177"/>
      <c r="EQ143" s="176">
        <f t="shared" si="23"/>
        <v>0</v>
      </c>
      <c r="ER143" s="179">
        <v>23300</v>
      </c>
      <c r="ES143" s="177">
        <v>7.5</v>
      </c>
    </row>
    <row r="144" spans="1:149" x14ac:dyDescent="0.3">
      <c r="A144" s="197">
        <v>139</v>
      </c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247"/>
      <c r="AQ144" s="247"/>
      <c r="AR144" s="247"/>
      <c r="AS144" s="247"/>
      <c r="AT144" s="247"/>
      <c r="AU144" s="247"/>
      <c r="AV144" s="247"/>
      <c r="AW144" s="247"/>
      <c r="AX144" s="247"/>
      <c r="AY144" s="247"/>
      <c r="AZ144" s="247"/>
      <c r="BA144" s="247"/>
      <c r="BB144" s="247"/>
      <c r="BC144" s="247"/>
      <c r="BD144" s="206"/>
      <c r="BE144" s="206"/>
      <c r="BF144" s="206"/>
      <c r="BG144" s="206"/>
      <c r="BH144" s="206"/>
      <c r="BI144" s="206"/>
      <c r="BJ144" s="206"/>
      <c r="BK144" s="206"/>
      <c r="BL144" s="206"/>
      <c r="BM144" s="206"/>
      <c r="BN144" s="206"/>
      <c r="BO144" s="206"/>
      <c r="BP144" s="206"/>
      <c r="BQ144" s="206"/>
      <c r="BR144" s="252"/>
      <c r="BS144" s="252"/>
      <c r="BT144" s="252"/>
      <c r="BU144" s="252"/>
      <c r="BV144" s="252"/>
      <c r="BW144" s="252"/>
      <c r="BX144" s="252"/>
      <c r="BY144" s="252"/>
      <c r="BZ144" s="252"/>
      <c r="CA144" s="252"/>
      <c r="CB144" s="252"/>
      <c r="CC144" s="252"/>
      <c r="CD144" s="252"/>
      <c r="CE144" s="252"/>
      <c r="CF144" s="252"/>
      <c r="CG144" s="252"/>
      <c r="CH144" s="252"/>
      <c r="CI144" s="252"/>
      <c r="CJ144" s="257"/>
      <c r="CK144" s="257"/>
      <c r="CL144" s="257"/>
      <c r="CM144" s="257"/>
      <c r="CN144" s="257"/>
      <c r="CO144" s="257"/>
      <c r="CP144" s="257"/>
      <c r="CQ144" s="257"/>
      <c r="CR144" s="257"/>
      <c r="CS144" s="257"/>
      <c r="CT144" s="257"/>
      <c r="CU144" s="257"/>
      <c r="CV144" s="257"/>
      <c r="CW144" s="257"/>
      <c r="CX144" s="257"/>
      <c r="CY144" s="257"/>
      <c r="CZ144" s="257"/>
      <c r="DA144" s="257"/>
      <c r="DB144" s="202"/>
      <c r="DC144" s="202"/>
      <c r="DD144" s="202"/>
      <c r="DE144" s="202"/>
      <c r="DF144" s="202"/>
      <c r="DG144" s="202"/>
      <c r="DH144" s="202"/>
      <c r="DI144" s="202"/>
      <c r="DJ144" s="202"/>
      <c r="DK144" s="202"/>
      <c r="DL144" s="202"/>
      <c r="DM144" s="202"/>
      <c r="DN144" s="202"/>
      <c r="DO144" s="202"/>
      <c r="DP144" s="202"/>
      <c r="DQ144" s="202"/>
      <c r="DR144" s="202"/>
      <c r="DS144" s="202"/>
      <c r="DT144" s="196"/>
      <c r="DU144" s="196"/>
      <c r="DV144" s="196"/>
      <c r="DW144" s="196"/>
      <c r="DX144" s="196"/>
      <c r="DY144" s="196"/>
      <c r="DZ144" s="196"/>
      <c r="EA144" s="196"/>
      <c r="EB144" s="176">
        <f t="shared" si="16"/>
        <v>0</v>
      </c>
      <c r="EC144" s="176">
        <f t="shared" si="17"/>
        <v>0</v>
      </c>
      <c r="ED144" s="176">
        <f t="shared" si="18"/>
        <v>0</v>
      </c>
      <c r="EE144" s="176">
        <f t="shared" si="19"/>
        <v>0</v>
      </c>
      <c r="EG144" s="129">
        <f t="shared" si="20"/>
        <v>0</v>
      </c>
      <c r="EI144" s="176">
        <f t="shared" si="21"/>
        <v>0</v>
      </c>
      <c r="EK144" s="176">
        <f t="shared" si="22"/>
        <v>0</v>
      </c>
      <c r="EL144" s="176"/>
      <c r="EM144" s="177"/>
      <c r="EN144" s="178"/>
      <c r="EO144" s="177"/>
      <c r="EP144" s="177"/>
      <c r="EQ144" s="176">
        <f t="shared" si="23"/>
        <v>0</v>
      </c>
      <c r="ER144" s="179">
        <v>23300</v>
      </c>
      <c r="ES144" s="177">
        <v>7.5</v>
      </c>
    </row>
    <row r="145" spans="1:149" x14ac:dyDescent="0.3">
      <c r="A145" s="197">
        <v>140</v>
      </c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247"/>
      <c r="AQ145" s="247"/>
      <c r="AR145" s="247"/>
      <c r="AS145" s="247"/>
      <c r="AT145" s="247"/>
      <c r="AU145" s="247"/>
      <c r="AV145" s="247"/>
      <c r="AW145" s="247"/>
      <c r="AX145" s="247"/>
      <c r="AY145" s="247"/>
      <c r="AZ145" s="247"/>
      <c r="BA145" s="247"/>
      <c r="BB145" s="247"/>
      <c r="BC145" s="247"/>
      <c r="BD145" s="206"/>
      <c r="BE145" s="206"/>
      <c r="BF145" s="206"/>
      <c r="BG145" s="206"/>
      <c r="BH145" s="206"/>
      <c r="BI145" s="206"/>
      <c r="BJ145" s="206"/>
      <c r="BK145" s="206"/>
      <c r="BL145" s="206"/>
      <c r="BM145" s="206"/>
      <c r="BN145" s="206"/>
      <c r="BO145" s="206"/>
      <c r="BP145" s="206"/>
      <c r="BQ145" s="206"/>
      <c r="BR145" s="252"/>
      <c r="BS145" s="252"/>
      <c r="BT145" s="252"/>
      <c r="BU145" s="252"/>
      <c r="BV145" s="252"/>
      <c r="BW145" s="252"/>
      <c r="BX145" s="252"/>
      <c r="BY145" s="252"/>
      <c r="BZ145" s="252"/>
      <c r="CA145" s="252"/>
      <c r="CB145" s="252"/>
      <c r="CC145" s="252"/>
      <c r="CD145" s="252"/>
      <c r="CE145" s="252"/>
      <c r="CF145" s="252"/>
      <c r="CG145" s="252"/>
      <c r="CH145" s="252"/>
      <c r="CI145" s="252"/>
      <c r="CJ145" s="257"/>
      <c r="CK145" s="257"/>
      <c r="CL145" s="257"/>
      <c r="CM145" s="257"/>
      <c r="CN145" s="257"/>
      <c r="CO145" s="257"/>
      <c r="CP145" s="257"/>
      <c r="CQ145" s="257"/>
      <c r="CR145" s="257"/>
      <c r="CS145" s="257"/>
      <c r="CT145" s="257"/>
      <c r="CU145" s="257"/>
      <c r="CV145" s="257"/>
      <c r="CW145" s="257"/>
      <c r="CX145" s="257"/>
      <c r="CY145" s="257"/>
      <c r="CZ145" s="257"/>
      <c r="DA145" s="257"/>
      <c r="DB145" s="202"/>
      <c r="DC145" s="202"/>
      <c r="DD145" s="202"/>
      <c r="DE145" s="202"/>
      <c r="DF145" s="202"/>
      <c r="DG145" s="202"/>
      <c r="DH145" s="202"/>
      <c r="DI145" s="202"/>
      <c r="DJ145" s="202"/>
      <c r="DK145" s="202"/>
      <c r="DL145" s="202"/>
      <c r="DM145" s="202"/>
      <c r="DN145" s="202"/>
      <c r="DO145" s="202"/>
      <c r="DP145" s="202"/>
      <c r="DQ145" s="202"/>
      <c r="DR145" s="202"/>
      <c r="DS145" s="202"/>
      <c r="DT145" s="196"/>
      <c r="DU145" s="196"/>
      <c r="DV145" s="196"/>
      <c r="DW145" s="196"/>
      <c r="DX145" s="196"/>
      <c r="DY145" s="196"/>
      <c r="DZ145" s="196"/>
      <c r="EA145" s="196"/>
      <c r="EB145" s="176">
        <f t="shared" si="16"/>
        <v>0</v>
      </c>
      <c r="EC145" s="176">
        <f t="shared" si="17"/>
        <v>0</v>
      </c>
      <c r="ED145" s="176">
        <f t="shared" si="18"/>
        <v>0</v>
      </c>
      <c r="EE145" s="176">
        <f t="shared" si="19"/>
        <v>0</v>
      </c>
      <c r="EG145" s="129">
        <f t="shared" si="20"/>
        <v>0</v>
      </c>
      <c r="EI145" s="176">
        <f t="shared" si="21"/>
        <v>0</v>
      </c>
      <c r="EK145" s="176">
        <f t="shared" si="22"/>
        <v>0</v>
      </c>
      <c r="EL145" s="176"/>
      <c r="EM145" s="177"/>
      <c r="EN145" s="178"/>
      <c r="EO145" s="177"/>
      <c r="EP145" s="177"/>
      <c r="EQ145" s="176">
        <f t="shared" si="23"/>
        <v>0</v>
      </c>
      <c r="ER145" s="179">
        <v>23300</v>
      </c>
      <c r="ES145" s="177">
        <v>7.5</v>
      </c>
    </row>
    <row r="146" spans="1:149" x14ac:dyDescent="0.3">
      <c r="A146" s="197">
        <v>141</v>
      </c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247"/>
      <c r="AQ146" s="247"/>
      <c r="AR146" s="247"/>
      <c r="AS146" s="247"/>
      <c r="AT146" s="247"/>
      <c r="AU146" s="247"/>
      <c r="AV146" s="247"/>
      <c r="AW146" s="247"/>
      <c r="AX146" s="247"/>
      <c r="AY146" s="247"/>
      <c r="AZ146" s="247"/>
      <c r="BA146" s="247"/>
      <c r="BB146" s="247"/>
      <c r="BC146" s="247"/>
      <c r="BD146" s="206"/>
      <c r="BE146" s="206"/>
      <c r="BF146" s="206"/>
      <c r="BG146" s="206"/>
      <c r="BH146" s="206"/>
      <c r="BI146" s="206"/>
      <c r="BJ146" s="206"/>
      <c r="BK146" s="206"/>
      <c r="BL146" s="206"/>
      <c r="BM146" s="206"/>
      <c r="BN146" s="206"/>
      <c r="BO146" s="206"/>
      <c r="BP146" s="206"/>
      <c r="BQ146" s="206"/>
      <c r="BR146" s="252"/>
      <c r="BS146" s="252"/>
      <c r="BT146" s="252"/>
      <c r="BU146" s="252"/>
      <c r="BV146" s="252"/>
      <c r="BW146" s="252"/>
      <c r="BX146" s="252"/>
      <c r="BY146" s="252"/>
      <c r="BZ146" s="252"/>
      <c r="CA146" s="252"/>
      <c r="CB146" s="252"/>
      <c r="CC146" s="252"/>
      <c r="CD146" s="252"/>
      <c r="CE146" s="252"/>
      <c r="CF146" s="252"/>
      <c r="CG146" s="252"/>
      <c r="CH146" s="252"/>
      <c r="CI146" s="252"/>
      <c r="CJ146" s="257"/>
      <c r="CK146" s="257"/>
      <c r="CL146" s="257"/>
      <c r="CM146" s="257"/>
      <c r="CN146" s="257"/>
      <c r="CO146" s="257"/>
      <c r="CP146" s="257"/>
      <c r="CQ146" s="257"/>
      <c r="CR146" s="257"/>
      <c r="CS146" s="257"/>
      <c r="CT146" s="257"/>
      <c r="CU146" s="257"/>
      <c r="CV146" s="257"/>
      <c r="CW146" s="257"/>
      <c r="CX146" s="257"/>
      <c r="CY146" s="257"/>
      <c r="CZ146" s="257"/>
      <c r="DA146" s="257"/>
      <c r="DB146" s="202"/>
      <c r="DC146" s="202"/>
      <c r="DD146" s="202"/>
      <c r="DE146" s="202"/>
      <c r="DF146" s="202"/>
      <c r="DG146" s="202"/>
      <c r="DH146" s="202"/>
      <c r="DI146" s="202"/>
      <c r="DJ146" s="202"/>
      <c r="DK146" s="202"/>
      <c r="DL146" s="202"/>
      <c r="DM146" s="202"/>
      <c r="DN146" s="202"/>
      <c r="DO146" s="202"/>
      <c r="DP146" s="202"/>
      <c r="DQ146" s="202"/>
      <c r="DR146" s="202"/>
      <c r="DS146" s="202"/>
      <c r="DT146" s="196"/>
      <c r="DU146" s="196"/>
      <c r="DV146" s="196"/>
      <c r="DW146" s="196"/>
      <c r="DX146" s="196"/>
      <c r="DY146" s="196"/>
      <c r="DZ146" s="196"/>
      <c r="EA146" s="196"/>
      <c r="EB146" s="176">
        <f t="shared" si="16"/>
        <v>0</v>
      </c>
      <c r="EC146" s="176">
        <f t="shared" si="17"/>
        <v>0</v>
      </c>
      <c r="ED146" s="176">
        <f t="shared" si="18"/>
        <v>0</v>
      </c>
      <c r="EE146" s="176">
        <f t="shared" si="19"/>
        <v>0</v>
      </c>
      <c r="EG146" s="129">
        <f t="shared" si="20"/>
        <v>0</v>
      </c>
      <c r="EI146" s="176">
        <f t="shared" si="21"/>
        <v>0</v>
      </c>
      <c r="EK146" s="176">
        <f t="shared" si="22"/>
        <v>0</v>
      </c>
      <c r="EL146" s="176"/>
      <c r="EM146" s="177"/>
      <c r="EN146" s="178"/>
      <c r="EO146" s="177"/>
      <c r="EP146" s="177"/>
      <c r="EQ146" s="176">
        <f t="shared" si="23"/>
        <v>0</v>
      </c>
      <c r="ER146" s="179">
        <v>23300</v>
      </c>
      <c r="ES146" s="177">
        <v>7.5</v>
      </c>
    </row>
    <row r="147" spans="1:149" x14ac:dyDescent="0.3">
      <c r="A147" s="197">
        <v>142</v>
      </c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247"/>
      <c r="AQ147" s="247"/>
      <c r="AR147" s="247"/>
      <c r="AS147" s="247"/>
      <c r="AT147" s="247"/>
      <c r="AU147" s="247"/>
      <c r="AV147" s="247"/>
      <c r="AW147" s="247"/>
      <c r="AX147" s="247"/>
      <c r="AY147" s="247"/>
      <c r="AZ147" s="247"/>
      <c r="BA147" s="247"/>
      <c r="BB147" s="247"/>
      <c r="BC147" s="247"/>
      <c r="BD147" s="206"/>
      <c r="BE147" s="206"/>
      <c r="BF147" s="206"/>
      <c r="BG147" s="206"/>
      <c r="BH147" s="206"/>
      <c r="BI147" s="206"/>
      <c r="BJ147" s="206"/>
      <c r="BK147" s="206"/>
      <c r="BL147" s="206"/>
      <c r="BM147" s="206"/>
      <c r="BN147" s="206"/>
      <c r="BO147" s="206"/>
      <c r="BP147" s="206"/>
      <c r="BQ147" s="206"/>
      <c r="BR147" s="252"/>
      <c r="BS147" s="252"/>
      <c r="BT147" s="252"/>
      <c r="BU147" s="252"/>
      <c r="BV147" s="252"/>
      <c r="BW147" s="252"/>
      <c r="BX147" s="252"/>
      <c r="BY147" s="252"/>
      <c r="BZ147" s="252"/>
      <c r="CA147" s="252"/>
      <c r="CB147" s="252"/>
      <c r="CC147" s="252"/>
      <c r="CD147" s="252"/>
      <c r="CE147" s="252"/>
      <c r="CF147" s="252"/>
      <c r="CG147" s="252"/>
      <c r="CH147" s="252"/>
      <c r="CI147" s="252"/>
      <c r="CJ147" s="257"/>
      <c r="CK147" s="257"/>
      <c r="CL147" s="257"/>
      <c r="CM147" s="257"/>
      <c r="CN147" s="257"/>
      <c r="CO147" s="257"/>
      <c r="CP147" s="257"/>
      <c r="CQ147" s="257"/>
      <c r="CR147" s="257"/>
      <c r="CS147" s="257"/>
      <c r="CT147" s="257"/>
      <c r="CU147" s="257"/>
      <c r="CV147" s="257"/>
      <c r="CW147" s="257"/>
      <c r="CX147" s="257"/>
      <c r="CY147" s="257"/>
      <c r="CZ147" s="257"/>
      <c r="DA147" s="257"/>
      <c r="DB147" s="202"/>
      <c r="DC147" s="202"/>
      <c r="DD147" s="202"/>
      <c r="DE147" s="202"/>
      <c r="DF147" s="202"/>
      <c r="DG147" s="202"/>
      <c r="DH147" s="202"/>
      <c r="DI147" s="202"/>
      <c r="DJ147" s="202"/>
      <c r="DK147" s="202"/>
      <c r="DL147" s="202"/>
      <c r="DM147" s="202"/>
      <c r="DN147" s="202"/>
      <c r="DO147" s="202"/>
      <c r="DP147" s="202"/>
      <c r="DQ147" s="202"/>
      <c r="DR147" s="202"/>
      <c r="DS147" s="202"/>
      <c r="DT147" s="196"/>
      <c r="DU147" s="196"/>
      <c r="DV147" s="196"/>
      <c r="DW147" s="196"/>
      <c r="DX147" s="196"/>
      <c r="DY147" s="196"/>
      <c r="DZ147" s="196"/>
      <c r="EA147" s="196"/>
      <c r="EB147" s="176">
        <f t="shared" si="16"/>
        <v>0</v>
      </c>
      <c r="EC147" s="176">
        <f t="shared" si="17"/>
        <v>0</v>
      </c>
      <c r="ED147" s="176">
        <f t="shared" si="18"/>
        <v>0</v>
      </c>
      <c r="EE147" s="176">
        <f t="shared" si="19"/>
        <v>0</v>
      </c>
      <c r="EG147" s="129">
        <f t="shared" si="20"/>
        <v>0</v>
      </c>
      <c r="EI147" s="176">
        <f t="shared" si="21"/>
        <v>0</v>
      </c>
      <c r="EK147" s="176">
        <f t="shared" si="22"/>
        <v>0</v>
      </c>
      <c r="EL147" s="176"/>
      <c r="EM147" s="177"/>
      <c r="EN147" s="178"/>
      <c r="EO147" s="177"/>
      <c r="EP147" s="177"/>
      <c r="EQ147" s="176">
        <f t="shared" si="23"/>
        <v>0</v>
      </c>
      <c r="ER147" s="179">
        <v>23300</v>
      </c>
      <c r="ES147" s="177">
        <v>7.5</v>
      </c>
    </row>
    <row r="148" spans="1:149" x14ac:dyDescent="0.3">
      <c r="A148" s="197">
        <v>143</v>
      </c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247"/>
      <c r="AQ148" s="247"/>
      <c r="AR148" s="247"/>
      <c r="AS148" s="247"/>
      <c r="AT148" s="247"/>
      <c r="AU148" s="247"/>
      <c r="AV148" s="247"/>
      <c r="AW148" s="247"/>
      <c r="AX148" s="247"/>
      <c r="AY148" s="247"/>
      <c r="AZ148" s="247"/>
      <c r="BA148" s="247"/>
      <c r="BB148" s="247"/>
      <c r="BC148" s="247"/>
      <c r="BD148" s="206"/>
      <c r="BE148" s="206"/>
      <c r="BF148" s="206"/>
      <c r="BG148" s="206"/>
      <c r="BH148" s="206"/>
      <c r="BI148" s="206"/>
      <c r="BJ148" s="206"/>
      <c r="BK148" s="206"/>
      <c r="BL148" s="206"/>
      <c r="BM148" s="206"/>
      <c r="BN148" s="206"/>
      <c r="BO148" s="206"/>
      <c r="BP148" s="206"/>
      <c r="BQ148" s="206"/>
      <c r="BR148" s="252"/>
      <c r="BS148" s="252"/>
      <c r="BT148" s="252"/>
      <c r="BU148" s="252"/>
      <c r="BV148" s="252"/>
      <c r="BW148" s="252"/>
      <c r="BX148" s="252"/>
      <c r="BY148" s="252"/>
      <c r="BZ148" s="252"/>
      <c r="CA148" s="252"/>
      <c r="CB148" s="252"/>
      <c r="CC148" s="252"/>
      <c r="CD148" s="252"/>
      <c r="CE148" s="252"/>
      <c r="CF148" s="252"/>
      <c r="CG148" s="252"/>
      <c r="CH148" s="252"/>
      <c r="CI148" s="252"/>
      <c r="CJ148" s="257"/>
      <c r="CK148" s="257"/>
      <c r="CL148" s="257"/>
      <c r="CM148" s="257"/>
      <c r="CN148" s="257"/>
      <c r="CO148" s="257"/>
      <c r="CP148" s="257"/>
      <c r="CQ148" s="257"/>
      <c r="CR148" s="257"/>
      <c r="CS148" s="257"/>
      <c r="CT148" s="257"/>
      <c r="CU148" s="257"/>
      <c r="CV148" s="257"/>
      <c r="CW148" s="257"/>
      <c r="CX148" s="257"/>
      <c r="CY148" s="257"/>
      <c r="CZ148" s="257"/>
      <c r="DA148" s="257"/>
      <c r="DB148" s="202"/>
      <c r="DC148" s="202"/>
      <c r="DD148" s="202"/>
      <c r="DE148" s="202"/>
      <c r="DF148" s="202"/>
      <c r="DG148" s="202"/>
      <c r="DH148" s="202"/>
      <c r="DI148" s="202"/>
      <c r="DJ148" s="202"/>
      <c r="DK148" s="202"/>
      <c r="DL148" s="202"/>
      <c r="DM148" s="202"/>
      <c r="DN148" s="202"/>
      <c r="DO148" s="202"/>
      <c r="DP148" s="202"/>
      <c r="DQ148" s="202"/>
      <c r="DR148" s="202"/>
      <c r="DS148" s="202"/>
      <c r="DT148" s="196"/>
      <c r="DU148" s="196"/>
      <c r="DV148" s="196"/>
      <c r="DW148" s="196"/>
      <c r="DX148" s="196"/>
      <c r="DY148" s="196"/>
      <c r="DZ148" s="196"/>
      <c r="EA148" s="196"/>
      <c r="EB148" s="176">
        <f t="shared" si="16"/>
        <v>0</v>
      </c>
      <c r="EC148" s="176">
        <f t="shared" si="17"/>
        <v>0</v>
      </c>
      <c r="ED148" s="176">
        <f t="shared" si="18"/>
        <v>0</v>
      </c>
      <c r="EE148" s="176">
        <f t="shared" si="19"/>
        <v>0</v>
      </c>
      <c r="EG148" s="129">
        <f t="shared" si="20"/>
        <v>0</v>
      </c>
      <c r="EI148" s="176">
        <f t="shared" si="21"/>
        <v>0</v>
      </c>
      <c r="EK148" s="176">
        <f t="shared" si="22"/>
        <v>0</v>
      </c>
      <c r="EL148" s="176"/>
      <c r="EM148" s="177"/>
      <c r="EN148" s="178"/>
      <c r="EO148" s="177"/>
      <c r="EP148" s="177"/>
      <c r="EQ148" s="176">
        <f t="shared" si="23"/>
        <v>0</v>
      </c>
      <c r="ER148" s="179">
        <v>23300</v>
      </c>
      <c r="ES148" s="177">
        <v>7.5</v>
      </c>
    </row>
    <row r="149" spans="1:149" x14ac:dyDescent="0.3">
      <c r="A149" s="197">
        <v>144</v>
      </c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247"/>
      <c r="AQ149" s="247"/>
      <c r="AR149" s="247"/>
      <c r="AS149" s="247"/>
      <c r="AT149" s="247"/>
      <c r="AU149" s="247"/>
      <c r="AV149" s="247"/>
      <c r="AW149" s="247"/>
      <c r="AX149" s="247"/>
      <c r="AY149" s="247"/>
      <c r="AZ149" s="247"/>
      <c r="BA149" s="247"/>
      <c r="BB149" s="247"/>
      <c r="BC149" s="247"/>
      <c r="BD149" s="206"/>
      <c r="BE149" s="206"/>
      <c r="BF149" s="206"/>
      <c r="BG149" s="206"/>
      <c r="BH149" s="206"/>
      <c r="BI149" s="206"/>
      <c r="BJ149" s="206"/>
      <c r="BK149" s="206"/>
      <c r="BL149" s="206"/>
      <c r="BM149" s="206"/>
      <c r="BN149" s="206"/>
      <c r="BO149" s="206"/>
      <c r="BP149" s="206"/>
      <c r="BQ149" s="206"/>
      <c r="BR149" s="252"/>
      <c r="BS149" s="252"/>
      <c r="BT149" s="252"/>
      <c r="BU149" s="252"/>
      <c r="BV149" s="252"/>
      <c r="BW149" s="252"/>
      <c r="BX149" s="252"/>
      <c r="BY149" s="252"/>
      <c r="BZ149" s="252"/>
      <c r="CA149" s="252"/>
      <c r="CB149" s="252"/>
      <c r="CC149" s="252"/>
      <c r="CD149" s="252"/>
      <c r="CE149" s="252"/>
      <c r="CF149" s="252"/>
      <c r="CG149" s="252"/>
      <c r="CH149" s="252"/>
      <c r="CI149" s="252"/>
      <c r="CJ149" s="257"/>
      <c r="CK149" s="257"/>
      <c r="CL149" s="257"/>
      <c r="CM149" s="257"/>
      <c r="CN149" s="257"/>
      <c r="CO149" s="257"/>
      <c r="CP149" s="257"/>
      <c r="CQ149" s="257"/>
      <c r="CR149" s="257"/>
      <c r="CS149" s="257"/>
      <c r="CT149" s="257"/>
      <c r="CU149" s="257"/>
      <c r="CV149" s="257"/>
      <c r="CW149" s="257"/>
      <c r="CX149" s="257"/>
      <c r="CY149" s="257"/>
      <c r="CZ149" s="257"/>
      <c r="DA149" s="257"/>
      <c r="DB149" s="202"/>
      <c r="DC149" s="202"/>
      <c r="DD149" s="202"/>
      <c r="DE149" s="202"/>
      <c r="DF149" s="202"/>
      <c r="DG149" s="202"/>
      <c r="DH149" s="202"/>
      <c r="DI149" s="202"/>
      <c r="DJ149" s="202"/>
      <c r="DK149" s="202"/>
      <c r="DL149" s="202"/>
      <c r="DM149" s="202"/>
      <c r="DN149" s="202"/>
      <c r="DO149" s="202"/>
      <c r="DP149" s="202"/>
      <c r="DQ149" s="202"/>
      <c r="DR149" s="202"/>
      <c r="DS149" s="202"/>
      <c r="DT149" s="196"/>
      <c r="DU149" s="196"/>
      <c r="DV149" s="196"/>
      <c r="DW149" s="196"/>
      <c r="DX149" s="196"/>
      <c r="DY149" s="196"/>
      <c r="DZ149" s="196"/>
      <c r="EA149" s="196"/>
      <c r="EB149" s="176">
        <f t="shared" si="16"/>
        <v>0</v>
      </c>
      <c r="EC149" s="176">
        <f t="shared" si="17"/>
        <v>0</v>
      </c>
      <c r="ED149" s="176">
        <f t="shared" si="18"/>
        <v>0</v>
      </c>
      <c r="EE149" s="176">
        <f t="shared" si="19"/>
        <v>0</v>
      </c>
      <c r="EG149" s="129">
        <f t="shared" si="20"/>
        <v>0</v>
      </c>
      <c r="EI149" s="176">
        <f t="shared" si="21"/>
        <v>0</v>
      </c>
      <c r="EK149" s="176">
        <f t="shared" si="22"/>
        <v>0</v>
      </c>
      <c r="EL149" s="176"/>
      <c r="EM149" s="177"/>
      <c r="EN149" s="178"/>
      <c r="EO149" s="177"/>
      <c r="EP149" s="177"/>
      <c r="EQ149" s="176">
        <f t="shared" si="23"/>
        <v>0</v>
      </c>
      <c r="ER149" s="179">
        <v>23300</v>
      </c>
      <c r="ES149" s="177">
        <v>7.5</v>
      </c>
    </row>
    <row r="150" spans="1:149" x14ac:dyDescent="0.3">
      <c r="A150" s="197">
        <v>145</v>
      </c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247"/>
      <c r="AQ150" s="247"/>
      <c r="AR150" s="247"/>
      <c r="AS150" s="247"/>
      <c r="AT150" s="247"/>
      <c r="AU150" s="247"/>
      <c r="AV150" s="247"/>
      <c r="AW150" s="247"/>
      <c r="AX150" s="247"/>
      <c r="AY150" s="247"/>
      <c r="AZ150" s="247"/>
      <c r="BA150" s="247"/>
      <c r="BB150" s="247"/>
      <c r="BC150" s="247"/>
      <c r="BD150" s="206"/>
      <c r="BE150" s="206"/>
      <c r="BF150" s="206"/>
      <c r="BG150" s="206"/>
      <c r="BH150" s="206"/>
      <c r="BI150" s="206"/>
      <c r="BJ150" s="206"/>
      <c r="BK150" s="206"/>
      <c r="BL150" s="206"/>
      <c r="BM150" s="206"/>
      <c r="BN150" s="206"/>
      <c r="BO150" s="206"/>
      <c r="BP150" s="206"/>
      <c r="BQ150" s="206"/>
      <c r="BR150" s="252"/>
      <c r="BS150" s="252"/>
      <c r="BT150" s="252"/>
      <c r="BU150" s="252"/>
      <c r="BV150" s="252"/>
      <c r="BW150" s="252"/>
      <c r="BX150" s="252"/>
      <c r="BY150" s="252"/>
      <c r="BZ150" s="252"/>
      <c r="CA150" s="252"/>
      <c r="CB150" s="252"/>
      <c r="CC150" s="252"/>
      <c r="CD150" s="252"/>
      <c r="CE150" s="252"/>
      <c r="CF150" s="252"/>
      <c r="CG150" s="252"/>
      <c r="CH150" s="252"/>
      <c r="CI150" s="252"/>
      <c r="CJ150" s="257"/>
      <c r="CK150" s="257"/>
      <c r="CL150" s="257"/>
      <c r="CM150" s="257"/>
      <c r="CN150" s="257"/>
      <c r="CO150" s="257"/>
      <c r="CP150" s="257"/>
      <c r="CQ150" s="257"/>
      <c r="CR150" s="257"/>
      <c r="CS150" s="257"/>
      <c r="CT150" s="257"/>
      <c r="CU150" s="257"/>
      <c r="CV150" s="257"/>
      <c r="CW150" s="257"/>
      <c r="CX150" s="257"/>
      <c r="CY150" s="257"/>
      <c r="CZ150" s="257"/>
      <c r="DA150" s="257"/>
      <c r="DB150" s="202"/>
      <c r="DC150" s="202"/>
      <c r="DD150" s="202"/>
      <c r="DE150" s="202"/>
      <c r="DF150" s="202"/>
      <c r="DG150" s="202"/>
      <c r="DH150" s="202"/>
      <c r="DI150" s="202"/>
      <c r="DJ150" s="202"/>
      <c r="DK150" s="202"/>
      <c r="DL150" s="202"/>
      <c r="DM150" s="202"/>
      <c r="DN150" s="202"/>
      <c r="DO150" s="202"/>
      <c r="DP150" s="202"/>
      <c r="DQ150" s="202"/>
      <c r="DR150" s="202"/>
      <c r="DS150" s="202"/>
      <c r="DT150" s="196"/>
      <c r="DU150" s="196"/>
      <c r="DV150" s="196"/>
      <c r="DW150" s="196"/>
      <c r="DX150" s="196"/>
      <c r="DY150" s="196"/>
      <c r="DZ150" s="196"/>
      <c r="EA150" s="196"/>
      <c r="EB150" s="176">
        <f t="shared" si="16"/>
        <v>0</v>
      </c>
      <c r="EC150" s="176">
        <f t="shared" si="17"/>
        <v>0</v>
      </c>
      <c r="ED150" s="176">
        <f t="shared" si="18"/>
        <v>0</v>
      </c>
      <c r="EE150" s="176">
        <f t="shared" si="19"/>
        <v>0</v>
      </c>
      <c r="EG150" s="129">
        <f t="shared" si="20"/>
        <v>0</v>
      </c>
      <c r="EI150" s="176">
        <f t="shared" si="21"/>
        <v>0</v>
      </c>
      <c r="EK150" s="176">
        <f t="shared" si="22"/>
        <v>0</v>
      </c>
      <c r="EL150" s="176"/>
      <c r="EM150" s="177"/>
      <c r="EN150" s="178"/>
      <c r="EO150" s="177"/>
      <c r="EP150" s="177"/>
      <c r="EQ150" s="176">
        <f t="shared" si="23"/>
        <v>0</v>
      </c>
      <c r="ER150" s="179">
        <v>23300</v>
      </c>
      <c r="ES150" s="177">
        <v>7.5</v>
      </c>
    </row>
    <row r="151" spans="1:149" x14ac:dyDescent="0.3">
      <c r="A151" s="197">
        <v>146</v>
      </c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247"/>
      <c r="AQ151" s="247"/>
      <c r="AR151" s="247"/>
      <c r="AS151" s="247"/>
      <c r="AT151" s="247"/>
      <c r="AU151" s="247"/>
      <c r="AV151" s="247"/>
      <c r="AW151" s="247"/>
      <c r="AX151" s="247"/>
      <c r="AY151" s="247"/>
      <c r="AZ151" s="247"/>
      <c r="BA151" s="247"/>
      <c r="BB151" s="247"/>
      <c r="BC151" s="247"/>
      <c r="BD151" s="206"/>
      <c r="BE151" s="206"/>
      <c r="BF151" s="206"/>
      <c r="BG151" s="206"/>
      <c r="BH151" s="206"/>
      <c r="BI151" s="206"/>
      <c r="BJ151" s="206"/>
      <c r="BK151" s="206"/>
      <c r="BL151" s="206"/>
      <c r="BM151" s="206"/>
      <c r="BN151" s="206"/>
      <c r="BO151" s="206"/>
      <c r="BP151" s="206"/>
      <c r="BQ151" s="206"/>
      <c r="BR151" s="252"/>
      <c r="BS151" s="252"/>
      <c r="BT151" s="252"/>
      <c r="BU151" s="252"/>
      <c r="BV151" s="252"/>
      <c r="BW151" s="252"/>
      <c r="BX151" s="252"/>
      <c r="BY151" s="252"/>
      <c r="BZ151" s="252"/>
      <c r="CA151" s="252"/>
      <c r="CB151" s="252"/>
      <c r="CC151" s="252"/>
      <c r="CD151" s="252"/>
      <c r="CE151" s="252"/>
      <c r="CF151" s="252"/>
      <c r="CG151" s="252"/>
      <c r="CH151" s="252"/>
      <c r="CI151" s="252"/>
      <c r="CJ151" s="257"/>
      <c r="CK151" s="257"/>
      <c r="CL151" s="257"/>
      <c r="CM151" s="257"/>
      <c r="CN151" s="257"/>
      <c r="CO151" s="257"/>
      <c r="CP151" s="257"/>
      <c r="CQ151" s="257"/>
      <c r="CR151" s="257"/>
      <c r="CS151" s="257"/>
      <c r="CT151" s="257"/>
      <c r="CU151" s="257"/>
      <c r="CV151" s="257"/>
      <c r="CW151" s="257"/>
      <c r="CX151" s="257"/>
      <c r="CY151" s="257"/>
      <c r="CZ151" s="257"/>
      <c r="DA151" s="257"/>
      <c r="DB151" s="202"/>
      <c r="DC151" s="202"/>
      <c r="DD151" s="202"/>
      <c r="DE151" s="202"/>
      <c r="DF151" s="202"/>
      <c r="DG151" s="202"/>
      <c r="DH151" s="202"/>
      <c r="DI151" s="202"/>
      <c r="DJ151" s="202"/>
      <c r="DK151" s="202"/>
      <c r="DL151" s="202"/>
      <c r="DM151" s="202"/>
      <c r="DN151" s="202"/>
      <c r="DO151" s="202"/>
      <c r="DP151" s="202"/>
      <c r="DQ151" s="202"/>
      <c r="DR151" s="202"/>
      <c r="DS151" s="202"/>
      <c r="DT151" s="196"/>
      <c r="DU151" s="196"/>
      <c r="DV151" s="196"/>
      <c r="DW151" s="196"/>
      <c r="DX151" s="196"/>
      <c r="DY151" s="196"/>
      <c r="DZ151" s="196"/>
      <c r="EA151" s="196"/>
      <c r="EB151" s="176">
        <f t="shared" si="16"/>
        <v>0</v>
      </c>
      <c r="EC151" s="176">
        <f t="shared" si="17"/>
        <v>0</v>
      </c>
      <c r="ED151" s="176">
        <f t="shared" si="18"/>
        <v>0</v>
      </c>
      <c r="EE151" s="176">
        <f t="shared" si="19"/>
        <v>0</v>
      </c>
      <c r="EG151" s="129">
        <f t="shared" si="20"/>
        <v>0</v>
      </c>
      <c r="EI151" s="176">
        <f t="shared" si="21"/>
        <v>0</v>
      </c>
      <c r="EK151" s="176">
        <f t="shared" si="22"/>
        <v>0</v>
      </c>
      <c r="EL151" s="176"/>
      <c r="EM151" s="177"/>
      <c r="EN151" s="178"/>
      <c r="EO151" s="177"/>
      <c r="EP151" s="177"/>
      <c r="EQ151" s="176">
        <f t="shared" si="23"/>
        <v>0</v>
      </c>
      <c r="ER151" s="179">
        <v>23300</v>
      </c>
      <c r="ES151" s="177">
        <v>7.5</v>
      </c>
    </row>
    <row r="152" spans="1:149" x14ac:dyDescent="0.3">
      <c r="A152" s="197">
        <v>147</v>
      </c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247"/>
      <c r="AQ152" s="247"/>
      <c r="AR152" s="247"/>
      <c r="AS152" s="247"/>
      <c r="AT152" s="247"/>
      <c r="AU152" s="247"/>
      <c r="AV152" s="247"/>
      <c r="AW152" s="247"/>
      <c r="AX152" s="247"/>
      <c r="AY152" s="247"/>
      <c r="AZ152" s="247"/>
      <c r="BA152" s="247"/>
      <c r="BB152" s="247"/>
      <c r="BC152" s="247"/>
      <c r="BD152" s="206"/>
      <c r="BE152" s="206"/>
      <c r="BF152" s="206"/>
      <c r="BG152" s="206"/>
      <c r="BH152" s="206"/>
      <c r="BI152" s="206"/>
      <c r="BJ152" s="206"/>
      <c r="BK152" s="206"/>
      <c r="BL152" s="206"/>
      <c r="BM152" s="206"/>
      <c r="BN152" s="206"/>
      <c r="BO152" s="206"/>
      <c r="BP152" s="206"/>
      <c r="BQ152" s="206"/>
      <c r="BR152" s="252"/>
      <c r="BS152" s="252"/>
      <c r="BT152" s="252"/>
      <c r="BU152" s="252"/>
      <c r="BV152" s="252"/>
      <c r="BW152" s="252"/>
      <c r="BX152" s="252"/>
      <c r="BY152" s="252"/>
      <c r="BZ152" s="252"/>
      <c r="CA152" s="252"/>
      <c r="CB152" s="252"/>
      <c r="CC152" s="252"/>
      <c r="CD152" s="252"/>
      <c r="CE152" s="252"/>
      <c r="CF152" s="252"/>
      <c r="CG152" s="252"/>
      <c r="CH152" s="252"/>
      <c r="CI152" s="252"/>
      <c r="CJ152" s="257"/>
      <c r="CK152" s="257"/>
      <c r="CL152" s="257"/>
      <c r="CM152" s="257"/>
      <c r="CN152" s="257"/>
      <c r="CO152" s="257"/>
      <c r="CP152" s="257"/>
      <c r="CQ152" s="257"/>
      <c r="CR152" s="257"/>
      <c r="CS152" s="257"/>
      <c r="CT152" s="257"/>
      <c r="CU152" s="257"/>
      <c r="CV152" s="257"/>
      <c r="CW152" s="257"/>
      <c r="CX152" s="257"/>
      <c r="CY152" s="257"/>
      <c r="CZ152" s="257"/>
      <c r="DA152" s="257"/>
      <c r="DB152" s="202"/>
      <c r="DC152" s="202"/>
      <c r="DD152" s="202"/>
      <c r="DE152" s="202"/>
      <c r="DF152" s="202"/>
      <c r="DG152" s="202"/>
      <c r="DH152" s="202"/>
      <c r="DI152" s="202"/>
      <c r="DJ152" s="202"/>
      <c r="DK152" s="202"/>
      <c r="DL152" s="202"/>
      <c r="DM152" s="202"/>
      <c r="DN152" s="202"/>
      <c r="DO152" s="202"/>
      <c r="DP152" s="202"/>
      <c r="DQ152" s="202"/>
      <c r="DR152" s="202"/>
      <c r="DS152" s="202"/>
      <c r="DT152" s="196"/>
      <c r="DU152" s="196"/>
      <c r="DV152" s="196"/>
      <c r="DW152" s="196"/>
      <c r="DX152" s="196"/>
      <c r="DY152" s="196"/>
      <c r="DZ152" s="196"/>
      <c r="EA152" s="196"/>
      <c r="EB152" s="176">
        <f t="shared" si="16"/>
        <v>0</v>
      </c>
      <c r="EC152" s="176">
        <f t="shared" si="17"/>
        <v>0</v>
      </c>
      <c r="ED152" s="176">
        <f t="shared" si="18"/>
        <v>0</v>
      </c>
      <c r="EE152" s="176">
        <f t="shared" si="19"/>
        <v>0</v>
      </c>
      <c r="EG152" s="129">
        <f t="shared" si="20"/>
        <v>0</v>
      </c>
      <c r="EI152" s="176">
        <f t="shared" si="21"/>
        <v>0</v>
      </c>
      <c r="EK152" s="176">
        <f t="shared" si="22"/>
        <v>0</v>
      </c>
      <c r="EL152" s="176"/>
      <c r="EM152" s="177"/>
      <c r="EN152" s="178"/>
      <c r="EO152" s="177"/>
      <c r="EP152" s="177"/>
      <c r="EQ152" s="176">
        <f t="shared" si="23"/>
        <v>0</v>
      </c>
      <c r="ER152" s="179">
        <v>23300</v>
      </c>
      <c r="ES152" s="177">
        <v>7.5</v>
      </c>
    </row>
    <row r="153" spans="1:149" x14ac:dyDescent="0.3">
      <c r="A153" s="197">
        <v>148</v>
      </c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247"/>
      <c r="AQ153" s="247"/>
      <c r="AR153" s="247"/>
      <c r="AS153" s="247"/>
      <c r="AT153" s="247"/>
      <c r="AU153" s="247"/>
      <c r="AV153" s="247"/>
      <c r="AW153" s="247"/>
      <c r="AX153" s="247"/>
      <c r="AY153" s="247"/>
      <c r="AZ153" s="247"/>
      <c r="BA153" s="247"/>
      <c r="BB153" s="247"/>
      <c r="BC153" s="247"/>
      <c r="BD153" s="206"/>
      <c r="BE153" s="206"/>
      <c r="BF153" s="206"/>
      <c r="BG153" s="206"/>
      <c r="BH153" s="206"/>
      <c r="BI153" s="206"/>
      <c r="BJ153" s="206"/>
      <c r="BK153" s="206"/>
      <c r="BL153" s="206"/>
      <c r="BM153" s="206"/>
      <c r="BN153" s="206"/>
      <c r="BO153" s="206"/>
      <c r="BP153" s="206"/>
      <c r="BQ153" s="206"/>
      <c r="BR153" s="252"/>
      <c r="BS153" s="252"/>
      <c r="BT153" s="252"/>
      <c r="BU153" s="252"/>
      <c r="BV153" s="252"/>
      <c r="BW153" s="252"/>
      <c r="BX153" s="252"/>
      <c r="BY153" s="252"/>
      <c r="BZ153" s="252"/>
      <c r="CA153" s="252"/>
      <c r="CB153" s="252"/>
      <c r="CC153" s="252"/>
      <c r="CD153" s="252"/>
      <c r="CE153" s="252"/>
      <c r="CF153" s="252"/>
      <c r="CG153" s="252"/>
      <c r="CH153" s="252"/>
      <c r="CI153" s="252"/>
      <c r="CJ153" s="257"/>
      <c r="CK153" s="257"/>
      <c r="CL153" s="257"/>
      <c r="CM153" s="257"/>
      <c r="CN153" s="257"/>
      <c r="CO153" s="257"/>
      <c r="CP153" s="257"/>
      <c r="CQ153" s="257"/>
      <c r="CR153" s="257"/>
      <c r="CS153" s="257"/>
      <c r="CT153" s="257"/>
      <c r="CU153" s="257"/>
      <c r="CV153" s="257"/>
      <c r="CW153" s="257"/>
      <c r="CX153" s="257"/>
      <c r="CY153" s="257"/>
      <c r="CZ153" s="257"/>
      <c r="DA153" s="257"/>
      <c r="DB153" s="202"/>
      <c r="DC153" s="202"/>
      <c r="DD153" s="202"/>
      <c r="DE153" s="202"/>
      <c r="DF153" s="202"/>
      <c r="DG153" s="202"/>
      <c r="DH153" s="202"/>
      <c r="DI153" s="202"/>
      <c r="DJ153" s="202"/>
      <c r="DK153" s="202"/>
      <c r="DL153" s="202"/>
      <c r="DM153" s="202"/>
      <c r="DN153" s="202"/>
      <c r="DO153" s="202"/>
      <c r="DP153" s="202"/>
      <c r="DQ153" s="202"/>
      <c r="DR153" s="202"/>
      <c r="DS153" s="202"/>
      <c r="DT153" s="196"/>
      <c r="DU153" s="196"/>
      <c r="DV153" s="196"/>
      <c r="DW153" s="196"/>
      <c r="DX153" s="196"/>
      <c r="DY153" s="196"/>
      <c r="DZ153" s="196"/>
      <c r="EA153" s="196"/>
      <c r="EB153" s="176">
        <f t="shared" si="16"/>
        <v>0</v>
      </c>
      <c r="EC153" s="176">
        <f t="shared" si="17"/>
        <v>0</v>
      </c>
      <c r="ED153" s="176">
        <f t="shared" si="18"/>
        <v>0</v>
      </c>
      <c r="EE153" s="176">
        <f t="shared" si="19"/>
        <v>0</v>
      </c>
      <c r="EG153" s="129">
        <f t="shared" si="20"/>
        <v>0</v>
      </c>
      <c r="EI153" s="176">
        <f t="shared" si="21"/>
        <v>0</v>
      </c>
      <c r="EK153" s="176">
        <f t="shared" si="22"/>
        <v>0</v>
      </c>
      <c r="EL153" s="176"/>
      <c r="EM153" s="177"/>
      <c r="EN153" s="178"/>
      <c r="EO153" s="177"/>
      <c r="EP153" s="177"/>
      <c r="EQ153" s="176">
        <f t="shared" si="23"/>
        <v>0</v>
      </c>
      <c r="ER153" s="179">
        <v>23300</v>
      </c>
      <c r="ES153" s="177">
        <v>7.5</v>
      </c>
    </row>
    <row r="154" spans="1:149" x14ac:dyDescent="0.3">
      <c r="A154" s="197">
        <v>149</v>
      </c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247"/>
      <c r="AQ154" s="247"/>
      <c r="AR154" s="247"/>
      <c r="AS154" s="247"/>
      <c r="AT154" s="247"/>
      <c r="AU154" s="247"/>
      <c r="AV154" s="247"/>
      <c r="AW154" s="247"/>
      <c r="AX154" s="247"/>
      <c r="AY154" s="247"/>
      <c r="AZ154" s="247"/>
      <c r="BA154" s="247"/>
      <c r="BB154" s="247"/>
      <c r="BC154" s="247"/>
      <c r="BD154" s="206"/>
      <c r="BE154" s="206"/>
      <c r="BF154" s="206"/>
      <c r="BG154" s="206"/>
      <c r="BH154" s="206"/>
      <c r="BI154" s="206"/>
      <c r="BJ154" s="206"/>
      <c r="BK154" s="206"/>
      <c r="BL154" s="206"/>
      <c r="BM154" s="206"/>
      <c r="BN154" s="206"/>
      <c r="BO154" s="206"/>
      <c r="BP154" s="206"/>
      <c r="BQ154" s="206"/>
      <c r="BR154" s="252"/>
      <c r="BS154" s="252"/>
      <c r="BT154" s="252"/>
      <c r="BU154" s="252"/>
      <c r="BV154" s="252"/>
      <c r="BW154" s="252"/>
      <c r="BX154" s="252"/>
      <c r="BY154" s="252"/>
      <c r="BZ154" s="252"/>
      <c r="CA154" s="252"/>
      <c r="CB154" s="252"/>
      <c r="CC154" s="252"/>
      <c r="CD154" s="252"/>
      <c r="CE154" s="252"/>
      <c r="CF154" s="252"/>
      <c r="CG154" s="252"/>
      <c r="CH154" s="252"/>
      <c r="CI154" s="252"/>
      <c r="CJ154" s="257"/>
      <c r="CK154" s="257"/>
      <c r="CL154" s="257"/>
      <c r="CM154" s="257"/>
      <c r="CN154" s="257"/>
      <c r="CO154" s="257"/>
      <c r="CP154" s="257"/>
      <c r="CQ154" s="257"/>
      <c r="CR154" s="257"/>
      <c r="CS154" s="257"/>
      <c r="CT154" s="257"/>
      <c r="CU154" s="257"/>
      <c r="CV154" s="257"/>
      <c r="CW154" s="257"/>
      <c r="CX154" s="257"/>
      <c r="CY154" s="257"/>
      <c r="CZ154" s="257"/>
      <c r="DA154" s="257"/>
      <c r="DB154" s="202"/>
      <c r="DC154" s="202"/>
      <c r="DD154" s="202"/>
      <c r="DE154" s="202"/>
      <c r="DF154" s="202"/>
      <c r="DG154" s="202"/>
      <c r="DH154" s="202"/>
      <c r="DI154" s="202"/>
      <c r="DJ154" s="202"/>
      <c r="DK154" s="202"/>
      <c r="DL154" s="202"/>
      <c r="DM154" s="202"/>
      <c r="DN154" s="202"/>
      <c r="DO154" s="202"/>
      <c r="DP154" s="202"/>
      <c r="DQ154" s="202"/>
      <c r="DR154" s="202"/>
      <c r="DS154" s="202"/>
      <c r="DT154" s="196"/>
      <c r="DU154" s="196"/>
      <c r="DV154" s="196"/>
      <c r="DW154" s="196"/>
      <c r="DX154" s="196"/>
      <c r="DY154" s="196"/>
      <c r="DZ154" s="196"/>
      <c r="EA154" s="196"/>
      <c r="EB154" s="176">
        <f t="shared" si="16"/>
        <v>0</v>
      </c>
      <c r="EC154" s="176">
        <f t="shared" si="17"/>
        <v>0</v>
      </c>
      <c r="ED154" s="176">
        <f t="shared" si="18"/>
        <v>0</v>
      </c>
      <c r="EE154" s="176">
        <f t="shared" si="19"/>
        <v>0</v>
      </c>
      <c r="EG154" s="129">
        <f t="shared" si="20"/>
        <v>0</v>
      </c>
      <c r="EI154" s="176">
        <f t="shared" si="21"/>
        <v>0</v>
      </c>
      <c r="EK154" s="176">
        <f t="shared" si="22"/>
        <v>0</v>
      </c>
      <c r="EL154" s="176"/>
      <c r="EM154" s="177"/>
      <c r="EN154" s="178"/>
      <c r="EO154" s="177"/>
      <c r="EP154" s="177"/>
      <c r="EQ154" s="176">
        <f t="shared" si="23"/>
        <v>0</v>
      </c>
      <c r="ER154" s="179">
        <v>23300</v>
      </c>
      <c r="ES154" s="177">
        <v>7.5</v>
      </c>
    </row>
    <row r="155" spans="1:149" x14ac:dyDescent="0.3">
      <c r="A155" s="197">
        <v>150</v>
      </c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247"/>
      <c r="AQ155" s="247"/>
      <c r="AR155" s="247"/>
      <c r="AS155" s="247"/>
      <c r="AT155" s="247"/>
      <c r="AU155" s="247"/>
      <c r="AV155" s="247"/>
      <c r="AW155" s="247"/>
      <c r="AX155" s="247"/>
      <c r="AY155" s="247"/>
      <c r="AZ155" s="247"/>
      <c r="BA155" s="247"/>
      <c r="BB155" s="247"/>
      <c r="BC155" s="247"/>
      <c r="BD155" s="206"/>
      <c r="BE155" s="206"/>
      <c r="BF155" s="206"/>
      <c r="BG155" s="206"/>
      <c r="BH155" s="206"/>
      <c r="BI155" s="206"/>
      <c r="BJ155" s="206"/>
      <c r="BK155" s="206"/>
      <c r="BL155" s="206"/>
      <c r="BM155" s="206"/>
      <c r="BN155" s="206"/>
      <c r="BO155" s="206"/>
      <c r="BP155" s="206"/>
      <c r="BQ155" s="206"/>
      <c r="BR155" s="252"/>
      <c r="BS155" s="252"/>
      <c r="BT155" s="252"/>
      <c r="BU155" s="252"/>
      <c r="BV155" s="252"/>
      <c r="BW155" s="252"/>
      <c r="BX155" s="252"/>
      <c r="BY155" s="252"/>
      <c r="BZ155" s="252"/>
      <c r="CA155" s="252"/>
      <c r="CB155" s="252"/>
      <c r="CC155" s="252"/>
      <c r="CD155" s="252"/>
      <c r="CE155" s="252"/>
      <c r="CF155" s="252"/>
      <c r="CG155" s="252"/>
      <c r="CH155" s="252"/>
      <c r="CI155" s="252"/>
      <c r="CJ155" s="257"/>
      <c r="CK155" s="257"/>
      <c r="CL155" s="257"/>
      <c r="CM155" s="257"/>
      <c r="CN155" s="257"/>
      <c r="CO155" s="257"/>
      <c r="CP155" s="257"/>
      <c r="CQ155" s="257"/>
      <c r="CR155" s="257"/>
      <c r="CS155" s="257"/>
      <c r="CT155" s="257"/>
      <c r="CU155" s="257"/>
      <c r="CV155" s="257"/>
      <c r="CW155" s="257"/>
      <c r="CX155" s="257"/>
      <c r="CY155" s="257"/>
      <c r="CZ155" s="257"/>
      <c r="DA155" s="257"/>
      <c r="DB155" s="202"/>
      <c r="DC155" s="202"/>
      <c r="DD155" s="202"/>
      <c r="DE155" s="202"/>
      <c r="DF155" s="202"/>
      <c r="DG155" s="202"/>
      <c r="DH155" s="202"/>
      <c r="DI155" s="202"/>
      <c r="DJ155" s="202"/>
      <c r="DK155" s="202"/>
      <c r="DL155" s="202"/>
      <c r="DM155" s="202"/>
      <c r="DN155" s="202"/>
      <c r="DO155" s="202"/>
      <c r="DP155" s="202"/>
      <c r="DQ155" s="202"/>
      <c r="DR155" s="202"/>
      <c r="DS155" s="202"/>
      <c r="DT155" s="196"/>
      <c r="DU155" s="196"/>
      <c r="DV155" s="196"/>
      <c r="DW155" s="196"/>
      <c r="DX155" s="196"/>
      <c r="DY155" s="196"/>
      <c r="DZ155" s="196"/>
      <c r="EA155" s="196"/>
      <c r="EB155" s="176">
        <f t="shared" si="16"/>
        <v>0</v>
      </c>
      <c r="EC155" s="176">
        <f t="shared" si="17"/>
        <v>0</v>
      </c>
      <c r="ED155" s="176">
        <f t="shared" si="18"/>
        <v>0</v>
      </c>
      <c r="EE155" s="176">
        <f t="shared" si="19"/>
        <v>0</v>
      </c>
      <c r="EG155" s="129">
        <f t="shared" si="20"/>
        <v>0</v>
      </c>
      <c r="EI155" s="176">
        <f t="shared" si="21"/>
        <v>0</v>
      </c>
      <c r="EK155" s="176">
        <f t="shared" si="22"/>
        <v>0</v>
      </c>
      <c r="EL155" s="176"/>
      <c r="EM155" s="177"/>
      <c r="EN155" s="178"/>
      <c r="EO155" s="177"/>
      <c r="EP155" s="177"/>
      <c r="EQ155" s="176">
        <f t="shared" si="23"/>
        <v>0</v>
      </c>
      <c r="ER155" s="179">
        <v>23300</v>
      </c>
      <c r="ES155" s="177">
        <v>7.5</v>
      </c>
    </row>
    <row r="156" spans="1:149" x14ac:dyDescent="0.3">
      <c r="A156" s="197">
        <v>151</v>
      </c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247"/>
      <c r="AQ156" s="247"/>
      <c r="AR156" s="247"/>
      <c r="AS156" s="247"/>
      <c r="AT156" s="247"/>
      <c r="AU156" s="247"/>
      <c r="AV156" s="247"/>
      <c r="AW156" s="247"/>
      <c r="AX156" s="247"/>
      <c r="AY156" s="247"/>
      <c r="AZ156" s="247"/>
      <c r="BA156" s="247"/>
      <c r="BB156" s="247"/>
      <c r="BC156" s="247"/>
      <c r="BD156" s="206"/>
      <c r="BE156" s="206"/>
      <c r="BF156" s="206"/>
      <c r="BG156" s="206"/>
      <c r="BH156" s="206"/>
      <c r="BI156" s="206"/>
      <c r="BJ156" s="206"/>
      <c r="BK156" s="206"/>
      <c r="BL156" s="206"/>
      <c r="BM156" s="206"/>
      <c r="BN156" s="206"/>
      <c r="BO156" s="206"/>
      <c r="BP156" s="206"/>
      <c r="BQ156" s="206"/>
      <c r="BR156" s="252"/>
      <c r="BS156" s="252"/>
      <c r="BT156" s="252"/>
      <c r="BU156" s="252"/>
      <c r="BV156" s="252"/>
      <c r="BW156" s="252"/>
      <c r="BX156" s="252"/>
      <c r="BY156" s="252"/>
      <c r="BZ156" s="252"/>
      <c r="CA156" s="252"/>
      <c r="CB156" s="252"/>
      <c r="CC156" s="252"/>
      <c r="CD156" s="252"/>
      <c r="CE156" s="252"/>
      <c r="CF156" s="252"/>
      <c r="CG156" s="252"/>
      <c r="CH156" s="252"/>
      <c r="CI156" s="252"/>
      <c r="CJ156" s="257"/>
      <c r="CK156" s="257"/>
      <c r="CL156" s="257"/>
      <c r="CM156" s="257"/>
      <c r="CN156" s="257"/>
      <c r="CO156" s="257"/>
      <c r="CP156" s="257"/>
      <c r="CQ156" s="257"/>
      <c r="CR156" s="257"/>
      <c r="CS156" s="257"/>
      <c r="CT156" s="257"/>
      <c r="CU156" s="257"/>
      <c r="CV156" s="257"/>
      <c r="CW156" s="257"/>
      <c r="CX156" s="257"/>
      <c r="CY156" s="257"/>
      <c r="CZ156" s="257"/>
      <c r="DA156" s="257"/>
      <c r="DB156" s="202"/>
      <c r="DC156" s="202"/>
      <c r="DD156" s="202"/>
      <c r="DE156" s="202"/>
      <c r="DF156" s="202"/>
      <c r="DG156" s="202"/>
      <c r="DH156" s="202"/>
      <c r="DI156" s="202"/>
      <c r="DJ156" s="202"/>
      <c r="DK156" s="202"/>
      <c r="DL156" s="202"/>
      <c r="DM156" s="202"/>
      <c r="DN156" s="202"/>
      <c r="DO156" s="202"/>
      <c r="DP156" s="202"/>
      <c r="DQ156" s="202"/>
      <c r="DR156" s="202"/>
      <c r="DS156" s="202"/>
      <c r="DT156" s="196"/>
      <c r="DU156" s="196"/>
      <c r="DV156" s="196"/>
      <c r="DW156" s="196"/>
      <c r="DX156" s="196"/>
      <c r="DY156" s="196"/>
      <c r="DZ156" s="196"/>
      <c r="EA156" s="196"/>
      <c r="EB156" s="176">
        <f t="shared" si="16"/>
        <v>0</v>
      </c>
      <c r="EC156" s="176">
        <f t="shared" si="17"/>
        <v>0</v>
      </c>
      <c r="ED156" s="176">
        <f t="shared" si="18"/>
        <v>0</v>
      </c>
      <c r="EE156" s="176">
        <f t="shared" si="19"/>
        <v>0</v>
      </c>
      <c r="EG156" s="129">
        <f t="shared" si="20"/>
        <v>0</v>
      </c>
      <c r="EI156" s="176">
        <f t="shared" si="21"/>
        <v>0</v>
      </c>
      <c r="EK156" s="176">
        <f t="shared" si="22"/>
        <v>0</v>
      </c>
      <c r="EL156" s="176"/>
      <c r="EM156" s="177"/>
      <c r="EN156" s="178"/>
      <c r="EO156" s="177"/>
      <c r="EP156" s="177"/>
      <c r="EQ156" s="176">
        <f t="shared" si="23"/>
        <v>0</v>
      </c>
      <c r="ER156" s="179">
        <v>23300</v>
      </c>
      <c r="ES156" s="177">
        <v>7.5</v>
      </c>
    </row>
    <row r="157" spans="1:149" x14ac:dyDescent="0.3">
      <c r="A157" s="197">
        <v>152</v>
      </c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247"/>
      <c r="AQ157" s="247"/>
      <c r="AR157" s="247"/>
      <c r="AS157" s="247"/>
      <c r="AT157" s="247"/>
      <c r="AU157" s="247"/>
      <c r="AV157" s="247"/>
      <c r="AW157" s="247"/>
      <c r="AX157" s="247"/>
      <c r="AY157" s="247"/>
      <c r="AZ157" s="247"/>
      <c r="BA157" s="247"/>
      <c r="BB157" s="247"/>
      <c r="BC157" s="247"/>
      <c r="BD157" s="206"/>
      <c r="BE157" s="206"/>
      <c r="BF157" s="206"/>
      <c r="BG157" s="206"/>
      <c r="BH157" s="206"/>
      <c r="BI157" s="206"/>
      <c r="BJ157" s="206"/>
      <c r="BK157" s="206"/>
      <c r="BL157" s="206"/>
      <c r="BM157" s="206"/>
      <c r="BN157" s="206"/>
      <c r="BO157" s="206"/>
      <c r="BP157" s="206"/>
      <c r="BQ157" s="206"/>
      <c r="BR157" s="252"/>
      <c r="BS157" s="252"/>
      <c r="BT157" s="252"/>
      <c r="BU157" s="252"/>
      <c r="BV157" s="252"/>
      <c r="BW157" s="252"/>
      <c r="BX157" s="252"/>
      <c r="BY157" s="252"/>
      <c r="BZ157" s="252"/>
      <c r="CA157" s="252"/>
      <c r="CB157" s="252"/>
      <c r="CC157" s="252"/>
      <c r="CD157" s="252"/>
      <c r="CE157" s="252"/>
      <c r="CF157" s="252"/>
      <c r="CG157" s="252"/>
      <c r="CH157" s="252"/>
      <c r="CI157" s="252"/>
      <c r="CJ157" s="257"/>
      <c r="CK157" s="257"/>
      <c r="CL157" s="257"/>
      <c r="CM157" s="257"/>
      <c r="CN157" s="257"/>
      <c r="CO157" s="257"/>
      <c r="CP157" s="257"/>
      <c r="CQ157" s="257"/>
      <c r="CR157" s="257"/>
      <c r="CS157" s="257"/>
      <c r="CT157" s="257"/>
      <c r="CU157" s="257"/>
      <c r="CV157" s="257"/>
      <c r="CW157" s="257"/>
      <c r="CX157" s="257"/>
      <c r="CY157" s="257"/>
      <c r="CZ157" s="257"/>
      <c r="DA157" s="257"/>
      <c r="DB157" s="202"/>
      <c r="DC157" s="202"/>
      <c r="DD157" s="202"/>
      <c r="DE157" s="202"/>
      <c r="DF157" s="202"/>
      <c r="DG157" s="202"/>
      <c r="DH157" s="202"/>
      <c r="DI157" s="202"/>
      <c r="DJ157" s="202"/>
      <c r="DK157" s="202"/>
      <c r="DL157" s="202"/>
      <c r="DM157" s="202"/>
      <c r="DN157" s="202"/>
      <c r="DO157" s="202"/>
      <c r="DP157" s="202"/>
      <c r="DQ157" s="202"/>
      <c r="DR157" s="202"/>
      <c r="DS157" s="202"/>
      <c r="DT157" s="196"/>
      <c r="DU157" s="196"/>
      <c r="DV157" s="196"/>
      <c r="DW157" s="196"/>
      <c r="DX157" s="196"/>
      <c r="DY157" s="196"/>
      <c r="DZ157" s="196"/>
      <c r="EA157" s="196"/>
      <c r="EB157" s="176">
        <f t="shared" si="16"/>
        <v>0</v>
      </c>
      <c r="EC157" s="176">
        <f t="shared" si="17"/>
        <v>0</v>
      </c>
      <c r="ED157" s="176">
        <f t="shared" si="18"/>
        <v>0</v>
      </c>
      <c r="EE157" s="176">
        <f t="shared" si="19"/>
        <v>0</v>
      </c>
      <c r="EG157" s="129">
        <f t="shared" si="20"/>
        <v>0</v>
      </c>
      <c r="EI157" s="176">
        <f t="shared" si="21"/>
        <v>0</v>
      </c>
      <c r="EK157" s="176">
        <f t="shared" si="22"/>
        <v>0</v>
      </c>
      <c r="EL157" s="176"/>
      <c r="EM157" s="177"/>
      <c r="EN157" s="178"/>
      <c r="EO157" s="177"/>
      <c r="EP157" s="177"/>
      <c r="EQ157" s="176">
        <f t="shared" si="23"/>
        <v>0</v>
      </c>
      <c r="ER157" s="179">
        <v>23300</v>
      </c>
      <c r="ES157" s="177">
        <v>7.5</v>
      </c>
    </row>
    <row r="158" spans="1:149" x14ac:dyDescent="0.3">
      <c r="A158" s="197">
        <v>153</v>
      </c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247"/>
      <c r="AQ158" s="247"/>
      <c r="AR158" s="247"/>
      <c r="AS158" s="247"/>
      <c r="AT158" s="247"/>
      <c r="AU158" s="247"/>
      <c r="AV158" s="247"/>
      <c r="AW158" s="247"/>
      <c r="AX158" s="247"/>
      <c r="AY158" s="247"/>
      <c r="AZ158" s="247"/>
      <c r="BA158" s="247"/>
      <c r="BB158" s="247"/>
      <c r="BC158" s="247"/>
      <c r="BD158" s="206"/>
      <c r="BE158" s="206"/>
      <c r="BF158" s="206"/>
      <c r="BG158" s="206"/>
      <c r="BH158" s="206"/>
      <c r="BI158" s="206"/>
      <c r="BJ158" s="206"/>
      <c r="BK158" s="206"/>
      <c r="BL158" s="206"/>
      <c r="BM158" s="206"/>
      <c r="BN158" s="206"/>
      <c r="BO158" s="206"/>
      <c r="BP158" s="206"/>
      <c r="BQ158" s="206"/>
      <c r="BR158" s="252"/>
      <c r="BS158" s="252"/>
      <c r="BT158" s="252"/>
      <c r="BU158" s="252"/>
      <c r="BV158" s="252"/>
      <c r="BW158" s="252"/>
      <c r="BX158" s="252"/>
      <c r="BY158" s="252"/>
      <c r="BZ158" s="252"/>
      <c r="CA158" s="252"/>
      <c r="CB158" s="252"/>
      <c r="CC158" s="252"/>
      <c r="CD158" s="252"/>
      <c r="CE158" s="252"/>
      <c r="CF158" s="252"/>
      <c r="CG158" s="252"/>
      <c r="CH158" s="252"/>
      <c r="CI158" s="252"/>
      <c r="CJ158" s="257"/>
      <c r="CK158" s="257"/>
      <c r="CL158" s="257"/>
      <c r="CM158" s="257"/>
      <c r="CN158" s="257"/>
      <c r="CO158" s="257"/>
      <c r="CP158" s="257"/>
      <c r="CQ158" s="257"/>
      <c r="CR158" s="257"/>
      <c r="CS158" s="257"/>
      <c r="CT158" s="257"/>
      <c r="CU158" s="257"/>
      <c r="CV158" s="257"/>
      <c r="CW158" s="257"/>
      <c r="CX158" s="257"/>
      <c r="CY158" s="257"/>
      <c r="CZ158" s="257"/>
      <c r="DA158" s="257"/>
      <c r="DB158" s="202"/>
      <c r="DC158" s="202"/>
      <c r="DD158" s="202"/>
      <c r="DE158" s="202"/>
      <c r="DF158" s="202"/>
      <c r="DG158" s="202"/>
      <c r="DH158" s="202"/>
      <c r="DI158" s="202"/>
      <c r="DJ158" s="202"/>
      <c r="DK158" s="202"/>
      <c r="DL158" s="202"/>
      <c r="DM158" s="202"/>
      <c r="DN158" s="202"/>
      <c r="DO158" s="202"/>
      <c r="DP158" s="202"/>
      <c r="DQ158" s="202"/>
      <c r="DR158" s="202"/>
      <c r="DS158" s="202"/>
      <c r="DT158" s="196"/>
      <c r="DU158" s="196"/>
      <c r="DV158" s="196"/>
      <c r="DW158" s="196"/>
      <c r="DX158" s="196"/>
      <c r="DY158" s="196"/>
      <c r="DZ158" s="196"/>
      <c r="EA158" s="196"/>
      <c r="EB158" s="176">
        <f t="shared" si="16"/>
        <v>0</v>
      </c>
      <c r="EC158" s="176">
        <f t="shared" si="17"/>
        <v>0</v>
      </c>
      <c r="ED158" s="176">
        <f t="shared" si="18"/>
        <v>0</v>
      </c>
      <c r="EE158" s="176">
        <f t="shared" si="19"/>
        <v>0</v>
      </c>
      <c r="EG158" s="129">
        <f t="shared" si="20"/>
        <v>0</v>
      </c>
      <c r="EI158" s="176">
        <f t="shared" si="21"/>
        <v>0</v>
      </c>
      <c r="EK158" s="176">
        <f t="shared" si="22"/>
        <v>0</v>
      </c>
      <c r="EL158" s="176"/>
      <c r="EM158" s="177"/>
      <c r="EN158" s="178"/>
      <c r="EO158" s="177"/>
      <c r="EP158" s="177"/>
      <c r="EQ158" s="176">
        <f t="shared" si="23"/>
        <v>0</v>
      </c>
      <c r="ER158" s="179">
        <v>23300</v>
      </c>
      <c r="ES158" s="177">
        <v>7.5</v>
      </c>
    </row>
    <row r="159" spans="1:149" x14ac:dyDescent="0.3">
      <c r="A159" s="197">
        <v>154</v>
      </c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247"/>
      <c r="AQ159" s="247"/>
      <c r="AR159" s="247"/>
      <c r="AS159" s="247"/>
      <c r="AT159" s="247"/>
      <c r="AU159" s="247"/>
      <c r="AV159" s="247"/>
      <c r="AW159" s="247"/>
      <c r="AX159" s="247"/>
      <c r="AY159" s="247"/>
      <c r="AZ159" s="247"/>
      <c r="BA159" s="247"/>
      <c r="BB159" s="247"/>
      <c r="BC159" s="247"/>
      <c r="BD159" s="206"/>
      <c r="BE159" s="206"/>
      <c r="BF159" s="206"/>
      <c r="BG159" s="206"/>
      <c r="BH159" s="206"/>
      <c r="BI159" s="206"/>
      <c r="BJ159" s="206"/>
      <c r="BK159" s="206"/>
      <c r="BL159" s="206"/>
      <c r="BM159" s="206"/>
      <c r="BN159" s="206"/>
      <c r="BO159" s="206"/>
      <c r="BP159" s="206"/>
      <c r="BQ159" s="206"/>
      <c r="BR159" s="252"/>
      <c r="BS159" s="252"/>
      <c r="BT159" s="252"/>
      <c r="BU159" s="252"/>
      <c r="BV159" s="252"/>
      <c r="BW159" s="252"/>
      <c r="BX159" s="252"/>
      <c r="BY159" s="252"/>
      <c r="BZ159" s="252"/>
      <c r="CA159" s="252"/>
      <c r="CB159" s="252"/>
      <c r="CC159" s="252"/>
      <c r="CD159" s="252"/>
      <c r="CE159" s="252"/>
      <c r="CF159" s="252"/>
      <c r="CG159" s="252"/>
      <c r="CH159" s="252"/>
      <c r="CI159" s="252"/>
      <c r="CJ159" s="257"/>
      <c r="CK159" s="257"/>
      <c r="CL159" s="257"/>
      <c r="CM159" s="257"/>
      <c r="CN159" s="257"/>
      <c r="CO159" s="257"/>
      <c r="CP159" s="257"/>
      <c r="CQ159" s="257"/>
      <c r="CR159" s="257"/>
      <c r="CS159" s="257"/>
      <c r="CT159" s="257"/>
      <c r="CU159" s="257"/>
      <c r="CV159" s="257"/>
      <c r="CW159" s="257"/>
      <c r="CX159" s="257"/>
      <c r="CY159" s="257"/>
      <c r="CZ159" s="257"/>
      <c r="DA159" s="257"/>
      <c r="DB159" s="202"/>
      <c r="DC159" s="202"/>
      <c r="DD159" s="202"/>
      <c r="DE159" s="202"/>
      <c r="DF159" s="202"/>
      <c r="DG159" s="202"/>
      <c r="DH159" s="202"/>
      <c r="DI159" s="202"/>
      <c r="DJ159" s="202"/>
      <c r="DK159" s="202"/>
      <c r="DL159" s="202"/>
      <c r="DM159" s="202"/>
      <c r="DN159" s="202"/>
      <c r="DO159" s="202"/>
      <c r="DP159" s="202"/>
      <c r="DQ159" s="202"/>
      <c r="DR159" s="202"/>
      <c r="DS159" s="202"/>
      <c r="DT159" s="196"/>
      <c r="DU159" s="196"/>
      <c r="DV159" s="196"/>
      <c r="DW159" s="196"/>
      <c r="DX159" s="196"/>
      <c r="DY159" s="196"/>
      <c r="DZ159" s="196"/>
      <c r="EA159" s="196"/>
      <c r="EB159" s="176">
        <f t="shared" si="16"/>
        <v>0</v>
      </c>
      <c r="EC159" s="176">
        <f t="shared" si="17"/>
        <v>0</v>
      </c>
      <c r="ED159" s="176">
        <f t="shared" si="18"/>
        <v>0</v>
      </c>
      <c r="EE159" s="176">
        <f t="shared" si="19"/>
        <v>0</v>
      </c>
      <c r="EG159" s="129">
        <f t="shared" si="20"/>
        <v>0</v>
      </c>
      <c r="EI159" s="176">
        <f t="shared" si="21"/>
        <v>0</v>
      </c>
      <c r="EK159" s="176">
        <f t="shared" si="22"/>
        <v>0</v>
      </c>
      <c r="EL159" s="176"/>
      <c r="EM159" s="177"/>
      <c r="EN159" s="178"/>
      <c r="EO159" s="177"/>
      <c r="EP159" s="177"/>
      <c r="EQ159" s="176">
        <f t="shared" si="23"/>
        <v>0</v>
      </c>
      <c r="ER159" s="179">
        <v>23300</v>
      </c>
      <c r="ES159" s="177">
        <v>7.5</v>
      </c>
    </row>
    <row r="160" spans="1:149" x14ac:dyDescent="0.3">
      <c r="A160" s="197">
        <v>155</v>
      </c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247"/>
      <c r="AQ160" s="247"/>
      <c r="AR160" s="247"/>
      <c r="AS160" s="247"/>
      <c r="AT160" s="247"/>
      <c r="AU160" s="247"/>
      <c r="AV160" s="247"/>
      <c r="AW160" s="247"/>
      <c r="AX160" s="247"/>
      <c r="AY160" s="247"/>
      <c r="AZ160" s="247"/>
      <c r="BA160" s="247"/>
      <c r="BB160" s="247"/>
      <c r="BC160" s="247"/>
      <c r="BD160" s="206"/>
      <c r="BE160" s="206"/>
      <c r="BF160" s="206"/>
      <c r="BG160" s="206"/>
      <c r="BH160" s="206"/>
      <c r="BI160" s="206"/>
      <c r="BJ160" s="206"/>
      <c r="BK160" s="206"/>
      <c r="BL160" s="206"/>
      <c r="BM160" s="206"/>
      <c r="BN160" s="206"/>
      <c r="BO160" s="206"/>
      <c r="BP160" s="206"/>
      <c r="BQ160" s="206"/>
      <c r="BR160" s="252"/>
      <c r="BS160" s="252"/>
      <c r="BT160" s="252"/>
      <c r="BU160" s="252"/>
      <c r="BV160" s="252"/>
      <c r="BW160" s="252"/>
      <c r="BX160" s="252"/>
      <c r="BY160" s="252"/>
      <c r="BZ160" s="252"/>
      <c r="CA160" s="252"/>
      <c r="CB160" s="252"/>
      <c r="CC160" s="252"/>
      <c r="CD160" s="252"/>
      <c r="CE160" s="252"/>
      <c r="CF160" s="252"/>
      <c r="CG160" s="252"/>
      <c r="CH160" s="252"/>
      <c r="CI160" s="252"/>
      <c r="CJ160" s="257"/>
      <c r="CK160" s="257"/>
      <c r="CL160" s="257"/>
      <c r="CM160" s="257"/>
      <c r="CN160" s="257"/>
      <c r="CO160" s="257"/>
      <c r="CP160" s="257"/>
      <c r="CQ160" s="257"/>
      <c r="CR160" s="257"/>
      <c r="CS160" s="257"/>
      <c r="CT160" s="257"/>
      <c r="CU160" s="257"/>
      <c r="CV160" s="257"/>
      <c r="CW160" s="257"/>
      <c r="CX160" s="257"/>
      <c r="CY160" s="257"/>
      <c r="CZ160" s="257"/>
      <c r="DA160" s="257"/>
      <c r="DB160" s="202"/>
      <c r="DC160" s="202"/>
      <c r="DD160" s="202"/>
      <c r="DE160" s="202"/>
      <c r="DF160" s="202"/>
      <c r="DG160" s="202"/>
      <c r="DH160" s="202"/>
      <c r="DI160" s="202"/>
      <c r="DJ160" s="202"/>
      <c r="DK160" s="202"/>
      <c r="DL160" s="202"/>
      <c r="DM160" s="202"/>
      <c r="DN160" s="202"/>
      <c r="DO160" s="202"/>
      <c r="DP160" s="202"/>
      <c r="DQ160" s="202"/>
      <c r="DR160" s="202"/>
      <c r="DS160" s="202"/>
      <c r="DT160" s="196"/>
      <c r="DU160" s="196"/>
      <c r="DV160" s="196"/>
      <c r="DW160" s="196"/>
      <c r="DX160" s="196"/>
      <c r="DY160" s="196"/>
      <c r="DZ160" s="196"/>
      <c r="EA160" s="196"/>
      <c r="EB160" s="176">
        <f t="shared" si="16"/>
        <v>0</v>
      </c>
      <c r="EC160" s="176">
        <f t="shared" si="17"/>
        <v>0</v>
      </c>
      <c r="ED160" s="176">
        <f t="shared" si="18"/>
        <v>0</v>
      </c>
      <c r="EE160" s="176">
        <f t="shared" si="19"/>
        <v>0</v>
      </c>
      <c r="EG160" s="129">
        <f t="shared" si="20"/>
        <v>0</v>
      </c>
      <c r="EI160" s="176">
        <f t="shared" si="21"/>
        <v>0</v>
      </c>
      <c r="EK160" s="176">
        <f t="shared" si="22"/>
        <v>0</v>
      </c>
      <c r="EL160" s="176"/>
      <c r="EM160" s="177"/>
      <c r="EN160" s="178"/>
      <c r="EO160" s="177"/>
      <c r="EP160" s="177"/>
      <c r="EQ160" s="176">
        <f t="shared" si="23"/>
        <v>0</v>
      </c>
      <c r="ER160" s="179">
        <v>23300</v>
      </c>
      <c r="ES160" s="177">
        <v>7.5</v>
      </c>
    </row>
    <row r="161" spans="1:149" x14ac:dyDescent="0.3">
      <c r="A161" s="197">
        <v>156</v>
      </c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247"/>
      <c r="AQ161" s="247"/>
      <c r="AR161" s="247"/>
      <c r="AS161" s="247"/>
      <c r="AT161" s="247"/>
      <c r="AU161" s="247"/>
      <c r="AV161" s="247"/>
      <c r="AW161" s="247"/>
      <c r="AX161" s="247"/>
      <c r="AY161" s="247"/>
      <c r="AZ161" s="247"/>
      <c r="BA161" s="247"/>
      <c r="BB161" s="247"/>
      <c r="BC161" s="247"/>
      <c r="BD161" s="206"/>
      <c r="BE161" s="206"/>
      <c r="BF161" s="206"/>
      <c r="BG161" s="206"/>
      <c r="BH161" s="206"/>
      <c r="BI161" s="206"/>
      <c r="BJ161" s="206"/>
      <c r="BK161" s="206"/>
      <c r="BL161" s="206"/>
      <c r="BM161" s="206"/>
      <c r="BN161" s="206"/>
      <c r="BO161" s="206"/>
      <c r="BP161" s="206"/>
      <c r="BQ161" s="206"/>
      <c r="BR161" s="252"/>
      <c r="BS161" s="252"/>
      <c r="BT161" s="252"/>
      <c r="BU161" s="252"/>
      <c r="BV161" s="252"/>
      <c r="BW161" s="252"/>
      <c r="BX161" s="252"/>
      <c r="BY161" s="252"/>
      <c r="BZ161" s="252"/>
      <c r="CA161" s="252"/>
      <c r="CB161" s="252"/>
      <c r="CC161" s="252"/>
      <c r="CD161" s="252"/>
      <c r="CE161" s="252"/>
      <c r="CF161" s="252"/>
      <c r="CG161" s="252"/>
      <c r="CH161" s="252"/>
      <c r="CI161" s="252"/>
      <c r="CJ161" s="257"/>
      <c r="CK161" s="257"/>
      <c r="CL161" s="257"/>
      <c r="CM161" s="257"/>
      <c r="CN161" s="257"/>
      <c r="CO161" s="257"/>
      <c r="CP161" s="257"/>
      <c r="CQ161" s="257"/>
      <c r="CR161" s="257"/>
      <c r="CS161" s="257"/>
      <c r="CT161" s="257"/>
      <c r="CU161" s="257"/>
      <c r="CV161" s="257"/>
      <c r="CW161" s="257"/>
      <c r="CX161" s="257"/>
      <c r="CY161" s="257"/>
      <c r="CZ161" s="257"/>
      <c r="DA161" s="257"/>
      <c r="DB161" s="202"/>
      <c r="DC161" s="202"/>
      <c r="DD161" s="202"/>
      <c r="DE161" s="202"/>
      <c r="DF161" s="202"/>
      <c r="DG161" s="202"/>
      <c r="DH161" s="202"/>
      <c r="DI161" s="202"/>
      <c r="DJ161" s="202"/>
      <c r="DK161" s="202"/>
      <c r="DL161" s="202"/>
      <c r="DM161" s="202"/>
      <c r="DN161" s="202"/>
      <c r="DO161" s="202"/>
      <c r="DP161" s="202"/>
      <c r="DQ161" s="202"/>
      <c r="DR161" s="202"/>
      <c r="DS161" s="202"/>
      <c r="DT161" s="196"/>
      <c r="DU161" s="196"/>
      <c r="DV161" s="196"/>
      <c r="DW161" s="196"/>
      <c r="DX161" s="196"/>
      <c r="DY161" s="196"/>
      <c r="DZ161" s="196"/>
      <c r="EA161" s="196"/>
      <c r="EB161" s="176">
        <f t="shared" si="16"/>
        <v>0</v>
      </c>
      <c r="EC161" s="176">
        <f t="shared" si="17"/>
        <v>0</v>
      </c>
      <c r="ED161" s="176">
        <f t="shared" si="18"/>
        <v>0</v>
      </c>
      <c r="EE161" s="176">
        <f t="shared" si="19"/>
        <v>0</v>
      </c>
      <c r="EG161" s="129">
        <f t="shared" si="20"/>
        <v>0</v>
      </c>
      <c r="EI161" s="176">
        <f t="shared" si="21"/>
        <v>0</v>
      </c>
      <c r="EK161" s="176">
        <f t="shared" si="22"/>
        <v>0</v>
      </c>
      <c r="EL161" s="176"/>
      <c r="EM161" s="177"/>
      <c r="EN161" s="178"/>
      <c r="EO161" s="177"/>
      <c r="EP161" s="177"/>
      <c r="EQ161" s="176">
        <f t="shared" si="23"/>
        <v>0</v>
      </c>
      <c r="ER161" s="179">
        <v>23300</v>
      </c>
      <c r="ES161" s="177">
        <v>7.5</v>
      </c>
    </row>
    <row r="162" spans="1:149" x14ac:dyDescent="0.3">
      <c r="A162" s="197">
        <v>157</v>
      </c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247"/>
      <c r="AQ162" s="247"/>
      <c r="AR162" s="247"/>
      <c r="AS162" s="247"/>
      <c r="AT162" s="247"/>
      <c r="AU162" s="247"/>
      <c r="AV162" s="247"/>
      <c r="AW162" s="247"/>
      <c r="AX162" s="247"/>
      <c r="AY162" s="247"/>
      <c r="AZ162" s="247"/>
      <c r="BA162" s="247"/>
      <c r="BB162" s="247"/>
      <c r="BC162" s="247"/>
      <c r="BD162" s="206"/>
      <c r="BE162" s="206"/>
      <c r="BF162" s="206"/>
      <c r="BG162" s="206"/>
      <c r="BH162" s="206"/>
      <c r="BI162" s="206"/>
      <c r="BJ162" s="206"/>
      <c r="BK162" s="206"/>
      <c r="BL162" s="206"/>
      <c r="BM162" s="206"/>
      <c r="BN162" s="206"/>
      <c r="BO162" s="206"/>
      <c r="BP162" s="206"/>
      <c r="BQ162" s="206"/>
      <c r="BR162" s="252"/>
      <c r="BS162" s="252"/>
      <c r="BT162" s="252"/>
      <c r="BU162" s="252"/>
      <c r="BV162" s="252"/>
      <c r="BW162" s="252"/>
      <c r="BX162" s="252"/>
      <c r="BY162" s="252"/>
      <c r="BZ162" s="252"/>
      <c r="CA162" s="252"/>
      <c r="CB162" s="252"/>
      <c r="CC162" s="252"/>
      <c r="CD162" s="252"/>
      <c r="CE162" s="252"/>
      <c r="CF162" s="252"/>
      <c r="CG162" s="252"/>
      <c r="CH162" s="252"/>
      <c r="CI162" s="252"/>
      <c r="CJ162" s="257"/>
      <c r="CK162" s="257"/>
      <c r="CL162" s="257"/>
      <c r="CM162" s="257"/>
      <c r="CN162" s="257"/>
      <c r="CO162" s="257"/>
      <c r="CP162" s="257"/>
      <c r="CQ162" s="257"/>
      <c r="CR162" s="257"/>
      <c r="CS162" s="257"/>
      <c r="CT162" s="257"/>
      <c r="CU162" s="257"/>
      <c r="CV162" s="257"/>
      <c r="CW162" s="257"/>
      <c r="CX162" s="257"/>
      <c r="CY162" s="257"/>
      <c r="CZ162" s="257"/>
      <c r="DA162" s="257"/>
      <c r="DB162" s="202"/>
      <c r="DC162" s="202"/>
      <c r="DD162" s="202"/>
      <c r="DE162" s="202"/>
      <c r="DF162" s="202"/>
      <c r="DG162" s="202"/>
      <c r="DH162" s="202"/>
      <c r="DI162" s="202"/>
      <c r="DJ162" s="202"/>
      <c r="DK162" s="202"/>
      <c r="DL162" s="202"/>
      <c r="DM162" s="202"/>
      <c r="DN162" s="202"/>
      <c r="DO162" s="202"/>
      <c r="DP162" s="202"/>
      <c r="DQ162" s="202"/>
      <c r="DR162" s="202"/>
      <c r="DS162" s="202"/>
      <c r="DT162" s="196"/>
      <c r="DU162" s="196"/>
      <c r="DV162" s="196"/>
      <c r="DW162" s="196"/>
      <c r="DX162" s="196"/>
      <c r="DY162" s="196"/>
      <c r="DZ162" s="196"/>
      <c r="EA162" s="196"/>
      <c r="EB162" s="176">
        <f t="shared" si="16"/>
        <v>0</v>
      </c>
      <c r="EC162" s="176">
        <f t="shared" si="17"/>
        <v>0</v>
      </c>
      <c r="ED162" s="176">
        <f t="shared" si="18"/>
        <v>0</v>
      </c>
      <c r="EE162" s="176">
        <f t="shared" si="19"/>
        <v>0</v>
      </c>
      <c r="EG162" s="129">
        <f t="shared" si="20"/>
        <v>0</v>
      </c>
      <c r="EI162" s="176">
        <f t="shared" si="21"/>
        <v>0</v>
      </c>
      <c r="EK162" s="176">
        <f t="shared" si="22"/>
        <v>0</v>
      </c>
      <c r="EL162" s="176"/>
      <c r="EM162" s="177"/>
      <c r="EN162" s="178"/>
      <c r="EO162" s="177"/>
      <c r="EP162" s="177"/>
      <c r="EQ162" s="176">
        <f t="shared" si="23"/>
        <v>0</v>
      </c>
      <c r="ER162" s="179">
        <v>23300</v>
      </c>
      <c r="ES162" s="177">
        <v>7.5</v>
      </c>
    </row>
    <row r="163" spans="1:149" x14ac:dyDescent="0.3">
      <c r="A163" s="197">
        <v>158</v>
      </c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247"/>
      <c r="AQ163" s="247"/>
      <c r="AR163" s="247"/>
      <c r="AS163" s="247"/>
      <c r="AT163" s="247"/>
      <c r="AU163" s="247"/>
      <c r="AV163" s="247"/>
      <c r="AW163" s="247"/>
      <c r="AX163" s="247"/>
      <c r="AY163" s="247"/>
      <c r="AZ163" s="247"/>
      <c r="BA163" s="247"/>
      <c r="BB163" s="247"/>
      <c r="BC163" s="247"/>
      <c r="BD163" s="206"/>
      <c r="BE163" s="206"/>
      <c r="BF163" s="206"/>
      <c r="BG163" s="206"/>
      <c r="BH163" s="206"/>
      <c r="BI163" s="206"/>
      <c r="BJ163" s="206"/>
      <c r="BK163" s="206"/>
      <c r="BL163" s="206"/>
      <c r="BM163" s="206"/>
      <c r="BN163" s="206"/>
      <c r="BO163" s="206"/>
      <c r="BP163" s="206"/>
      <c r="BQ163" s="206"/>
      <c r="BR163" s="252"/>
      <c r="BS163" s="252"/>
      <c r="BT163" s="252"/>
      <c r="BU163" s="252"/>
      <c r="BV163" s="252"/>
      <c r="BW163" s="252"/>
      <c r="BX163" s="252"/>
      <c r="BY163" s="252"/>
      <c r="BZ163" s="252"/>
      <c r="CA163" s="252"/>
      <c r="CB163" s="252"/>
      <c r="CC163" s="252"/>
      <c r="CD163" s="252"/>
      <c r="CE163" s="252"/>
      <c r="CF163" s="252"/>
      <c r="CG163" s="252"/>
      <c r="CH163" s="252"/>
      <c r="CI163" s="252"/>
      <c r="CJ163" s="257"/>
      <c r="CK163" s="257"/>
      <c r="CL163" s="257"/>
      <c r="CM163" s="257"/>
      <c r="CN163" s="257"/>
      <c r="CO163" s="257"/>
      <c r="CP163" s="257"/>
      <c r="CQ163" s="257"/>
      <c r="CR163" s="257"/>
      <c r="CS163" s="257"/>
      <c r="CT163" s="257"/>
      <c r="CU163" s="257"/>
      <c r="CV163" s="257"/>
      <c r="CW163" s="257"/>
      <c r="CX163" s="257"/>
      <c r="CY163" s="257"/>
      <c r="CZ163" s="257"/>
      <c r="DA163" s="257"/>
      <c r="DB163" s="202"/>
      <c r="DC163" s="202"/>
      <c r="DD163" s="202"/>
      <c r="DE163" s="202"/>
      <c r="DF163" s="202"/>
      <c r="DG163" s="202"/>
      <c r="DH163" s="202"/>
      <c r="DI163" s="202"/>
      <c r="DJ163" s="202"/>
      <c r="DK163" s="202"/>
      <c r="DL163" s="202"/>
      <c r="DM163" s="202"/>
      <c r="DN163" s="202"/>
      <c r="DO163" s="202"/>
      <c r="DP163" s="202"/>
      <c r="DQ163" s="202"/>
      <c r="DR163" s="202"/>
      <c r="DS163" s="202"/>
      <c r="DT163" s="196"/>
      <c r="DU163" s="196"/>
      <c r="DV163" s="196"/>
      <c r="DW163" s="196"/>
      <c r="DX163" s="196"/>
      <c r="DY163" s="196"/>
      <c r="DZ163" s="196"/>
      <c r="EA163" s="196"/>
      <c r="EB163" s="176">
        <f t="shared" si="16"/>
        <v>0</v>
      </c>
      <c r="EC163" s="176">
        <f t="shared" si="17"/>
        <v>0</v>
      </c>
      <c r="ED163" s="176">
        <f t="shared" si="18"/>
        <v>0</v>
      </c>
      <c r="EE163" s="176">
        <f t="shared" si="19"/>
        <v>0</v>
      </c>
      <c r="EG163" s="129">
        <f t="shared" si="20"/>
        <v>0</v>
      </c>
      <c r="EI163" s="176">
        <f t="shared" si="21"/>
        <v>0</v>
      </c>
      <c r="EK163" s="176">
        <f t="shared" si="22"/>
        <v>0</v>
      </c>
      <c r="EL163" s="176"/>
      <c r="EM163" s="177"/>
      <c r="EN163" s="178"/>
      <c r="EO163" s="177"/>
      <c r="EP163" s="177"/>
      <c r="EQ163" s="176">
        <f t="shared" si="23"/>
        <v>0</v>
      </c>
      <c r="ER163" s="179">
        <v>23300</v>
      </c>
      <c r="ES163" s="177">
        <v>7.5</v>
      </c>
    </row>
    <row r="164" spans="1:149" x14ac:dyDescent="0.3">
      <c r="A164" s="197">
        <v>159</v>
      </c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247"/>
      <c r="AQ164" s="247"/>
      <c r="AR164" s="247"/>
      <c r="AS164" s="247"/>
      <c r="AT164" s="247"/>
      <c r="AU164" s="247"/>
      <c r="AV164" s="247"/>
      <c r="AW164" s="247"/>
      <c r="AX164" s="247"/>
      <c r="AY164" s="247"/>
      <c r="AZ164" s="247"/>
      <c r="BA164" s="247"/>
      <c r="BB164" s="247"/>
      <c r="BC164" s="247"/>
      <c r="BD164" s="206"/>
      <c r="BE164" s="206"/>
      <c r="BF164" s="206"/>
      <c r="BG164" s="206"/>
      <c r="BH164" s="206"/>
      <c r="BI164" s="206"/>
      <c r="BJ164" s="206"/>
      <c r="BK164" s="206"/>
      <c r="BL164" s="206"/>
      <c r="BM164" s="206"/>
      <c r="BN164" s="206"/>
      <c r="BO164" s="206"/>
      <c r="BP164" s="206"/>
      <c r="BQ164" s="206"/>
      <c r="BR164" s="252"/>
      <c r="BS164" s="252"/>
      <c r="BT164" s="252"/>
      <c r="BU164" s="252"/>
      <c r="BV164" s="252"/>
      <c r="BW164" s="252"/>
      <c r="BX164" s="252"/>
      <c r="BY164" s="252"/>
      <c r="BZ164" s="252"/>
      <c r="CA164" s="252"/>
      <c r="CB164" s="252"/>
      <c r="CC164" s="252"/>
      <c r="CD164" s="252"/>
      <c r="CE164" s="252"/>
      <c r="CF164" s="252"/>
      <c r="CG164" s="252"/>
      <c r="CH164" s="252"/>
      <c r="CI164" s="252"/>
      <c r="CJ164" s="257"/>
      <c r="CK164" s="257"/>
      <c r="CL164" s="257"/>
      <c r="CM164" s="257"/>
      <c r="CN164" s="257"/>
      <c r="CO164" s="257"/>
      <c r="CP164" s="257"/>
      <c r="CQ164" s="257"/>
      <c r="CR164" s="257"/>
      <c r="CS164" s="257"/>
      <c r="CT164" s="257"/>
      <c r="CU164" s="257"/>
      <c r="CV164" s="257"/>
      <c r="CW164" s="257"/>
      <c r="CX164" s="257"/>
      <c r="CY164" s="257"/>
      <c r="CZ164" s="257"/>
      <c r="DA164" s="257"/>
      <c r="DB164" s="202"/>
      <c r="DC164" s="202"/>
      <c r="DD164" s="202"/>
      <c r="DE164" s="202"/>
      <c r="DF164" s="202"/>
      <c r="DG164" s="202"/>
      <c r="DH164" s="202"/>
      <c r="DI164" s="202"/>
      <c r="DJ164" s="202"/>
      <c r="DK164" s="202"/>
      <c r="DL164" s="202"/>
      <c r="DM164" s="202"/>
      <c r="DN164" s="202"/>
      <c r="DO164" s="202"/>
      <c r="DP164" s="202"/>
      <c r="DQ164" s="202"/>
      <c r="DR164" s="202"/>
      <c r="DS164" s="202"/>
      <c r="DT164" s="196"/>
      <c r="DU164" s="196"/>
      <c r="DV164" s="196"/>
      <c r="DW164" s="196"/>
      <c r="DX164" s="196"/>
      <c r="DY164" s="196"/>
      <c r="DZ164" s="196"/>
      <c r="EA164" s="196"/>
      <c r="EB164" s="176">
        <f t="shared" si="16"/>
        <v>0</v>
      </c>
      <c r="EC164" s="176">
        <f t="shared" si="17"/>
        <v>0</v>
      </c>
      <c r="ED164" s="176">
        <f t="shared" si="18"/>
        <v>0</v>
      </c>
      <c r="EE164" s="176">
        <f t="shared" si="19"/>
        <v>0</v>
      </c>
      <c r="EG164" s="129">
        <f t="shared" si="20"/>
        <v>0</v>
      </c>
      <c r="EI164" s="176">
        <f t="shared" si="21"/>
        <v>0</v>
      </c>
      <c r="EK164" s="176">
        <f t="shared" si="22"/>
        <v>0</v>
      </c>
      <c r="EL164" s="176"/>
      <c r="EM164" s="177"/>
      <c r="EN164" s="178"/>
      <c r="EO164" s="177"/>
      <c r="EP164" s="177"/>
      <c r="EQ164" s="176">
        <f t="shared" si="23"/>
        <v>0</v>
      </c>
      <c r="ER164" s="179">
        <v>23300</v>
      </c>
      <c r="ES164" s="177">
        <v>7.5</v>
      </c>
    </row>
    <row r="165" spans="1:149" x14ac:dyDescent="0.3">
      <c r="A165" s="197">
        <v>160</v>
      </c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247"/>
      <c r="AQ165" s="247"/>
      <c r="AR165" s="247"/>
      <c r="AS165" s="247"/>
      <c r="AT165" s="247"/>
      <c r="AU165" s="247"/>
      <c r="AV165" s="247"/>
      <c r="AW165" s="247"/>
      <c r="AX165" s="247"/>
      <c r="AY165" s="247"/>
      <c r="AZ165" s="247"/>
      <c r="BA165" s="247"/>
      <c r="BB165" s="247"/>
      <c r="BC165" s="247"/>
      <c r="BD165" s="206"/>
      <c r="BE165" s="206"/>
      <c r="BF165" s="206"/>
      <c r="BG165" s="206"/>
      <c r="BH165" s="206"/>
      <c r="BI165" s="206"/>
      <c r="BJ165" s="206"/>
      <c r="BK165" s="206"/>
      <c r="BL165" s="206"/>
      <c r="BM165" s="206"/>
      <c r="BN165" s="206"/>
      <c r="BO165" s="206"/>
      <c r="BP165" s="206"/>
      <c r="BQ165" s="206"/>
      <c r="BR165" s="252"/>
      <c r="BS165" s="252"/>
      <c r="BT165" s="252"/>
      <c r="BU165" s="252"/>
      <c r="BV165" s="252"/>
      <c r="BW165" s="252"/>
      <c r="BX165" s="252"/>
      <c r="BY165" s="252"/>
      <c r="BZ165" s="252"/>
      <c r="CA165" s="252"/>
      <c r="CB165" s="252"/>
      <c r="CC165" s="252"/>
      <c r="CD165" s="252"/>
      <c r="CE165" s="252"/>
      <c r="CF165" s="252"/>
      <c r="CG165" s="252"/>
      <c r="CH165" s="252"/>
      <c r="CI165" s="252"/>
      <c r="CJ165" s="257"/>
      <c r="CK165" s="257"/>
      <c r="CL165" s="257"/>
      <c r="CM165" s="257"/>
      <c r="CN165" s="257"/>
      <c r="CO165" s="257"/>
      <c r="CP165" s="257"/>
      <c r="CQ165" s="257"/>
      <c r="CR165" s="257"/>
      <c r="CS165" s="257"/>
      <c r="CT165" s="257"/>
      <c r="CU165" s="257"/>
      <c r="CV165" s="257"/>
      <c r="CW165" s="257"/>
      <c r="CX165" s="257"/>
      <c r="CY165" s="257"/>
      <c r="CZ165" s="257"/>
      <c r="DA165" s="257"/>
      <c r="DB165" s="202"/>
      <c r="DC165" s="202"/>
      <c r="DD165" s="202"/>
      <c r="DE165" s="202"/>
      <c r="DF165" s="202"/>
      <c r="DG165" s="202"/>
      <c r="DH165" s="202"/>
      <c r="DI165" s="202"/>
      <c r="DJ165" s="202"/>
      <c r="DK165" s="202"/>
      <c r="DL165" s="202"/>
      <c r="DM165" s="202"/>
      <c r="DN165" s="202"/>
      <c r="DO165" s="202"/>
      <c r="DP165" s="202"/>
      <c r="DQ165" s="202"/>
      <c r="DR165" s="202"/>
      <c r="DS165" s="202"/>
      <c r="DT165" s="196"/>
      <c r="DU165" s="196"/>
      <c r="DV165" s="196"/>
      <c r="DW165" s="196"/>
      <c r="DX165" s="196"/>
      <c r="DY165" s="196"/>
      <c r="DZ165" s="196"/>
      <c r="EA165" s="196"/>
      <c r="EB165" s="176">
        <f t="shared" si="16"/>
        <v>0</v>
      </c>
      <c r="EC165" s="176">
        <f t="shared" si="17"/>
        <v>0</v>
      </c>
      <c r="ED165" s="176">
        <f t="shared" si="18"/>
        <v>0</v>
      </c>
      <c r="EE165" s="176">
        <f t="shared" si="19"/>
        <v>0</v>
      </c>
      <c r="EG165" s="129">
        <f t="shared" si="20"/>
        <v>0</v>
      </c>
      <c r="EI165" s="176">
        <f t="shared" si="21"/>
        <v>0</v>
      </c>
      <c r="EK165" s="176">
        <f t="shared" si="22"/>
        <v>0</v>
      </c>
      <c r="EL165" s="176"/>
      <c r="EM165" s="177"/>
      <c r="EN165" s="178"/>
      <c r="EO165" s="177"/>
      <c r="EP165" s="177"/>
      <c r="EQ165" s="176">
        <f t="shared" si="23"/>
        <v>0</v>
      </c>
      <c r="ER165" s="179">
        <v>23300</v>
      </c>
      <c r="ES165" s="177">
        <v>7.5</v>
      </c>
    </row>
    <row r="166" spans="1:149" x14ac:dyDescent="0.3">
      <c r="A166" s="197">
        <v>161</v>
      </c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247"/>
      <c r="AQ166" s="247"/>
      <c r="AR166" s="247"/>
      <c r="AS166" s="247"/>
      <c r="AT166" s="247"/>
      <c r="AU166" s="247"/>
      <c r="AV166" s="247"/>
      <c r="AW166" s="247"/>
      <c r="AX166" s="247"/>
      <c r="AY166" s="247"/>
      <c r="AZ166" s="247"/>
      <c r="BA166" s="247"/>
      <c r="BB166" s="247"/>
      <c r="BC166" s="247"/>
      <c r="BD166" s="206"/>
      <c r="BE166" s="206"/>
      <c r="BF166" s="206"/>
      <c r="BG166" s="206"/>
      <c r="BH166" s="206"/>
      <c r="BI166" s="206"/>
      <c r="BJ166" s="206"/>
      <c r="BK166" s="206"/>
      <c r="BL166" s="206"/>
      <c r="BM166" s="206"/>
      <c r="BN166" s="206"/>
      <c r="BO166" s="206"/>
      <c r="BP166" s="206"/>
      <c r="BQ166" s="206"/>
      <c r="BR166" s="252"/>
      <c r="BS166" s="252"/>
      <c r="BT166" s="252"/>
      <c r="BU166" s="252"/>
      <c r="BV166" s="252"/>
      <c r="BW166" s="252"/>
      <c r="BX166" s="252"/>
      <c r="BY166" s="252"/>
      <c r="BZ166" s="252"/>
      <c r="CA166" s="252"/>
      <c r="CB166" s="252"/>
      <c r="CC166" s="252"/>
      <c r="CD166" s="252"/>
      <c r="CE166" s="252"/>
      <c r="CF166" s="252"/>
      <c r="CG166" s="252"/>
      <c r="CH166" s="252"/>
      <c r="CI166" s="252"/>
      <c r="CJ166" s="257"/>
      <c r="CK166" s="257"/>
      <c r="CL166" s="257"/>
      <c r="CM166" s="257"/>
      <c r="CN166" s="257"/>
      <c r="CO166" s="257"/>
      <c r="CP166" s="257"/>
      <c r="CQ166" s="257"/>
      <c r="CR166" s="257"/>
      <c r="CS166" s="257"/>
      <c r="CT166" s="257"/>
      <c r="CU166" s="257"/>
      <c r="CV166" s="257"/>
      <c r="CW166" s="257"/>
      <c r="CX166" s="257"/>
      <c r="CY166" s="257"/>
      <c r="CZ166" s="257"/>
      <c r="DA166" s="257"/>
      <c r="DB166" s="202"/>
      <c r="DC166" s="202"/>
      <c r="DD166" s="202"/>
      <c r="DE166" s="202"/>
      <c r="DF166" s="202"/>
      <c r="DG166" s="202"/>
      <c r="DH166" s="202"/>
      <c r="DI166" s="202"/>
      <c r="DJ166" s="202"/>
      <c r="DK166" s="202"/>
      <c r="DL166" s="202"/>
      <c r="DM166" s="202"/>
      <c r="DN166" s="202"/>
      <c r="DO166" s="202"/>
      <c r="DP166" s="202"/>
      <c r="DQ166" s="202"/>
      <c r="DR166" s="202"/>
      <c r="DS166" s="202"/>
      <c r="DT166" s="196"/>
      <c r="DU166" s="196"/>
      <c r="DV166" s="196"/>
      <c r="DW166" s="196"/>
      <c r="DX166" s="196"/>
      <c r="DY166" s="196"/>
      <c r="DZ166" s="196"/>
      <c r="EA166" s="196"/>
      <c r="EB166" s="176">
        <f t="shared" si="16"/>
        <v>0</v>
      </c>
      <c r="EC166" s="176">
        <f t="shared" si="17"/>
        <v>0</v>
      </c>
      <c r="ED166" s="176">
        <f t="shared" si="18"/>
        <v>0</v>
      </c>
      <c r="EE166" s="176">
        <f t="shared" si="19"/>
        <v>0</v>
      </c>
      <c r="EG166" s="129">
        <f t="shared" si="20"/>
        <v>0</v>
      </c>
      <c r="EI166" s="176">
        <f t="shared" si="21"/>
        <v>0</v>
      </c>
      <c r="EK166" s="176">
        <f t="shared" si="22"/>
        <v>0</v>
      </c>
      <c r="EL166" s="176"/>
      <c r="EM166" s="177"/>
      <c r="EN166" s="178"/>
      <c r="EO166" s="177"/>
      <c r="EP166" s="177"/>
      <c r="EQ166" s="176">
        <f t="shared" si="23"/>
        <v>0</v>
      </c>
      <c r="ER166" s="179">
        <v>23300</v>
      </c>
      <c r="ES166" s="177">
        <v>7.5</v>
      </c>
    </row>
    <row r="167" spans="1:149" x14ac:dyDescent="0.3">
      <c r="A167" s="197">
        <v>162</v>
      </c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247"/>
      <c r="AQ167" s="247"/>
      <c r="AR167" s="247"/>
      <c r="AS167" s="247"/>
      <c r="AT167" s="247"/>
      <c r="AU167" s="247"/>
      <c r="AV167" s="247"/>
      <c r="AW167" s="247"/>
      <c r="AX167" s="247"/>
      <c r="AY167" s="247"/>
      <c r="AZ167" s="247"/>
      <c r="BA167" s="247"/>
      <c r="BB167" s="247"/>
      <c r="BC167" s="247"/>
      <c r="BD167" s="206"/>
      <c r="BE167" s="206"/>
      <c r="BF167" s="206"/>
      <c r="BG167" s="206"/>
      <c r="BH167" s="206"/>
      <c r="BI167" s="206"/>
      <c r="BJ167" s="206"/>
      <c r="BK167" s="206"/>
      <c r="BL167" s="206"/>
      <c r="BM167" s="206"/>
      <c r="BN167" s="206"/>
      <c r="BO167" s="206"/>
      <c r="BP167" s="206"/>
      <c r="BQ167" s="206"/>
      <c r="BR167" s="252"/>
      <c r="BS167" s="252"/>
      <c r="BT167" s="252"/>
      <c r="BU167" s="252"/>
      <c r="BV167" s="252"/>
      <c r="BW167" s="252"/>
      <c r="BX167" s="252"/>
      <c r="BY167" s="252"/>
      <c r="BZ167" s="252"/>
      <c r="CA167" s="252"/>
      <c r="CB167" s="252"/>
      <c r="CC167" s="252"/>
      <c r="CD167" s="252"/>
      <c r="CE167" s="252"/>
      <c r="CF167" s="252"/>
      <c r="CG167" s="252"/>
      <c r="CH167" s="252"/>
      <c r="CI167" s="252"/>
      <c r="CJ167" s="257"/>
      <c r="CK167" s="257"/>
      <c r="CL167" s="257"/>
      <c r="CM167" s="257"/>
      <c r="CN167" s="257"/>
      <c r="CO167" s="257"/>
      <c r="CP167" s="257"/>
      <c r="CQ167" s="257"/>
      <c r="CR167" s="257"/>
      <c r="CS167" s="257"/>
      <c r="CT167" s="257"/>
      <c r="CU167" s="257"/>
      <c r="CV167" s="257"/>
      <c r="CW167" s="257"/>
      <c r="CX167" s="257"/>
      <c r="CY167" s="257"/>
      <c r="CZ167" s="257"/>
      <c r="DA167" s="257"/>
      <c r="DB167" s="202"/>
      <c r="DC167" s="202"/>
      <c r="DD167" s="202"/>
      <c r="DE167" s="202"/>
      <c r="DF167" s="202"/>
      <c r="DG167" s="202"/>
      <c r="DH167" s="202"/>
      <c r="DI167" s="202"/>
      <c r="DJ167" s="202"/>
      <c r="DK167" s="202"/>
      <c r="DL167" s="202"/>
      <c r="DM167" s="202"/>
      <c r="DN167" s="202"/>
      <c r="DO167" s="202"/>
      <c r="DP167" s="202"/>
      <c r="DQ167" s="202"/>
      <c r="DR167" s="202"/>
      <c r="DS167" s="202"/>
      <c r="DT167" s="196"/>
      <c r="DU167" s="196"/>
      <c r="DV167" s="196"/>
      <c r="DW167" s="196"/>
      <c r="DX167" s="196"/>
      <c r="DY167" s="196"/>
      <c r="DZ167" s="196"/>
      <c r="EA167" s="196"/>
      <c r="EB167" s="176">
        <f t="shared" si="16"/>
        <v>0</v>
      </c>
      <c r="EC167" s="176">
        <f t="shared" si="17"/>
        <v>0</v>
      </c>
      <c r="ED167" s="176">
        <f t="shared" si="18"/>
        <v>0</v>
      </c>
      <c r="EE167" s="176">
        <f t="shared" si="19"/>
        <v>0</v>
      </c>
      <c r="EG167" s="129">
        <f t="shared" si="20"/>
        <v>0</v>
      </c>
      <c r="EI167" s="176">
        <f t="shared" si="21"/>
        <v>0</v>
      </c>
      <c r="EK167" s="176">
        <f t="shared" si="22"/>
        <v>0</v>
      </c>
      <c r="EL167" s="176"/>
      <c r="EM167" s="177"/>
      <c r="EN167" s="178"/>
      <c r="EO167" s="177"/>
      <c r="EP167" s="177"/>
      <c r="EQ167" s="176">
        <f t="shared" si="23"/>
        <v>0</v>
      </c>
      <c r="ER167" s="179">
        <v>23300</v>
      </c>
      <c r="ES167" s="177">
        <v>7.5</v>
      </c>
    </row>
    <row r="168" spans="1:149" x14ac:dyDescent="0.3">
      <c r="A168" s="197">
        <v>163</v>
      </c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247"/>
      <c r="AQ168" s="247"/>
      <c r="AR168" s="247"/>
      <c r="AS168" s="247"/>
      <c r="AT168" s="247"/>
      <c r="AU168" s="247"/>
      <c r="AV168" s="247"/>
      <c r="AW168" s="247"/>
      <c r="AX168" s="247"/>
      <c r="AY168" s="247"/>
      <c r="AZ168" s="247"/>
      <c r="BA168" s="247"/>
      <c r="BB168" s="247"/>
      <c r="BC168" s="247"/>
      <c r="BD168" s="206"/>
      <c r="BE168" s="206"/>
      <c r="BF168" s="206"/>
      <c r="BG168" s="206"/>
      <c r="BH168" s="206"/>
      <c r="BI168" s="206"/>
      <c r="BJ168" s="206"/>
      <c r="BK168" s="206"/>
      <c r="BL168" s="206"/>
      <c r="BM168" s="206"/>
      <c r="BN168" s="206"/>
      <c r="BO168" s="206"/>
      <c r="BP168" s="206"/>
      <c r="BQ168" s="206"/>
      <c r="BR168" s="252"/>
      <c r="BS168" s="252"/>
      <c r="BT168" s="252"/>
      <c r="BU168" s="252"/>
      <c r="BV168" s="252"/>
      <c r="BW168" s="252"/>
      <c r="BX168" s="252"/>
      <c r="BY168" s="252"/>
      <c r="BZ168" s="252"/>
      <c r="CA168" s="252"/>
      <c r="CB168" s="252"/>
      <c r="CC168" s="252"/>
      <c r="CD168" s="252"/>
      <c r="CE168" s="252"/>
      <c r="CF168" s="252"/>
      <c r="CG168" s="252"/>
      <c r="CH168" s="252"/>
      <c r="CI168" s="252"/>
      <c r="CJ168" s="257"/>
      <c r="CK168" s="257"/>
      <c r="CL168" s="257"/>
      <c r="CM168" s="257"/>
      <c r="CN168" s="257"/>
      <c r="CO168" s="257"/>
      <c r="CP168" s="257"/>
      <c r="CQ168" s="257"/>
      <c r="CR168" s="257"/>
      <c r="CS168" s="257"/>
      <c r="CT168" s="257"/>
      <c r="CU168" s="257"/>
      <c r="CV168" s="257"/>
      <c r="CW168" s="257"/>
      <c r="CX168" s="257"/>
      <c r="CY168" s="257"/>
      <c r="CZ168" s="257"/>
      <c r="DA168" s="257"/>
      <c r="DB168" s="202"/>
      <c r="DC168" s="202"/>
      <c r="DD168" s="202"/>
      <c r="DE168" s="202"/>
      <c r="DF168" s="202"/>
      <c r="DG168" s="202"/>
      <c r="DH168" s="202"/>
      <c r="DI168" s="202"/>
      <c r="DJ168" s="202"/>
      <c r="DK168" s="202"/>
      <c r="DL168" s="202"/>
      <c r="DM168" s="202"/>
      <c r="DN168" s="202"/>
      <c r="DO168" s="202"/>
      <c r="DP168" s="202"/>
      <c r="DQ168" s="202"/>
      <c r="DR168" s="202"/>
      <c r="DS168" s="202"/>
      <c r="DT168" s="196"/>
      <c r="DU168" s="196"/>
      <c r="DV168" s="196"/>
      <c r="DW168" s="196"/>
      <c r="DX168" s="196"/>
      <c r="DY168" s="196"/>
      <c r="DZ168" s="196"/>
      <c r="EA168" s="196"/>
      <c r="EB168" s="176">
        <f t="shared" si="16"/>
        <v>0</v>
      </c>
      <c r="EC168" s="176">
        <f t="shared" si="17"/>
        <v>0</v>
      </c>
      <c r="ED168" s="176">
        <f t="shared" si="18"/>
        <v>0</v>
      </c>
      <c r="EE168" s="176">
        <f t="shared" si="19"/>
        <v>0</v>
      </c>
      <c r="EG168" s="129">
        <f t="shared" si="20"/>
        <v>0</v>
      </c>
      <c r="EI168" s="176">
        <f t="shared" si="21"/>
        <v>0</v>
      </c>
      <c r="EK168" s="176">
        <f t="shared" si="22"/>
        <v>0</v>
      </c>
      <c r="EL168" s="176"/>
      <c r="EM168" s="177"/>
      <c r="EN168" s="178"/>
      <c r="EO168" s="177"/>
      <c r="EP168" s="177"/>
      <c r="EQ168" s="176">
        <f t="shared" si="23"/>
        <v>0</v>
      </c>
      <c r="ER168" s="179">
        <v>23300</v>
      </c>
      <c r="ES168" s="177">
        <v>7.5</v>
      </c>
    </row>
    <row r="169" spans="1:149" x14ac:dyDescent="0.3">
      <c r="A169" s="197">
        <v>164</v>
      </c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247"/>
      <c r="AQ169" s="247"/>
      <c r="AR169" s="247"/>
      <c r="AS169" s="247"/>
      <c r="AT169" s="247"/>
      <c r="AU169" s="247"/>
      <c r="AV169" s="247"/>
      <c r="AW169" s="247"/>
      <c r="AX169" s="247"/>
      <c r="AY169" s="247"/>
      <c r="AZ169" s="247"/>
      <c r="BA169" s="247"/>
      <c r="BB169" s="247"/>
      <c r="BC169" s="247"/>
      <c r="BD169" s="206"/>
      <c r="BE169" s="206"/>
      <c r="BF169" s="206"/>
      <c r="BG169" s="206"/>
      <c r="BH169" s="206"/>
      <c r="BI169" s="206"/>
      <c r="BJ169" s="206"/>
      <c r="BK169" s="206"/>
      <c r="BL169" s="206"/>
      <c r="BM169" s="206"/>
      <c r="BN169" s="206"/>
      <c r="BO169" s="206"/>
      <c r="BP169" s="206"/>
      <c r="BQ169" s="206"/>
      <c r="BR169" s="252"/>
      <c r="BS169" s="252"/>
      <c r="BT169" s="252"/>
      <c r="BU169" s="252"/>
      <c r="BV169" s="252"/>
      <c r="BW169" s="252"/>
      <c r="BX169" s="252"/>
      <c r="BY169" s="252"/>
      <c r="BZ169" s="252"/>
      <c r="CA169" s="252"/>
      <c r="CB169" s="252"/>
      <c r="CC169" s="252"/>
      <c r="CD169" s="252"/>
      <c r="CE169" s="252"/>
      <c r="CF169" s="252"/>
      <c r="CG169" s="252"/>
      <c r="CH169" s="252"/>
      <c r="CI169" s="252"/>
      <c r="CJ169" s="257"/>
      <c r="CK169" s="257"/>
      <c r="CL169" s="257"/>
      <c r="CM169" s="257"/>
      <c r="CN169" s="257"/>
      <c r="CO169" s="257"/>
      <c r="CP169" s="257"/>
      <c r="CQ169" s="257"/>
      <c r="CR169" s="257"/>
      <c r="CS169" s="257"/>
      <c r="CT169" s="257"/>
      <c r="CU169" s="257"/>
      <c r="CV169" s="257"/>
      <c r="CW169" s="257"/>
      <c r="CX169" s="257"/>
      <c r="CY169" s="257"/>
      <c r="CZ169" s="257"/>
      <c r="DA169" s="257"/>
      <c r="DB169" s="202"/>
      <c r="DC169" s="202"/>
      <c r="DD169" s="202"/>
      <c r="DE169" s="202"/>
      <c r="DF169" s="202"/>
      <c r="DG169" s="202"/>
      <c r="DH169" s="202"/>
      <c r="DI169" s="202"/>
      <c r="DJ169" s="202"/>
      <c r="DK169" s="202"/>
      <c r="DL169" s="202"/>
      <c r="DM169" s="202"/>
      <c r="DN169" s="202"/>
      <c r="DO169" s="202"/>
      <c r="DP169" s="202"/>
      <c r="DQ169" s="202"/>
      <c r="DR169" s="202"/>
      <c r="DS169" s="202"/>
      <c r="DT169" s="196"/>
      <c r="DU169" s="196"/>
      <c r="DV169" s="196"/>
      <c r="DW169" s="196"/>
      <c r="DX169" s="196"/>
      <c r="DY169" s="196"/>
      <c r="DZ169" s="196"/>
      <c r="EA169" s="196"/>
      <c r="EB169" s="176">
        <f t="shared" si="16"/>
        <v>0</v>
      </c>
      <c r="EC169" s="176">
        <f t="shared" si="17"/>
        <v>0</v>
      </c>
      <c r="ED169" s="176">
        <f t="shared" si="18"/>
        <v>0</v>
      </c>
      <c r="EE169" s="176">
        <f t="shared" si="19"/>
        <v>0</v>
      </c>
      <c r="EG169" s="129">
        <f t="shared" si="20"/>
        <v>0</v>
      </c>
      <c r="EI169" s="176">
        <f t="shared" si="21"/>
        <v>0</v>
      </c>
      <c r="EK169" s="176">
        <f t="shared" si="22"/>
        <v>0</v>
      </c>
      <c r="EL169" s="176"/>
      <c r="EM169" s="177"/>
      <c r="EN169" s="178"/>
      <c r="EO169" s="177"/>
      <c r="EP169" s="177"/>
      <c r="EQ169" s="176">
        <f t="shared" si="23"/>
        <v>0</v>
      </c>
      <c r="ER169" s="179">
        <v>23300</v>
      </c>
      <c r="ES169" s="177">
        <v>7.5</v>
      </c>
    </row>
    <row r="170" spans="1:149" x14ac:dyDescent="0.3">
      <c r="A170" s="197">
        <v>165</v>
      </c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247"/>
      <c r="AQ170" s="247"/>
      <c r="AR170" s="247"/>
      <c r="AS170" s="247"/>
      <c r="AT170" s="247"/>
      <c r="AU170" s="247"/>
      <c r="AV170" s="247"/>
      <c r="AW170" s="247"/>
      <c r="AX170" s="247"/>
      <c r="AY170" s="247"/>
      <c r="AZ170" s="247"/>
      <c r="BA170" s="247"/>
      <c r="BB170" s="247"/>
      <c r="BC170" s="247"/>
      <c r="BD170" s="206"/>
      <c r="BE170" s="206"/>
      <c r="BF170" s="206"/>
      <c r="BG170" s="206"/>
      <c r="BH170" s="206"/>
      <c r="BI170" s="206"/>
      <c r="BJ170" s="206"/>
      <c r="BK170" s="206"/>
      <c r="BL170" s="206"/>
      <c r="BM170" s="206"/>
      <c r="BN170" s="206"/>
      <c r="BO170" s="206"/>
      <c r="BP170" s="206"/>
      <c r="BQ170" s="206"/>
      <c r="BR170" s="252"/>
      <c r="BS170" s="252"/>
      <c r="BT170" s="252"/>
      <c r="BU170" s="252"/>
      <c r="BV170" s="252"/>
      <c r="BW170" s="252"/>
      <c r="BX170" s="252"/>
      <c r="BY170" s="252"/>
      <c r="BZ170" s="252"/>
      <c r="CA170" s="252"/>
      <c r="CB170" s="252"/>
      <c r="CC170" s="252"/>
      <c r="CD170" s="252"/>
      <c r="CE170" s="252"/>
      <c r="CF170" s="252"/>
      <c r="CG170" s="252"/>
      <c r="CH170" s="252"/>
      <c r="CI170" s="252"/>
      <c r="CJ170" s="257"/>
      <c r="CK170" s="257"/>
      <c r="CL170" s="257"/>
      <c r="CM170" s="257"/>
      <c r="CN170" s="257"/>
      <c r="CO170" s="257"/>
      <c r="CP170" s="257"/>
      <c r="CQ170" s="257"/>
      <c r="CR170" s="257"/>
      <c r="CS170" s="257"/>
      <c r="CT170" s="257"/>
      <c r="CU170" s="257"/>
      <c r="CV170" s="257"/>
      <c r="CW170" s="257"/>
      <c r="CX170" s="257"/>
      <c r="CY170" s="257"/>
      <c r="CZ170" s="257"/>
      <c r="DA170" s="257"/>
      <c r="DB170" s="202"/>
      <c r="DC170" s="202"/>
      <c r="DD170" s="202"/>
      <c r="DE170" s="202"/>
      <c r="DF170" s="202"/>
      <c r="DG170" s="202"/>
      <c r="DH170" s="202"/>
      <c r="DI170" s="202"/>
      <c r="DJ170" s="202"/>
      <c r="DK170" s="202"/>
      <c r="DL170" s="202"/>
      <c r="DM170" s="202"/>
      <c r="DN170" s="202"/>
      <c r="DO170" s="202"/>
      <c r="DP170" s="202"/>
      <c r="DQ170" s="202"/>
      <c r="DR170" s="202"/>
      <c r="DS170" s="202"/>
      <c r="DT170" s="196"/>
      <c r="DU170" s="196"/>
      <c r="DV170" s="196"/>
      <c r="DW170" s="196"/>
      <c r="DX170" s="196"/>
      <c r="DY170" s="196"/>
      <c r="DZ170" s="196"/>
      <c r="EA170" s="196"/>
      <c r="EB170" s="176">
        <f t="shared" si="16"/>
        <v>0</v>
      </c>
      <c r="EC170" s="176">
        <f t="shared" si="17"/>
        <v>0</v>
      </c>
      <c r="ED170" s="176">
        <f t="shared" si="18"/>
        <v>0</v>
      </c>
      <c r="EE170" s="176">
        <f t="shared" si="19"/>
        <v>0</v>
      </c>
      <c r="EG170" s="129">
        <f t="shared" si="20"/>
        <v>0</v>
      </c>
      <c r="EI170" s="176">
        <f t="shared" si="21"/>
        <v>0</v>
      </c>
      <c r="EK170" s="176">
        <f t="shared" si="22"/>
        <v>0</v>
      </c>
      <c r="EL170" s="176"/>
      <c r="EM170" s="177"/>
      <c r="EN170" s="178"/>
      <c r="EO170" s="177"/>
      <c r="EP170" s="177"/>
      <c r="EQ170" s="176">
        <f t="shared" si="23"/>
        <v>0</v>
      </c>
      <c r="ER170" s="179">
        <v>23300</v>
      </c>
      <c r="ES170" s="177">
        <v>7.5</v>
      </c>
    </row>
    <row r="171" spans="1:149" x14ac:dyDescent="0.3">
      <c r="A171" s="197">
        <v>166</v>
      </c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247"/>
      <c r="AQ171" s="247"/>
      <c r="AR171" s="247"/>
      <c r="AS171" s="247"/>
      <c r="AT171" s="247"/>
      <c r="AU171" s="247"/>
      <c r="AV171" s="247"/>
      <c r="AW171" s="247"/>
      <c r="AX171" s="247"/>
      <c r="AY171" s="247"/>
      <c r="AZ171" s="247"/>
      <c r="BA171" s="247"/>
      <c r="BB171" s="247"/>
      <c r="BC171" s="247"/>
      <c r="BD171" s="206"/>
      <c r="BE171" s="206"/>
      <c r="BF171" s="206"/>
      <c r="BG171" s="206"/>
      <c r="BH171" s="206"/>
      <c r="BI171" s="206"/>
      <c r="BJ171" s="206"/>
      <c r="BK171" s="206"/>
      <c r="BL171" s="206"/>
      <c r="BM171" s="206"/>
      <c r="BN171" s="206"/>
      <c r="BO171" s="206"/>
      <c r="BP171" s="206"/>
      <c r="BQ171" s="206"/>
      <c r="BR171" s="252"/>
      <c r="BS171" s="252"/>
      <c r="BT171" s="252"/>
      <c r="BU171" s="252"/>
      <c r="BV171" s="252"/>
      <c r="BW171" s="252"/>
      <c r="BX171" s="252"/>
      <c r="BY171" s="252"/>
      <c r="BZ171" s="252"/>
      <c r="CA171" s="252"/>
      <c r="CB171" s="252"/>
      <c r="CC171" s="252"/>
      <c r="CD171" s="252"/>
      <c r="CE171" s="252"/>
      <c r="CF171" s="252"/>
      <c r="CG171" s="252"/>
      <c r="CH171" s="252"/>
      <c r="CI171" s="252"/>
      <c r="CJ171" s="257"/>
      <c r="CK171" s="257"/>
      <c r="CL171" s="257"/>
      <c r="CM171" s="257"/>
      <c r="CN171" s="257"/>
      <c r="CO171" s="257"/>
      <c r="CP171" s="257"/>
      <c r="CQ171" s="257"/>
      <c r="CR171" s="257"/>
      <c r="CS171" s="257"/>
      <c r="CT171" s="257"/>
      <c r="CU171" s="257"/>
      <c r="CV171" s="257"/>
      <c r="CW171" s="257"/>
      <c r="CX171" s="257"/>
      <c r="CY171" s="257"/>
      <c r="CZ171" s="257"/>
      <c r="DA171" s="257"/>
      <c r="DB171" s="202"/>
      <c r="DC171" s="202"/>
      <c r="DD171" s="202"/>
      <c r="DE171" s="202"/>
      <c r="DF171" s="202"/>
      <c r="DG171" s="202"/>
      <c r="DH171" s="202"/>
      <c r="DI171" s="202"/>
      <c r="DJ171" s="202"/>
      <c r="DK171" s="202"/>
      <c r="DL171" s="202"/>
      <c r="DM171" s="202"/>
      <c r="DN171" s="202"/>
      <c r="DO171" s="202"/>
      <c r="DP171" s="202"/>
      <c r="DQ171" s="202"/>
      <c r="DR171" s="202"/>
      <c r="DS171" s="202"/>
      <c r="DT171" s="196"/>
      <c r="DU171" s="196"/>
      <c r="DV171" s="196"/>
      <c r="DW171" s="196"/>
      <c r="DX171" s="196"/>
      <c r="DY171" s="196"/>
      <c r="DZ171" s="196"/>
      <c r="EA171" s="196"/>
      <c r="EB171" s="176">
        <f t="shared" si="16"/>
        <v>0</v>
      </c>
      <c r="EC171" s="176">
        <f t="shared" si="17"/>
        <v>0</v>
      </c>
      <c r="ED171" s="176">
        <f t="shared" si="18"/>
        <v>0</v>
      </c>
      <c r="EE171" s="176">
        <f t="shared" si="19"/>
        <v>0</v>
      </c>
      <c r="EG171" s="129">
        <f t="shared" si="20"/>
        <v>0</v>
      </c>
      <c r="EI171" s="176">
        <f t="shared" si="21"/>
        <v>0</v>
      </c>
      <c r="EK171" s="176">
        <f t="shared" si="22"/>
        <v>0</v>
      </c>
      <c r="EL171" s="176"/>
      <c r="EM171" s="177"/>
      <c r="EN171" s="178"/>
      <c r="EO171" s="177"/>
      <c r="EP171" s="177"/>
      <c r="EQ171" s="176">
        <f t="shared" si="23"/>
        <v>0</v>
      </c>
      <c r="ER171" s="179">
        <v>23300</v>
      </c>
      <c r="ES171" s="177">
        <v>7.5</v>
      </c>
    </row>
    <row r="172" spans="1:149" x14ac:dyDescent="0.3">
      <c r="A172" s="197">
        <v>167</v>
      </c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247"/>
      <c r="AQ172" s="247"/>
      <c r="AR172" s="247"/>
      <c r="AS172" s="247"/>
      <c r="AT172" s="247"/>
      <c r="AU172" s="247"/>
      <c r="AV172" s="247"/>
      <c r="AW172" s="247"/>
      <c r="AX172" s="247"/>
      <c r="AY172" s="247"/>
      <c r="AZ172" s="247"/>
      <c r="BA172" s="247"/>
      <c r="BB172" s="247"/>
      <c r="BC172" s="247"/>
      <c r="BD172" s="206"/>
      <c r="BE172" s="206"/>
      <c r="BF172" s="206"/>
      <c r="BG172" s="206"/>
      <c r="BH172" s="206"/>
      <c r="BI172" s="206"/>
      <c r="BJ172" s="206"/>
      <c r="BK172" s="206"/>
      <c r="BL172" s="206"/>
      <c r="BM172" s="206"/>
      <c r="BN172" s="206"/>
      <c r="BO172" s="206"/>
      <c r="BP172" s="206"/>
      <c r="BQ172" s="206"/>
      <c r="BR172" s="252"/>
      <c r="BS172" s="252"/>
      <c r="BT172" s="252"/>
      <c r="BU172" s="252"/>
      <c r="BV172" s="252"/>
      <c r="BW172" s="252"/>
      <c r="BX172" s="252"/>
      <c r="BY172" s="252"/>
      <c r="BZ172" s="252"/>
      <c r="CA172" s="252"/>
      <c r="CB172" s="252"/>
      <c r="CC172" s="252"/>
      <c r="CD172" s="252"/>
      <c r="CE172" s="252"/>
      <c r="CF172" s="252"/>
      <c r="CG172" s="252"/>
      <c r="CH172" s="252"/>
      <c r="CI172" s="252"/>
      <c r="CJ172" s="257"/>
      <c r="CK172" s="257"/>
      <c r="CL172" s="257"/>
      <c r="CM172" s="257"/>
      <c r="CN172" s="257"/>
      <c r="CO172" s="257"/>
      <c r="CP172" s="257"/>
      <c r="CQ172" s="257"/>
      <c r="CR172" s="257"/>
      <c r="CS172" s="257"/>
      <c r="CT172" s="257"/>
      <c r="CU172" s="257"/>
      <c r="CV172" s="257"/>
      <c r="CW172" s="257"/>
      <c r="CX172" s="257"/>
      <c r="CY172" s="257"/>
      <c r="CZ172" s="257"/>
      <c r="DA172" s="257"/>
      <c r="DB172" s="202"/>
      <c r="DC172" s="202"/>
      <c r="DD172" s="202"/>
      <c r="DE172" s="202"/>
      <c r="DF172" s="202"/>
      <c r="DG172" s="202"/>
      <c r="DH172" s="202"/>
      <c r="DI172" s="202"/>
      <c r="DJ172" s="202"/>
      <c r="DK172" s="202"/>
      <c r="DL172" s="202"/>
      <c r="DM172" s="202"/>
      <c r="DN172" s="202"/>
      <c r="DO172" s="202"/>
      <c r="DP172" s="202"/>
      <c r="DQ172" s="202"/>
      <c r="DR172" s="202"/>
      <c r="DS172" s="202"/>
      <c r="DT172" s="196"/>
      <c r="DU172" s="196"/>
      <c r="DV172" s="196"/>
      <c r="DW172" s="196"/>
      <c r="DX172" s="196"/>
      <c r="DY172" s="196"/>
      <c r="DZ172" s="196"/>
      <c r="EA172" s="196"/>
      <c r="EB172" s="176">
        <f t="shared" si="16"/>
        <v>0</v>
      </c>
      <c r="EC172" s="176">
        <f t="shared" si="17"/>
        <v>0</v>
      </c>
      <c r="ED172" s="176">
        <f t="shared" si="18"/>
        <v>0</v>
      </c>
      <c r="EE172" s="176">
        <f t="shared" si="19"/>
        <v>0</v>
      </c>
      <c r="EG172" s="129">
        <f t="shared" si="20"/>
        <v>0</v>
      </c>
      <c r="EI172" s="176">
        <f t="shared" si="21"/>
        <v>0</v>
      </c>
      <c r="EK172" s="176">
        <f t="shared" si="22"/>
        <v>0</v>
      </c>
      <c r="EL172" s="176"/>
      <c r="EM172" s="177"/>
      <c r="EN172" s="178"/>
      <c r="EO172" s="177"/>
      <c r="EP172" s="177"/>
      <c r="EQ172" s="176">
        <f t="shared" si="23"/>
        <v>0</v>
      </c>
      <c r="ER172" s="179">
        <v>23300</v>
      </c>
      <c r="ES172" s="177">
        <v>7.5</v>
      </c>
    </row>
    <row r="173" spans="1:149" x14ac:dyDescent="0.3">
      <c r="A173" s="197">
        <v>168</v>
      </c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247"/>
      <c r="AQ173" s="247"/>
      <c r="AR173" s="247"/>
      <c r="AS173" s="247"/>
      <c r="AT173" s="247"/>
      <c r="AU173" s="247"/>
      <c r="AV173" s="247"/>
      <c r="AW173" s="247"/>
      <c r="AX173" s="247"/>
      <c r="AY173" s="247"/>
      <c r="AZ173" s="247"/>
      <c r="BA173" s="247"/>
      <c r="BB173" s="247"/>
      <c r="BC173" s="247"/>
      <c r="BD173" s="206"/>
      <c r="BE173" s="206"/>
      <c r="BF173" s="206"/>
      <c r="BG173" s="206"/>
      <c r="BH173" s="206"/>
      <c r="BI173" s="206"/>
      <c r="BJ173" s="206"/>
      <c r="BK173" s="206"/>
      <c r="BL173" s="206"/>
      <c r="BM173" s="206"/>
      <c r="BN173" s="206"/>
      <c r="BO173" s="206"/>
      <c r="BP173" s="206"/>
      <c r="BQ173" s="206"/>
      <c r="BR173" s="252"/>
      <c r="BS173" s="252"/>
      <c r="BT173" s="252"/>
      <c r="BU173" s="252"/>
      <c r="BV173" s="252"/>
      <c r="BW173" s="252"/>
      <c r="BX173" s="252"/>
      <c r="BY173" s="252"/>
      <c r="BZ173" s="252"/>
      <c r="CA173" s="252"/>
      <c r="CB173" s="252"/>
      <c r="CC173" s="252"/>
      <c r="CD173" s="252"/>
      <c r="CE173" s="252"/>
      <c r="CF173" s="252"/>
      <c r="CG173" s="252"/>
      <c r="CH173" s="252"/>
      <c r="CI173" s="252"/>
      <c r="CJ173" s="257"/>
      <c r="CK173" s="257"/>
      <c r="CL173" s="257"/>
      <c r="CM173" s="257"/>
      <c r="CN173" s="257"/>
      <c r="CO173" s="257"/>
      <c r="CP173" s="257"/>
      <c r="CQ173" s="257"/>
      <c r="CR173" s="257"/>
      <c r="CS173" s="257"/>
      <c r="CT173" s="257"/>
      <c r="CU173" s="257"/>
      <c r="CV173" s="257"/>
      <c r="CW173" s="257"/>
      <c r="CX173" s="257"/>
      <c r="CY173" s="257"/>
      <c r="CZ173" s="257"/>
      <c r="DA173" s="257"/>
      <c r="DB173" s="202"/>
      <c r="DC173" s="202"/>
      <c r="DD173" s="202"/>
      <c r="DE173" s="202"/>
      <c r="DF173" s="202"/>
      <c r="DG173" s="202"/>
      <c r="DH173" s="202"/>
      <c r="DI173" s="202"/>
      <c r="DJ173" s="202"/>
      <c r="DK173" s="202"/>
      <c r="DL173" s="202"/>
      <c r="DM173" s="202"/>
      <c r="DN173" s="202"/>
      <c r="DO173" s="202"/>
      <c r="DP173" s="202"/>
      <c r="DQ173" s="202"/>
      <c r="DR173" s="202"/>
      <c r="DS173" s="202"/>
      <c r="DT173" s="196"/>
      <c r="DU173" s="196"/>
      <c r="DV173" s="196"/>
      <c r="DW173" s="196"/>
      <c r="DX173" s="196"/>
      <c r="DY173" s="196"/>
      <c r="DZ173" s="196"/>
      <c r="EA173" s="196"/>
      <c r="EB173" s="176">
        <f t="shared" si="16"/>
        <v>0</v>
      </c>
      <c r="EC173" s="176">
        <f t="shared" si="17"/>
        <v>0</v>
      </c>
      <c r="ED173" s="176">
        <f t="shared" si="18"/>
        <v>0</v>
      </c>
      <c r="EE173" s="176">
        <f t="shared" si="19"/>
        <v>0</v>
      </c>
      <c r="EG173" s="129">
        <f t="shared" si="20"/>
        <v>0</v>
      </c>
      <c r="EI173" s="176">
        <f t="shared" si="21"/>
        <v>0</v>
      </c>
      <c r="EK173" s="176">
        <f t="shared" si="22"/>
        <v>0</v>
      </c>
      <c r="EL173" s="176"/>
      <c r="EM173" s="177"/>
      <c r="EN173" s="178"/>
      <c r="EO173" s="177"/>
      <c r="EP173" s="177"/>
      <c r="EQ173" s="176">
        <f t="shared" si="23"/>
        <v>0</v>
      </c>
      <c r="ER173" s="179">
        <v>23300</v>
      </c>
      <c r="ES173" s="177">
        <v>7.5</v>
      </c>
    </row>
    <row r="174" spans="1:149" x14ac:dyDescent="0.3">
      <c r="A174" s="197">
        <v>169</v>
      </c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247"/>
      <c r="AQ174" s="247"/>
      <c r="AR174" s="247"/>
      <c r="AS174" s="247"/>
      <c r="AT174" s="247"/>
      <c r="AU174" s="247"/>
      <c r="AV174" s="247"/>
      <c r="AW174" s="247"/>
      <c r="AX174" s="247"/>
      <c r="AY174" s="247"/>
      <c r="AZ174" s="247"/>
      <c r="BA174" s="247"/>
      <c r="BB174" s="247"/>
      <c r="BC174" s="247"/>
      <c r="BD174" s="206"/>
      <c r="BE174" s="206"/>
      <c r="BF174" s="206"/>
      <c r="BG174" s="206"/>
      <c r="BH174" s="206"/>
      <c r="BI174" s="206"/>
      <c r="BJ174" s="206"/>
      <c r="BK174" s="206"/>
      <c r="BL174" s="206"/>
      <c r="BM174" s="206"/>
      <c r="BN174" s="206"/>
      <c r="BO174" s="206"/>
      <c r="BP174" s="206"/>
      <c r="BQ174" s="206"/>
      <c r="BR174" s="252"/>
      <c r="BS174" s="252"/>
      <c r="BT174" s="252"/>
      <c r="BU174" s="252"/>
      <c r="BV174" s="252"/>
      <c r="BW174" s="252"/>
      <c r="BX174" s="252"/>
      <c r="BY174" s="252"/>
      <c r="BZ174" s="252"/>
      <c r="CA174" s="252"/>
      <c r="CB174" s="252"/>
      <c r="CC174" s="252"/>
      <c r="CD174" s="252"/>
      <c r="CE174" s="252"/>
      <c r="CF174" s="252"/>
      <c r="CG174" s="252"/>
      <c r="CH174" s="252"/>
      <c r="CI174" s="252"/>
      <c r="CJ174" s="257"/>
      <c r="CK174" s="257"/>
      <c r="CL174" s="257"/>
      <c r="CM174" s="257"/>
      <c r="CN174" s="257"/>
      <c r="CO174" s="257"/>
      <c r="CP174" s="257"/>
      <c r="CQ174" s="257"/>
      <c r="CR174" s="257"/>
      <c r="CS174" s="257"/>
      <c r="CT174" s="257"/>
      <c r="CU174" s="257"/>
      <c r="CV174" s="257"/>
      <c r="CW174" s="257"/>
      <c r="CX174" s="257"/>
      <c r="CY174" s="257"/>
      <c r="CZ174" s="257"/>
      <c r="DA174" s="257"/>
      <c r="DB174" s="202"/>
      <c r="DC174" s="202"/>
      <c r="DD174" s="202"/>
      <c r="DE174" s="202"/>
      <c r="DF174" s="202"/>
      <c r="DG174" s="202"/>
      <c r="DH174" s="202"/>
      <c r="DI174" s="202"/>
      <c r="DJ174" s="202"/>
      <c r="DK174" s="202"/>
      <c r="DL174" s="202"/>
      <c r="DM174" s="202"/>
      <c r="DN174" s="202"/>
      <c r="DO174" s="202"/>
      <c r="DP174" s="202"/>
      <c r="DQ174" s="202"/>
      <c r="DR174" s="202"/>
      <c r="DS174" s="202"/>
      <c r="DT174" s="196"/>
      <c r="DU174" s="196"/>
      <c r="DV174" s="196"/>
      <c r="DW174" s="196"/>
      <c r="DX174" s="196"/>
      <c r="DY174" s="196"/>
      <c r="DZ174" s="196"/>
      <c r="EA174" s="196"/>
      <c r="EB174" s="176">
        <f t="shared" si="16"/>
        <v>0</v>
      </c>
      <c r="EC174" s="176">
        <f t="shared" si="17"/>
        <v>0</v>
      </c>
      <c r="ED174" s="176">
        <f t="shared" si="18"/>
        <v>0</v>
      </c>
      <c r="EE174" s="176">
        <f t="shared" si="19"/>
        <v>0</v>
      </c>
      <c r="EG174" s="129">
        <f t="shared" si="20"/>
        <v>0</v>
      </c>
      <c r="EI174" s="176">
        <f t="shared" si="21"/>
        <v>0</v>
      </c>
      <c r="EK174" s="176">
        <f t="shared" si="22"/>
        <v>0</v>
      </c>
      <c r="EL174" s="176"/>
      <c r="EM174" s="177"/>
      <c r="EN174" s="178"/>
      <c r="EO174" s="177"/>
      <c r="EP174" s="177"/>
      <c r="EQ174" s="176">
        <f t="shared" si="23"/>
        <v>0</v>
      </c>
      <c r="ER174" s="179">
        <v>23300</v>
      </c>
      <c r="ES174" s="177">
        <v>7.5</v>
      </c>
    </row>
    <row r="175" spans="1:149" x14ac:dyDescent="0.3">
      <c r="A175" s="197">
        <v>170</v>
      </c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247"/>
      <c r="AQ175" s="247"/>
      <c r="AR175" s="247"/>
      <c r="AS175" s="247"/>
      <c r="AT175" s="247"/>
      <c r="AU175" s="247"/>
      <c r="AV175" s="247"/>
      <c r="AW175" s="247"/>
      <c r="AX175" s="247"/>
      <c r="AY175" s="247"/>
      <c r="AZ175" s="247"/>
      <c r="BA175" s="247"/>
      <c r="BB175" s="247"/>
      <c r="BC175" s="247"/>
      <c r="BD175" s="206"/>
      <c r="BE175" s="206"/>
      <c r="BF175" s="206"/>
      <c r="BG175" s="206"/>
      <c r="BH175" s="206"/>
      <c r="BI175" s="206"/>
      <c r="BJ175" s="206"/>
      <c r="BK175" s="206"/>
      <c r="BL175" s="206"/>
      <c r="BM175" s="206"/>
      <c r="BN175" s="206"/>
      <c r="BO175" s="206"/>
      <c r="BP175" s="206"/>
      <c r="BQ175" s="206"/>
      <c r="BR175" s="252"/>
      <c r="BS175" s="252"/>
      <c r="BT175" s="252"/>
      <c r="BU175" s="252"/>
      <c r="BV175" s="252"/>
      <c r="BW175" s="252"/>
      <c r="BX175" s="252"/>
      <c r="BY175" s="252"/>
      <c r="BZ175" s="252"/>
      <c r="CA175" s="252"/>
      <c r="CB175" s="252"/>
      <c r="CC175" s="252"/>
      <c r="CD175" s="252"/>
      <c r="CE175" s="252"/>
      <c r="CF175" s="252"/>
      <c r="CG175" s="252"/>
      <c r="CH175" s="252"/>
      <c r="CI175" s="252"/>
      <c r="CJ175" s="257"/>
      <c r="CK175" s="257"/>
      <c r="CL175" s="257"/>
      <c r="CM175" s="257"/>
      <c r="CN175" s="257"/>
      <c r="CO175" s="257"/>
      <c r="CP175" s="257"/>
      <c r="CQ175" s="257"/>
      <c r="CR175" s="257"/>
      <c r="CS175" s="257"/>
      <c r="CT175" s="257"/>
      <c r="CU175" s="257"/>
      <c r="CV175" s="257"/>
      <c r="CW175" s="257"/>
      <c r="CX175" s="257"/>
      <c r="CY175" s="257"/>
      <c r="CZ175" s="257"/>
      <c r="DA175" s="257"/>
      <c r="DB175" s="202"/>
      <c r="DC175" s="202"/>
      <c r="DD175" s="202"/>
      <c r="DE175" s="202"/>
      <c r="DF175" s="202"/>
      <c r="DG175" s="202"/>
      <c r="DH175" s="202"/>
      <c r="DI175" s="202"/>
      <c r="DJ175" s="202"/>
      <c r="DK175" s="202"/>
      <c r="DL175" s="202"/>
      <c r="DM175" s="202"/>
      <c r="DN175" s="202"/>
      <c r="DO175" s="202"/>
      <c r="DP175" s="202"/>
      <c r="DQ175" s="202"/>
      <c r="DR175" s="202"/>
      <c r="DS175" s="202"/>
      <c r="DT175" s="196"/>
      <c r="DU175" s="196"/>
      <c r="DV175" s="196"/>
      <c r="DW175" s="196"/>
      <c r="DX175" s="196"/>
      <c r="DY175" s="196"/>
      <c r="DZ175" s="196"/>
      <c r="EA175" s="196"/>
      <c r="EB175" s="176">
        <f t="shared" si="16"/>
        <v>0</v>
      </c>
      <c r="EC175" s="176">
        <f t="shared" si="17"/>
        <v>0</v>
      </c>
      <c r="ED175" s="176">
        <f t="shared" si="18"/>
        <v>0</v>
      </c>
      <c r="EE175" s="176">
        <f t="shared" si="19"/>
        <v>0</v>
      </c>
      <c r="EG175" s="129">
        <f t="shared" si="20"/>
        <v>0</v>
      </c>
      <c r="EI175" s="176">
        <f t="shared" si="21"/>
        <v>0</v>
      </c>
      <c r="EK175" s="176">
        <f t="shared" si="22"/>
        <v>0</v>
      </c>
      <c r="EL175" s="176"/>
      <c r="EM175" s="177"/>
      <c r="EN175" s="178"/>
      <c r="EO175" s="177"/>
      <c r="EP175" s="177"/>
      <c r="EQ175" s="176">
        <f t="shared" si="23"/>
        <v>0</v>
      </c>
      <c r="ER175" s="179">
        <v>23300</v>
      </c>
      <c r="ES175" s="177">
        <v>7.5</v>
      </c>
    </row>
    <row r="176" spans="1:149" x14ac:dyDescent="0.3">
      <c r="A176" s="197">
        <v>171</v>
      </c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247"/>
      <c r="AQ176" s="247"/>
      <c r="AR176" s="247"/>
      <c r="AS176" s="247"/>
      <c r="AT176" s="247"/>
      <c r="AU176" s="247"/>
      <c r="AV176" s="247"/>
      <c r="AW176" s="247"/>
      <c r="AX176" s="247"/>
      <c r="AY176" s="247"/>
      <c r="AZ176" s="247"/>
      <c r="BA176" s="247"/>
      <c r="BB176" s="247"/>
      <c r="BC176" s="247"/>
      <c r="BD176" s="206"/>
      <c r="BE176" s="206"/>
      <c r="BF176" s="206"/>
      <c r="BG176" s="206"/>
      <c r="BH176" s="206"/>
      <c r="BI176" s="206"/>
      <c r="BJ176" s="206"/>
      <c r="BK176" s="206"/>
      <c r="BL176" s="206"/>
      <c r="BM176" s="206"/>
      <c r="BN176" s="206"/>
      <c r="BO176" s="206"/>
      <c r="BP176" s="206"/>
      <c r="BQ176" s="206"/>
      <c r="BR176" s="252"/>
      <c r="BS176" s="252"/>
      <c r="BT176" s="252"/>
      <c r="BU176" s="252"/>
      <c r="BV176" s="252"/>
      <c r="BW176" s="252"/>
      <c r="BX176" s="252"/>
      <c r="BY176" s="252"/>
      <c r="BZ176" s="252"/>
      <c r="CA176" s="252"/>
      <c r="CB176" s="252"/>
      <c r="CC176" s="252"/>
      <c r="CD176" s="252"/>
      <c r="CE176" s="252"/>
      <c r="CF176" s="252"/>
      <c r="CG176" s="252"/>
      <c r="CH176" s="252"/>
      <c r="CI176" s="252"/>
      <c r="CJ176" s="257"/>
      <c r="CK176" s="257"/>
      <c r="CL176" s="257"/>
      <c r="CM176" s="257"/>
      <c r="CN176" s="257"/>
      <c r="CO176" s="257"/>
      <c r="CP176" s="257"/>
      <c r="CQ176" s="257"/>
      <c r="CR176" s="257"/>
      <c r="CS176" s="257"/>
      <c r="CT176" s="257"/>
      <c r="CU176" s="257"/>
      <c r="CV176" s="257"/>
      <c r="CW176" s="257"/>
      <c r="CX176" s="257"/>
      <c r="CY176" s="257"/>
      <c r="CZ176" s="257"/>
      <c r="DA176" s="257"/>
      <c r="DB176" s="202"/>
      <c r="DC176" s="202"/>
      <c r="DD176" s="202"/>
      <c r="DE176" s="202"/>
      <c r="DF176" s="202"/>
      <c r="DG176" s="202"/>
      <c r="DH176" s="202"/>
      <c r="DI176" s="202"/>
      <c r="DJ176" s="202"/>
      <c r="DK176" s="202"/>
      <c r="DL176" s="202"/>
      <c r="DM176" s="202"/>
      <c r="DN176" s="202"/>
      <c r="DO176" s="202"/>
      <c r="DP176" s="202"/>
      <c r="DQ176" s="202"/>
      <c r="DR176" s="202"/>
      <c r="DS176" s="202"/>
      <c r="DT176" s="196"/>
      <c r="DU176" s="196"/>
      <c r="DV176" s="196"/>
      <c r="DW176" s="196"/>
      <c r="DX176" s="196"/>
      <c r="DY176" s="196"/>
      <c r="DZ176" s="196"/>
      <c r="EA176" s="196"/>
      <c r="EB176" s="176">
        <f t="shared" si="16"/>
        <v>0</v>
      </c>
      <c r="EC176" s="176">
        <f t="shared" si="17"/>
        <v>0</v>
      </c>
      <c r="ED176" s="176">
        <f t="shared" si="18"/>
        <v>0</v>
      </c>
      <c r="EE176" s="176">
        <f t="shared" si="19"/>
        <v>0</v>
      </c>
      <c r="EG176" s="129">
        <f t="shared" si="20"/>
        <v>0</v>
      </c>
      <c r="EI176" s="176">
        <f t="shared" si="21"/>
        <v>0</v>
      </c>
      <c r="EK176" s="176">
        <f t="shared" si="22"/>
        <v>0</v>
      </c>
      <c r="EL176" s="176"/>
      <c r="EM176" s="177"/>
      <c r="EN176" s="178"/>
      <c r="EO176" s="177"/>
      <c r="EP176" s="177"/>
      <c r="EQ176" s="176">
        <f t="shared" si="23"/>
        <v>0</v>
      </c>
      <c r="ER176" s="179">
        <v>23300</v>
      </c>
      <c r="ES176" s="177">
        <v>7.5</v>
      </c>
    </row>
    <row r="177" spans="1:149" x14ac:dyDescent="0.3">
      <c r="A177" s="197">
        <v>172</v>
      </c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247"/>
      <c r="AQ177" s="247"/>
      <c r="AR177" s="247"/>
      <c r="AS177" s="247"/>
      <c r="AT177" s="247"/>
      <c r="AU177" s="247"/>
      <c r="AV177" s="247"/>
      <c r="AW177" s="247"/>
      <c r="AX177" s="247"/>
      <c r="AY177" s="247"/>
      <c r="AZ177" s="247"/>
      <c r="BA177" s="247"/>
      <c r="BB177" s="247"/>
      <c r="BC177" s="247"/>
      <c r="BD177" s="206"/>
      <c r="BE177" s="206"/>
      <c r="BF177" s="206"/>
      <c r="BG177" s="206"/>
      <c r="BH177" s="206"/>
      <c r="BI177" s="206"/>
      <c r="BJ177" s="206"/>
      <c r="BK177" s="206"/>
      <c r="BL177" s="206"/>
      <c r="BM177" s="206"/>
      <c r="BN177" s="206"/>
      <c r="BO177" s="206"/>
      <c r="BP177" s="206"/>
      <c r="BQ177" s="206"/>
      <c r="BR177" s="252"/>
      <c r="BS177" s="252"/>
      <c r="BT177" s="252"/>
      <c r="BU177" s="252"/>
      <c r="BV177" s="252"/>
      <c r="BW177" s="252"/>
      <c r="BX177" s="252"/>
      <c r="BY177" s="252"/>
      <c r="BZ177" s="252"/>
      <c r="CA177" s="252"/>
      <c r="CB177" s="252"/>
      <c r="CC177" s="252"/>
      <c r="CD177" s="252"/>
      <c r="CE177" s="252"/>
      <c r="CF177" s="252"/>
      <c r="CG177" s="252"/>
      <c r="CH177" s="252"/>
      <c r="CI177" s="252"/>
      <c r="CJ177" s="257"/>
      <c r="CK177" s="257"/>
      <c r="CL177" s="257"/>
      <c r="CM177" s="257"/>
      <c r="CN177" s="257"/>
      <c r="CO177" s="257"/>
      <c r="CP177" s="257"/>
      <c r="CQ177" s="257"/>
      <c r="CR177" s="257"/>
      <c r="CS177" s="257"/>
      <c r="CT177" s="257"/>
      <c r="CU177" s="257"/>
      <c r="CV177" s="257"/>
      <c r="CW177" s="257"/>
      <c r="CX177" s="257"/>
      <c r="CY177" s="257"/>
      <c r="CZ177" s="257"/>
      <c r="DA177" s="257"/>
      <c r="DB177" s="202"/>
      <c r="DC177" s="202"/>
      <c r="DD177" s="202"/>
      <c r="DE177" s="202"/>
      <c r="DF177" s="202"/>
      <c r="DG177" s="202"/>
      <c r="DH177" s="202"/>
      <c r="DI177" s="202"/>
      <c r="DJ177" s="202"/>
      <c r="DK177" s="202"/>
      <c r="DL177" s="202"/>
      <c r="DM177" s="202"/>
      <c r="DN177" s="202"/>
      <c r="DO177" s="202"/>
      <c r="DP177" s="202"/>
      <c r="DQ177" s="202"/>
      <c r="DR177" s="202"/>
      <c r="DS177" s="202"/>
      <c r="DT177" s="196"/>
      <c r="DU177" s="196"/>
      <c r="DV177" s="196"/>
      <c r="DW177" s="196"/>
      <c r="DX177" s="196"/>
      <c r="DY177" s="196"/>
      <c r="DZ177" s="196"/>
      <c r="EA177" s="196"/>
      <c r="EB177" s="176">
        <f t="shared" si="16"/>
        <v>0</v>
      </c>
      <c r="EC177" s="176">
        <f t="shared" si="17"/>
        <v>0</v>
      </c>
      <c r="ED177" s="176">
        <f t="shared" si="18"/>
        <v>0</v>
      </c>
      <c r="EE177" s="176">
        <f t="shared" si="19"/>
        <v>0</v>
      </c>
      <c r="EG177" s="129">
        <f t="shared" si="20"/>
        <v>0</v>
      </c>
      <c r="EI177" s="176">
        <f t="shared" si="21"/>
        <v>0</v>
      </c>
      <c r="EK177" s="176">
        <f t="shared" si="22"/>
        <v>0</v>
      </c>
      <c r="EL177" s="176"/>
      <c r="EM177" s="177"/>
      <c r="EN177" s="178"/>
      <c r="EO177" s="177"/>
      <c r="EP177" s="177"/>
      <c r="EQ177" s="176">
        <f t="shared" si="23"/>
        <v>0</v>
      </c>
      <c r="ER177" s="179">
        <v>23300</v>
      </c>
      <c r="ES177" s="177">
        <v>7.5</v>
      </c>
    </row>
    <row r="178" spans="1:149" x14ac:dyDescent="0.3">
      <c r="A178" s="197">
        <v>173</v>
      </c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247"/>
      <c r="AQ178" s="247"/>
      <c r="AR178" s="247"/>
      <c r="AS178" s="247"/>
      <c r="AT178" s="247"/>
      <c r="AU178" s="247"/>
      <c r="AV178" s="247"/>
      <c r="AW178" s="247"/>
      <c r="AX178" s="247"/>
      <c r="AY178" s="247"/>
      <c r="AZ178" s="247"/>
      <c r="BA178" s="247"/>
      <c r="BB178" s="247"/>
      <c r="BC178" s="247"/>
      <c r="BD178" s="206"/>
      <c r="BE178" s="206"/>
      <c r="BF178" s="206"/>
      <c r="BG178" s="206"/>
      <c r="BH178" s="206"/>
      <c r="BI178" s="206"/>
      <c r="BJ178" s="206"/>
      <c r="BK178" s="206"/>
      <c r="BL178" s="206"/>
      <c r="BM178" s="206"/>
      <c r="BN178" s="206"/>
      <c r="BO178" s="206"/>
      <c r="BP178" s="206"/>
      <c r="BQ178" s="206"/>
      <c r="BR178" s="252"/>
      <c r="BS178" s="252"/>
      <c r="BT178" s="252"/>
      <c r="BU178" s="252"/>
      <c r="BV178" s="252"/>
      <c r="BW178" s="252"/>
      <c r="BX178" s="252"/>
      <c r="BY178" s="252"/>
      <c r="BZ178" s="252"/>
      <c r="CA178" s="252"/>
      <c r="CB178" s="252"/>
      <c r="CC178" s="252"/>
      <c r="CD178" s="252"/>
      <c r="CE178" s="252"/>
      <c r="CF178" s="252"/>
      <c r="CG178" s="252"/>
      <c r="CH178" s="252"/>
      <c r="CI178" s="252"/>
      <c r="CJ178" s="257"/>
      <c r="CK178" s="257"/>
      <c r="CL178" s="257"/>
      <c r="CM178" s="257"/>
      <c r="CN178" s="257"/>
      <c r="CO178" s="257"/>
      <c r="CP178" s="257"/>
      <c r="CQ178" s="257"/>
      <c r="CR178" s="257"/>
      <c r="CS178" s="257"/>
      <c r="CT178" s="257"/>
      <c r="CU178" s="257"/>
      <c r="CV178" s="257"/>
      <c r="CW178" s="257"/>
      <c r="CX178" s="257"/>
      <c r="CY178" s="257"/>
      <c r="CZ178" s="257"/>
      <c r="DA178" s="257"/>
      <c r="DB178" s="202"/>
      <c r="DC178" s="202"/>
      <c r="DD178" s="202"/>
      <c r="DE178" s="202"/>
      <c r="DF178" s="202"/>
      <c r="DG178" s="202"/>
      <c r="DH178" s="202"/>
      <c r="DI178" s="202"/>
      <c r="DJ178" s="202"/>
      <c r="DK178" s="202"/>
      <c r="DL178" s="202"/>
      <c r="DM178" s="202"/>
      <c r="DN178" s="202"/>
      <c r="DO178" s="202"/>
      <c r="DP178" s="202"/>
      <c r="DQ178" s="202"/>
      <c r="DR178" s="202"/>
      <c r="DS178" s="202"/>
      <c r="DT178" s="196"/>
      <c r="DU178" s="196"/>
      <c r="DV178" s="196"/>
      <c r="DW178" s="196"/>
      <c r="DX178" s="196"/>
      <c r="DY178" s="196"/>
      <c r="DZ178" s="196"/>
      <c r="EA178" s="196"/>
      <c r="EB178" s="176">
        <f t="shared" si="16"/>
        <v>0</v>
      </c>
      <c r="EC178" s="176">
        <f t="shared" si="17"/>
        <v>0</v>
      </c>
      <c r="ED178" s="176">
        <f t="shared" si="18"/>
        <v>0</v>
      </c>
      <c r="EE178" s="176">
        <f t="shared" si="19"/>
        <v>0</v>
      </c>
      <c r="EG178" s="129">
        <f t="shared" si="20"/>
        <v>0</v>
      </c>
      <c r="EI178" s="176">
        <f t="shared" si="21"/>
        <v>0</v>
      </c>
      <c r="EK178" s="176">
        <f t="shared" si="22"/>
        <v>0</v>
      </c>
      <c r="EL178" s="176"/>
      <c r="EM178" s="177"/>
      <c r="EN178" s="178"/>
      <c r="EO178" s="177"/>
      <c r="EP178" s="177"/>
      <c r="EQ178" s="176">
        <f t="shared" si="23"/>
        <v>0</v>
      </c>
      <c r="ER178" s="179">
        <v>23300</v>
      </c>
      <c r="ES178" s="177">
        <v>7.5</v>
      </c>
    </row>
    <row r="179" spans="1:149" x14ac:dyDescent="0.3">
      <c r="A179" s="197">
        <v>174</v>
      </c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247"/>
      <c r="AQ179" s="247"/>
      <c r="AR179" s="247"/>
      <c r="AS179" s="247"/>
      <c r="AT179" s="247"/>
      <c r="AU179" s="247"/>
      <c r="AV179" s="247"/>
      <c r="AW179" s="247"/>
      <c r="AX179" s="247"/>
      <c r="AY179" s="247"/>
      <c r="AZ179" s="247"/>
      <c r="BA179" s="247"/>
      <c r="BB179" s="247"/>
      <c r="BC179" s="247"/>
      <c r="BD179" s="206"/>
      <c r="BE179" s="206"/>
      <c r="BF179" s="206"/>
      <c r="BG179" s="206"/>
      <c r="BH179" s="206"/>
      <c r="BI179" s="206"/>
      <c r="BJ179" s="206"/>
      <c r="BK179" s="206"/>
      <c r="BL179" s="206"/>
      <c r="BM179" s="206"/>
      <c r="BN179" s="206"/>
      <c r="BO179" s="206"/>
      <c r="BP179" s="206"/>
      <c r="BQ179" s="206"/>
      <c r="BR179" s="252"/>
      <c r="BS179" s="252"/>
      <c r="BT179" s="252"/>
      <c r="BU179" s="252"/>
      <c r="BV179" s="252"/>
      <c r="BW179" s="252"/>
      <c r="BX179" s="252"/>
      <c r="BY179" s="252"/>
      <c r="BZ179" s="252"/>
      <c r="CA179" s="252"/>
      <c r="CB179" s="252"/>
      <c r="CC179" s="252"/>
      <c r="CD179" s="252"/>
      <c r="CE179" s="252"/>
      <c r="CF179" s="252"/>
      <c r="CG179" s="252"/>
      <c r="CH179" s="252"/>
      <c r="CI179" s="252"/>
      <c r="CJ179" s="257"/>
      <c r="CK179" s="257"/>
      <c r="CL179" s="257"/>
      <c r="CM179" s="257"/>
      <c r="CN179" s="257"/>
      <c r="CO179" s="257"/>
      <c r="CP179" s="257"/>
      <c r="CQ179" s="257"/>
      <c r="CR179" s="257"/>
      <c r="CS179" s="257"/>
      <c r="CT179" s="257"/>
      <c r="CU179" s="257"/>
      <c r="CV179" s="257"/>
      <c r="CW179" s="257"/>
      <c r="CX179" s="257"/>
      <c r="CY179" s="257"/>
      <c r="CZ179" s="257"/>
      <c r="DA179" s="257"/>
      <c r="DB179" s="202"/>
      <c r="DC179" s="202"/>
      <c r="DD179" s="202"/>
      <c r="DE179" s="202"/>
      <c r="DF179" s="202"/>
      <c r="DG179" s="202"/>
      <c r="DH179" s="202"/>
      <c r="DI179" s="202"/>
      <c r="DJ179" s="202"/>
      <c r="DK179" s="202"/>
      <c r="DL179" s="202"/>
      <c r="DM179" s="202"/>
      <c r="DN179" s="202"/>
      <c r="DO179" s="202"/>
      <c r="DP179" s="202"/>
      <c r="DQ179" s="202"/>
      <c r="DR179" s="202"/>
      <c r="DS179" s="202"/>
      <c r="DT179" s="196"/>
      <c r="DU179" s="196"/>
      <c r="DV179" s="196"/>
      <c r="DW179" s="196"/>
      <c r="DX179" s="196"/>
      <c r="DY179" s="196"/>
      <c r="DZ179" s="196"/>
      <c r="EA179" s="196"/>
      <c r="EB179" s="176">
        <f t="shared" si="16"/>
        <v>0</v>
      </c>
      <c r="EC179" s="176">
        <f t="shared" si="17"/>
        <v>0</v>
      </c>
      <c r="ED179" s="176">
        <f t="shared" si="18"/>
        <v>0</v>
      </c>
      <c r="EE179" s="176">
        <f t="shared" si="19"/>
        <v>0</v>
      </c>
      <c r="EG179" s="129">
        <f t="shared" si="20"/>
        <v>0</v>
      </c>
      <c r="EI179" s="176">
        <f t="shared" si="21"/>
        <v>0</v>
      </c>
      <c r="EK179" s="176">
        <f t="shared" si="22"/>
        <v>0</v>
      </c>
      <c r="EL179" s="176"/>
      <c r="EM179" s="177"/>
      <c r="EN179" s="178"/>
      <c r="EO179" s="177"/>
      <c r="EP179" s="177"/>
      <c r="EQ179" s="176">
        <f t="shared" si="23"/>
        <v>0</v>
      </c>
      <c r="ER179" s="179">
        <v>23300</v>
      </c>
      <c r="ES179" s="177">
        <v>7.5</v>
      </c>
    </row>
    <row r="180" spans="1:149" x14ac:dyDescent="0.3">
      <c r="A180" s="197">
        <v>175</v>
      </c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247"/>
      <c r="AQ180" s="247"/>
      <c r="AR180" s="247"/>
      <c r="AS180" s="247"/>
      <c r="AT180" s="247"/>
      <c r="AU180" s="247"/>
      <c r="AV180" s="247"/>
      <c r="AW180" s="247"/>
      <c r="AX180" s="247"/>
      <c r="AY180" s="247"/>
      <c r="AZ180" s="247"/>
      <c r="BA180" s="247"/>
      <c r="BB180" s="247"/>
      <c r="BC180" s="247"/>
      <c r="BD180" s="206"/>
      <c r="BE180" s="206"/>
      <c r="BF180" s="206"/>
      <c r="BG180" s="206"/>
      <c r="BH180" s="206"/>
      <c r="BI180" s="206"/>
      <c r="BJ180" s="206"/>
      <c r="BK180" s="206"/>
      <c r="BL180" s="206"/>
      <c r="BM180" s="206"/>
      <c r="BN180" s="206"/>
      <c r="BO180" s="206"/>
      <c r="BP180" s="206"/>
      <c r="BQ180" s="206"/>
      <c r="BR180" s="252"/>
      <c r="BS180" s="252"/>
      <c r="BT180" s="252"/>
      <c r="BU180" s="252"/>
      <c r="BV180" s="252"/>
      <c r="BW180" s="252"/>
      <c r="BX180" s="252"/>
      <c r="BY180" s="252"/>
      <c r="BZ180" s="252"/>
      <c r="CA180" s="252"/>
      <c r="CB180" s="252"/>
      <c r="CC180" s="252"/>
      <c r="CD180" s="252"/>
      <c r="CE180" s="252"/>
      <c r="CF180" s="252"/>
      <c r="CG180" s="252"/>
      <c r="CH180" s="252"/>
      <c r="CI180" s="252"/>
      <c r="CJ180" s="257"/>
      <c r="CK180" s="257"/>
      <c r="CL180" s="257"/>
      <c r="CM180" s="257"/>
      <c r="CN180" s="257"/>
      <c r="CO180" s="257"/>
      <c r="CP180" s="257"/>
      <c r="CQ180" s="257"/>
      <c r="CR180" s="257"/>
      <c r="CS180" s="257"/>
      <c r="CT180" s="257"/>
      <c r="CU180" s="257"/>
      <c r="CV180" s="257"/>
      <c r="CW180" s="257"/>
      <c r="CX180" s="257"/>
      <c r="CY180" s="257"/>
      <c r="CZ180" s="257"/>
      <c r="DA180" s="257"/>
      <c r="DB180" s="202"/>
      <c r="DC180" s="202"/>
      <c r="DD180" s="202"/>
      <c r="DE180" s="202"/>
      <c r="DF180" s="202"/>
      <c r="DG180" s="202"/>
      <c r="DH180" s="202"/>
      <c r="DI180" s="202"/>
      <c r="DJ180" s="202"/>
      <c r="DK180" s="202"/>
      <c r="DL180" s="202"/>
      <c r="DM180" s="202"/>
      <c r="DN180" s="202"/>
      <c r="DO180" s="202"/>
      <c r="DP180" s="202"/>
      <c r="DQ180" s="202"/>
      <c r="DR180" s="202"/>
      <c r="DS180" s="202"/>
      <c r="DT180" s="196"/>
      <c r="DU180" s="196"/>
      <c r="DV180" s="196"/>
      <c r="DW180" s="196"/>
      <c r="DX180" s="196"/>
      <c r="DY180" s="196"/>
      <c r="DZ180" s="196"/>
      <c r="EA180" s="196"/>
      <c r="EB180" s="176">
        <f t="shared" si="16"/>
        <v>0</v>
      </c>
      <c r="EC180" s="176">
        <f t="shared" si="17"/>
        <v>0</v>
      </c>
      <c r="ED180" s="176">
        <f t="shared" si="18"/>
        <v>0</v>
      </c>
      <c r="EE180" s="176">
        <f t="shared" si="19"/>
        <v>0</v>
      </c>
      <c r="EG180" s="129">
        <f t="shared" si="20"/>
        <v>0</v>
      </c>
      <c r="EI180" s="176">
        <f t="shared" si="21"/>
        <v>0</v>
      </c>
      <c r="EK180" s="176">
        <f t="shared" si="22"/>
        <v>0</v>
      </c>
      <c r="EL180" s="176"/>
      <c r="EM180" s="177"/>
      <c r="EN180" s="178"/>
      <c r="EO180" s="177"/>
      <c r="EP180" s="177"/>
      <c r="EQ180" s="176">
        <f t="shared" si="23"/>
        <v>0</v>
      </c>
      <c r="ER180" s="179">
        <v>23300</v>
      </c>
      <c r="ES180" s="177">
        <v>7.5</v>
      </c>
    </row>
    <row r="181" spans="1:149" x14ac:dyDescent="0.3">
      <c r="A181" s="197">
        <v>176</v>
      </c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247"/>
      <c r="AQ181" s="247"/>
      <c r="AR181" s="247"/>
      <c r="AS181" s="247"/>
      <c r="AT181" s="247"/>
      <c r="AU181" s="247"/>
      <c r="AV181" s="247"/>
      <c r="AW181" s="247"/>
      <c r="AX181" s="247"/>
      <c r="AY181" s="247"/>
      <c r="AZ181" s="247"/>
      <c r="BA181" s="247"/>
      <c r="BB181" s="247"/>
      <c r="BC181" s="247"/>
      <c r="BD181" s="206"/>
      <c r="BE181" s="206"/>
      <c r="BF181" s="206"/>
      <c r="BG181" s="206"/>
      <c r="BH181" s="206"/>
      <c r="BI181" s="206"/>
      <c r="BJ181" s="206"/>
      <c r="BK181" s="206"/>
      <c r="BL181" s="206"/>
      <c r="BM181" s="206"/>
      <c r="BN181" s="206"/>
      <c r="BO181" s="206"/>
      <c r="BP181" s="206"/>
      <c r="BQ181" s="206"/>
      <c r="BR181" s="252"/>
      <c r="BS181" s="252"/>
      <c r="BT181" s="252"/>
      <c r="BU181" s="252"/>
      <c r="BV181" s="252"/>
      <c r="BW181" s="252"/>
      <c r="BX181" s="252"/>
      <c r="BY181" s="252"/>
      <c r="BZ181" s="252"/>
      <c r="CA181" s="252"/>
      <c r="CB181" s="252"/>
      <c r="CC181" s="252"/>
      <c r="CD181" s="252"/>
      <c r="CE181" s="252"/>
      <c r="CF181" s="252"/>
      <c r="CG181" s="252"/>
      <c r="CH181" s="252"/>
      <c r="CI181" s="252"/>
      <c r="CJ181" s="257"/>
      <c r="CK181" s="257"/>
      <c r="CL181" s="257"/>
      <c r="CM181" s="257"/>
      <c r="CN181" s="257"/>
      <c r="CO181" s="257"/>
      <c r="CP181" s="257"/>
      <c r="CQ181" s="257"/>
      <c r="CR181" s="257"/>
      <c r="CS181" s="257"/>
      <c r="CT181" s="257"/>
      <c r="CU181" s="257"/>
      <c r="CV181" s="257"/>
      <c r="CW181" s="257"/>
      <c r="CX181" s="257"/>
      <c r="CY181" s="257"/>
      <c r="CZ181" s="257"/>
      <c r="DA181" s="257"/>
      <c r="DB181" s="202"/>
      <c r="DC181" s="202"/>
      <c r="DD181" s="202"/>
      <c r="DE181" s="202"/>
      <c r="DF181" s="202"/>
      <c r="DG181" s="202"/>
      <c r="DH181" s="202"/>
      <c r="DI181" s="202"/>
      <c r="DJ181" s="202"/>
      <c r="DK181" s="202"/>
      <c r="DL181" s="202"/>
      <c r="DM181" s="202"/>
      <c r="DN181" s="202"/>
      <c r="DO181" s="202"/>
      <c r="DP181" s="202"/>
      <c r="DQ181" s="202"/>
      <c r="DR181" s="202"/>
      <c r="DS181" s="202"/>
      <c r="DT181" s="196"/>
      <c r="DU181" s="196"/>
      <c r="DV181" s="196"/>
      <c r="DW181" s="196"/>
      <c r="DX181" s="196"/>
      <c r="DY181" s="196"/>
      <c r="DZ181" s="196"/>
      <c r="EA181" s="196"/>
      <c r="EB181" s="176">
        <f t="shared" si="16"/>
        <v>0</v>
      </c>
      <c r="EC181" s="176">
        <f t="shared" si="17"/>
        <v>0</v>
      </c>
      <c r="ED181" s="176">
        <f t="shared" si="18"/>
        <v>0</v>
      </c>
      <c r="EE181" s="176">
        <f t="shared" si="19"/>
        <v>0</v>
      </c>
      <c r="EG181" s="129">
        <f t="shared" si="20"/>
        <v>0</v>
      </c>
      <c r="EI181" s="176">
        <f t="shared" si="21"/>
        <v>0</v>
      </c>
      <c r="EK181" s="176">
        <f t="shared" si="22"/>
        <v>0</v>
      </c>
      <c r="EL181" s="176"/>
      <c r="EM181" s="177"/>
      <c r="EN181" s="178"/>
      <c r="EO181" s="177"/>
      <c r="EP181" s="177"/>
      <c r="EQ181" s="176">
        <f t="shared" si="23"/>
        <v>0</v>
      </c>
      <c r="ER181" s="179">
        <v>23300</v>
      </c>
      <c r="ES181" s="177">
        <v>7.5</v>
      </c>
    </row>
    <row r="182" spans="1:149" x14ac:dyDescent="0.3">
      <c r="A182" s="197">
        <v>177</v>
      </c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247"/>
      <c r="AQ182" s="247"/>
      <c r="AR182" s="247"/>
      <c r="AS182" s="247"/>
      <c r="AT182" s="247"/>
      <c r="AU182" s="247"/>
      <c r="AV182" s="247"/>
      <c r="AW182" s="247"/>
      <c r="AX182" s="247"/>
      <c r="AY182" s="247"/>
      <c r="AZ182" s="247"/>
      <c r="BA182" s="247"/>
      <c r="BB182" s="247"/>
      <c r="BC182" s="247"/>
      <c r="BD182" s="206"/>
      <c r="BE182" s="206"/>
      <c r="BF182" s="206"/>
      <c r="BG182" s="206"/>
      <c r="BH182" s="206"/>
      <c r="BI182" s="206"/>
      <c r="BJ182" s="206"/>
      <c r="BK182" s="206"/>
      <c r="BL182" s="206"/>
      <c r="BM182" s="206"/>
      <c r="BN182" s="206"/>
      <c r="BO182" s="206"/>
      <c r="BP182" s="206"/>
      <c r="BQ182" s="206"/>
      <c r="BR182" s="252"/>
      <c r="BS182" s="252"/>
      <c r="BT182" s="252"/>
      <c r="BU182" s="252"/>
      <c r="BV182" s="252"/>
      <c r="BW182" s="252"/>
      <c r="BX182" s="252"/>
      <c r="BY182" s="252"/>
      <c r="BZ182" s="252"/>
      <c r="CA182" s="252"/>
      <c r="CB182" s="252"/>
      <c r="CC182" s="252"/>
      <c r="CD182" s="252"/>
      <c r="CE182" s="252"/>
      <c r="CF182" s="252"/>
      <c r="CG182" s="252"/>
      <c r="CH182" s="252"/>
      <c r="CI182" s="252"/>
      <c r="CJ182" s="257"/>
      <c r="CK182" s="257"/>
      <c r="CL182" s="257"/>
      <c r="CM182" s="257"/>
      <c r="CN182" s="257"/>
      <c r="CO182" s="257"/>
      <c r="CP182" s="257"/>
      <c r="CQ182" s="257"/>
      <c r="CR182" s="257"/>
      <c r="CS182" s="257"/>
      <c r="CT182" s="257"/>
      <c r="CU182" s="257"/>
      <c r="CV182" s="257"/>
      <c r="CW182" s="257"/>
      <c r="CX182" s="257"/>
      <c r="CY182" s="257"/>
      <c r="CZ182" s="257"/>
      <c r="DA182" s="257"/>
      <c r="DB182" s="202"/>
      <c r="DC182" s="202"/>
      <c r="DD182" s="202"/>
      <c r="DE182" s="202"/>
      <c r="DF182" s="202"/>
      <c r="DG182" s="202"/>
      <c r="DH182" s="202"/>
      <c r="DI182" s="202"/>
      <c r="DJ182" s="202"/>
      <c r="DK182" s="202"/>
      <c r="DL182" s="202"/>
      <c r="DM182" s="202"/>
      <c r="DN182" s="202"/>
      <c r="DO182" s="202"/>
      <c r="DP182" s="202"/>
      <c r="DQ182" s="202"/>
      <c r="DR182" s="202"/>
      <c r="DS182" s="202"/>
      <c r="DT182" s="196"/>
      <c r="DU182" s="196"/>
      <c r="DV182" s="196"/>
      <c r="DW182" s="196"/>
      <c r="DX182" s="196"/>
      <c r="DY182" s="196"/>
      <c r="DZ182" s="196"/>
      <c r="EA182" s="196"/>
      <c r="EB182" s="176">
        <f t="shared" si="16"/>
        <v>0</v>
      </c>
      <c r="EC182" s="176">
        <f t="shared" si="17"/>
        <v>0</v>
      </c>
      <c r="ED182" s="176">
        <f t="shared" si="18"/>
        <v>0</v>
      </c>
      <c r="EE182" s="176">
        <f t="shared" si="19"/>
        <v>0</v>
      </c>
      <c r="EG182" s="129">
        <f t="shared" si="20"/>
        <v>0</v>
      </c>
      <c r="EI182" s="176">
        <f t="shared" si="21"/>
        <v>0</v>
      </c>
      <c r="EK182" s="176">
        <f t="shared" si="22"/>
        <v>0</v>
      </c>
      <c r="EL182" s="176"/>
      <c r="EM182" s="177"/>
      <c r="EN182" s="178"/>
      <c r="EO182" s="177"/>
      <c r="EP182" s="177"/>
      <c r="EQ182" s="176">
        <f t="shared" si="23"/>
        <v>0</v>
      </c>
      <c r="ER182" s="179">
        <v>23300</v>
      </c>
      <c r="ES182" s="177">
        <v>7.5</v>
      </c>
    </row>
    <row r="183" spans="1:149" x14ac:dyDescent="0.3">
      <c r="A183" s="197">
        <v>178</v>
      </c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247"/>
      <c r="AQ183" s="247"/>
      <c r="AR183" s="247"/>
      <c r="AS183" s="247"/>
      <c r="AT183" s="247"/>
      <c r="AU183" s="247"/>
      <c r="AV183" s="247"/>
      <c r="AW183" s="247"/>
      <c r="AX183" s="247"/>
      <c r="AY183" s="247"/>
      <c r="AZ183" s="247"/>
      <c r="BA183" s="247"/>
      <c r="BB183" s="247"/>
      <c r="BC183" s="247"/>
      <c r="BD183" s="206"/>
      <c r="BE183" s="206"/>
      <c r="BF183" s="206"/>
      <c r="BG183" s="206"/>
      <c r="BH183" s="206"/>
      <c r="BI183" s="206"/>
      <c r="BJ183" s="206"/>
      <c r="BK183" s="206"/>
      <c r="BL183" s="206"/>
      <c r="BM183" s="206"/>
      <c r="BN183" s="206"/>
      <c r="BO183" s="206"/>
      <c r="BP183" s="206"/>
      <c r="BQ183" s="206"/>
      <c r="BR183" s="252"/>
      <c r="BS183" s="252"/>
      <c r="BT183" s="252"/>
      <c r="BU183" s="252"/>
      <c r="BV183" s="252"/>
      <c r="BW183" s="252"/>
      <c r="BX183" s="252"/>
      <c r="BY183" s="252"/>
      <c r="BZ183" s="252"/>
      <c r="CA183" s="252"/>
      <c r="CB183" s="252"/>
      <c r="CC183" s="252"/>
      <c r="CD183" s="252"/>
      <c r="CE183" s="252"/>
      <c r="CF183" s="252"/>
      <c r="CG183" s="252"/>
      <c r="CH183" s="252"/>
      <c r="CI183" s="252"/>
      <c r="CJ183" s="257"/>
      <c r="CK183" s="257"/>
      <c r="CL183" s="257"/>
      <c r="CM183" s="257"/>
      <c r="CN183" s="257"/>
      <c r="CO183" s="257"/>
      <c r="CP183" s="257"/>
      <c r="CQ183" s="257"/>
      <c r="CR183" s="257"/>
      <c r="CS183" s="257"/>
      <c r="CT183" s="257"/>
      <c r="CU183" s="257"/>
      <c r="CV183" s="257"/>
      <c r="CW183" s="257"/>
      <c r="CX183" s="257"/>
      <c r="CY183" s="257"/>
      <c r="CZ183" s="257"/>
      <c r="DA183" s="257"/>
      <c r="DB183" s="202"/>
      <c r="DC183" s="202"/>
      <c r="DD183" s="202"/>
      <c r="DE183" s="202"/>
      <c r="DF183" s="202"/>
      <c r="DG183" s="202"/>
      <c r="DH183" s="202"/>
      <c r="DI183" s="202"/>
      <c r="DJ183" s="202"/>
      <c r="DK183" s="202"/>
      <c r="DL183" s="202"/>
      <c r="DM183" s="202"/>
      <c r="DN183" s="202"/>
      <c r="DO183" s="202"/>
      <c r="DP183" s="202"/>
      <c r="DQ183" s="202"/>
      <c r="DR183" s="202"/>
      <c r="DS183" s="202"/>
      <c r="DT183" s="196"/>
      <c r="DU183" s="196"/>
      <c r="DV183" s="196"/>
      <c r="DW183" s="196"/>
      <c r="DX183" s="196"/>
      <c r="DY183" s="196"/>
      <c r="DZ183" s="196"/>
      <c r="EA183" s="196"/>
      <c r="EB183" s="176">
        <f t="shared" si="16"/>
        <v>0</v>
      </c>
      <c r="EC183" s="176">
        <f t="shared" si="17"/>
        <v>0</v>
      </c>
      <c r="ED183" s="176">
        <f t="shared" si="18"/>
        <v>0</v>
      </c>
      <c r="EE183" s="176">
        <f t="shared" si="19"/>
        <v>0</v>
      </c>
      <c r="EG183" s="129">
        <f t="shared" si="20"/>
        <v>0</v>
      </c>
      <c r="EI183" s="176">
        <f t="shared" si="21"/>
        <v>0</v>
      </c>
      <c r="EK183" s="176">
        <f t="shared" si="22"/>
        <v>0</v>
      </c>
      <c r="EL183" s="176"/>
      <c r="EM183" s="177"/>
      <c r="EN183" s="178"/>
      <c r="EO183" s="177"/>
      <c r="EP183" s="177"/>
      <c r="EQ183" s="176">
        <f t="shared" si="23"/>
        <v>0</v>
      </c>
      <c r="ER183" s="179">
        <v>23300</v>
      </c>
      <c r="ES183" s="177">
        <v>7.5</v>
      </c>
    </row>
    <row r="184" spans="1:149" x14ac:dyDescent="0.3">
      <c r="A184" s="197">
        <v>179</v>
      </c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247"/>
      <c r="AQ184" s="247"/>
      <c r="AR184" s="247"/>
      <c r="AS184" s="247"/>
      <c r="AT184" s="247"/>
      <c r="AU184" s="247"/>
      <c r="AV184" s="247"/>
      <c r="AW184" s="247"/>
      <c r="AX184" s="247"/>
      <c r="AY184" s="247"/>
      <c r="AZ184" s="247"/>
      <c r="BA184" s="247"/>
      <c r="BB184" s="247"/>
      <c r="BC184" s="247"/>
      <c r="BD184" s="206"/>
      <c r="BE184" s="206"/>
      <c r="BF184" s="206"/>
      <c r="BG184" s="206"/>
      <c r="BH184" s="206"/>
      <c r="BI184" s="206"/>
      <c r="BJ184" s="206"/>
      <c r="BK184" s="206"/>
      <c r="BL184" s="206"/>
      <c r="BM184" s="206"/>
      <c r="BN184" s="206"/>
      <c r="BO184" s="206"/>
      <c r="BP184" s="206"/>
      <c r="BQ184" s="206"/>
      <c r="BR184" s="252"/>
      <c r="BS184" s="252"/>
      <c r="BT184" s="252"/>
      <c r="BU184" s="252"/>
      <c r="BV184" s="252"/>
      <c r="BW184" s="252"/>
      <c r="BX184" s="252"/>
      <c r="BY184" s="252"/>
      <c r="BZ184" s="252"/>
      <c r="CA184" s="252"/>
      <c r="CB184" s="252"/>
      <c r="CC184" s="252"/>
      <c r="CD184" s="252"/>
      <c r="CE184" s="252"/>
      <c r="CF184" s="252"/>
      <c r="CG184" s="252"/>
      <c r="CH184" s="252"/>
      <c r="CI184" s="252"/>
      <c r="CJ184" s="257"/>
      <c r="CK184" s="257"/>
      <c r="CL184" s="257"/>
      <c r="CM184" s="257"/>
      <c r="CN184" s="257"/>
      <c r="CO184" s="257"/>
      <c r="CP184" s="257"/>
      <c r="CQ184" s="257"/>
      <c r="CR184" s="257"/>
      <c r="CS184" s="257"/>
      <c r="CT184" s="257"/>
      <c r="CU184" s="257"/>
      <c r="CV184" s="257"/>
      <c r="CW184" s="257"/>
      <c r="CX184" s="257"/>
      <c r="CY184" s="257"/>
      <c r="CZ184" s="257"/>
      <c r="DA184" s="257"/>
      <c r="DB184" s="202"/>
      <c r="DC184" s="202"/>
      <c r="DD184" s="202"/>
      <c r="DE184" s="202"/>
      <c r="DF184" s="202"/>
      <c r="DG184" s="202"/>
      <c r="DH184" s="202"/>
      <c r="DI184" s="202"/>
      <c r="DJ184" s="202"/>
      <c r="DK184" s="202"/>
      <c r="DL184" s="202"/>
      <c r="DM184" s="202"/>
      <c r="DN184" s="202"/>
      <c r="DO184" s="202"/>
      <c r="DP184" s="202"/>
      <c r="DQ184" s="202"/>
      <c r="DR184" s="202"/>
      <c r="DS184" s="202"/>
      <c r="DT184" s="196"/>
      <c r="DU184" s="196"/>
      <c r="DV184" s="196"/>
      <c r="DW184" s="196"/>
      <c r="DX184" s="196"/>
      <c r="DY184" s="196"/>
      <c r="DZ184" s="196"/>
      <c r="EA184" s="196"/>
      <c r="EB184" s="176">
        <f t="shared" si="16"/>
        <v>0</v>
      </c>
      <c r="EC184" s="176">
        <f t="shared" si="17"/>
        <v>0</v>
      </c>
      <c r="ED184" s="176">
        <f t="shared" si="18"/>
        <v>0</v>
      </c>
      <c r="EE184" s="176">
        <f t="shared" si="19"/>
        <v>0</v>
      </c>
      <c r="EG184" s="129">
        <f t="shared" si="20"/>
        <v>0</v>
      </c>
      <c r="EI184" s="176">
        <f t="shared" si="21"/>
        <v>0</v>
      </c>
      <c r="EK184" s="176">
        <f t="shared" si="22"/>
        <v>0</v>
      </c>
      <c r="EL184" s="176"/>
      <c r="EM184" s="177"/>
      <c r="EN184" s="178"/>
      <c r="EO184" s="177"/>
      <c r="EP184" s="177"/>
      <c r="EQ184" s="176">
        <f t="shared" si="23"/>
        <v>0</v>
      </c>
      <c r="ER184" s="179">
        <v>23300</v>
      </c>
      <c r="ES184" s="177">
        <v>7.5</v>
      </c>
    </row>
    <row r="185" spans="1:149" x14ac:dyDescent="0.3">
      <c r="A185" s="197">
        <v>180</v>
      </c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247"/>
      <c r="AQ185" s="247"/>
      <c r="AR185" s="247"/>
      <c r="AS185" s="247"/>
      <c r="AT185" s="247"/>
      <c r="AU185" s="247"/>
      <c r="AV185" s="247"/>
      <c r="AW185" s="247"/>
      <c r="AX185" s="247"/>
      <c r="AY185" s="247"/>
      <c r="AZ185" s="247"/>
      <c r="BA185" s="247"/>
      <c r="BB185" s="247"/>
      <c r="BC185" s="247"/>
      <c r="BD185" s="206"/>
      <c r="BE185" s="206"/>
      <c r="BF185" s="206"/>
      <c r="BG185" s="206"/>
      <c r="BH185" s="206"/>
      <c r="BI185" s="206"/>
      <c r="BJ185" s="206"/>
      <c r="BK185" s="206"/>
      <c r="BL185" s="206"/>
      <c r="BM185" s="206"/>
      <c r="BN185" s="206"/>
      <c r="BO185" s="206"/>
      <c r="BP185" s="206"/>
      <c r="BQ185" s="206"/>
      <c r="BR185" s="252"/>
      <c r="BS185" s="252"/>
      <c r="BT185" s="252"/>
      <c r="BU185" s="252"/>
      <c r="BV185" s="252"/>
      <c r="BW185" s="252"/>
      <c r="BX185" s="252"/>
      <c r="BY185" s="252"/>
      <c r="BZ185" s="252"/>
      <c r="CA185" s="252"/>
      <c r="CB185" s="252"/>
      <c r="CC185" s="252"/>
      <c r="CD185" s="252"/>
      <c r="CE185" s="252"/>
      <c r="CF185" s="252"/>
      <c r="CG185" s="252"/>
      <c r="CH185" s="252"/>
      <c r="CI185" s="252"/>
      <c r="CJ185" s="257"/>
      <c r="CK185" s="257"/>
      <c r="CL185" s="257"/>
      <c r="CM185" s="257"/>
      <c r="CN185" s="257"/>
      <c r="CO185" s="257"/>
      <c r="CP185" s="257"/>
      <c r="CQ185" s="257"/>
      <c r="CR185" s="257"/>
      <c r="CS185" s="257"/>
      <c r="CT185" s="257"/>
      <c r="CU185" s="257"/>
      <c r="CV185" s="257"/>
      <c r="CW185" s="257"/>
      <c r="CX185" s="257"/>
      <c r="CY185" s="257"/>
      <c r="CZ185" s="257"/>
      <c r="DA185" s="257"/>
      <c r="DB185" s="202"/>
      <c r="DC185" s="202"/>
      <c r="DD185" s="202"/>
      <c r="DE185" s="202"/>
      <c r="DF185" s="202"/>
      <c r="DG185" s="202"/>
      <c r="DH185" s="202"/>
      <c r="DI185" s="202"/>
      <c r="DJ185" s="202"/>
      <c r="DK185" s="202"/>
      <c r="DL185" s="202"/>
      <c r="DM185" s="202"/>
      <c r="DN185" s="202"/>
      <c r="DO185" s="202"/>
      <c r="DP185" s="202"/>
      <c r="DQ185" s="202"/>
      <c r="DR185" s="202"/>
      <c r="DS185" s="202"/>
      <c r="DT185" s="196"/>
      <c r="DU185" s="196"/>
      <c r="DV185" s="196"/>
      <c r="DW185" s="196"/>
      <c r="DX185" s="196"/>
      <c r="DY185" s="196"/>
      <c r="DZ185" s="196"/>
      <c r="EA185" s="196"/>
      <c r="EB185" s="176">
        <f t="shared" si="16"/>
        <v>0</v>
      </c>
      <c r="EC185" s="176">
        <f t="shared" si="17"/>
        <v>0</v>
      </c>
      <c r="ED185" s="176">
        <f t="shared" si="18"/>
        <v>0</v>
      </c>
      <c r="EE185" s="176">
        <f t="shared" si="19"/>
        <v>0</v>
      </c>
      <c r="EG185" s="129">
        <f t="shared" si="20"/>
        <v>0</v>
      </c>
      <c r="EI185" s="176">
        <f t="shared" si="21"/>
        <v>0</v>
      </c>
      <c r="EK185" s="176">
        <f t="shared" si="22"/>
        <v>0</v>
      </c>
      <c r="EL185" s="176"/>
      <c r="EM185" s="177"/>
      <c r="EN185" s="178"/>
      <c r="EO185" s="177"/>
      <c r="EP185" s="177"/>
      <c r="EQ185" s="176">
        <f t="shared" si="23"/>
        <v>0</v>
      </c>
      <c r="ER185" s="179">
        <v>23300</v>
      </c>
      <c r="ES185" s="177">
        <v>7.5</v>
      </c>
    </row>
    <row r="186" spans="1:149" x14ac:dyDescent="0.3">
      <c r="A186" s="197">
        <v>181</v>
      </c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247"/>
      <c r="AQ186" s="247"/>
      <c r="AR186" s="247"/>
      <c r="AS186" s="247"/>
      <c r="AT186" s="247"/>
      <c r="AU186" s="247"/>
      <c r="AV186" s="247"/>
      <c r="AW186" s="247"/>
      <c r="AX186" s="247"/>
      <c r="AY186" s="247"/>
      <c r="AZ186" s="247"/>
      <c r="BA186" s="247"/>
      <c r="BB186" s="247"/>
      <c r="BC186" s="247"/>
      <c r="BD186" s="206"/>
      <c r="BE186" s="206"/>
      <c r="BF186" s="206"/>
      <c r="BG186" s="206"/>
      <c r="BH186" s="206"/>
      <c r="BI186" s="206"/>
      <c r="BJ186" s="206"/>
      <c r="BK186" s="206"/>
      <c r="BL186" s="206"/>
      <c r="BM186" s="206"/>
      <c r="BN186" s="206"/>
      <c r="BO186" s="206"/>
      <c r="BP186" s="206"/>
      <c r="BQ186" s="206"/>
      <c r="BR186" s="252"/>
      <c r="BS186" s="252"/>
      <c r="BT186" s="252"/>
      <c r="BU186" s="252"/>
      <c r="BV186" s="252"/>
      <c r="BW186" s="252"/>
      <c r="BX186" s="252"/>
      <c r="BY186" s="252"/>
      <c r="BZ186" s="252"/>
      <c r="CA186" s="252"/>
      <c r="CB186" s="252"/>
      <c r="CC186" s="252"/>
      <c r="CD186" s="252"/>
      <c r="CE186" s="252"/>
      <c r="CF186" s="252"/>
      <c r="CG186" s="252"/>
      <c r="CH186" s="252"/>
      <c r="CI186" s="252"/>
      <c r="CJ186" s="257"/>
      <c r="CK186" s="257"/>
      <c r="CL186" s="257"/>
      <c r="CM186" s="257"/>
      <c r="CN186" s="257"/>
      <c r="CO186" s="257"/>
      <c r="CP186" s="257"/>
      <c r="CQ186" s="257"/>
      <c r="CR186" s="257"/>
      <c r="CS186" s="257"/>
      <c r="CT186" s="257"/>
      <c r="CU186" s="257"/>
      <c r="CV186" s="257"/>
      <c r="CW186" s="257"/>
      <c r="CX186" s="257"/>
      <c r="CY186" s="257"/>
      <c r="CZ186" s="257"/>
      <c r="DA186" s="257"/>
      <c r="DB186" s="202"/>
      <c r="DC186" s="202"/>
      <c r="DD186" s="202"/>
      <c r="DE186" s="202"/>
      <c r="DF186" s="202"/>
      <c r="DG186" s="202"/>
      <c r="DH186" s="202"/>
      <c r="DI186" s="202"/>
      <c r="DJ186" s="202"/>
      <c r="DK186" s="202"/>
      <c r="DL186" s="202"/>
      <c r="DM186" s="202"/>
      <c r="DN186" s="202"/>
      <c r="DO186" s="202"/>
      <c r="DP186" s="202"/>
      <c r="DQ186" s="202"/>
      <c r="DR186" s="202"/>
      <c r="DS186" s="202"/>
      <c r="DT186" s="196"/>
      <c r="DU186" s="196"/>
      <c r="DV186" s="196"/>
      <c r="DW186" s="196"/>
      <c r="DX186" s="196"/>
      <c r="DY186" s="196"/>
      <c r="DZ186" s="196"/>
      <c r="EA186" s="196"/>
      <c r="EB186" s="176">
        <f t="shared" si="16"/>
        <v>0</v>
      </c>
      <c r="EC186" s="176">
        <f t="shared" si="17"/>
        <v>0</v>
      </c>
      <c r="ED186" s="176">
        <f t="shared" si="18"/>
        <v>0</v>
      </c>
      <c r="EE186" s="176">
        <f t="shared" si="19"/>
        <v>0</v>
      </c>
      <c r="EG186" s="129">
        <f t="shared" si="20"/>
        <v>0</v>
      </c>
      <c r="EI186" s="176">
        <f t="shared" si="21"/>
        <v>0</v>
      </c>
      <c r="EK186" s="176">
        <f t="shared" si="22"/>
        <v>0</v>
      </c>
      <c r="EL186" s="176"/>
      <c r="EM186" s="177"/>
      <c r="EN186" s="178"/>
      <c r="EO186" s="177"/>
      <c r="EP186" s="177"/>
      <c r="EQ186" s="176">
        <f t="shared" si="23"/>
        <v>0</v>
      </c>
      <c r="ER186" s="179">
        <v>23300</v>
      </c>
      <c r="ES186" s="177">
        <v>7.5</v>
      </c>
    </row>
    <row r="187" spans="1:149" x14ac:dyDescent="0.3">
      <c r="A187" s="197">
        <v>182</v>
      </c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247"/>
      <c r="AQ187" s="247"/>
      <c r="AR187" s="247"/>
      <c r="AS187" s="247"/>
      <c r="AT187" s="247"/>
      <c r="AU187" s="247"/>
      <c r="AV187" s="247"/>
      <c r="AW187" s="247"/>
      <c r="AX187" s="247"/>
      <c r="AY187" s="247"/>
      <c r="AZ187" s="247"/>
      <c r="BA187" s="247"/>
      <c r="BB187" s="247"/>
      <c r="BC187" s="247"/>
      <c r="BD187" s="206"/>
      <c r="BE187" s="206"/>
      <c r="BF187" s="206"/>
      <c r="BG187" s="206"/>
      <c r="BH187" s="206"/>
      <c r="BI187" s="206"/>
      <c r="BJ187" s="206"/>
      <c r="BK187" s="206"/>
      <c r="BL187" s="206"/>
      <c r="BM187" s="206"/>
      <c r="BN187" s="206"/>
      <c r="BO187" s="206"/>
      <c r="BP187" s="206"/>
      <c r="BQ187" s="206"/>
      <c r="BR187" s="252"/>
      <c r="BS187" s="252"/>
      <c r="BT187" s="252"/>
      <c r="BU187" s="252"/>
      <c r="BV187" s="252"/>
      <c r="BW187" s="252"/>
      <c r="BX187" s="252"/>
      <c r="BY187" s="252"/>
      <c r="BZ187" s="252"/>
      <c r="CA187" s="252"/>
      <c r="CB187" s="252"/>
      <c r="CC187" s="252"/>
      <c r="CD187" s="252"/>
      <c r="CE187" s="252"/>
      <c r="CF187" s="252"/>
      <c r="CG187" s="252"/>
      <c r="CH187" s="252"/>
      <c r="CI187" s="252"/>
      <c r="CJ187" s="257"/>
      <c r="CK187" s="257"/>
      <c r="CL187" s="257"/>
      <c r="CM187" s="257"/>
      <c r="CN187" s="257"/>
      <c r="CO187" s="257"/>
      <c r="CP187" s="257"/>
      <c r="CQ187" s="257"/>
      <c r="CR187" s="257"/>
      <c r="CS187" s="257"/>
      <c r="CT187" s="257"/>
      <c r="CU187" s="257"/>
      <c r="CV187" s="257"/>
      <c r="CW187" s="257"/>
      <c r="CX187" s="257"/>
      <c r="CY187" s="257"/>
      <c r="CZ187" s="257"/>
      <c r="DA187" s="257"/>
      <c r="DB187" s="202"/>
      <c r="DC187" s="202"/>
      <c r="DD187" s="202"/>
      <c r="DE187" s="202"/>
      <c r="DF187" s="202"/>
      <c r="DG187" s="202"/>
      <c r="DH187" s="202"/>
      <c r="DI187" s="202"/>
      <c r="DJ187" s="202"/>
      <c r="DK187" s="202"/>
      <c r="DL187" s="202"/>
      <c r="DM187" s="202"/>
      <c r="DN187" s="202"/>
      <c r="DO187" s="202"/>
      <c r="DP187" s="202"/>
      <c r="DQ187" s="202"/>
      <c r="DR187" s="202"/>
      <c r="DS187" s="202"/>
      <c r="DT187" s="196"/>
      <c r="DU187" s="196"/>
      <c r="DV187" s="196"/>
      <c r="DW187" s="196"/>
      <c r="DX187" s="196"/>
      <c r="DY187" s="196"/>
      <c r="DZ187" s="196"/>
      <c r="EA187" s="196"/>
      <c r="EB187" s="176">
        <f t="shared" si="16"/>
        <v>0</v>
      </c>
      <c r="EC187" s="176">
        <f t="shared" si="17"/>
        <v>0</v>
      </c>
      <c r="ED187" s="176">
        <f t="shared" si="18"/>
        <v>0</v>
      </c>
      <c r="EE187" s="176">
        <f t="shared" si="19"/>
        <v>0</v>
      </c>
      <c r="EG187" s="129">
        <f t="shared" si="20"/>
        <v>0</v>
      </c>
      <c r="EI187" s="176">
        <f t="shared" si="21"/>
        <v>0</v>
      </c>
      <c r="EK187" s="176">
        <f t="shared" si="22"/>
        <v>0</v>
      </c>
      <c r="EL187" s="176"/>
      <c r="EM187" s="177"/>
      <c r="EN187" s="178"/>
      <c r="EO187" s="177"/>
      <c r="EP187" s="177"/>
      <c r="EQ187" s="176">
        <f t="shared" si="23"/>
        <v>0</v>
      </c>
      <c r="ER187" s="179">
        <v>23300</v>
      </c>
      <c r="ES187" s="177">
        <v>7.5</v>
      </c>
    </row>
    <row r="188" spans="1:149" x14ac:dyDescent="0.3">
      <c r="A188" s="197">
        <v>183</v>
      </c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247"/>
      <c r="AQ188" s="247"/>
      <c r="AR188" s="247"/>
      <c r="AS188" s="247"/>
      <c r="AT188" s="247"/>
      <c r="AU188" s="247"/>
      <c r="AV188" s="247"/>
      <c r="AW188" s="247"/>
      <c r="AX188" s="247"/>
      <c r="AY188" s="247"/>
      <c r="AZ188" s="247"/>
      <c r="BA188" s="247"/>
      <c r="BB188" s="247"/>
      <c r="BC188" s="247"/>
      <c r="BD188" s="206"/>
      <c r="BE188" s="206"/>
      <c r="BF188" s="206"/>
      <c r="BG188" s="206"/>
      <c r="BH188" s="206"/>
      <c r="BI188" s="206"/>
      <c r="BJ188" s="206"/>
      <c r="BK188" s="206"/>
      <c r="BL188" s="206"/>
      <c r="BM188" s="206"/>
      <c r="BN188" s="206"/>
      <c r="BO188" s="206"/>
      <c r="BP188" s="206"/>
      <c r="BQ188" s="206"/>
      <c r="BR188" s="252"/>
      <c r="BS188" s="252"/>
      <c r="BT188" s="252"/>
      <c r="BU188" s="252"/>
      <c r="BV188" s="252"/>
      <c r="BW188" s="252"/>
      <c r="BX188" s="252"/>
      <c r="BY188" s="252"/>
      <c r="BZ188" s="252"/>
      <c r="CA188" s="252"/>
      <c r="CB188" s="252"/>
      <c r="CC188" s="252"/>
      <c r="CD188" s="252"/>
      <c r="CE188" s="252"/>
      <c r="CF188" s="252"/>
      <c r="CG188" s="252"/>
      <c r="CH188" s="252"/>
      <c r="CI188" s="252"/>
      <c r="CJ188" s="257"/>
      <c r="CK188" s="257"/>
      <c r="CL188" s="257"/>
      <c r="CM188" s="257"/>
      <c r="CN188" s="257"/>
      <c r="CO188" s="257"/>
      <c r="CP188" s="257"/>
      <c r="CQ188" s="257"/>
      <c r="CR188" s="257"/>
      <c r="CS188" s="257"/>
      <c r="CT188" s="257"/>
      <c r="CU188" s="257"/>
      <c r="CV188" s="257"/>
      <c r="CW188" s="257"/>
      <c r="CX188" s="257"/>
      <c r="CY188" s="257"/>
      <c r="CZ188" s="257"/>
      <c r="DA188" s="257"/>
      <c r="DB188" s="202"/>
      <c r="DC188" s="202"/>
      <c r="DD188" s="202"/>
      <c r="DE188" s="202"/>
      <c r="DF188" s="202"/>
      <c r="DG188" s="202"/>
      <c r="DH188" s="202"/>
      <c r="DI188" s="202"/>
      <c r="DJ188" s="202"/>
      <c r="DK188" s="202"/>
      <c r="DL188" s="202"/>
      <c r="DM188" s="202"/>
      <c r="DN188" s="202"/>
      <c r="DO188" s="202"/>
      <c r="DP188" s="202"/>
      <c r="DQ188" s="202"/>
      <c r="DR188" s="202"/>
      <c r="DS188" s="202"/>
      <c r="DT188" s="196"/>
      <c r="DU188" s="196"/>
      <c r="DV188" s="196"/>
      <c r="DW188" s="196"/>
      <c r="DX188" s="196"/>
      <c r="DY188" s="196"/>
      <c r="DZ188" s="196"/>
      <c r="EA188" s="196"/>
      <c r="EB188" s="176">
        <f t="shared" si="16"/>
        <v>0</v>
      </c>
      <c r="EC188" s="176">
        <f t="shared" si="17"/>
        <v>0</v>
      </c>
      <c r="ED188" s="176">
        <f t="shared" si="18"/>
        <v>0</v>
      </c>
      <c r="EE188" s="176">
        <f t="shared" si="19"/>
        <v>0</v>
      </c>
      <c r="EG188" s="129">
        <f t="shared" si="20"/>
        <v>0</v>
      </c>
      <c r="EI188" s="176">
        <f t="shared" si="21"/>
        <v>0</v>
      </c>
      <c r="EK188" s="176">
        <f t="shared" si="22"/>
        <v>0</v>
      </c>
      <c r="EL188" s="176"/>
      <c r="EM188" s="177"/>
      <c r="EN188" s="178"/>
      <c r="EO188" s="177"/>
      <c r="EP188" s="177"/>
      <c r="EQ188" s="176">
        <f t="shared" si="23"/>
        <v>0</v>
      </c>
      <c r="ER188" s="179">
        <v>23300</v>
      </c>
      <c r="ES188" s="177">
        <v>7.5</v>
      </c>
    </row>
    <row r="189" spans="1:149" x14ac:dyDescent="0.3">
      <c r="A189" s="197">
        <v>184</v>
      </c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247"/>
      <c r="AQ189" s="247"/>
      <c r="AR189" s="247"/>
      <c r="AS189" s="247"/>
      <c r="AT189" s="247"/>
      <c r="AU189" s="247"/>
      <c r="AV189" s="247"/>
      <c r="AW189" s="247"/>
      <c r="AX189" s="247"/>
      <c r="AY189" s="247"/>
      <c r="AZ189" s="247"/>
      <c r="BA189" s="247"/>
      <c r="BB189" s="247"/>
      <c r="BC189" s="247"/>
      <c r="BD189" s="206"/>
      <c r="BE189" s="206"/>
      <c r="BF189" s="206"/>
      <c r="BG189" s="206"/>
      <c r="BH189" s="206"/>
      <c r="BI189" s="206"/>
      <c r="BJ189" s="206"/>
      <c r="BK189" s="206"/>
      <c r="BL189" s="206"/>
      <c r="BM189" s="206"/>
      <c r="BN189" s="206"/>
      <c r="BO189" s="206"/>
      <c r="BP189" s="206"/>
      <c r="BQ189" s="206"/>
      <c r="BR189" s="252"/>
      <c r="BS189" s="252"/>
      <c r="BT189" s="252"/>
      <c r="BU189" s="252"/>
      <c r="BV189" s="252"/>
      <c r="BW189" s="252"/>
      <c r="BX189" s="252"/>
      <c r="BY189" s="252"/>
      <c r="BZ189" s="252"/>
      <c r="CA189" s="252"/>
      <c r="CB189" s="252"/>
      <c r="CC189" s="252"/>
      <c r="CD189" s="252"/>
      <c r="CE189" s="252"/>
      <c r="CF189" s="252"/>
      <c r="CG189" s="252"/>
      <c r="CH189" s="252"/>
      <c r="CI189" s="252"/>
      <c r="CJ189" s="257"/>
      <c r="CK189" s="257"/>
      <c r="CL189" s="257"/>
      <c r="CM189" s="257"/>
      <c r="CN189" s="257"/>
      <c r="CO189" s="257"/>
      <c r="CP189" s="257"/>
      <c r="CQ189" s="257"/>
      <c r="CR189" s="257"/>
      <c r="CS189" s="257"/>
      <c r="CT189" s="257"/>
      <c r="CU189" s="257"/>
      <c r="CV189" s="257"/>
      <c r="CW189" s="257"/>
      <c r="CX189" s="257"/>
      <c r="CY189" s="257"/>
      <c r="CZ189" s="257"/>
      <c r="DA189" s="257"/>
      <c r="DB189" s="202"/>
      <c r="DC189" s="202"/>
      <c r="DD189" s="202"/>
      <c r="DE189" s="202"/>
      <c r="DF189" s="202"/>
      <c r="DG189" s="202"/>
      <c r="DH189" s="202"/>
      <c r="DI189" s="202"/>
      <c r="DJ189" s="202"/>
      <c r="DK189" s="202"/>
      <c r="DL189" s="202"/>
      <c r="DM189" s="202"/>
      <c r="DN189" s="202"/>
      <c r="DO189" s="202"/>
      <c r="DP189" s="202"/>
      <c r="DQ189" s="202"/>
      <c r="DR189" s="202"/>
      <c r="DS189" s="202"/>
      <c r="DT189" s="196"/>
      <c r="DU189" s="196"/>
      <c r="DV189" s="196"/>
      <c r="DW189" s="196"/>
      <c r="DX189" s="196"/>
      <c r="DY189" s="196"/>
      <c r="DZ189" s="196"/>
      <c r="EA189" s="196"/>
      <c r="EB189" s="176">
        <f t="shared" si="16"/>
        <v>0</v>
      </c>
      <c r="EC189" s="176">
        <f t="shared" si="17"/>
        <v>0</v>
      </c>
      <c r="ED189" s="176">
        <f t="shared" si="18"/>
        <v>0</v>
      </c>
      <c r="EE189" s="176">
        <f t="shared" si="19"/>
        <v>0</v>
      </c>
      <c r="EG189" s="129">
        <f t="shared" si="20"/>
        <v>0</v>
      </c>
      <c r="EI189" s="176">
        <f t="shared" si="21"/>
        <v>0</v>
      </c>
      <c r="EK189" s="176">
        <f t="shared" si="22"/>
        <v>0</v>
      </c>
      <c r="EL189" s="176"/>
      <c r="EM189" s="177"/>
      <c r="EN189" s="178"/>
      <c r="EO189" s="177"/>
      <c r="EP189" s="177"/>
      <c r="EQ189" s="176">
        <f t="shared" si="23"/>
        <v>0</v>
      </c>
      <c r="ER189" s="179">
        <v>23300</v>
      </c>
      <c r="ES189" s="177">
        <v>7.5</v>
      </c>
    </row>
    <row r="190" spans="1:149" x14ac:dyDescent="0.3">
      <c r="A190" s="197">
        <v>185</v>
      </c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247"/>
      <c r="AQ190" s="247"/>
      <c r="AR190" s="247"/>
      <c r="AS190" s="247"/>
      <c r="AT190" s="247"/>
      <c r="AU190" s="247"/>
      <c r="AV190" s="247"/>
      <c r="AW190" s="247"/>
      <c r="AX190" s="247"/>
      <c r="AY190" s="247"/>
      <c r="AZ190" s="247"/>
      <c r="BA190" s="247"/>
      <c r="BB190" s="247"/>
      <c r="BC190" s="247"/>
      <c r="BD190" s="206"/>
      <c r="BE190" s="206"/>
      <c r="BF190" s="206"/>
      <c r="BG190" s="206"/>
      <c r="BH190" s="206"/>
      <c r="BI190" s="206"/>
      <c r="BJ190" s="206"/>
      <c r="BK190" s="206"/>
      <c r="BL190" s="206"/>
      <c r="BM190" s="206"/>
      <c r="BN190" s="206"/>
      <c r="BO190" s="206"/>
      <c r="BP190" s="206"/>
      <c r="BQ190" s="206"/>
      <c r="BR190" s="252"/>
      <c r="BS190" s="252"/>
      <c r="BT190" s="252"/>
      <c r="BU190" s="252"/>
      <c r="BV190" s="252"/>
      <c r="BW190" s="252"/>
      <c r="BX190" s="252"/>
      <c r="BY190" s="252"/>
      <c r="BZ190" s="252"/>
      <c r="CA190" s="252"/>
      <c r="CB190" s="252"/>
      <c r="CC190" s="252"/>
      <c r="CD190" s="252"/>
      <c r="CE190" s="252"/>
      <c r="CF190" s="252"/>
      <c r="CG190" s="252"/>
      <c r="CH190" s="252"/>
      <c r="CI190" s="252"/>
      <c r="CJ190" s="257"/>
      <c r="CK190" s="257"/>
      <c r="CL190" s="257"/>
      <c r="CM190" s="257"/>
      <c r="CN190" s="257"/>
      <c r="CO190" s="257"/>
      <c r="CP190" s="257"/>
      <c r="CQ190" s="257"/>
      <c r="CR190" s="257"/>
      <c r="CS190" s="257"/>
      <c r="CT190" s="257"/>
      <c r="CU190" s="257"/>
      <c r="CV190" s="257"/>
      <c r="CW190" s="257"/>
      <c r="CX190" s="257"/>
      <c r="CY190" s="257"/>
      <c r="CZ190" s="257"/>
      <c r="DA190" s="257"/>
      <c r="DB190" s="202"/>
      <c r="DC190" s="202"/>
      <c r="DD190" s="202"/>
      <c r="DE190" s="202"/>
      <c r="DF190" s="202"/>
      <c r="DG190" s="202"/>
      <c r="DH190" s="202"/>
      <c r="DI190" s="202"/>
      <c r="DJ190" s="202"/>
      <c r="DK190" s="202"/>
      <c r="DL190" s="202"/>
      <c r="DM190" s="202"/>
      <c r="DN190" s="202"/>
      <c r="DO190" s="202"/>
      <c r="DP190" s="202"/>
      <c r="DQ190" s="202"/>
      <c r="DR190" s="202"/>
      <c r="DS190" s="202"/>
      <c r="DT190" s="196"/>
      <c r="DU190" s="196"/>
      <c r="DV190" s="196"/>
      <c r="DW190" s="196"/>
      <c r="DX190" s="196"/>
      <c r="DY190" s="196"/>
      <c r="DZ190" s="196"/>
      <c r="EA190" s="196"/>
      <c r="EB190" s="176">
        <f t="shared" si="16"/>
        <v>0</v>
      </c>
      <c r="EC190" s="176">
        <f t="shared" si="17"/>
        <v>0</v>
      </c>
      <c r="ED190" s="176">
        <f t="shared" si="18"/>
        <v>0</v>
      </c>
      <c r="EE190" s="176">
        <f t="shared" si="19"/>
        <v>0</v>
      </c>
      <c r="EG190" s="129">
        <f t="shared" si="20"/>
        <v>0</v>
      </c>
      <c r="EI190" s="176">
        <f t="shared" si="21"/>
        <v>0</v>
      </c>
      <c r="EK190" s="176">
        <f t="shared" si="22"/>
        <v>0</v>
      </c>
      <c r="EL190" s="176"/>
      <c r="EM190" s="177"/>
      <c r="EN190" s="178"/>
      <c r="EO190" s="177"/>
      <c r="EP190" s="177"/>
      <c r="EQ190" s="176">
        <f t="shared" si="23"/>
        <v>0</v>
      </c>
      <c r="ER190" s="179">
        <v>23300</v>
      </c>
      <c r="ES190" s="177">
        <v>7.5</v>
      </c>
    </row>
    <row r="191" spans="1:149" x14ac:dyDescent="0.3">
      <c r="A191" s="197">
        <v>186</v>
      </c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247"/>
      <c r="AQ191" s="247"/>
      <c r="AR191" s="247"/>
      <c r="AS191" s="247"/>
      <c r="AT191" s="247"/>
      <c r="AU191" s="247"/>
      <c r="AV191" s="247"/>
      <c r="AW191" s="247"/>
      <c r="AX191" s="247"/>
      <c r="AY191" s="247"/>
      <c r="AZ191" s="247"/>
      <c r="BA191" s="247"/>
      <c r="BB191" s="247"/>
      <c r="BC191" s="247"/>
      <c r="BD191" s="206"/>
      <c r="BE191" s="206"/>
      <c r="BF191" s="206"/>
      <c r="BG191" s="206"/>
      <c r="BH191" s="206"/>
      <c r="BI191" s="206"/>
      <c r="BJ191" s="206"/>
      <c r="BK191" s="206"/>
      <c r="BL191" s="206"/>
      <c r="BM191" s="206"/>
      <c r="BN191" s="206"/>
      <c r="BO191" s="206"/>
      <c r="BP191" s="206"/>
      <c r="BQ191" s="206"/>
      <c r="BR191" s="252"/>
      <c r="BS191" s="252"/>
      <c r="BT191" s="252"/>
      <c r="BU191" s="252"/>
      <c r="BV191" s="252"/>
      <c r="BW191" s="252"/>
      <c r="BX191" s="252"/>
      <c r="BY191" s="252"/>
      <c r="BZ191" s="252"/>
      <c r="CA191" s="252"/>
      <c r="CB191" s="252"/>
      <c r="CC191" s="252"/>
      <c r="CD191" s="252"/>
      <c r="CE191" s="252"/>
      <c r="CF191" s="252"/>
      <c r="CG191" s="252"/>
      <c r="CH191" s="252"/>
      <c r="CI191" s="252"/>
      <c r="CJ191" s="257"/>
      <c r="CK191" s="257"/>
      <c r="CL191" s="257"/>
      <c r="CM191" s="257"/>
      <c r="CN191" s="257"/>
      <c r="CO191" s="257"/>
      <c r="CP191" s="257"/>
      <c r="CQ191" s="257"/>
      <c r="CR191" s="257"/>
      <c r="CS191" s="257"/>
      <c r="CT191" s="257"/>
      <c r="CU191" s="257"/>
      <c r="CV191" s="257"/>
      <c r="CW191" s="257"/>
      <c r="CX191" s="257"/>
      <c r="CY191" s="257"/>
      <c r="CZ191" s="257"/>
      <c r="DA191" s="257"/>
      <c r="DB191" s="202"/>
      <c r="DC191" s="202"/>
      <c r="DD191" s="202"/>
      <c r="DE191" s="202"/>
      <c r="DF191" s="202"/>
      <c r="DG191" s="202"/>
      <c r="DH191" s="202"/>
      <c r="DI191" s="202"/>
      <c r="DJ191" s="202"/>
      <c r="DK191" s="202"/>
      <c r="DL191" s="202"/>
      <c r="DM191" s="202"/>
      <c r="DN191" s="202"/>
      <c r="DO191" s="202"/>
      <c r="DP191" s="202"/>
      <c r="DQ191" s="202"/>
      <c r="DR191" s="202"/>
      <c r="DS191" s="202"/>
      <c r="DT191" s="196"/>
      <c r="DU191" s="196"/>
      <c r="DV191" s="196"/>
      <c r="DW191" s="196"/>
      <c r="DX191" s="196"/>
      <c r="DY191" s="196"/>
      <c r="DZ191" s="196"/>
      <c r="EA191" s="196"/>
      <c r="EB191" s="176">
        <f t="shared" si="16"/>
        <v>0</v>
      </c>
      <c r="EC191" s="176">
        <f t="shared" si="17"/>
        <v>0</v>
      </c>
      <c r="ED191" s="176">
        <f t="shared" si="18"/>
        <v>0</v>
      </c>
      <c r="EE191" s="176">
        <f t="shared" si="19"/>
        <v>0</v>
      </c>
      <c r="EG191" s="129">
        <f t="shared" si="20"/>
        <v>0</v>
      </c>
      <c r="EI191" s="176">
        <f t="shared" si="21"/>
        <v>0</v>
      </c>
      <c r="EK191" s="176">
        <f t="shared" si="22"/>
        <v>0</v>
      </c>
      <c r="EL191" s="176"/>
      <c r="EM191" s="177"/>
      <c r="EN191" s="178"/>
      <c r="EO191" s="177"/>
      <c r="EP191" s="177"/>
      <c r="EQ191" s="176">
        <f t="shared" si="23"/>
        <v>0</v>
      </c>
      <c r="ER191" s="179">
        <v>23300</v>
      </c>
      <c r="ES191" s="177">
        <v>7.5</v>
      </c>
    </row>
    <row r="192" spans="1:149" x14ac:dyDescent="0.3">
      <c r="A192" s="197">
        <v>187</v>
      </c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247"/>
      <c r="AQ192" s="247"/>
      <c r="AR192" s="247"/>
      <c r="AS192" s="247"/>
      <c r="AT192" s="247"/>
      <c r="AU192" s="247"/>
      <c r="AV192" s="247"/>
      <c r="AW192" s="247"/>
      <c r="AX192" s="247"/>
      <c r="AY192" s="247"/>
      <c r="AZ192" s="247"/>
      <c r="BA192" s="247"/>
      <c r="BB192" s="247"/>
      <c r="BC192" s="247"/>
      <c r="BD192" s="206"/>
      <c r="BE192" s="206"/>
      <c r="BF192" s="206"/>
      <c r="BG192" s="206"/>
      <c r="BH192" s="206"/>
      <c r="BI192" s="206"/>
      <c r="BJ192" s="206"/>
      <c r="BK192" s="206"/>
      <c r="BL192" s="206"/>
      <c r="BM192" s="206"/>
      <c r="BN192" s="206"/>
      <c r="BO192" s="206"/>
      <c r="BP192" s="206"/>
      <c r="BQ192" s="206"/>
      <c r="BR192" s="252"/>
      <c r="BS192" s="252"/>
      <c r="BT192" s="252"/>
      <c r="BU192" s="252"/>
      <c r="BV192" s="252"/>
      <c r="BW192" s="252"/>
      <c r="BX192" s="252"/>
      <c r="BY192" s="252"/>
      <c r="BZ192" s="252"/>
      <c r="CA192" s="252"/>
      <c r="CB192" s="252"/>
      <c r="CC192" s="252"/>
      <c r="CD192" s="252"/>
      <c r="CE192" s="252"/>
      <c r="CF192" s="252"/>
      <c r="CG192" s="252"/>
      <c r="CH192" s="252"/>
      <c r="CI192" s="252"/>
      <c r="CJ192" s="257"/>
      <c r="CK192" s="257"/>
      <c r="CL192" s="257"/>
      <c r="CM192" s="257"/>
      <c r="CN192" s="257"/>
      <c r="CO192" s="257"/>
      <c r="CP192" s="257"/>
      <c r="CQ192" s="257"/>
      <c r="CR192" s="257"/>
      <c r="CS192" s="257"/>
      <c r="CT192" s="257"/>
      <c r="CU192" s="257"/>
      <c r="CV192" s="257"/>
      <c r="CW192" s="257"/>
      <c r="CX192" s="257"/>
      <c r="CY192" s="257"/>
      <c r="CZ192" s="257"/>
      <c r="DA192" s="257"/>
      <c r="DB192" s="202"/>
      <c r="DC192" s="202"/>
      <c r="DD192" s="202"/>
      <c r="DE192" s="202"/>
      <c r="DF192" s="202"/>
      <c r="DG192" s="202"/>
      <c r="DH192" s="202"/>
      <c r="DI192" s="202"/>
      <c r="DJ192" s="202"/>
      <c r="DK192" s="202"/>
      <c r="DL192" s="202"/>
      <c r="DM192" s="202"/>
      <c r="DN192" s="202"/>
      <c r="DO192" s="202"/>
      <c r="DP192" s="202"/>
      <c r="DQ192" s="202"/>
      <c r="DR192" s="202"/>
      <c r="DS192" s="202"/>
      <c r="DT192" s="196"/>
      <c r="DU192" s="196"/>
      <c r="DV192" s="196"/>
      <c r="DW192" s="196"/>
      <c r="DX192" s="196"/>
      <c r="DY192" s="196"/>
      <c r="DZ192" s="196"/>
      <c r="EA192" s="196"/>
      <c r="EB192" s="176">
        <f t="shared" si="16"/>
        <v>0</v>
      </c>
      <c r="EC192" s="176">
        <f t="shared" si="17"/>
        <v>0</v>
      </c>
      <c r="ED192" s="176">
        <f t="shared" si="18"/>
        <v>0</v>
      </c>
      <c r="EE192" s="176">
        <f t="shared" si="19"/>
        <v>0</v>
      </c>
      <c r="EG192" s="129">
        <f t="shared" si="20"/>
        <v>0</v>
      </c>
      <c r="EI192" s="176">
        <f t="shared" si="21"/>
        <v>0</v>
      </c>
      <c r="EK192" s="176">
        <f t="shared" si="22"/>
        <v>0</v>
      </c>
      <c r="EL192" s="176"/>
      <c r="EM192" s="177"/>
      <c r="EN192" s="178"/>
      <c r="EO192" s="177"/>
      <c r="EP192" s="177"/>
      <c r="EQ192" s="176">
        <f t="shared" si="23"/>
        <v>0</v>
      </c>
      <c r="ER192" s="179">
        <v>23300</v>
      </c>
      <c r="ES192" s="177">
        <v>7.5</v>
      </c>
    </row>
    <row r="193" spans="1:149" x14ac:dyDescent="0.3">
      <c r="A193" s="197">
        <v>188</v>
      </c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247"/>
      <c r="AQ193" s="247"/>
      <c r="AR193" s="247"/>
      <c r="AS193" s="247"/>
      <c r="AT193" s="247"/>
      <c r="AU193" s="247"/>
      <c r="AV193" s="247"/>
      <c r="AW193" s="247"/>
      <c r="AX193" s="247"/>
      <c r="AY193" s="247"/>
      <c r="AZ193" s="247"/>
      <c r="BA193" s="247"/>
      <c r="BB193" s="247"/>
      <c r="BC193" s="247"/>
      <c r="BD193" s="206"/>
      <c r="BE193" s="206"/>
      <c r="BF193" s="206"/>
      <c r="BG193" s="206"/>
      <c r="BH193" s="206"/>
      <c r="BI193" s="206"/>
      <c r="BJ193" s="206"/>
      <c r="BK193" s="206"/>
      <c r="BL193" s="206"/>
      <c r="BM193" s="206"/>
      <c r="BN193" s="206"/>
      <c r="BO193" s="206"/>
      <c r="BP193" s="206"/>
      <c r="BQ193" s="206"/>
      <c r="BR193" s="252"/>
      <c r="BS193" s="252"/>
      <c r="BT193" s="252"/>
      <c r="BU193" s="252"/>
      <c r="BV193" s="252"/>
      <c r="BW193" s="252"/>
      <c r="BX193" s="252"/>
      <c r="BY193" s="252"/>
      <c r="BZ193" s="252"/>
      <c r="CA193" s="252"/>
      <c r="CB193" s="252"/>
      <c r="CC193" s="252"/>
      <c r="CD193" s="252"/>
      <c r="CE193" s="252"/>
      <c r="CF193" s="252"/>
      <c r="CG193" s="252"/>
      <c r="CH193" s="252"/>
      <c r="CI193" s="252"/>
      <c r="CJ193" s="257"/>
      <c r="CK193" s="257"/>
      <c r="CL193" s="257"/>
      <c r="CM193" s="257"/>
      <c r="CN193" s="257"/>
      <c r="CO193" s="257"/>
      <c r="CP193" s="257"/>
      <c r="CQ193" s="257"/>
      <c r="CR193" s="257"/>
      <c r="CS193" s="257"/>
      <c r="CT193" s="257"/>
      <c r="CU193" s="257"/>
      <c r="CV193" s="257"/>
      <c r="CW193" s="257"/>
      <c r="CX193" s="257"/>
      <c r="CY193" s="257"/>
      <c r="CZ193" s="257"/>
      <c r="DA193" s="257"/>
      <c r="DB193" s="202"/>
      <c r="DC193" s="202"/>
      <c r="DD193" s="202"/>
      <c r="DE193" s="202"/>
      <c r="DF193" s="202"/>
      <c r="DG193" s="202"/>
      <c r="DH193" s="202"/>
      <c r="DI193" s="202"/>
      <c r="DJ193" s="202"/>
      <c r="DK193" s="202"/>
      <c r="DL193" s="202"/>
      <c r="DM193" s="202"/>
      <c r="DN193" s="202"/>
      <c r="DO193" s="202"/>
      <c r="DP193" s="202"/>
      <c r="DQ193" s="202"/>
      <c r="DR193" s="202"/>
      <c r="DS193" s="202"/>
      <c r="DT193" s="196"/>
      <c r="DU193" s="196"/>
      <c r="DV193" s="196"/>
      <c r="DW193" s="196"/>
      <c r="DX193" s="196"/>
      <c r="DY193" s="196"/>
      <c r="DZ193" s="196"/>
      <c r="EA193" s="196"/>
      <c r="EB193" s="176">
        <f t="shared" si="16"/>
        <v>0</v>
      </c>
      <c r="EC193" s="176">
        <f t="shared" si="17"/>
        <v>0</v>
      </c>
      <c r="ED193" s="176">
        <f t="shared" si="18"/>
        <v>0</v>
      </c>
      <c r="EE193" s="176">
        <f t="shared" si="19"/>
        <v>0</v>
      </c>
      <c r="EG193" s="129">
        <f t="shared" si="20"/>
        <v>0</v>
      </c>
      <c r="EI193" s="176">
        <f t="shared" si="21"/>
        <v>0</v>
      </c>
      <c r="EK193" s="176">
        <f t="shared" si="22"/>
        <v>0</v>
      </c>
      <c r="EL193" s="176"/>
      <c r="EM193" s="177"/>
      <c r="EN193" s="178"/>
      <c r="EO193" s="177"/>
      <c r="EP193" s="177"/>
      <c r="EQ193" s="176">
        <f t="shared" si="23"/>
        <v>0</v>
      </c>
      <c r="ER193" s="179">
        <v>23300</v>
      </c>
      <c r="ES193" s="177">
        <v>7.5</v>
      </c>
    </row>
    <row r="194" spans="1:149" x14ac:dyDescent="0.3">
      <c r="A194" s="197">
        <v>189</v>
      </c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247"/>
      <c r="AQ194" s="247"/>
      <c r="AR194" s="247"/>
      <c r="AS194" s="247"/>
      <c r="AT194" s="247"/>
      <c r="AU194" s="247"/>
      <c r="AV194" s="247"/>
      <c r="AW194" s="247"/>
      <c r="AX194" s="247"/>
      <c r="AY194" s="247"/>
      <c r="AZ194" s="247"/>
      <c r="BA194" s="247"/>
      <c r="BB194" s="247"/>
      <c r="BC194" s="247"/>
      <c r="BD194" s="206"/>
      <c r="BE194" s="206"/>
      <c r="BF194" s="206"/>
      <c r="BG194" s="206"/>
      <c r="BH194" s="206"/>
      <c r="BI194" s="206"/>
      <c r="BJ194" s="206"/>
      <c r="BK194" s="206"/>
      <c r="BL194" s="206"/>
      <c r="BM194" s="206"/>
      <c r="BN194" s="206"/>
      <c r="BO194" s="206"/>
      <c r="BP194" s="206"/>
      <c r="BQ194" s="206"/>
      <c r="BR194" s="252"/>
      <c r="BS194" s="252"/>
      <c r="BT194" s="252"/>
      <c r="BU194" s="252"/>
      <c r="BV194" s="252"/>
      <c r="BW194" s="252"/>
      <c r="BX194" s="252"/>
      <c r="BY194" s="252"/>
      <c r="BZ194" s="252"/>
      <c r="CA194" s="252"/>
      <c r="CB194" s="252"/>
      <c r="CC194" s="252"/>
      <c r="CD194" s="252"/>
      <c r="CE194" s="252"/>
      <c r="CF194" s="252"/>
      <c r="CG194" s="252"/>
      <c r="CH194" s="252"/>
      <c r="CI194" s="252"/>
      <c r="CJ194" s="257"/>
      <c r="CK194" s="257"/>
      <c r="CL194" s="257"/>
      <c r="CM194" s="257"/>
      <c r="CN194" s="257"/>
      <c r="CO194" s="257"/>
      <c r="CP194" s="257"/>
      <c r="CQ194" s="257"/>
      <c r="CR194" s="257"/>
      <c r="CS194" s="257"/>
      <c r="CT194" s="257"/>
      <c r="CU194" s="257"/>
      <c r="CV194" s="257"/>
      <c r="CW194" s="257"/>
      <c r="CX194" s="257"/>
      <c r="CY194" s="257"/>
      <c r="CZ194" s="257"/>
      <c r="DA194" s="257"/>
      <c r="DB194" s="202"/>
      <c r="DC194" s="202"/>
      <c r="DD194" s="202"/>
      <c r="DE194" s="202"/>
      <c r="DF194" s="202"/>
      <c r="DG194" s="202"/>
      <c r="DH194" s="202"/>
      <c r="DI194" s="202"/>
      <c r="DJ194" s="202"/>
      <c r="DK194" s="202"/>
      <c r="DL194" s="202"/>
      <c r="DM194" s="202"/>
      <c r="DN194" s="202"/>
      <c r="DO194" s="202"/>
      <c r="DP194" s="202"/>
      <c r="DQ194" s="202"/>
      <c r="DR194" s="202"/>
      <c r="DS194" s="202"/>
      <c r="DT194" s="196"/>
      <c r="DU194" s="196"/>
      <c r="DV194" s="196"/>
      <c r="DW194" s="196"/>
      <c r="DX194" s="196"/>
      <c r="DY194" s="196"/>
      <c r="DZ194" s="196"/>
      <c r="EA194" s="196"/>
      <c r="EB194" s="176">
        <f t="shared" si="16"/>
        <v>0</v>
      </c>
      <c r="EC194" s="176">
        <f t="shared" si="17"/>
        <v>0</v>
      </c>
      <c r="ED194" s="176">
        <f t="shared" si="18"/>
        <v>0</v>
      </c>
      <c r="EE194" s="176">
        <f t="shared" si="19"/>
        <v>0</v>
      </c>
      <c r="EG194" s="129">
        <f t="shared" si="20"/>
        <v>0</v>
      </c>
      <c r="EI194" s="176">
        <f t="shared" si="21"/>
        <v>0</v>
      </c>
      <c r="EK194" s="176">
        <f t="shared" si="22"/>
        <v>0</v>
      </c>
      <c r="EL194" s="176"/>
      <c r="EM194" s="177"/>
      <c r="EN194" s="178"/>
      <c r="EO194" s="177"/>
      <c r="EP194" s="177"/>
      <c r="EQ194" s="176">
        <f t="shared" si="23"/>
        <v>0</v>
      </c>
      <c r="ER194" s="179">
        <v>23300</v>
      </c>
      <c r="ES194" s="177">
        <v>7.5</v>
      </c>
    </row>
    <row r="195" spans="1:149" x14ac:dyDescent="0.3">
      <c r="A195" s="197">
        <v>190</v>
      </c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247"/>
      <c r="AQ195" s="247"/>
      <c r="AR195" s="247"/>
      <c r="AS195" s="247"/>
      <c r="AT195" s="247"/>
      <c r="AU195" s="247"/>
      <c r="AV195" s="247"/>
      <c r="AW195" s="247"/>
      <c r="AX195" s="247"/>
      <c r="AY195" s="247"/>
      <c r="AZ195" s="247"/>
      <c r="BA195" s="247"/>
      <c r="BB195" s="247"/>
      <c r="BC195" s="247"/>
      <c r="BD195" s="206"/>
      <c r="BE195" s="206"/>
      <c r="BF195" s="206"/>
      <c r="BG195" s="206"/>
      <c r="BH195" s="206"/>
      <c r="BI195" s="206"/>
      <c r="BJ195" s="206"/>
      <c r="BK195" s="206"/>
      <c r="BL195" s="206"/>
      <c r="BM195" s="206"/>
      <c r="BN195" s="206"/>
      <c r="BO195" s="206"/>
      <c r="BP195" s="206"/>
      <c r="BQ195" s="206"/>
      <c r="BR195" s="252"/>
      <c r="BS195" s="252"/>
      <c r="BT195" s="252"/>
      <c r="BU195" s="252"/>
      <c r="BV195" s="252"/>
      <c r="BW195" s="252"/>
      <c r="BX195" s="252"/>
      <c r="BY195" s="252"/>
      <c r="BZ195" s="252"/>
      <c r="CA195" s="252"/>
      <c r="CB195" s="252"/>
      <c r="CC195" s="252"/>
      <c r="CD195" s="252"/>
      <c r="CE195" s="252"/>
      <c r="CF195" s="252"/>
      <c r="CG195" s="252"/>
      <c r="CH195" s="252"/>
      <c r="CI195" s="252"/>
      <c r="CJ195" s="257"/>
      <c r="CK195" s="257"/>
      <c r="CL195" s="257"/>
      <c r="CM195" s="257"/>
      <c r="CN195" s="257"/>
      <c r="CO195" s="257"/>
      <c r="CP195" s="257"/>
      <c r="CQ195" s="257"/>
      <c r="CR195" s="257"/>
      <c r="CS195" s="257"/>
      <c r="CT195" s="257"/>
      <c r="CU195" s="257"/>
      <c r="CV195" s="257"/>
      <c r="CW195" s="257"/>
      <c r="CX195" s="257"/>
      <c r="CY195" s="257"/>
      <c r="CZ195" s="257"/>
      <c r="DA195" s="257"/>
      <c r="DB195" s="202"/>
      <c r="DC195" s="202"/>
      <c r="DD195" s="202"/>
      <c r="DE195" s="202"/>
      <c r="DF195" s="202"/>
      <c r="DG195" s="202"/>
      <c r="DH195" s="202"/>
      <c r="DI195" s="202"/>
      <c r="DJ195" s="202"/>
      <c r="DK195" s="202"/>
      <c r="DL195" s="202"/>
      <c r="DM195" s="202"/>
      <c r="DN195" s="202"/>
      <c r="DO195" s="202"/>
      <c r="DP195" s="202"/>
      <c r="DQ195" s="202"/>
      <c r="DR195" s="202"/>
      <c r="DS195" s="202"/>
      <c r="DT195" s="196"/>
      <c r="DU195" s="196"/>
      <c r="DV195" s="196"/>
      <c r="DW195" s="196"/>
      <c r="DX195" s="196"/>
      <c r="DY195" s="196"/>
      <c r="DZ195" s="196"/>
      <c r="EA195" s="196"/>
      <c r="EB195" s="176">
        <f t="shared" si="16"/>
        <v>0</v>
      </c>
      <c r="EC195" s="176">
        <f t="shared" si="17"/>
        <v>0</v>
      </c>
      <c r="ED195" s="176">
        <f t="shared" si="18"/>
        <v>0</v>
      </c>
      <c r="EE195" s="176">
        <f t="shared" si="19"/>
        <v>0</v>
      </c>
      <c r="EG195" s="129">
        <f t="shared" si="20"/>
        <v>0</v>
      </c>
      <c r="EI195" s="176">
        <f t="shared" si="21"/>
        <v>0</v>
      </c>
      <c r="EK195" s="176">
        <f t="shared" si="22"/>
        <v>0</v>
      </c>
      <c r="EL195" s="176"/>
      <c r="EM195" s="177"/>
      <c r="EN195" s="178"/>
      <c r="EO195" s="177"/>
      <c r="EP195" s="177"/>
      <c r="EQ195" s="176">
        <f t="shared" si="23"/>
        <v>0</v>
      </c>
      <c r="ER195" s="179">
        <v>23300</v>
      </c>
      <c r="ES195" s="177">
        <v>7.5</v>
      </c>
    </row>
    <row r="196" spans="1:149" x14ac:dyDescent="0.3">
      <c r="A196" s="197">
        <v>191</v>
      </c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247"/>
      <c r="AQ196" s="247"/>
      <c r="AR196" s="247"/>
      <c r="AS196" s="247"/>
      <c r="AT196" s="247"/>
      <c r="AU196" s="247"/>
      <c r="AV196" s="247"/>
      <c r="AW196" s="247"/>
      <c r="AX196" s="247"/>
      <c r="AY196" s="247"/>
      <c r="AZ196" s="247"/>
      <c r="BA196" s="247"/>
      <c r="BB196" s="247"/>
      <c r="BC196" s="247"/>
      <c r="BD196" s="206"/>
      <c r="BE196" s="206"/>
      <c r="BF196" s="206"/>
      <c r="BG196" s="206"/>
      <c r="BH196" s="206"/>
      <c r="BI196" s="206"/>
      <c r="BJ196" s="206"/>
      <c r="BK196" s="206"/>
      <c r="BL196" s="206"/>
      <c r="BM196" s="206"/>
      <c r="BN196" s="206"/>
      <c r="BO196" s="206"/>
      <c r="BP196" s="206"/>
      <c r="BQ196" s="206"/>
      <c r="BR196" s="252"/>
      <c r="BS196" s="252"/>
      <c r="BT196" s="252"/>
      <c r="BU196" s="252"/>
      <c r="BV196" s="252"/>
      <c r="BW196" s="252"/>
      <c r="BX196" s="252"/>
      <c r="BY196" s="252"/>
      <c r="BZ196" s="252"/>
      <c r="CA196" s="252"/>
      <c r="CB196" s="252"/>
      <c r="CC196" s="252"/>
      <c r="CD196" s="252"/>
      <c r="CE196" s="252"/>
      <c r="CF196" s="252"/>
      <c r="CG196" s="252"/>
      <c r="CH196" s="252"/>
      <c r="CI196" s="252"/>
      <c r="CJ196" s="257"/>
      <c r="CK196" s="257"/>
      <c r="CL196" s="257"/>
      <c r="CM196" s="257"/>
      <c r="CN196" s="257"/>
      <c r="CO196" s="257"/>
      <c r="CP196" s="257"/>
      <c r="CQ196" s="257"/>
      <c r="CR196" s="257"/>
      <c r="CS196" s="257"/>
      <c r="CT196" s="257"/>
      <c r="CU196" s="257"/>
      <c r="CV196" s="257"/>
      <c r="CW196" s="257"/>
      <c r="CX196" s="257"/>
      <c r="CY196" s="257"/>
      <c r="CZ196" s="257"/>
      <c r="DA196" s="257"/>
      <c r="DB196" s="202"/>
      <c r="DC196" s="202"/>
      <c r="DD196" s="202"/>
      <c r="DE196" s="202"/>
      <c r="DF196" s="202"/>
      <c r="DG196" s="202"/>
      <c r="DH196" s="202"/>
      <c r="DI196" s="202"/>
      <c r="DJ196" s="202"/>
      <c r="DK196" s="202"/>
      <c r="DL196" s="202"/>
      <c r="DM196" s="202"/>
      <c r="DN196" s="202"/>
      <c r="DO196" s="202"/>
      <c r="DP196" s="202"/>
      <c r="DQ196" s="202"/>
      <c r="DR196" s="202"/>
      <c r="DS196" s="202"/>
      <c r="DT196" s="196"/>
      <c r="DU196" s="196"/>
      <c r="DV196" s="196"/>
      <c r="DW196" s="196"/>
      <c r="DX196" s="196"/>
      <c r="DY196" s="196"/>
      <c r="DZ196" s="196"/>
      <c r="EA196" s="196"/>
      <c r="EB196" s="176">
        <f t="shared" si="16"/>
        <v>0</v>
      </c>
      <c r="EC196" s="176">
        <f t="shared" si="17"/>
        <v>0</v>
      </c>
      <c r="ED196" s="176">
        <f t="shared" si="18"/>
        <v>0</v>
      </c>
      <c r="EE196" s="176">
        <f t="shared" si="19"/>
        <v>0</v>
      </c>
      <c r="EG196" s="129">
        <f t="shared" si="20"/>
        <v>0</v>
      </c>
      <c r="EI196" s="176">
        <f t="shared" si="21"/>
        <v>0</v>
      </c>
      <c r="EK196" s="176">
        <f t="shared" si="22"/>
        <v>0</v>
      </c>
      <c r="EL196" s="176"/>
      <c r="EM196" s="177"/>
      <c r="EN196" s="178"/>
      <c r="EO196" s="177"/>
      <c r="EP196" s="177"/>
      <c r="EQ196" s="176">
        <f t="shared" si="23"/>
        <v>0</v>
      </c>
      <c r="ER196" s="179">
        <v>23300</v>
      </c>
      <c r="ES196" s="177">
        <v>7.5</v>
      </c>
    </row>
    <row r="197" spans="1:149" x14ac:dyDescent="0.3">
      <c r="A197" s="197">
        <v>192</v>
      </c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247"/>
      <c r="AQ197" s="247"/>
      <c r="AR197" s="247"/>
      <c r="AS197" s="247"/>
      <c r="AT197" s="247"/>
      <c r="AU197" s="247"/>
      <c r="AV197" s="247"/>
      <c r="AW197" s="247"/>
      <c r="AX197" s="247"/>
      <c r="AY197" s="247"/>
      <c r="AZ197" s="247"/>
      <c r="BA197" s="247"/>
      <c r="BB197" s="247"/>
      <c r="BC197" s="247"/>
      <c r="BD197" s="206"/>
      <c r="BE197" s="206"/>
      <c r="BF197" s="206"/>
      <c r="BG197" s="206"/>
      <c r="BH197" s="206"/>
      <c r="BI197" s="206"/>
      <c r="BJ197" s="206"/>
      <c r="BK197" s="206"/>
      <c r="BL197" s="206"/>
      <c r="BM197" s="206"/>
      <c r="BN197" s="206"/>
      <c r="BO197" s="206"/>
      <c r="BP197" s="206"/>
      <c r="BQ197" s="206"/>
      <c r="BR197" s="252"/>
      <c r="BS197" s="252"/>
      <c r="BT197" s="252"/>
      <c r="BU197" s="252"/>
      <c r="BV197" s="252"/>
      <c r="BW197" s="252"/>
      <c r="BX197" s="252"/>
      <c r="BY197" s="252"/>
      <c r="BZ197" s="252"/>
      <c r="CA197" s="252"/>
      <c r="CB197" s="252"/>
      <c r="CC197" s="252"/>
      <c r="CD197" s="252"/>
      <c r="CE197" s="252"/>
      <c r="CF197" s="252"/>
      <c r="CG197" s="252"/>
      <c r="CH197" s="252"/>
      <c r="CI197" s="252"/>
      <c r="CJ197" s="257"/>
      <c r="CK197" s="257"/>
      <c r="CL197" s="257"/>
      <c r="CM197" s="257"/>
      <c r="CN197" s="257"/>
      <c r="CO197" s="257"/>
      <c r="CP197" s="257"/>
      <c r="CQ197" s="257"/>
      <c r="CR197" s="257"/>
      <c r="CS197" s="257"/>
      <c r="CT197" s="257"/>
      <c r="CU197" s="257"/>
      <c r="CV197" s="257"/>
      <c r="CW197" s="257"/>
      <c r="CX197" s="257"/>
      <c r="CY197" s="257"/>
      <c r="CZ197" s="257"/>
      <c r="DA197" s="257"/>
      <c r="DB197" s="202"/>
      <c r="DC197" s="202"/>
      <c r="DD197" s="202"/>
      <c r="DE197" s="202"/>
      <c r="DF197" s="202"/>
      <c r="DG197" s="202"/>
      <c r="DH197" s="202"/>
      <c r="DI197" s="202"/>
      <c r="DJ197" s="202"/>
      <c r="DK197" s="202"/>
      <c r="DL197" s="202"/>
      <c r="DM197" s="202"/>
      <c r="DN197" s="202"/>
      <c r="DO197" s="202"/>
      <c r="DP197" s="202"/>
      <c r="DQ197" s="202"/>
      <c r="DR197" s="202"/>
      <c r="DS197" s="202"/>
      <c r="DT197" s="196"/>
      <c r="DU197" s="196"/>
      <c r="DV197" s="196"/>
      <c r="DW197" s="196"/>
      <c r="DX197" s="196"/>
      <c r="DY197" s="196"/>
      <c r="DZ197" s="196"/>
      <c r="EA197" s="196"/>
      <c r="EB197" s="176">
        <f t="shared" si="16"/>
        <v>0</v>
      </c>
      <c r="EC197" s="176">
        <f t="shared" si="17"/>
        <v>0</v>
      </c>
      <c r="ED197" s="176">
        <f t="shared" si="18"/>
        <v>0</v>
      </c>
      <c r="EE197" s="176">
        <f t="shared" si="19"/>
        <v>0</v>
      </c>
      <c r="EG197" s="129">
        <f t="shared" si="20"/>
        <v>0</v>
      </c>
      <c r="EI197" s="176">
        <f t="shared" si="21"/>
        <v>0</v>
      </c>
      <c r="EK197" s="176">
        <f t="shared" si="22"/>
        <v>0</v>
      </c>
      <c r="EL197" s="176"/>
      <c r="EM197" s="177"/>
      <c r="EN197" s="178"/>
      <c r="EO197" s="177"/>
      <c r="EP197" s="177"/>
      <c r="EQ197" s="176">
        <f t="shared" si="23"/>
        <v>0</v>
      </c>
      <c r="ER197" s="179">
        <v>23300</v>
      </c>
      <c r="ES197" s="177">
        <v>7.5</v>
      </c>
    </row>
    <row r="198" spans="1:149" x14ac:dyDescent="0.3">
      <c r="A198" s="197">
        <v>193</v>
      </c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247"/>
      <c r="AQ198" s="247"/>
      <c r="AR198" s="247"/>
      <c r="AS198" s="247"/>
      <c r="AT198" s="247"/>
      <c r="AU198" s="247"/>
      <c r="AV198" s="247"/>
      <c r="AW198" s="247"/>
      <c r="AX198" s="247"/>
      <c r="AY198" s="247"/>
      <c r="AZ198" s="247"/>
      <c r="BA198" s="247"/>
      <c r="BB198" s="247"/>
      <c r="BC198" s="247"/>
      <c r="BD198" s="206"/>
      <c r="BE198" s="206"/>
      <c r="BF198" s="206"/>
      <c r="BG198" s="206"/>
      <c r="BH198" s="206"/>
      <c r="BI198" s="206"/>
      <c r="BJ198" s="206"/>
      <c r="BK198" s="206"/>
      <c r="BL198" s="206"/>
      <c r="BM198" s="206"/>
      <c r="BN198" s="206"/>
      <c r="BO198" s="206"/>
      <c r="BP198" s="206"/>
      <c r="BQ198" s="206"/>
      <c r="BR198" s="252"/>
      <c r="BS198" s="252"/>
      <c r="BT198" s="252"/>
      <c r="BU198" s="252"/>
      <c r="BV198" s="252"/>
      <c r="BW198" s="252"/>
      <c r="BX198" s="252"/>
      <c r="BY198" s="252"/>
      <c r="BZ198" s="252"/>
      <c r="CA198" s="252"/>
      <c r="CB198" s="252"/>
      <c r="CC198" s="252"/>
      <c r="CD198" s="252"/>
      <c r="CE198" s="252"/>
      <c r="CF198" s="252"/>
      <c r="CG198" s="252"/>
      <c r="CH198" s="252"/>
      <c r="CI198" s="252"/>
      <c r="CJ198" s="257"/>
      <c r="CK198" s="257"/>
      <c r="CL198" s="257"/>
      <c r="CM198" s="257"/>
      <c r="CN198" s="257"/>
      <c r="CO198" s="257"/>
      <c r="CP198" s="257"/>
      <c r="CQ198" s="257"/>
      <c r="CR198" s="257"/>
      <c r="CS198" s="257"/>
      <c r="CT198" s="257"/>
      <c r="CU198" s="257"/>
      <c r="CV198" s="257"/>
      <c r="CW198" s="257"/>
      <c r="CX198" s="257"/>
      <c r="CY198" s="257"/>
      <c r="CZ198" s="257"/>
      <c r="DA198" s="257"/>
      <c r="DB198" s="202"/>
      <c r="DC198" s="202"/>
      <c r="DD198" s="202"/>
      <c r="DE198" s="202"/>
      <c r="DF198" s="202"/>
      <c r="DG198" s="202"/>
      <c r="DH198" s="202"/>
      <c r="DI198" s="202"/>
      <c r="DJ198" s="202"/>
      <c r="DK198" s="202"/>
      <c r="DL198" s="202"/>
      <c r="DM198" s="202"/>
      <c r="DN198" s="202"/>
      <c r="DO198" s="202"/>
      <c r="DP198" s="202"/>
      <c r="DQ198" s="202"/>
      <c r="DR198" s="202"/>
      <c r="DS198" s="202"/>
      <c r="DT198" s="196"/>
      <c r="DU198" s="196"/>
      <c r="DV198" s="196"/>
      <c r="DW198" s="196"/>
      <c r="DX198" s="196"/>
      <c r="DY198" s="196"/>
      <c r="DZ198" s="196"/>
      <c r="EA198" s="196"/>
      <c r="EB198" s="176">
        <f t="shared" ref="EB198:EB261" si="24">AB198+AC198*K198+AD198*K198+((AF198+AG198+AH198+AJ198+AK198)*K198+AE198+AI198+AL198*K198+AM198*K198)+AP198+AQ198*L198+AR198*L198+((AT198+AU198+AV198+AX198+AY198)*L198+AS198+AW198+AZ198*L198+BA198*L198)+IF(AND(M198&gt;0,MAX(M198,N198/1000)&lt;1),BD198+1*(BE198+BF198)+(1*(BH198+BI198+BJ198+BL198+BM198)+BG198+BK198+BN198+BO198),IF(AND(M198&gt;0,MAX(M198,N198/1000)&gt;1),BD198+MAX(M198,N198/1000)*(BE198+BF198)+(MAX(M198,N198/1000)*(BH198+BI198+BJ198+BL198+BM198)+BG198+BK198+BN198+BO198),IF(AND(K198="",L198="",M198=""),BD198+N198*(BE198+BF198)+((BH198+BI198+BJ198+BL198+BM198)*N198+BG198+BK198+BN198+BO198),0)))</f>
        <v>0</v>
      </c>
      <c r="EC198" s="176">
        <f t="shared" ref="EC198:EC261" si="25">BR198+BS198*K198+BT198*K198+((BV198+BW198+BX198+BZ198+CA198)*K198+BU198+BY198+CB198*K198+CC198*K198)+CJ198+CK198*L198+CL198*L198+((CN198+CO198+CP198+CR198+CS198)*L198+CM198+CQ198+CT198*L198+CU198*L198)+IF(AND(M198&gt;0,MAX(M198,N198/1000)&lt;1),DB198+1*(DC198+DD198)+(1*(DF198+DG198+DH198+DJ198+DK198)+DE198+DI198+DL198+DM198),IF(AND(M198&gt;0,MAX(M198,N198/1000)&gt;1),DB198+MAX(M198,N198/1000)*(DC198+DD198)+(MAX(M198,N198/1000)*(DF198+DG198+DH198+DJ198+DK198)+DE198+DI198+DL198+DM198),IF(AND(K198="",L198="",M198=""),DB198+N198*(DC198+DD198)+((DF198+DG198+DH198+DJ198+DK198)*N198+DE198+DI198+DL198+DM198),0)))</f>
        <v>0</v>
      </c>
      <c r="ED198" s="176">
        <f t="shared" ref="ED198:ED261" si="26">AN198*K198*(1-AO198%)+BB198*L198*(1-BC198%)+BP198*IF(AND(M198&gt;0,M198&lt;1),1,IF(M198&gt;1,MAX(M198,N198/1000),N198))*(1-BQ198%)</f>
        <v>0</v>
      </c>
      <c r="EE198" s="176">
        <f t="shared" ref="EE198:EE261" si="27">(CD198+CE198*K198)*(1-CF198%)+(CG198+CH198*K198)*(1-CI198%)+(CV198+CW198*L198)*(1-CX198%)+(CY198+CZ198*L198)*(1-DA198%)+(DN198+DO198*IF(AND(M198&gt;0,M198&lt;1),1,IF(M198&gt;1,MAX(M198,N198/1000),N198)))*(1-DP198%)+(DQ198+DR198*IF(AND(M198&gt;0,M198&lt;1),1,IF(M198&gt;1,MAX(M198,N198/1000),N198)))*(1-DS198%)</f>
        <v>0</v>
      </c>
      <c r="EG198" s="129">
        <f t="shared" ref="EG198:EG261" si="28">((BR198+BS198*K198+BT198*K198)+(CJ198+CK198*L198*+CL198*L198)+IF(AND(M198&gt;0,MAX(M198,N198/1000)&lt;1),DB198+DC198+DD198,IF(AND(M198&gt;0,MAX(M198,N198/1000)&gt;1),DB198+DC198*M198+DD198*M198,IF(AND(M198&gt;0,MAX(M198,N198/1000)&gt;1),DB198+MAX(M198,N198/1000)*DC198+MAX(M198,N198/1000)*DD198+IF(AND(K198="",L198="",M198=""),DB198+DC198*N198+DD198*N198,0)))))*EF198/365*ES198%</f>
        <v>0</v>
      </c>
      <c r="EI198" s="176">
        <f t="shared" ref="EI198:EI261" si="29">(((BV198+BW198+BX198+BZ198+CA198)*K198+BU198+BY198)*1.08+CJ198+CK198*L198+CL198*L198+((CN198+CO198+CP198+CR198+CS198)*L198+CM198+CQ198)*1.08+IF(AND(M198&gt;0,MAX(M198,N198/1000)&lt;1),DB198+1*(DC198+DD198)+(1*(DF198+DG198+DH198+DJ198+DK198)+DE198+DI198)*1.08,IF(AND(M198&gt;0,MAX(M198,N198/1000)&gt;1),DB198+MAX(M198,N198/1000)*(DC198+DD198)+(MAX(M198,N198/1000)*(DF198+DG198+DH198+DJ198+DK198)+DE198+DI198)*1.08,IF(AND(K198="",L198="",M198=""),DB198+N198*(DC198+DD198)+((DF198+DG198+DH198+DJ198+DK198)*N198+DE198+DI198)*1.08,0))))*EH198/365*ES198%</f>
        <v>0</v>
      </c>
      <c r="EK198" s="176">
        <f t="shared" ref="EK198:EK261" si="30">((CB198*K198+CC198*K198)*1.1+(CT198*L198+CU198*L198)*1.1+(DL198+DM198)*1.1)*EJ198/365*ES198%</f>
        <v>0</v>
      </c>
      <c r="EL198" s="176"/>
      <c r="EM198" s="177"/>
      <c r="EN198" s="178"/>
      <c r="EO198" s="177"/>
      <c r="EP198" s="177"/>
      <c r="EQ198" s="176">
        <f t="shared" ref="EQ198:EQ261" si="31">EC198-EB198-EG198-EI198-EK198-(AN198*K198+BB198*L198+BP198*IF(AND(M198&gt;0,M198&lt;1),1,IF(M198&gt;1,MAX(M198,N198/1000),N198))+CD198+CE198*K198+CV198+CW198*L198+DN198+DO198*IF(AND(M198&gt;0,M198&lt;1),1,IF(M198&gt;1,MAX(M198,N198/1000),N198))+CG198+CH198*K198+CY198+CZ198*L198+DQ198+DR198*IF(AND(M198&gt;0,M198&lt;1),1,IF(M198&gt;1,MAX(M198,N198/1000),N198)))-EL198-EM198*EN198/365*ES198%-EO198*EP198/365*ES198%</f>
        <v>0</v>
      </c>
      <c r="ER198" s="179">
        <v>23300</v>
      </c>
      <c r="ES198" s="177">
        <v>7.5</v>
      </c>
    </row>
    <row r="199" spans="1:149" x14ac:dyDescent="0.3">
      <c r="A199" s="197">
        <v>194</v>
      </c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247"/>
      <c r="AQ199" s="247"/>
      <c r="AR199" s="247"/>
      <c r="AS199" s="247"/>
      <c r="AT199" s="247"/>
      <c r="AU199" s="247"/>
      <c r="AV199" s="247"/>
      <c r="AW199" s="247"/>
      <c r="AX199" s="247"/>
      <c r="AY199" s="247"/>
      <c r="AZ199" s="247"/>
      <c r="BA199" s="247"/>
      <c r="BB199" s="247"/>
      <c r="BC199" s="247"/>
      <c r="BD199" s="206"/>
      <c r="BE199" s="206"/>
      <c r="BF199" s="206"/>
      <c r="BG199" s="206"/>
      <c r="BH199" s="206"/>
      <c r="BI199" s="206"/>
      <c r="BJ199" s="206"/>
      <c r="BK199" s="206"/>
      <c r="BL199" s="206"/>
      <c r="BM199" s="206"/>
      <c r="BN199" s="206"/>
      <c r="BO199" s="206"/>
      <c r="BP199" s="206"/>
      <c r="BQ199" s="206"/>
      <c r="BR199" s="252"/>
      <c r="BS199" s="252"/>
      <c r="BT199" s="252"/>
      <c r="BU199" s="252"/>
      <c r="BV199" s="252"/>
      <c r="BW199" s="252"/>
      <c r="BX199" s="252"/>
      <c r="BY199" s="252"/>
      <c r="BZ199" s="252"/>
      <c r="CA199" s="252"/>
      <c r="CB199" s="252"/>
      <c r="CC199" s="252"/>
      <c r="CD199" s="252"/>
      <c r="CE199" s="252"/>
      <c r="CF199" s="252"/>
      <c r="CG199" s="252"/>
      <c r="CH199" s="252"/>
      <c r="CI199" s="252"/>
      <c r="CJ199" s="257"/>
      <c r="CK199" s="257"/>
      <c r="CL199" s="257"/>
      <c r="CM199" s="257"/>
      <c r="CN199" s="257"/>
      <c r="CO199" s="257"/>
      <c r="CP199" s="257"/>
      <c r="CQ199" s="257"/>
      <c r="CR199" s="257"/>
      <c r="CS199" s="257"/>
      <c r="CT199" s="257"/>
      <c r="CU199" s="257"/>
      <c r="CV199" s="257"/>
      <c r="CW199" s="257"/>
      <c r="CX199" s="257"/>
      <c r="CY199" s="257"/>
      <c r="CZ199" s="257"/>
      <c r="DA199" s="257"/>
      <c r="DB199" s="202"/>
      <c r="DC199" s="202"/>
      <c r="DD199" s="202"/>
      <c r="DE199" s="202"/>
      <c r="DF199" s="202"/>
      <c r="DG199" s="202"/>
      <c r="DH199" s="202"/>
      <c r="DI199" s="202"/>
      <c r="DJ199" s="202"/>
      <c r="DK199" s="202"/>
      <c r="DL199" s="202"/>
      <c r="DM199" s="202"/>
      <c r="DN199" s="202"/>
      <c r="DO199" s="202"/>
      <c r="DP199" s="202"/>
      <c r="DQ199" s="202"/>
      <c r="DR199" s="202"/>
      <c r="DS199" s="202"/>
      <c r="DT199" s="196"/>
      <c r="DU199" s="196"/>
      <c r="DV199" s="196"/>
      <c r="DW199" s="196"/>
      <c r="DX199" s="196"/>
      <c r="DY199" s="196"/>
      <c r="DZ199" s="196"/>
      <c r="EA199" s="196"/>
      <c r="EB199" s="176">
        <f t="shared" si="24"/>
        <v>0</v>
      </c>
      <c r="EC199" s="176">
        <f t="shared" si="25"/>
        <v>0</v>
      </c>
      <c r="ED199" s="176">
        <f t="shared" si="26"/>
        <v>0</v>
      </c>
      <c r="EE199" s="176">
        <f t="shared" si="27"/>
        <v>0</v>
      </c>
      <c r="EG199" s="129">
        <f t="shared" si="28"/>
        <v>0</v>
      </c>
      <c r="EI199" s="176">
        <f t="shared" si="29"/>
        <v>0</v>
      </c>
      <c r="EK199" s="176">
        <f t="shared" si="30"/>
        <v>0</v>
      </c>
      <c r="EL199" s="176"/>
      <c r="EM199" s="177"/>
      <c r="EN199" s="178"/>
      <c r="EO199" s="177"/>
      <c r="EP199" s="177"/>
      <c r="EQ199" s="176">
        <f t="shared" si="31"/>
        <v>0</v>
      </c>
      <c r="ER199" s="179">
        <v>23300</v>
      </c>
      <c r="ES199" s="177">
        <v>7.5</v>
      </c>
    </row>
    <row r="200" spans="1:149" x14ac:dyDescent="0.3">
      <c r="A200" s="197">
        <v>195</v>
      </c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247"/>
      <c r="AQ200" s="247"/>
      <c r="AR200" s="247"/>
      <c r="AS200" s="247"/>
      <c r="AT200" s="247"/>
      <c r="AU200" s="247"/>
      <c r="AV200" s="247"/>
      <c r="AW200" s="247"/>
      <c r="AX200" s="247"/>
      <c r="AY200" s="247"/>
      <c r="AZ200" s="247"/>
      <c r="BA200" s="247"/>
      <c r="BB200" s="247"/>
      <c r="BC200" s="247"/>
      <c r="BD200" s="206"/>
      <c r="BE200" s="206"/>
      <c r="BF200" s="206"/>
      <c r="BG200" s="206"/>
      <c r="BH200" s="206"/>
      <c r="BI200" s="206"/>
      <c r="BJ200" s="206"/>
      <c r="BK200" s="206"/>
      <c r="BL200" s="206"/>
      <c r="BM200" s="206"/>
      <c r="BN200" s="206"/>
      <c r="BO200" s="206"/>
      <c r="BP200" s="206"/>
      <c r="BQ200" s="206"/>
      <c r="BR200" s="252"/>
      <c r="BS200" s="252"/>
      <c r="BT200" s="252"/>
      <c r="BU200" s="252"/>
      <c r="BV200" s="252"/>
      <c r="BW200" s="252"/>
      <c r="BX200" s="252"/>
      <c r="BY200" s="252"/>
      <c r="BZ200" s="252"/>
      <c r="CA200" s="252"/>
      <c r="CB200" s="252"/>
      <c r="CC200" s="252"/>
      <c r="CD200" s="252"/>
      <c r="CE200" s="252"/>
      <c r="CF200" s="252"/>
      <c r="CG200" s="252"/>
      <c r="CH200" s="252"/>
      <c r="CI200" s="252"/>
      <c r="CJ200" s="257"/>
      <c r="CK200" s="257"/>
      <c r="CL200" s="257"/>
      <c r="CM200" s="257"/>
      <c r="CN200" s="257"/>
      <c r="CO200" s="257"/>
      <c r="CP200" s="257"/>
      <c r="CQ200" s="257"/>
      <c r="CR200" s="257"/>
      <c r="CS200" s="257"/>
      <c r="CT200" s="257"/>
      <c r="CU200" s="257"/>
      <c r="CV200" s="257"/>
      <c r="CW200" s="257"/>
      <c r="CX200" s="257"/>
      <c r="CY200" s="257"/>
      <c r="CZ200" s="257"/>
      <c r="DA200" s="257"/>
      <c r="DB200" s="202"/>
      <c r="DC200" s="202"/>
      <c r="DD200" s="202"/>
      <c r="DE200" s="202"/>
      <c r="DF200" s="202"/>
      <c r="DG200" s="202"/>
      <c r="DH200" s="202"/>
      <c r="DI200" s="202"/>
      <c r="DJ200" s="202"/>
      <c r="DK200" s="202"/>
      <c r="DL200" s="202"/>
      <c r="DM200" s="202"/>
      <c r="DN200" s="202"/>
      <c r="DO200" s="202"/>
      <c r="DP200" s="202"/>
      <c r="DQ200" s="202"/>
      <c r="DR200" s="202"/>
      <c r="DS200" s="202"/>
      <c r="DT200" s="196"/>
      <c r="DU200" s="196"/>
      <c r="DV200" s="196"/>
      <c r="DW200" s="196"/>
      <c r="DX200" s="196"/>
      <c r="DY200" s="196"/>
      <c r="DZ200" s="196"/>
      <c r="EA200" s="196"/>
      <c r="EB200" s="176">
        <f t="shared" si="24"/>
        <v>0</v>
      </c>
      <c r="EC200" s="176">
        <f t="shared" si="25"/>
        <v>0</v>
      </c>
      <c r="ED200" s="176">
        <f t="shared" si="26"/>
        <v>0</v>
      </c>
      <c r="EE200" s="176">
        <f t="shared" si="27"/>
        <v>0</v>
      </c>
      <c r="EG200" s="129">
        <f t="shared" si="28"/>
        <v>0</v>
      </c>
      <c r="EI200" s="176">
        <f t="shared" si="29"/>
        <v>0</v>
      </c>
      <c r="EK200" s="176">
        <f t="shared" si="30"/>
        <v>0</v>
      </c>
      <c r="EL200" s="176"/>
      <c r="EM200" s="177"/>
      <c r="EN200" s="178"/>
      <c r="EO200" s="177"/>
      <c r="EP200" s="177"/>
      <c r="EQ200" s="176">
        <f t="shared" si="31"/>
        <v>0</v>
      </c>
      <c r="ER200" s="179">
        <v>23300</v>
      </c>
      <c r="ES200" s="177">
        <v>7.5</v>
      </c>
    </row>
    <row r="201" spans="1:149" x14ac:dyDescent="0.3">
      <c r="A201" s="197">
        <v>196</v>
      </c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247"/>
      <c r="AQ201" s="247"/>
      <c r="AR201" s="247"/>
      <c r="AS201" s="247"/>
      <c r="AT201" s="247"/>
      <c r="AU201" s="247"/>
      <c r="AV201" s="247"/>
      <c r="AW201" s="247"/>
      <c r="AX201" s="247"/>
      <c r="AY201" s="247"/>
      <c r="AZ201" s="247"/>
      <c r="BA201" s="247"/>
      <c r="BB201" s="247"/>
      <c r="BC201" s="247"/>
      <c r="BD201" s="206"/>
      <c r="BE201" s="206"/>
      <c r="BF201" s="206"/>
      <c r="BG201" s="206"/>
      <c r="BH201" s="206"/>
      <c r="BI201" s="206"/>
      <c r="BJ201" s="206"/>
      <c r="BK201" s="206"/>
      <c r="BL201" s="206"/>
      <c r="BM201" s="206"/>
      <c r="BN201" s="206"/>
      <c r="BO201" s="206"/>
      <c r="BP201" s="206"/>
      <c r="BQ201" s="206"/>
      <c r="BR201" s="252"/>
      <c r="BS201" s="252"/>
      <c r="BT201" s="252"/>
      <c r="BU201" s="252"/>
      <c r="BV201" s="252"/>
      <c r="BW201" s="252"/>
      <c r="BX201" s="252"/>
      <c r="BY201" s="252"/>
      <c r="BZ201" s="252"/>
      <c r="CA201" s="252"/>
      <c r="CB201" s="252"/>
      <c r="CC201" s="252"/>
      <c r="CD201" s="252"/>
      <c r="CE201" s="252"/>
      <c r="CF201" s="252"/>
      <c r="CG201" s="252"/>
      <c r="CH201" s="252"/>
      <c r="CI201" s="252"/>
      <c r="CJ201" s="257"/>
      <c r="CK201" s="257"/>
      <c r="CL201" s="257"/>
      <c r="CM201" s="257"/>
      <c r="CN201" s="257"/>
      <c r="CO201" s="257"/>
      <c r="CP201" s="257"/>
      <c r="CQ201" s="257"/>
      <c r="CR201" s="257"/>
      <c r="CS201" s="257"/>
      <c r="CT201" s="257"/>
      <c r="CU201" s="257"/>
      <c r="CV201" s="257"/>
      <c r="CW201" s="257"/>
      <c r="CX201" s="257"/>
      <c r="CY201" s="257"/>
      <c r="CZ201" s="257"/>
      <c r="DA201" s="257"/>
      <c r="DB201" s="202"/>
      <c r="DC201" s="202"/>
      <c r="DD201" s="202"/>
      <c r="DE201" s="202"/>
      <c r="DF201" s="202"/>
      <c r="DG201" s="202"/>
      <c r="DH201" s="202"/>
      <c r="DI201" s="202"/>
      <c r="DJ201" s="202"/>
      <c r="DK201" s="202"/>
      <c r="DL201" s="202"/>
      <c r="DM201" s="202"/>
      <c r="DN201" s="202"/>
      <c r="DO201" s="202"/>
      <c r="DP201" s="202"/>
      <c r="DQ201" s="202"/>
      <c r="DR201" s="202"/>
      <c r="DS201" s="202"/>
      <c r="DT201" s="196"/>
      <c r="DU201" s="196"/>
      <c r="DV201" s="196"/>
      <c r="DW201" s="196"/>
      <c r="DX201" s="196"/>
      <c r="DY201" s="196"/>
      <c r="DZ201" s="196"/>
      <c r="EA201" s="196"/>
      <c r="EB201" s="176">
        <f t="shared" si="24"/>
        <v>0</v>
      </c>
      <c r="EC201" s="176">
        <f t="shared" si="25"/>
        <v>0</v>
      </c>
      <c r="ED201" s="176">
        <f t="shared" si="26"/>
        <v>0</v>
      </c>
      <c r="EE201" s="176">
        <f t="shared" si="27"/>
        <v>0</v>
      </c>
      <c r="EG201" s="129">
        <f t="shared" si="28"/>
        <v>0</v>
      </c>
      <c r="EI201" s="176">
        <f t="shared" si="29"/>
        <v>0</v>
      </c>
      <c r="EK201" s="176">
        <f t="shared" si="30"/>
        <v>0</v>
      </c>
      <c r="EL201" s="176"/>
      <c r="EM201" s="177"/>
      <c r="EN201" s="178"/>
      <c r="EO201" s="177"/>
      <c r="EP201" s="177"/>
      <c r="EQ201" s="176">
        <f t="shared" si="31"/>
        <v>0</v>
      </c>
      <c r="ER201" s="179">
        <v>23300</v>
      </c>
      <c r="ES201" s="177">
        <v>7.5</v>
      </c>
    </row>
    <row r="202" spans="1:149" x14ac:dyDescent="0.3">
      <c r="A202" s="197">
        <v>197</v>
      </c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247"/>
      <c r="AQ202" s="247"/>
      <c r="AR202" s="247"/>
      <c r="AS202" s="247"/>
      <c r="AT202" s="247"/>
      <c r="AU202" s="247"/>
      <c r="AV202" s="247"/>
      <c r="AW202" s="247"/>
      <c r="AX202" s="247"/>
      <c r="AY202" s="247"/>
      <c r="AZ202" s="247"/>
      <c r="BA202" s="247"/>
      <c r="BB202" s="247"/>
      <c r="BC202" s="247"/>
      <c r="BD202" s="206"/>
      <c r="BE202" s="206"/>
      <c r="BF202" s="206"/>
      <c r="BG202" s="206"/>
      <c r="BH202" s="206"/>
      <c r="BI202" s="206"/>
      <c r="BJ202" s="206"/>
      <c r="BK202" s="206"/>
      <c r="BL202" s="206"/>
      <c r="BM202" s="206"/>
      <c r="BN202" s="206"/>
      <c r="BO202" s="206"/>
      <c r="BP202" s="206"/>
      <c r="BQ202" s="206"/>
      <c r="BR202" s="252"/>
      <c r="BS202" s="252"/>
      <c r="BT202" s="252"/>
      <c r="BU202" s="252"/>
      <c r="BV202" s="252"/>
      <c r="BW202" s="252"/>
      <c r="BX202" s="252"/>
      <c r="BY202" s="252"/>
      <c r="BZ202" s="252"/>
      <c r="CA202" s="252"/>
      <c r="CB202" s="252"/>
      <c r="CC202" s="252"/>
      <c r="CD202" s="252"/>
      <c r="CE202" s="252"/>
      <c r="CF202" s="252"/>
      <c r="CG202" s="252"/>
      <c r="CH202" s="252"/>
      <c r="CI202" s="252"/>
      <c r="CJ202" s="257"/>
      <c r="CK202" s="257"/>
      <c r="CL202" s="257"/>
      <c r="CM202" s="257"/>
      <c r="CN202" s="257"/>
      <c r="CO202" s="257"/>
      <c r="CP202" s="257"/>
      <c r="CQ202" s="257"/>
      <c r="CR202" s="257"/>
      <c r="CS202" s="257"/>
      <c r="CT202" s="257"/>
      <c r="CU202" s="257"/>
      <c r="CV202" s="257"/>
      <c r="CW202" s="257"/>
      <c r="CX202" s="257"/>
      <c r="CY202" s="257"/>
      <c r="CZ202" s="257"/>
      <c r="DA202" s="257"/>
      <c r="DB202" s="202"/>
      <c r="DC202" s="202"/>
      <c r="DD202" s="202"/>
      <c r="DE202" s="202"/>
      <c r="DF202" s="202"/>
      <c r="DG202" s="202"/>
      <c r="DH202" s="202"/>
      <c r="DI202" s="202"/>
      <c r="DJ202" s="202"/>
      <c r="DK202" s="202"/>
      <c r="DL202" s="202"/>
      <c r="DM202" s="202"/>
      <c r="DN202" s="202"/>
      <c r="DO202" s="202"/>
      <c r="DP202" s="202"/>
      <c r="DQ202" s="202"/>
      <c r="DR202" s="202"/>
      <c r="DS202" s="202"/>
      <c r="DT202" s="196"/>
      <c r="DU202" s="196"/>
      <c r="DV202" s="196"/>
      <c r="DW202" s="196"/>
      <c r="DX202" s="196"/>
      <c r="DY202" s="196"/>
      <c r="DZ202" s="196"/>
      <c r="EA202" s="196"/>
      <c r="EB202" s="176">
        <f t="shared" si="24"/>
        <v>0</v>
      </c>
      <c r="EC202" s="176">
        <f t="shared" si="25"/>
        <v>0</v>
      </c>
      <c r="ED202" s="176">
        <f t="shared" si="26"/>
        <v>0</v>
      </c>
      <c r="EE202" s="176">
        <f t="shared" si="27"/>
        <v>0</v>
      </c>
      <c r="EG202" s="129">
        <f t="shared" si="28"/>
        <v>0</v>
      </c>
      <c r="EI202" s="176">
        <f t="shared" si="29"/>
        <v>0</v>
      </c>
      <c r="EK202" s="176">
        <f t="shared" si="30"/>
        <v>0</v>
      </c>
      <c r="EL202" s="176"/>
      <c r="EM202" s="177"/>
      <c r="EN202" s="178"/>
      <c r="EO202" s="177"/>
      <c r="EP202" s="177"/>
      <c r="EQ202" s="176">
        <f t="shared" si="31"/>
        <v>0</v>
      </c>
      <c r="ER202" s="179">
        <v>23300</v>
      </c>
      <c r="ES202" s="177">
        <v>7.5</v>
      </c>
    </row>
    <row r="203" spans="1:149" x14ac:dyDescent="0.3">
      <c r="A203" s="197">
        <v>198</v>
      </c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247"/>
      <c r="AQ203" s="247"/>
      <c r="AR203" s="247"/>
      <c r="AS203" s="247"/>
      <c r="AT203" s="247"/>
      <c r="AU203" s="247"/>
      <c r="AV203" s="247"/>
      <c r="AW203" s="247"/>
      <c r="AX203" s="247"/>
      <c r="AY203" s="247"/>
      <c r="AZ203" s="247"/>
      <c r="BA203" s="247"/>
      <c r="BB203" s="247"/>
      <c r="BC203" s="247"/>
      <c r="BD203" s="206"/>
      <c r="BE203" s="206"/>
      <c r="BF203" s="206"/>
      <c r="BG203" s="206"/>
      <c r="BH203" s="206"/>
      <c r="BI203" s="206"/>
      <c r="BJ203" s="206"/>
      <c r="BK203" s="206"/>
      <c r="BL203" s="206"/>
      <c r="BM203" s="206"/>
      <c r="BN203" s="206"/>
      <c r="BO203" s="206"/>
      <c r="BP203" s="206"/>
      <c r="BQ203" s="206"/>
      <c r="BR203" s="252"/>
      <c r="BS203" s="252"/>
      <c r="BT203" s="252"/>
      <c r="BU203" s="252"/>
      <c r="BV203" s="252"/>
      <c r="BW203" s="252"/>
      <c r="BX203" s="252"/>
      <c r="BY203" s="252"/>
      <c r="BZ203" s="252"/>
      <c r="CA203" s="252"/>
      <c r="CB203" s="252"/>
      <c r="CC203" s="252"/>
      <c r="CD203" s="252"/>
      <c r="CE203" s="252"/>
      <c r="CF203" s="252"/>
      <c r="CG203" s="252"/>
      <c r="CH203" s="252"/>
      <c r="CI203" s="252"/>
      <c r="CJ203" s="257"/>
      <c r="CK203" s="257"/>
      <c r="CL203" s="257"/>
      <c r="CM203" s="257"/>
      <c r="CN203" s="257"/>
      <c r="CO203" s="257"/>
      <c r="CP203" s="257"/>
      <c r="CQ203" s="257"/>
      <c r="CR203" s="257"/>
      <c r="CS203" s="257"/>
      <c r="CT203" s="257"/>
      <c r="CU203" s="257"/>
      <c r="CV203" s="257"/>
      <c r="CW203" s="257"/>
      <c r="CX203" s="257"/>
      <c r="CY203" s="257"/>
      <c r="CZ203" s="257"/>
      <c r="DA203" s="257"/>
      <c r="DB203" s="202"/>
      <c r="DC203" s="202"/>
      <c r="DD203" s="202"/>
      <c r="DE203" s="202"/>
      <c r="DF203" s="202"/>
      <c r="DG203" s="202"/>
      <c r="DH203" s="202"/>
      <c r="DI203" s="202"/>
      <c r="DJ203" s="202"/>
      <c r="DK203" s="202"/>
      <c r="DL203" s="202"/>
      <c r="DM203" s="202"/>
      <c r="DN203" s="202"/>
      <c r="DO203" s="202"/>
      <c r="DP203" s="202"/>
      <c r="DQ203" s="202"/>
      <c r="DR203" s="202"/>
      <c r="DS203" s="202"/>
      <c r="DT203" s="196"/>
      <c r="DU203" s="196"/>
      <c r="DV203" s="196"/>
      <c r="DW203" s="196"/>
      <c r="DX203" s="196"/>
      <c r="DY203" s="196"/>
      <c r="DZ203" s="196"/>
      <c r="EA203" s="196"/>
      <c r="EB203" s="176">
        <f t="shared" si="24"/>
        <v>0</v>
      </c>
      <c r="EC203" s="176">
        <f t="shared" si="25"/>
        <v>0</v>
      </c>
      <c r="ED203" s="176">
        <f t="shared" si="26"/>
        <v>0</v>
      </c>
      <c r="EE203" s="176">
        <f t="shared" si="27"/>
        <v>0</v>
      </c>
      <c r="EG203" s="129">
        <f t="shared" si="28"/>
        <v>0</v>
      </c>
      <c r="EI203" s="176">
        <f t="shared" si="29"/>
        <v>0</v>
      </c>
      <c r="EK203" s="176">
        <f t="shared" si="30"/>
        <v>0</v>
      </c>
      <c r="EL203" s="176"/>
      <c r="EM203" s="177"/>
      <c r="EN203" s="178"/>
      <c r="EO203" s="177"/>
      <c r="EP203" s="177"/>
      <c r="EQ203" s="176">
        <f t="shared" si="31"/>
        <v>0</v>
      </c>
      <c r="ER203" s="179">
        <v>23300</v>
      </c>
      <c r="ES203" s="177">
        <v>7.5</v>
      </c>
    </row>
    <row r="204" spans="1:149" x14ac:dyDescent="0.3">
      <c r="A204" s="197">
        <v>199</v>
      </c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247"/>
      <c r="AQ204" s="247"/>
      <c r="AR204" s="247"/>
      <c r="AS204" s="247"/>
      <c r="AT204" s="247"/>
      <c r="AU204" s="247"/>
      <c r="AV204" s="247"/>
      <c r="AW204" s="247"/>
      <c r="AX204" s="247"/>
      <c r="AY204" s="247"/>
      <c r="AZ204" s="247"/>
      <c r="BA204" s="247"/>
      <c r="BB204" s="247"/>
      <c r="BC204" s="247"/>
      <c r="BD204" s="206"/>
      <c r="BE204" s="206"/>
      <c r="BF204" s="206"/>
      <c r="BG204" s="206"/>
      <c r="BH204" s="206"/>
      <c r="BI204" s="206"/>
      <c r="BJ204" s="206"/>
      <c r="BK204" s="206"/>
      <c r="BL204" s="206"/>
      <c r="BM204" s="206"/>
      <c r="BN204" s="206"/>
      <c r="BO204" s="206"/>
      <c r="BP204" s="206"/>
      <c r="BQ204" s="206"/>
      <c r="BR204" s="252"/>
      <c r="BS204" s="252"/>
      <c r="BT204" s="252"/>
      <c r="BU204" s="252"/>
      <c r="BV204" s="252"/>
      <c r="BW204" s="252"/>
      <c r="BX204" s="252"/>
      <c r="BY204" s="252"/>
      <c r="BZ204" s="252"/>
      <c r="CA204" s="252"/>
      <c r="CB204" s="252"/>
      <c r="CC204" s="252"/>
      <c r="CD204" s="252"/>
      <c r="CE204" s="252"/>
      <c r="CF204" s="252"/>
      <c r="CG204" s="252"/>
      <c r="CH204" s="252"/>
      <c r="CI204" s="252"/>
      <c r="CJ204" s="257"/>
      <c r="CK204" s="257"/>
      <c r="CL204" s="257"/>
      <c r="CM204" s="257"/>
      <c r="CN204" s="257"/>
      <c r="CO204" s="257"/>
      <c r="CP204" s="257"/>
      <c r="CQ204" s="257"/>
      <c r="CR204" s="257"/>
      <c r="CS204" s="257"/>
      <c r="CT204" s="257"/>
      <c r="CU204" s="257"/>
      <c r="CV204" s="257"/>
      <c r="CW204" s="257"/>
      <c r="CX204" s="257"/>
      <c r="CY204" s="257"/>
      <c r="CZ204" s="257"/>
      <c r="DA204" s="257"/>
      <c r="DB204" s="202"/>
      <c r="DC204" s="202"/>
      <c r="DD204" s="202"/>
      <c r="DE204" s="202"/>
      <c r="DF204" s="202"/>
      <c r="DG204" s="202"/>
      <c r="DH204" s="202"/>
      <c r="DI204" s="202"/>
      <c r="DJ204" s="202"/>
      <c r="DK204" s="202"/>
      <c r="DL204" s="202"/>
      <c r="DM204" s="202"/>
      <c r="DN204" s="202"/>
      <c r="DO204" s="202"/>
      <c r="DP204" s="202"/>
      <c r="DQ204" s="202"/>
      <c r="DR204" s="202"/>
      <c r="DS204" s="202"/>
      <c r="DT204" s="196"/>
      <c r="DU204" s="196"/>
      <c r="DV204" s="196"/>
      <c r="DW204" s="196"/>
      <c r="DX204" s="196"/>
      <c r="DY204" s="196"/>
      <c r="DZ204" s="196"/>
      <c r="EA204" s="196"/>
      <c r="EB204" s="176">
        <f t="shared" si="24"/>
        <v>0</v>
      </c>
      <c r="EC204" s="176">
        <f t="shared" si="25"/>
        <v>0</v>
      </c>
      <c r="ED204" s="176">
        <f t="shared" si="26"/>
        <v>0</v>
      </c>
      <c r="EE204" s="176">
        <f t="shared" si="27"/>
        <v>0</v>
      </c>
      <c r="EG204" s="129">
        <f t="shared" si="28"/>
        <v>0</v>
      </c>
      <c r="EI204" s="176">
        <f t="shared" si="29"/>
        <v>0</v>
      </c>
      <c r="EK204" s="176">
        <f t="shared" si="30"/>
        <v>0</v>
      </c>
      <c r="EL204" s="176"/>
      <c r="EM204" s="177"/>
      <c r="EN204" s="178"/>
      <c r="EO204" s="177"/>
      <c r="EP204" s="177"/>
      <c r="EQ204" s="176">
        <f t="shared" si="31"/>
        <v>0</v>
      </c>
      <c r="ER204" s="179">
        <v>23300</v>
      </c>
      <c r="ES204" s="177">
        <v>7.5</v>
      </c>
    </row>
    <row r="205" spans="1:149" x14ac:dyDescent="0.3">
      <c r="A205" s="197">
        <v>200</v>
      </c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247"/>
      <c r="AQ205" s="247"/>
      <c r="AR205" s="247"/>
      <c r="AS205" s="247"/>
      <c r="AT205" s="247"/>
      <c r="AU205" s="247"/>
      <c r="AV205" s="247"/>
      <c r="AW205" s="247"/>
      <c r="AX205" s="247"/>
      <c r="AY205" s="247"/>
      <c r="AZ205" s="247"/>
      <c r="BA205" s="247"/>
      <c r="BB205" s="247"/>
      <c r="BC205" s="247"/>
      <c r="BD205" s="206"/>
      <c r="BE205" s="206"/>
      <c r="BF205" s="206"/>
      <c r="BG205" s="206"/>
      <c r="BH205" s="206"/>
      <c r="BI205" s="206"/>
      <c r="BJ205" s="206"/>
      <c r="BK205" s="206"/>
      <c r="BL205" s="206"/>
      <c r="BM205" s="206"/>
      <c r="BN205" s="206"/>
      <c r="BO205" s="206"/>
      <c r="BP205" s="206"/>
      <c r="BQ205" s="206"/>
      <c r="BR205" s="252"/>
      <c r="BS205" s="252"/>
      <c r="BT205" s="252"/>
      <c r="BU205" s="252"/>
      <c r="BV205" s="252"/>
      <c r="BW205" s="252"/>
      <c r="BX205" s="252"/>
      <c r="BY205" s="252"/>
      <c r="BZ205" s="252"/>
      <c r="CA205" s="252"/>
      <c r="CB205" s="252"/>
      <c r="CC205" s="252"/>
      <c r="CD205" s="252"/>
      <c r="CE205" s="252"/>
      <c r="CF205" s="252"/>
      <c r="CG205" s="252"/>
      <c r="CH205" s="252"/>
      <c r="CI205" s="252"/>
      <c r="CJ205" s="257"/>
      <c r="CK205" s="257"/>
      <c r="CL205" s="257"/>
      <c r="CM205" s="257"/>
      <c r="CN205" s="257"/>
      <c r="CO205" s="257"/>
      <c r="CP205" s="257"/>
      <c r="CQ205" s="257"/>
      <c r="CR205" s="257"/>
      <c r="CS205" s="257"/>
      <c r="CT205" s="257"/>
      <c r="CU205" s="257"/>
      <c r="CV205" s="257"/>
      <c r="CW205" s="257"/>
      <c r="CX205" s="257"/>
      <c r="CY205" s="257"/>
      <c r="CZ205" s="257"/>
      <c r="DA205" s="257"/>
      <c r="DB205" s="202"/>
      <c r="DC205" s="202"/>
      <c r="DD205" s="202"/>
      <c r="DE205" s="202"/>
      <c r="DF205" s="202"/>
      <c r="DG205" s="202"/>
      <c r="DH205" s="202"/>
      <c r="DI205" s="202"/>
      <c r="DJ205" s="202"/>
      <c r="DK205" s="202"/>
      <c r="DL205" s="202"/>
      <c r="DM205" s="202"/>
      <c r="DN205" s="202"/>
      <c r="DO205" s="202"/>
      <c r="DP205" s="202"/>
      <c r="DQ205" s="202"/>
      <c r="DR205" s="202"/>
      <c r="DS205" s="202"/>
      <c r="DT205" s="196"/>
      <c r="DU205" s="196"/>
      <c r="DV205" s="196"/>
      <c r="DW205" s="196"/>
      <c r="DX205" s="196"/>
      <c r="DY205" s="196"/>
      <c r="DZ205" s="196"/>
      <c r="EA205" s="196"/>
      <c r="EB205" s="176">
        <f t="shared" si="24"/>
        <v>0</v>
      </c>
      <c r="EC205" s="176">
        <f t="shared" si="25"/>
        <v>0</v>
      </c>
      <c r="ED205" s="176">
        <f t="shared" si="26"/>
        <v>0</v>
      </c>
      <c r="EE205" s="176">
        <f t="shared" si="27"/>
        <v>0</v>
      </c>
      <c r="EG205" s="129">
        <f t="shared" si="28"/>
        <v>0</v>
      </c>
      <c r="EI205" s="176">
        <f t="shared" si="29"/>
        <v>0</v>
      </c>
      <c r="EK205" s="176">
        <f t="shared" si="30"/>
        <v>0</v>
      </c>
      <c r="EL205" s="176"/>
      <c r="EM205" s="177"/>
      <c r="EN205" s="178"/>
      <c r="EO205" s="177"/>
      <c r="EP205" s="177"/>
      <c r="EQ205" s="176">
        <f t="shared" si="31"/>
        <v>0</v>
      </c>
      <c r="ER205" s="179">
        <v>23300</v>
      </c>
      <c r="ES205" s="177">
        <v>7.5</v>
      </c>
    </row>
    <row r="206" spans="1:149" x14ac:dyDescent="0.3">
      <c r="A206" s="197">
        <v>201</v>
      </c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247"/>
      <c r="AQ206" s="247"/>
      <c r="AR206" s="247"/>
      <c r="AS206" s="247"/>
      <c r="AT206" s="247"/>
      <c r="AU206" s="247"/>
      <c r="AV206" s="247"/>
      <c r="AW206" s="247"/>
      <c r="AX206" s="247"/>
      <c r="AY206" s="247"/>
      <c r="AZ206" s="247"/>
      <c r="BA206" s="247"/>
      <c r="BB206" s="247"/>
      <c r="BC206" s="247"/>
      <c r="BD206" s="206"/>
      <c r="BE206" s="206"/>
      <c r="BF206" s="206"/>
      <c r="BG206" s="206"/>
      <c r="BH206" s="206"/>
      <c r="BI206" s="206"/>
      <c r="BJ206" s="206"/>
      <c r="BK206" s="206"/>
      <c r="BL206" s="206"/>
      <c r="BM206" s="206"/>
      <c r="BN206" s="206"/>
      <c r="BO206" s="206"/>
      <c r="BP206" s="206"/>
      <c r="BQ206" s="206"/>
      <c r="BR206" s="252"/>
      <c r="BS206" s="252"/>
      <c r="BT206" s="252"/>
      <c r="BU206" s="252"/>
      <c r="BV206" s="252"/>
      <c r="BW206" s="252"/>
      <c r="BX206" s="252"/>
      <c r="BY206" s="252"/>
      <c r="BZ206" s="252"/>
      <c r="CA206" s="252"/>
      <c r="CB206" s="252"/>
      <c r="CC206" s="252"/>
      <c r="CD206" s="252"/>
      <c r="CE206" s="252"/>
      <c r="CF206" s="252"/>
      <c r="CG206" s="252"/>
      <c r="CH206" s="252"/>
      <c r="CI206" s="252"/>
      <c r="CJ206" s="257"/>
      <c r="CK206" s="257"/>
      <c r="CL206" s="257"/>
      <c r="CM206" s="257"/>
      <c r="CN206" s="257"/>
      <c r="CO206" s="257"/>
      <c r="CP206" s="257"/>
      <c r="CQ206" s="257"/>
      <c r="CR206" s="257"/>
      <c r="CS206" s="257"/>
      <c r="CT206" s="257"/>
      <c r="CU206" s="257"/>
      <c r="CV206" s="257"/>
      <c r="CW206" s="257"/>
      <c r="CX206" s="257"/>
      <c r="CY206" s="257"/>
      <c r="CZ206" s="257"/>
      <c r="DA206" s="257"/>
      <c r="DB206" s="202"/>
      <c r="DC206" s="202"/>
      <c r="DD206" s="202"/>
      <c r="DE206" s="202"/>
      <c r="DF206" s="202"/>
      <c r="DG206" s="202"/>
      <c r="DH206" s="202"/>
      <c r="DI206" s="202"/>
      <c r="DJ206" s="202"/>
      <c r="DK206" s="202"/>
      <c r="DL206" s="202"/>
      <c r="DM206" s="202"/>
      <c r="DN206" s="202"/>
      <c r="DO206" s="202"/>
      <c r="DP206" s="202"/>
      <c r="DQ206" s="202"/>
      <c r="DR206" s="202"/>
      <c r="DS206" s="202"/>
      <c r="DT206" s="196"/>
      <c r="DU206" s="196"/>
      <c r="DV206" s="196"/>
      <c r="DW206" s="196"/>
      <c r="DX206" s="196"/>
      <c r="DY206" s="196"/>
      <c r="DZ206" s="196"/>
      <c r="EA206" s="196"/>
      <c r="EB206" s="176">
        <f t="shared" si="24"/>
        <v>0</v>
      </c>
      <c r="EC206" s="176">
        <f t="shared" si="25"/>
        <v>0</v>
      </c>
      <c r="ED206" s="176">
        <f t="shared" si="26"/>
        <v>0</v>
      </c>
      <c r="EE206" s="176">
        <f t="shared" si="27"/>
        <v>0</v>
      </c>
      <c r="EG206" s="129">
        <f t="shared" si="28"/>
        <v>0</v>
      </c>
      <c r="EI206" s="176">
        <f t="shared" si="29"/>
        <v>0</v>
      </c>
      <c r="EK206" s="176">
        <f t="shared" si="30"/>
        <v>0</v>
      </c>
      <c r="EL206" s="176"/>
      <c r="EM206" s="177"/>
      <c r="EN206" s="178"/>
      <c r="EO206" s="177"/>
      <c r="EP206" s="177"/>
      <c r="EQ206" s="176">
        <f t="shared" si="31"/>
        <v>0</v>
      </c>
      <c r="ER206" s="179">
        <v>23300</v>
      </c>
      <c r="ES206" s="177">
        <v>7.5</v>
      </c>
    </row>
    <row r="207" spans="1:149" x14ac:dyDescent="0.3">
      <c r="A207" s="197">
        <v>202</v>
      </c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247"/>
      <c r="AQ207" s="247"/>
      <c r="AR207" s="247"/>
      <c r="AS207" s="247"/>
      <c r="AT207" s="247"/>
      <c r="AU207" s="247"/>
      <c r="AV207" s="247"/>
      <c r="AW207" s="247"/>
      <c r="AX207" s="247"/>
      <c r="AY207" s="247"/>
      <c r="AZ207" s="247"/>
      <c r="BA207" s="247"/>
      <c r="BB207" s="247"/>
      <c r="BC207" s="247"/>
      <c r="BD207" s="206"/>
      <c r="BE207" s="206"/>
      <c r="BF207" s="206"/>
      <c r="BG207" s="206"/>
      <c r="BH207" s="206"/>
      <c r="BI207" s="206"/>
      <c r="BJ207" s="206"/>
      <c r="BK207" s="206"/>
      <c r="BL207" s="206"/>
      <c r="BM207" s="206"/>
      <c r="BN207" s="206"/>
      <c r="BO207" s="206"/>
      <c r="BP207" s="206"/>
      <c r="BQ207" s="206"/>
      <c r="BR207" s="252"/>
      <c r="BS207" s="252"/>
      <c r="BT207" s="252"/>
      <c r="BU207" s="252"/>
      <c r="BV207" s="252"/>
      <c r="BW207" s="252"/>
      <c r="BX207" s="252"/>
      <c r="BY207" s="252"/>
      <c r="BZ207" s="252"/>
      <c r="CA207" s="252"/>
      <c r="CB207" s="252"/>
      <c r="CC207" s="252"/>
      <c r="CD207" s="252"/>
      <c r="CE207" s="252"/>
      <c r="CF207" s="252"/>
      <c r="CG207" s="252"/>
      <c r="CH207" s="252"/>
      <c r="CI207" s="252"/>
      <c r="CJ207" s="257"/>
      <c r="CK207" s="257"/>
      <c r="CL207" s="257"/>
      <c r="CM207" s="257"/>
      <c r="CN207" s="257"/>
      <c r="CO207" s="257"/>
      <c r="CP207" s="257"/>
      <c r="CQ207" s="257"/>
      <c r="CR207" s="257"/>
      <c r="CS207" s="257"/>
      <c r="CT207" s="257"/>
      <c r="CU207" s="257"/>
      <c r="CV207" s="257"/>
      <c r="CW207" s="257"/>
      <c r="CX207" s="257"/>
      <c r="CY207" s="257"/>
      <c r="CZ207" s="257"/>
      <c r="DA207" s="257"/>
      <c r="DB207" s="202"/>
      <c r="DC207" s="202"/>
      <c r="DD207" s="202"/>
      <c r="DE207" s="202"/>
      <c r="DF207" s="202"/>
      <c r="DG207" s="202"/>
      <c r="DH207" s="202"/>
      <c r="DI207" s="202"/>
      <c r="DJ207" s="202"/>
      <c r="DK207" s="202"/>
      <c r="DL207" s="202"/>
      <c r="DM207" s="202"/>
      <c r="DN207" s="202"/>
      <c r="DO207" s="202"/>
      <c r="DP207" s="202"/>
      <c r="DQ207" s="202"/>
      <c r="DR207" s="202"/>
      <c r="DS207" s="202"/>
      <c r="DT207" s="196"/>
      <c r="DU207" s="196"/>
      <c r="DV207" s="196"/>
      <c r="DW207" s="196"/>
      <c r="DX207" s="196"/>
      <c r="DY207" s="196"/>
      <c r="DZ207" s="196"/>
      <c r="EA207" s="196"/>
      <c r="EB207" s="176">
        <f t="shared" si="24"/>
        <v>0</v>
      </c>
      <c r="EC207" s="176">
        <f t="shared" si="25"/>
        <v>0</v>
      </c>
      <c r="ED207" s="176">
        <f t="shared" si="26"/>
        <v>0</v>
      </c>
      <c r="EE207" s="176">
        <f t="shared" si="27"/>
        <v>0</v>
      </c>
      <c r="EG207" s="129">
        <f t="shared" si="28"/>
        <v>0</v>
      </c>
      <c r="EI207" s="176">
        <f t="shared" si="29"/>
        <v>0</v>
      </c>
      <c r="EK207" s="176">
        <f t="shared" si="30"/>
        <v>0</v>
      </c>
      <c r="EL207" s="176"/>
      <c r="EM207" s="177"/>
      <c r="EN207" s="178"/>
      <c r="EO207" s="177"/>
      <c r="EP207" s="177"/>
      <c r="EQ207" s="176">
        <f t="shared" si="31"/>
        <v>0</v>
      </c>
      <c r="ER207" s="179">
        <v>23300</v>
      </c>
      <c r="ES207" s="177">
        <v>7.5</v>
      </c>
    </row>
    <row r="208" spans="1:149" x14ac:dyDescent="0.3">
      <c r="A208" s="197">
        <v>203</v>
      </c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247"/>
      <c r="AQ208" s="247"/>
      <c r="AR208" s="247"/>
      <c r="AS208" s="247"/>
      <c r="AT208" s="247"/>
      <c r="AU208" s="247"/>
      <c r="AV208" s="247"/>
      <c r="AW208" s="247"/>
      <c r="AX208" s="247"/>
      <c r="AY208" s="247"/>
      <c r="AZ208" s="247"/>
      <c r="BA208" s="247"/>
      <c r="BB208" s="247"/>
      <c r="BC208" s="247"/>
      <c r="BD208" s="206"/>
      <c r="BE208" s="206"/>
      <c r="BF208" s="206"/>
      <c r="BG208" s="206"/>
      <c r="BH208" s="206"/>
      <c r="BI208" s="206"/>
      <c r="BJ208" s="206"/>
      <c r="BK208" s="206"/>
      <c r="BL208" s="206"/>
      <c r="BM208" s="206"/>
      <c r="BN208" s="206"/>
      <c r="BO208" s="206"/>
      <c r="BP208" s="206"/>
      <c r="BQ208" s="206"/>
      <c r="BR208" s="252"/>
      <c r="BS208" s="252"/>
      <c r="BT208" s="252"/>
      <c r="BU208" s="252"/>
      <c r="BV208" s="252"/>
      <c r="BW208" s="252"/>
      <c r="BX208" s="252"/>
      <c r="BY208" s="252"/>
      <c r="BZ208" s="252"/>
      <c r="CA208" s="252"/>
      <c r="CB208" s="252"/>
      <c r="CC208" s="252"/>
      <c r="CD208" s="252"/>
      <c r="CE208" s="252"/>
      <c r="CF208" s="252"/>
      <c r="CG208" s="252"/>
      <c r="CH208" s="252"/>
      <c r="CI208" s="252"/>
      <c r="CJ208" s="257"/>
      <c r="CK208" s="257"/>
      <c r="CL208" s="257"/>
      <c r="CM208" s="257"/>
      <c r="CN208" s="257"/>
      <c r="CO208" s="257"/>
      <c r="CP208" s="257"/>
      <c r="CQ208" s="257"/>
      <c r="CR208" s="257"/>
      <c r="CS208" s="257"/>
      <c r="CT208" s="257"/>
      <c r="CU208" s="257"/>
      <c r="CV208" s="257"/>
      <c r="CW208" s="257"/>
      <c r="CX208" s="257"/>
      <c r="CY208" s="257"/>
      <c r="CZ208" s="257"/>
      <c r="DA208" s="257"/>
      <c r="DB208" s="202"/>
      <c r="DC208" s="202"/>
      <c r="DD208" s="202"/>
      <c r="DE208" s="202"/>
      <c r="DF208" s="202"/>
      <c r="DG208" s="202"/>
      <c r="DH208" s="202"/>
      <c r="DI208" s="202"/>
      <c r="DJ208" s="202"/>
      <c r="DK208" s="202"/>
      <c r="DL208" s="202"/>
      <c r="DM208" s="202"/>
      <c r="DN208" s="202"/>
      <c r="DO208" s="202"/>
      <c r="DP208" s="202"/>
      <c r="DQ208" s="202"/>
      <c r="DR208" s="202"/>
      <c r="DS208" s="202"/>
      <c r="DT208" s="196"/>
      <c r="DU208" s="196"/>
      <c r="DV208" s="196"/>
      <c r="DW208" s="196"/>
      <c r="DX208" s="196"/>
      <c r="DY208" s="196"/>
      <c r="DZ208" s="196"/>
      <c r="EA208" s="196"/>
      <c r="EB208" s="176">
        <f t="shared" si="24"/>
        <v>0</v>
      </c>
      <c r="EC208" s="176">
        <f t="shared" si="25"/>
        <v>0</v>
      </c>
      <c r="ED208" s="176">
        <f t="shared" si="26"/>
        <v>0</v>
      </c>
      <c r="EE208" s="176">
        <f t="shared" si="27"/>
        <v>0</v>
      </c>
      <c r="EG208" s="129">
        <f t="shared" si="28"/>
        <v>0</v>
      </c>
      <c r="EI208" s="176">
        <f t="shared" si="29"/>
        <v>0</v>
      </c>
      <c r="EK208" s="176">
        <f t="shared" si="30"/>
        <v>0</v>
      </c>
      <c r="EL208" s="176"/>
      <c r="EM208" s="177"/>
      <c r="EN208" s="178"/>
      <c r="EO208" s="177"/>
      <c r="EP208" s="177"/>
      <c r="EQ208" s="176">
        <f t="shared" si="31"/>
        <v>0</v>
      </c>
      <c r="ER208" s="179">
        <v>23300</v>
      </c>
      <c r="ES208" s="177">
        <v>7.5</v>
      </c>
    </row>
    <row r="209" spans="1:149" x14ac:dyDescent="0.3">
      <c r="A209" s="197">
        <v>204</v>
      </c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247"/>
      <c r="AQ209" s="247"/>
      <c r="AR209" s="247"/>
      <c r="AS209" s="247"/>
      <c r="AT209" s="247"/>
      <c r="AU209" s="247"/>
      <c r="AV209" s="247"/>
      <c r="AW209" s="247"/>
      <c r="AX209" s="247"/>
      <c r="AY209" s="247"/>
      <c r="AZ209" s="247"/>
      <c r="BA209" s="247"/>
      <c r="BB209" s="247"/>
      <c r="BC209" s="247"/>
      <c r="BD209" s="206"/>
      <c r="BE209" s="206"/>
      <c r="BF209" s="206"/>
      <c r="BG209" s="206"/>
      <c r="BH209" s="206"/>
      <c r="BI209" s="206"/>
      <c r="BJ209" s="206"/>
      <c r="BK209" s="206"/>
      <c r="BL209" s="206"/>
      <c r="BM209" s="206"/>
      <c r="BN209" s="206"/>
      <c r="BO209" s="206"/>
      <c r="BP209" s="206"/>
      <c r="BQ209" s="206"/>
      <c r="BR209" s="252"/>
      <c r="BS209" s="252"/>
      <c r="BT209" s="252"/>
      <c r="BU209" s="252"/>
      <c r="BV209" s="252"/>
      <c r="BW209" s="252"/>
      <c r="BX209" s="252"/>
      <c r="BY209" s="252"/>
      <c r="BZ209" s="252"/>
      <c r="CA209" s="252"/>
      <c r="CB209" s="252"/>
      <c r="CC209" s="252"/>
      <c r="CD209" s="252"/>
      <c r="CE209" s="252"/>
      <c r="CF209" s="252"/>
      <c r="CG209" s="252"/>
      <c r="CH209" s="252"/>
      <c r="CI209" s="252"/>
      <c r="CJ209" s="257"/>
      <c r="CK209" s="257"/>
      <c r="CL209" s="257"/>
      <c r="CM209" s="257"/>
      <c r="CN209" s="257"/>
      <c r="CO209" s="257"/>
      <c r="CP209" s="257"/>
      <c r="CQ209" s="257"/>
      <c r="CR209" s="257"/>
      <c r="CS209" s="257"/>
      <c r="CT209" s="257"/>
      <c r="CU209" s="257"/>
      <c r="CV209" s="257"/>
      <c r="CW209" s="257"/>
      <c r="CX209" s="257"/>
      <c r="CY209" s="257"/>
      <c r="CZ209" s="257"/>
      <c r="DA209" s="257"/>
      <c r="DB209" s="202"/>
      <c r="DC209" s="202"/>
      <c r="DD209" s="202"/>
      <c r="DE209" s="202"/>
      <c r="DF209" s="202"/>
      <c r="DG209" s="202"/>
      <c r="DH209" s="202"/>
      <c r="DI209" s="202"/>
      <c r="DJ209" s="202"/>
      <c r="DK209" s="202"/>
      <c r="DL209" s="202"/>
      <c r="DM209" s="202"/>
      <c r="DN209" s="202"/>
      <c r="DO209" s="202"/>
      <c r="DP209" s="202"/>
      <c r="DQ209" s="202"/>
      <c r="DR209" s="202"/>
      <c r="DS209" s="202"/>
      <c r="DT209" s="196"/>
      <c r="DU209" s="196"/>
      <c r="DV209" s="196"/>
      <c r="DW209" s="196"/>
      <c r="DX209" s="196"/>
      <c r="DY209" s="196"/>
      <c r="DZ209" s="196"/>
      <c r="EA209" s="196"/>
      <c r="EB209" s="176">
        <f t="shared" si="24"/>
        <v>0</v>
      </c>
      <c r="EC209" s="176">
        <f t="shared" si="25"/>
        <v>0</v>
      </c>
      <c r="ED209" s="176">
        <f t="shared" si="26"/>
        <v>0</v>
      </c>
      <c r="EE209" s="176">
        <f t="shared" si="27"/>
        <v>0</v>
      </c>
      <c r="EG209" s="129">
        <f t="shared" si="28"/>
        <v>0</v>
      </c>
      <c r="EI209" s="176">
        <f t="shared" si="29"/>
        <v>0</v>
      </c>
      <c r="EK209" s="176">
        <f t="shared" si="30"/>
        <v>0</v>
      </c>
      <c r="EL209" s="176"/>
      <c r="EM209" s="177"/>
      <c r="EN209" s="178"/>
      <c r="EO209" s="177"/>
      <c r="EP209" s="177"/>
      <c r="EQ209" s="176">
        <f t="shared" si="31"/>
        <v>0</v>
      </c>
      <c r="ER209" s="179">
        <v>23300</v>
      </c>
      <c r="ES209" s="177">
        <v>7.5</v>
      </c>
    </row>
    <row r="210" spans="1:149" x14ac:dyDescent="0.3">
      <c r="A210" s="197">
        <v>205</v>
      </c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247"/>
      <c r="AQ210" s="247"/>
      <c r="AR210" s="247"/>
      <c r="AS210" s="247"/>
      <c r="AT210" s="247"/>
      <c r="AU210" s="247"/>
      <c r="AV210" s="247"/>
      <c r="AW210" s="247"/>
      <c r="AX210" s="247"/>
      <c r="AY210" s="247"/>
      <c r="AZ210" s="247"/>
      <c r="BA210" s="247"/>
      <c r="BB210" s="247"/>
      <c r="BC210" s="247"/>
      <c r="BD210" s="206"/>
      <c r="BE210" s="206"/>
      <c r="BF210" s="206"/>
      <c r="BG210" s="206"/>
      <c r="BH210" s="206"/>
      <c r="BI210" s="206"/>
      <c r="BJ210" s="206"/>
      <c r="BK210" s="206"/>
      <c r="BL210" s="206"/>
      <c r="BM210" s="206"/>
      <c r="BN210" s="206"/>
      <c r="BO210" s="206"/>
      <c r="BP210" s="206"/>
      <c r="BQ210" s="206"/>
      <c r="BR210" s="252"/>
      <c r="BS210" s="252"/>
      <c r="BT210" s="252"/>
      <c r="BU210" s="252"/>
      <c r="BV210" s="252"/>
      <c r="BW210" s="252"/>
      <c r="BX210" s="252"/>
      <c r="BY210" s="252"/>
      <c r="BZ210" s="252"/>
      <c r="CA210" s="252"/>
      <c r="CB210" s="252"/>
      <c r="CC210" s="252"/>
      <c r="CD210" s="252"/>
      <c r="CE210" s="252"/>
      <c r="CF210" s="252"/>
      <c r="CG210" s="252"/>
      <c r="CH210" s="252"/>
      <c r="CI210" s="252"/>
      <c r="CJ210" s="257"/>
      <c r="CK210" s="257"/>
      <c r="CL210" s="257"/>
      <c r="CM210" s="257"/>
      <c r="CN210" s="257"/>
      <c r="CO210" s="257"/>
      <c r="CP210" s="257"/>
      <c r="CQ210" s="257"/>
      <c r="CR210" s="257"/>
      <c r="CS210" s="257"/>
      <c r="CT210" s="257"/>
      <c r="CU210" s="257"/>
      <c r="CV210" s="257"/>
      <c r="CW210" s="257"/>
      <c r="CX210" s="257"/>
      <c r="CY210" s="257"/>
      <c r="CZ210" s="257"/>
      <c r="DA210" s="257"/>
      <c r="DB210" s="202"/>
      <c r="DC210" s="202"/>
      <c r="DD210" s="202"/>
      <c r="DE210" s="202"/>
      <c r="DF210" s="202"/>
      <c r="DG210" s="202"/>
      <c r="DH210" s="202"/>
      <c r="DI210" s="202"/>
      <c r="DJ210" s="202"/>
      <c r="DK210" s="202"/>
      <c r="DL210" s="202"/>
      <c r="DM210" s="202"/>
      <c r="DN210" s="202"/>
      <c r="DO210" s="202"/>
      <c r="DP210" s="202"/>
      <c r="DQ210" s="202"/>
      <c r="DR210" s="202"/>
      <c r="DS210" s="202"/>
      <c r="DT210" s="196"/>
      <c r="DU210" s="196"/>
      <c r="DV210" s="196"/>
      <c r="DW210" s="196"/>
      <c r="DX210" s="196"/>
      <c r="DY210" s="196"/>
      <c r="DZ210" s="196"/>
      <c r="EA210" s="196"/>
      <c r="EB210" s="176">
        <f t="shared" si="24"/>
        <v>0</v>
      </c>
      <c r="EC210" s="176">
        <f t="shared" si="25"/>
        <v>0</v>
      </c>
      <c r="ED210" s="176">
        <f t="shared" si="26"/>
        <v>0</v>
      </c>
      <c r="EE210" s="176">
        <f t="shared" si="27"/>
        <v>0</v>
      </c>
      <c r="EG210" s="129">
        <f t="shared" si="28"/>
        <v>0</v>
      </c>
      <c r="EI210" s="176">
        <f t="shared" si="29"/>
        <v>0</v>
      </c>
      <c r="EK210" s="176">
        <f t="shared" si="30"/>
        <v>0</v>
      </c>
      <c r="EL210" s="176"/>
      <c r="EM210" s="177"/>
      <c r="EN210" s="178"/>
      <c r="EO210" s="177"/>
      <c r="EP210" s="177"/>
      <c r="EQ210" s="176">
        <f t="shared" si="31"/>
        <v>0</v>
      </c>
      <c r="ER210" s="179">
        <v>23300</v>
      </c>
      <c r="ES210" s="177">
        <v>7.5</v>
      </c>
    </row>
    <row r="211" spans="1:149" x14ac:dyDescent="0.3">
      <c r="A211" s="197">
        <v>206</v>
      </c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247"/>
      <c r="AQ211" s="247"/>
      <c r="AR211" s="247"/>
      <c r="AS211" s="247"/>
      <c r="AT211" s="247"/>
      <c r="AU211" s="247"/>
      <c r="AV211" s="247"/>
      <c r="AW211" s="247"/>
      <c r="AX211" s="247"/>
      <c r="AY211" s="247"/>
      <c r="AZ211" s="247"/>
      <c r="BA211" s="247"/>
      <c r="BB211" s="247"/>
      <c r="BC211" s="247"/>
      <c r="BD211" s="206"/>
      <c r="BE211" s="206"/>
      <c r="BF211" s="206"/>
      <c r="BG211" s="206"/>
      <c r="BH211" s="206"/>
      <c r="BI211" s="206"/>
      <c r="BJ211" s="206"/>
      <c r="BK211" s="206"/>
      <c r="BL211" s="206"/>
      <c r="BM211" s="206"/>
      <c r="BN211" s="206"/>
      <c r="BO211" s="206"/>
      <c r="BP211" s="206"/>
      <c r="BQ211" s="206"/>
      <c r="BR211" s="252"/>
      <c r="BS211" s="252"/>
      <c r="BT211" s="252"/>
      <c r="BU211" s="252"/>
      <c r="BV211" s="252"/>
      <c r="BW211" s="252"/>
      <c r="BX211" s="252"/>
      <c r="BY211" s="252"/>
      <c r="BZ211" s="252"/>
      <c r="CA211" s="252"/>
      <c r="CB211" s="252"/>
      <c r="CC211" s="252"/>
      <c r="CD211" s="252"/>
      <c r="CE211" s="252"/>
      <c r="CF211" s="252"/>
      <c r="CG211" s="252"/>
      <c r="CH211" s="252"/>
      <c r="CI211" s="252"/>
      <c r="CJ211" s="257"/>
      <c r="CK211" s="257"/>
      <c r="CL211" s="257"/>
      <c r="CM211" s="257"/>
      <c r="CN211" s="257"/>
      <c r="CO211" s="257"/>
      <c r="CP211" s="257"/>
      <c r="CQ211" s="257"/>
      <c r="CR211" s="257"/>
      <c r="CS211" s="257"/>
      <c r="CT211" s="257"/>
      <c r="CU211" s="257"/>
      <c r="CV211" s="257"/>
      <c r="CW211" s="257"/>
      <c r="CX211" s="257"/>
      <c r="CY211" s="257"/>
      <c r="CZ211" s="257"/>
      <c r="DA211" s="257"/>
      <c r="DB211" s="202"/>
      <c r="DC211" s="202"/>
      <c r="DD211" s="202"/>
      <c r="DE211" s="202"/>
      <c r="DF211" s="202"/>
      <c r="DG211" s="202"/>
      <c r="DH211" s="202"/>
      <c r="DI211" s="202"/>
      <c r="DJ211" s="202"/>
      <c r="DK211" s="202"/>
      <c r="DL211" s="202"/>
      <c r="DM211" s="202"/>
      <c r="DN211" s="202"/>
      <c r="DO211" s="202"/>
      <c r="DP211" s="202"/>
      <c r="DQ211" s="202"/>
      <c r="DR211" s="202"/>
      <c r="DS211" s="202"/>
      <c r="DT211" s="196"/>
      <c r="DU211" s="196"/>
      <c r="DV211" s="196"/>
      <c r="DW211" s="196"/>
      <c r="DX211" s="196"/>
      <c r="DY211" s="196"/>
      <c r="DZ211" s="196"/>
      <c r="EA211" s="196"/>
      <c r="EB211" s="176">
        <f t="shared" si="24"/>
        <v>0</v>
      </c>
      <c r="EC211" s="176">
        <f t="shared" si="25"/>
        <v>0</v>
      </c>
      <c r="ED211" s="176">
        <f t="shared" si="26"/>
        <v>0</v>
      </c>
      <c r="EE211" s="176">
        <f t="shared" si="27"/>
        <v>0</v>
      </c>
      <c r="EG211" s="129">
        <f t="shared" si="28"/>
        <v>0</v>
      </c>
      <c r="EI211" s="176">
        <f t="shared" si="29"/>
        <v>0</v>
      </c>
      <c r="EK211" s="176">
        <f t="shared" si="30"/>
        <v>0</v>
      </c>
      <c r="EL211" s="176"/>
      <c r="EM211" s="177"/>
      <c r="EN211" s="178"/>
      <c r="EO211" s="177"/>
      <c r="EP211" s="177"/>
      <c r="EQ211" s="176">
        <f t="shared" si="31"/>
        <v>0</v>
      </c>
      <c r="ER211" s="179">
        <v>23300</v>
      </c>
      <c r="ES211" s="177">
        <v>7.5</v>
      </c>
    </row>
    <row r="212" spans="1:149" x14ac:dyDescent="0.3">
      <c r="A212" s="197">
        <v>207</v>
      </c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247"/>
      <c r="AQ212" s="247"/>
      <c r="AR212" s="247"/>
      <c r="AS212" s="247"/>
      <c r="AT212" s="247"/>
      <c r="AU212" s="247"/>
      <c r="AV212" s="247"/>
      <c r="AW212" s="247"/>
      <c r="AX212" s="247"/>
      <c r="AY212" s="247"/>
      <c r="AZ212" s="247"/>
      <c r="BA212" s="247"/>
      <c r="BB212" s="247"/>
      <c r="BC212" s="247"/>
      <c r="BD212" s="206"/>
      <c r="BE212" s="206"/>
      <c r="BF212" s="206"/>
      <c r="BG212" s="206"/>
      <c r="BH212" s="206"/>
      <c r="BI212" s="206"/>
      <c r="BJ212" s="206"/>
      <c r="BK212" s="206"/>
      <c r="BL212" s="206"/>
      <c r="BM212" s="206"/>
      <c r="BN212" s="206"/>
      <c r="BO212" s="206"/>
      <c r="BP212" s="206"/>
      <c r="BQ212" s="206"/>
      <c r="BR212" s="252"/>
      <c r="BS212" s="252"/>
      <c r="BT212" s="252"/>
      <c r="BU212" s="252"/>
      <c r="BV212" s="252"/>
      <c r="BW212" s="252"/>
      <c r="BX212" s="252"/>
      <c r="BY212" s="252"/>
      <c r="BZ212" s="252"/>
      <c r="CA212" s="252"/>
      <c r="CB212" s="252"/>
      <c r="CC212" s="252"/>
      <c r="CD212" s="252"/>
      <c r="CE212" s="252"/>
      <c r="CF212" s="252"/>
      <c r="CG212" s="252"/>
      <c r="CH212" s="252"/>
      <c r="CI212" s="252"/>
      <c r="CJ212" s="257"/>
      <c r="CK212" s="257"/>
      <c r="CL212" s="257"/>
      <c r="CM212" s="257"/>
      <c r="CN212" s="257"/>
      <c r="CO212" s="257"/>
      <c r="CP212" s="257"/>
      <c r="CQ212" s="257"/>
      <c r="CR212" s="257"/>
      <c r="CS212" s="257"/>
      <c r="CT212" s="257"/>
      <c r="CU212" s="257"/>
      <c r="CV212" s="257"/>
      <c r="CW212" s="257"/>
      <c r="CX212" s="257"/>
      <c r="CY212" s="257"/>
      <c r="CZ212" s="257"/>
      <c r="DA212" s="257"/>
      <c r="DB212" s="202"/>
      <c r="DC212" s="202"/>
      <c r="DD212" s="202"/>
      <c r="DE212" s="202"/>
      <c r="DF212" s="202"/>
      <c r="DG212" s="202"/>
      <c r="DH212" s="202"/>
      <c r="DI212" s="202"/>
      <c r="DJ212" s="202"/>
      <c r="DK212" s="202"/>
      <c r="DL212" s="202"/>
      <c r="DM212" s="202"/>
      <c r="DN212" s="202"/>
      <c r="DO212" s="202"/>
      <c r="DP212" s="202"/>
      <c r="DQ212" s="202"/>
      <c r="DR212" s="202"/>
      <c r="DS212" s="202"/>
      <c r="DT212" s="196"/>
      <c r="DU212" s="196"/>
      <c r="DV212" s="196"/>
      <c r="DW212" s="196"/>
      <c r="DX212" s="196"/>
      <c r="DY212" s="196"/>
      <c r="DZ212" s="196"/>
      <c r="EA212" s="196"/>
      <c r="EB212" s="176">
        <f t="shared" si="24"/>
        <v>0</v>
      </c>
      <c r="EC212" s="176">
        <f t="shared" si="25"/>
        <v>0</v>
      </c>
      <c r="ED212" s="176">
        <f t="shared" si="26"/>
        <v>0</v>
      </c>
      <c r="EE212" s="176">
        <f t="shared" si="27"/>
        <v>0</v>
      </c>
      <c r="EG212" s="129">
        <f t="shared" si="28"/>
        <v>0</v>
      </c>
      <c r="EI212" s="176">
        <f t="shared" si="29"/>
        <v>0</v>
      </c>
      <c r="EK212" s="176">
        <f t="shared" si="30"/>
        <v>0</v>
      </c>
      <c r="EL212" s="176"/>
      <c r="EM212" s="177"/>
      <c r="EN212" s="178"/>
      <c r="EO212" s="177"/>
      <c r="EP212" s="177"/>
      <c r="EQ212" s="176">
        <f t="shared" si="31"/>
        <v>0</v>
      </c>
      <c r="ER212" s="179">
        <v>23300</v>
      </c>
      <c r="ES212" s="177">
        <v>7.5</v>
      </c>
    </row>
    <row r="213" spans="1:149" x14ac:dyDescent="0.3">
      <c r="A213" s="197">
        <v>208</v>
      </c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247"/>
      <c r="AQ213" s="247"/>
      <c r="AR213" s="247"/>
      <c r="AS213" s="247"/>
      <c r="AT213" s="247"/>
      <c r="AU213" s="247"/>
      <c r="AV213" s="247"/>
      <c r="AW213" s="247"/>
      <c r="AX213" s="247"/>
      <c r="AY213" s="247"/>
      <c r="AZ213" s="247"/>
      <c r="BA213" s="247"/>
      <c r="BB213" s="247"/>
      <c r="BC213" s="247"/>
      <c r="BD213" s="206"/>
      <c r="BE213" s="206"/>
      <c r="BF213" s="206"/>
      <c r="BG213" s="206"/>
      <c r="BH213" s="206"/>
      <c r="BI213" s="206"/>
      <c r="BJ213" s="206"/>
      <c r="BK213" s="206"/>
      <c r="BL213" s="206"/>
      <c r="BM213" s="206"/>
      <c r="BN213" s="206"/>
      <c r="BO213" s="206"/>
      <c r="BP213" s="206"/>
      <c r="BQ213" s="206"/>
      <c r="BR213" s="252"/>
      <c r="BS213" s="252"/>
      <c r="BT213" s="252"/>
      <c r="BU213" s="252"/>
      <c r="BV213" s="252"/>
      <c r="BW213" s="252"/>
      <c r="BX213" s="252"/>
      <c r="BY213" s="252"/>
      <c r="BZ213" s="252"/>
      <c r="CA213" s="252"/>
      <c r="CB213" s="252"/>
      <c r="CC213" s="252"/>
      <c r="CD213" s="252"/>
      <c r="CE213" s="252"/>
      <c r="CF213" s="252"/>
      <c r="CG213" s="252"/>
      <c r="CH213" s="252"/>
      <c r="CI213" s="252"/>
      <c r="CJ213" s="257"/>
      <c r="CK213" s="257"/>
      <c r="CL213" s="257"/>
      <c r="CM213" s="257"/>
      <c r="CN213" s="257"/>
      <c r="CO213" s="257"/>
      <c r="CP213" s="257"/>
      <c r="CQ213" s="257"/>
      <c r="CR213" s="257"/>
      <c r="CS213" s="257"/>
      <c r="CT213" s="257"/>
      <c r="CU213" s="257"/>
      <c r="CV213" s="257"/>
      <c r="CW213" s="257"/>
      <c r="CX213" s="257"/>
      <c r="CY213" s="257"/>
      <c r="CZ213" s="257"/>
      <c r="DA213" s="257"/>
      <c r="DB213" s="202"/>
      <c r="DC213" s="202"/>
      <c r="DD213" s="202"/>
      <c r="DE213" s="202"/>
      <c r="DF213" s="202"/>
      <c r="DG213" s="202"/>
      <c r="DH213" s="202"/>
      <c r="DI213" s="202"/>
      <c r="DJ213" s="202"/>
      <c r="DK213" s="202"/>
      <c r="DL213" s="202"/>
      <c r="DM213" s="202"/>
      <c r="DN213" s="202"/>
      <c r="DO213" s="202"/>
      <c r="DP213" s="202"/>
      <c r="DQ213" s="202"/>
      <c r="DR213" s="202"/>
      <c r="DS213" s="202"/>
      <c r="DT213" s="196"/>
      <c r="DU213" s="196"/>
      <c r="DV213" s="196"/>
      <c r="DW213" s="196"/>
      <c r="DX213" s="196"/>
      <c r="DY213" s="196"/>
      <c r="DZ213" s="196"/>
      <c r="EA213" s="196"/>
      <c r="EB213" s="176">
        <f t="shared" si="24"/>
        <v>0</v>
      </c>
      <c r="EC213" s="176">
        <f t="shared" si="25"/>
        <v>0</v>
      </c>
      <c r="ED213" s="176">
        <f t="shared" si="26"/>
        <v>0</v>
      </c>
      <c r="EE213" s="176">
        <f t="shared" si="27"/>
        <v>0</v>
      </c>
      <c r="EG213" s="129">
        <f t="shared" si="28"/>
        <v>0</v>
      </c>
      <c r="EI213" s="176">
        <f t="shared" si="29"/>
        <v>0</v>
      </c>
      <c r="EK213" s="176">
        <f t="shared" si="30"/>
        <v>0</v>
      </c>
      <c r="EL213" s="176"/>
      <c r="EM213" s="177"/>
      <c r="EN213" s="178"/>
      <c r="EO213" s="177"/>
      <c r="EP213" s="177"/>
      <c r="EQ213" s="176">
        <f t="shared" si="31"/>
        <v>0</v>
      </c>
      <c r="ER213" s="179">
        <v>23300</v>
      </c>
      <c r="ES213" s="177">
        <v>7.5</v>
      </c>
    </row>
    <row r="214" spans="1:149" x14ac:dyDescent="0.3">
      <c r="A214" s="197">
        <v>209</v>
      </c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247"/>
      <c r="AQ214" s="247"/>
      <c r="AR214" s="247"/>
      <c r="AS214" s="247"/>
      <c r="AT214" s="247"/>
      <c r="AU214" s="247"/>
      <c r="AV214" s="247"/>
      <c r="AW214" s="247"/>
      <c r="AX214" s="247"/>
      <c r="AY214" s="247"/>
      <c r="AZ214" s="247"/>
      <c r="BA214" s="247"/>
      <c r="BB214" s="247"/>
      <c r="BC214" s="247"/>
      <c r="BD214" s="206"/>
      <c r="BE214" s="206"/>
      <c r="BF214" s="206"/>
      <c r="BG214" s="206"/>
      <c r="BH214" s="206"/>
      <c r="BI214" s="206"/>
      <c r="BJ214" s="206"/>
      <c r="BK214" s="206"/>
      <c r="BL214" s="206"/>
      <c r="BM214" s="206"/>
      <c r="BN214" s="206"/>
      <c r="BO214" s="206"/>
      <c r="BP214" s="206"/>
      <c r="BQ214" s="206"/>
      <c r="BR214" s="252"/>
      <c r="BS214" s="252"/>
      <c r="BT214" s="252"/>
      <c r="BU214" s="252"/>
      <c r="BV214" s="252"/>
      <c r="BW214" s="252"/>
      <c r="BX214" s="252"/>
      <c r="BY214" s="252"/>
      <c r="BZ214" s="252"/>
      <c r="CA214" s="252"/>
      <c r="CB214" s="252"/>
      <c r="CC214" s="252"/>
      <c r="CD214" s="252"/>
      <c r="CE214" s="252"/>
      <c r="CF214" s="252"/>
      <c r="CG214" s="252"/>
      <c r="CH214" s="252"/>
      <c r="CI214" s="252"/>
      <c r="CJ214" s="257"/>
      <c r="CK214" s="257"/>
      <c r="CL214" s="257"/>
      <c r="CM214" s="257"/>
      <c r="CN214" s="257"/>
      <c r="CO214" s="257"/>
      <c r="CP214" s="257"/>
      <c r="CQ214" s="257"/>
      <c r="CR214" s="257"/>
      <c r="CS214" s="257"/>
      <c r="CT214" s="257"/>
      <c r="CU214" s="257"/>
      <c r="CV214" s="257"/>
      <c r="CW214" s="257"/>
      <c r="CX214" s="257"/>
      <c r="CY214" s="257"/>
      <c r="CZ214" s="257"/>
      <c r="DA214" s="257"/>
      <c r="DB214" s="202"/>
      <c r="DC214" s="202"/>
      <c r="DD214" s="202"/>
      <c r="DE214" s="202"/>
      <c r="DF214" s="202"/>
      <c r="DG214" s="202"/>
      <c r="DH214" s="202"/>
      <c r="DI214" s="202"/>
      <c r="DJ214" s="202"/>
      <c r="DK214" s="202"/>
      <c r="DL214" s="202"/>
      <c r="DM214" s="202"/>
      <c r="DN214" s="202"/>
      <c r="DO214" s="202"/>
      <c r="DP214" s="202"/>
      <c r="DQ214" s="202"/>
      <c r="DR214" s="202"/>
      <c r="DS214" s="202"/>
      <c r="DT214" s="196"/>
      <c r="DU214" s="196"/>
      <c r="DV214" s="196"/>
      <c r="DW214" s="196"/>
      <c r="DX214" s="196"/>
      <c r="DY214" s="196"/>
      <c r="DZ214" s="196"/>
      <c r="EA214" s="196"/>
      <c r="EB214" s="176">
        <f t="shared" si="24"/>
        <v>0</v>
      </c>
      <c r="EC214" s="176">
        <f t="shared" si="25"/>
        <v>0</v>
      </c>
      <c r="ED214" s="176">
        <f t="shared" si="26"/>
        <v>0</v>
      </c>
      <c r="EE214" s="176">
        <f t="shared" si="27"/>
        <v>0</v>
      </c>
      <c r="EG214" s="129">
        <f t="shared" si="28"/>
        <v>0</v>
      </c>
      <c r="EI214" s="176">
        <f t="shared" si="29"/>
        <v>0</v>
      </c>
      <c r="EK214" s="176">
        <f t="shared" si="30"/>
        <v>0</v>
      </c>
      <c r="EL214" s="176"/>
      <c r="EM214" s="177"/>
      <c r="EN214" s="178"/>
      <c r="EO214" s="177"/>
      <c r="EP214" s="177"/>
      <c r="EQ214" s="176">
        <f t="shared" si="31"/>
        <v>0</v>
      </c>
      <c r="ER214" s="179">
        <v>23300</v>
      </c>
      <c r="ES214" s="177">
        <v>7.5</v>
      </c>
    </row>
    <row r="215" spans="1:149" x14ac:dyDescent="0.3">
      <c r="A215" s="197">
        <v>210</v>
      </c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247"/>
      <c r="AQ215" s="247"/>
      <c r="AR215" s="247"/>
      <c r="AS215" s="247"/>
      <c r="AT215" s="247"/>
      <c r="AU215" s="247"/>
      <c r="AV215" s="247"/>
      <c r="AW215" s="247"/>
      <c r="AX215" s="247"/>
      <c r="AY215" s="247"/>
      <c r="AZ215" s="247"/>
      <c r="BA215" s="247"/>
      <c r="BB215" s="247"/>
      <c r="BC215" s="247"/>
      <c r="BD215" s="206"/>
      <c r="BE215" s="206"/>
      <c r="BF215" s="206"/>
      <c r="BG215" s="206"/>
      <c r="BH215" s="206"/>
      <c r="BI215" s="206"/>
      <c r="BJ215" s="206"/>
      <c r="BK215" s="206"/>
      <c r="BL215" s="206"/>
      <c r="BM215" s="206"/>
      <c r="BN215" s="206"/>
      <c r="BO215" s="206"/>
      <c r="BP215" s="206"/>
      <c r="BQ215" s="206"/>
      <c r="BR215" s="252"/>
      <c r="BS215" s="252"/>
      <c r="BT215" s="252"/>
      <c r="BU215" s="252"/>
      <c r="BV215" s="252"/>
      <c r="BW215" s="252"/>
      <c r="BX215" s="252"/>
      <c r="BY215" s="252"/>
      <c r="BZ215" s="252"/>
      <c r="CA215" s="252"/>
      <c r="CB215" s="252"/>
      <c r="CC215" s="252"/>
      <c r="CD215" s="252"/>
      <c r="CE215" s="252"/>
      <c r="CF215" s="252"/>
      <c r="CG215" s="252"/>
      <c r="CH215" s="252"/>
      <c r="CI215" s="252"/>
      <c r="CJ215" s="257"/>
      <c r="CK215" s="257"/>
      <c r="CL215" s="257"/>
      <c r="CM215" s="257"/>
      <c r="CN215" s="257"/>
      <c r="CO215" s="257"/>
      <c r="CP215" s="257"/>
      <c r="CQ215" s="257"/>
      <c r="CR215" s="257"/>
      <c r="CS215" s="257"/>
      <c r="CT215" s="257"/>
      <c r="CU215" s="257"/>
      <c r="CV215" s="257"/>
      <c r="CW215" s="257"/>
      <c r="CX215" s="257"/>
      <c r="CY215" s="257"/>
      <c r="CZ215" s="257"/>
      <c r="DA215" s="257"/>
      <c r="DB215" s="202"/>
      <c r="DC215" s="202"/>
      <c r="DD215" s="202"/>
      <c r="DE215" s="202"/>
      <c r="DF215" s="202"/>
      <c r="DG215" s="202"/>
      <c r="DH215" s="202"/>
      <c r="DI215" s="202"/>
      <c r="DJ215" s="202"/>
      <c r="DK215" s="202"/>
      <c r="DL215" s="202"/>
      <c r="DM215" s="202"/>
      <c r="DN215" s="202"/>
      <c r="DO215" s="202"/>
      <c r="DP215" s="202"/>
      <c r="DQ215" s="202"/>
      <c r="DR215" s="202"/>
      <c r="DS215" s="202"/>
      <c r="DT215" s="196"/>
      <c r="DU215" s="196"/>
      <c r="DV215" s="196"/>
      <c r="DW215" s="196"/>
      <c r="DX215" s="196"/>
      <c r="DY215" s="196"/>
      <c r="DZ215" s="196"/>
      <c r="EA215" s="196"/>
      <c r="EB215" s="176">
        <f t="shared" si="24"/>
        <v>0</v>
      </c>
      <c r="EC215" s="176">
        <f t="shared" si="25"/>
        <v>0</v>
      </c>
      <c r="ED215" s="176">
        <f t="shared" si="26"/>
        <v>0</v>
      </c>
      <c r="EE215" s="176">
        <f t="shared" si="27"/>
        <v>0</v>
      </c>
      <c r="EG215" s="129">
        <f t="shared" si="28"/>
        <v>0</v>
      </c>
      <c r="EI215" s="176">
        <f t="shared" si="29"/>
        <v>0</v>
      </c>
      <c r="EK215" s="176">
        <f t="shared" si="30"/>
        <v>0</v>
      </c>
      <c r="EL215" s="176"/>
      <c r="EM215" s="177"/>
      <c r="EN215" s="178"/>
      <c r="EO215" s="177"/>
      <c r="EP215" s="177"/>
      <c r="EQ215" s="176">
        <f t="shared" si="31"/>
        <v>0</v>
      </c>
      <c r="ER215" s="179">
        <v>23300</v>
      </c>
      <c r="ES215" s="177">
        <v>7.5</v>
      </c>
    </row>
    <row r="216" spans="1:149" x14ac:dyDescent="0.3">
      <c r="A216" s="197">
        <v>211</v>
      </c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247"/>
      <c r="AQ216" s="247"/>
      <c r="AR216" s="247"/>
      <c r="AS216" s="247"/>
      <c r="AT216" s="247"/>
      <c r="AU216" s="247"/>
      <c r="AV216" s="247"/>
      <c r="AW216" s="247"/>
      <c r="AX216" s="247"/>
      <c r="AY216" s="247"/>
      <c r="AZ216" s="247"/>
      <c r="BA216" s="247"/>
      <c r="BB216" s="247"/>
      <c r="BC216" s="247"/>
      <c r="BD216" s="206"/>
      <c r="BE216" s="206"/>
      <c r="BF216" s="206"/>
      <c r="BG216" s="206"/>
      <c r="BH216" s="206"/>
      <c r="BI216" s="206"/>
      <c r="BJ216" s="206"/>
      <c r="BK216" s="206"/>
      <c r="BL216" s="206"/>
      <c r="BM216" s="206"/>
      <c r="BN216" s="206"/>
      <c r="BO216" s="206"/>
      <c r="BP216" s="206"/>
      <c r="BQ216" s="206"/>
      <c r="BR216" s="252"/>
      <c r="BS216" s="252"/>
      <c r="BT216" s="252"/>
      <c r="BU216" s="252"/>
      <c r="BV216" s="252"/>
      <c r="BW216" s="252"/>
      <c r="BX216" s="252"/>
      <c r="BY216" s="252"/>
      <c r="BZ216" s="252"/>
      <c r="CA216" s="252"/>
      <c r="CB216" s="252"/>
      <c r="CC216" s="252"/>
      <c r="CD216" s="252"/>
      <c r="CE216" s="252"/>
      <c r="CF216" s="252"/>
      <c r="CG216" s="252"/>
      <c r="CH216" s="252"/>
      <c r="CI216" s="252"/>
      <c r="CJ216" s="257"/>
      <c r="CK216" s="257"/>
      <c r="CL216" s="257"/>
      <c r="CM216" s="257"/>
      <c r="CN216" s="257"/>
      <c r="CO216" s="257"/>
      <c r="CP216" s="257"/>
      <c r="CQ216" s="257"/>
      <c r="CR216" s="257"/>
      <c r="CS216" s="257"/>
      <c r="CT216" s="257"/>
      <c r="CU216" s="257"/>
      <c r="CV216" s="257"/>
      <c r="CW216" s="257"/>
      <c r="CX216" s="257"/>
      <c r="CY216" s="257"/>
      <c r="CZ216" s="257"/>
      <c r="DA216" s="257"/>
      <c r="DB216" s="202"/>
      <c r="DC216" s="202"/>
      <c r="DD216" s="202"/>
      <c r="DE216" s="202"/>
      <c r="DF216" s="202"/>
      <c r="DG216" s="202"/>
      <c r="DH216" s="202"/>
      <c r="DI216" s="202"/>
      <c r="DJ216" s="202"/>
      <c r="DK216" s="202"/>
      <c r="DL216" s="202"/>
      <c r="DM216" s="202"/>
      <c r="DN216" s="202"/>
      <c r="DO216" s="202"/>
      <c r="DP216" s="202"/>
      <c r="DQ216" s="202"/>
      <c r="DR216" s="202"/>
      <c r="DS216" s="202"/>
      <c r="DT216" s="196"/>
      <c r="DU216" s="196"/>
      <c r="DV216" s="196"/>
      <c r="DW216" s="196"/>
      <c r="DX216" s="196"/>
      <c r="DY216" s="196"/>
      <c r="DZ216" s="196"/>
      <c r="EA216" s="196"/>
      <c r="EB216" s="176">
        <f t="shared" si="24"/>
        <v>0</v>
      </c>
      <c r="EC216" s="176">
        <f t="shared" si="25"/>
        <v>0</v>
      </c>
      <c r="ED216" s="176">
        <f t="shared" si="26"/>
        <v>0</v>
      </c>
      <c r="EE216" s="176">
        <f t="shared" si="27"/>
        <v>0</v>
      </c>
      <c r="EG216" s="129">
        <f t="shared" si="28"/>
        <v>0</v>
      </c>
      <c r="EI216" s="176">
        <f t="shared" si="29"/>
        <v>0</v>
      </c>
      <c r="EK216" s="176">
        <f t="shared" si="30"/>
        <v>0</v>
      </c>
      <c r="EL216" s="176"/>
      <c r="EM216" s="177"/>
      <c r="EN216" s="178"/>
      <c r="EO216" s="177"/>
      <c r="EP216" s="177"/>
      <c r="EQ216" s="176">
        <f t="shared" si="31"/>
        <v>0</v>
      </c>
      <c r="ER216" s="179">
        <v>23300</v>
      </c>
      <c r="ES216" s="177">
        <v>7.5</v>
      </c>
    </row>
    <row r="217" spans="1:149" x14ac:dyDescent="0.3">
      <c r="A217" s="197">
        <v>212</v>
      </c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247"/>
      <c r="AQ217" s="247"/>
      <c r="AR217" s="247"/>
      <c r="AS217" s="247"/>
      <c r="AT217" s="247"/>
      <c r="AU217" s="247"/>
      <c r="AV217" s="247"/>
      <c r="AW217" s="247"/>
      <c r="AX217" s="247"/>
      <c r="AY217" s="247"/>
      <c r="AZ217" s="247"/>
      <c r="BA217" s="247"/>
      <c r="BB217" s="247"/>
      <c r="BC217" s="247"/>
      <c r="BD217" s="206"/>
      <c r="BE217" s="206"/>
      <c r="BF217" s="206"/>
      <c r="BG217" s="206"/>
      <c r="BH217" s="206"/>
      <c r="BI217" s="206"/>
      <c r="BJ217" s="206"/>
      <c r="BK217" s="206"/>
      <c r="BL217" s="206"/>
      <c r="BM217" s="206"/>
      <c r="BN217" s="206"/>
      <c r="BO217" s="206"/>
      <c r="BP217" s="206"/>
      <c r="BQ217" s="206"/>
      <c r="BR217" s="252"/>
      <c r="BS217" s="252"/>
      <c r="BT217" s="252"/>
      <c r="BU217" s="252"/>
      <c r="BV217" s="252"/>
      <c r="BW217" s="252"/>
      <c r="BX217" s="252"/>
      <c r="BY217" s="252"/>
      <c r="BZ217" s="252"/>
      <c r="CA217" s="252"/>
      <c r="CB217" s="252"/>
      <c r="CC217" s="252"/>
      <c r="CD217" s="252"/>
      <c r="CE217" s="252"/>
      <c r="CF217" s="252"/>
      <c r="CG217" s="252"/>
      <c r="CH217" s="252"/>
      <c r="CI217" s="252"/>
      <c r="CJ217" s="257"/>
      <c r="CK217" s="257"/>
      <c r="CL217" s="257"/>
      <c r="CM217" s="257"/>
      <c r="CN217" s="257"/>
      <c r="CO217" s="257"/>
      <c r="CP217" s="257"/>
      <c r="CQ217" s="257"/>
      <c r="CR217" s="257"/>
      <c r="CS217" s="257"/>
      <c r="CT217" s="257"/>
      <c r="CU217" s="257"/>
      <c r="CV217" s="257"/>
      <c r="CW217" s="257"/>
      <c r="CX217" s="257"/>
      <c r="CY217" s="257"/>
      <c r="CZ217" s="257"/>
      <c r="DA217" s="257"/>
      <c r="DB217" s="202"/>
      <c r="DC217" s="202"/>
      <c r="DD217" s="202"/>
      <c r="DE217" s="202"/>
      <c r="DF217" s="202"/>
      <c r="DG217" s="202"/>
      <c r="DH217" s="202"/>
      <c r="DI217" s="202"/>
      <c r="DJ217" s="202"/>
      <c r="DK217" s="202"/>
      <c r="DL217" s="202"/>
      <c r="DM217" s="202"/>
      <c r="DN217" s="202"/>
      <c r="DO217" s="202"/>
      <c r="DP217" s="202"/>
      <c r="DQ217" s="202"/>
      <c r="DR217" s="202"/>
      <c r="DS217" s="202"/>
      <c r="DT217" s="196"/>
      <c r="DU217" s="196"/>
      <c r="DV217" s="196"/>
      <c r="DW217" s="196"/>
      <c r="DX217" s="196"/>
      <c r="DY217" s="196"/>
      <c r="DZ217" s="196"/>
      <c r="EA217" s="196"/>
      <c r="EB217" s="176">
        <f t="shared" si="24"/>
        <v>0</v>
      </c>
      <c r="EC217" s="176">
        <f t="shared" si="25"/>
        <v>0</v>
      </c>
      <c r="ED217" s="176">
        <f t="shared" si="26"/>
        <v>0</v>
      </c>
      <c r="EE217" s="176">
        <f t="shared" si="27"/>
        <v>0</v>
      </c>
      <c r="EG217" s="129">
        <f t="shared" si="28"/>
        <v>0</v>
      </c>
      <c r="EI217" s="176">
        <f t="shared" si="29"/>
        <v>0</v>
      </c>
      <c r="EK217" s="176">
        <f t="shared" si="30"/>
        <v>0</v>
      </c>
      <c r="EL217" s="176"/>
      <c r="EM217" s="177"/>
      <c r="EN217" s="178"/>
      <c r="EO217" s="177"/>
      <c r="EP217" s="177"/>
      <c r="EQ217" s="176">
        <f t="shared" si="31"/>
        <v>0</v>
      </c>
      <c r="ER217" s="179">
        <v>23300</v>
      </c>
      <c r="ES217" s="177">
        <v>7.5</v>
      </c>
    </row>
    <row r="218" spans="1:149" x14ac:dyDescent="0.3">
      <c r="A218" s="197">
        <v>213</v>
      </c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247"/>
      <c r="AQ218" s="247"/>
      <c r="AR218" s="247"/>
      <c r="AS218" s="247"/>
      <c r="AT218" s="247"/>
      <c r="AU218" s="247"/>
      <c r="AV218" s="247"/>
      <c r="AW218" s="247"/>
      <c r="AX218" s="247"/>
      <c r="AY218" s="247"/>
      <c r="AZ218" s="247"/>
      <c r="BA218" s="247"/>
      <c r="BB218" s="247"/>
      <c r="BC218" s="247"/>
      <c r="BD218" s="206"/>
      <c r="BE218" s="206"/>
      <c r="BF218" s="206"/>
      <c r="BG218" s="206"/>
      <c r="BH218" s="206"/>
      <c r="BI218" s="206"/>
      <c r="BJ218" s="206"/>
      <c r="BK218" s="206"/>
      <c r="BL218" s="206"/>
      <c r="BM218" s="206"/>
      <c r="BN218" s="206"/>
      <c r="BO218" s="206"/>
      <c r="BP218" s="206"/>
      <c r="BQ218" s="206"/>
      <c r="BR218" s="252"/>
      <c r="BS218" s="252"/>
      <c r="BT218" s="252"/>
      <c r="BU218" s="252"/>
      <c r="BV218" s="252"/>
      <c r="BW218" s="252"/>
      <c r="BX218" s="252"/>
      <c r="BY218" s="252"/>
      <c r="BZ218" s="252"/>
      <c r="CA218" s="252"/>
      <c r="CB218" s="252"/>
      <c r="CC218" s="252"/>
      <c r="CD218" s="252"/>
      <c r="CE218" s="252"/>
      <c r="CF218" s="252"/>
      <c r="CG218" s="252"/>
      <c r="CH218" s="252"/>
      <c r="CI218" s="252"/>
      <c r="CJ218" s="257"/>
      <c r="CK218" s="257"/>
      <c r="CL218" s="257"/>
      <c r="CM218" s="257"/>
      <c r="CN218" s="257"/>
      <c r="CO218" s="257"/>
      <c r="CP218" s="257"/>
      <c r="CQ218" s="257"/>
      <c r="CR218" s="257"/>
      <c r="CS218" s="257"/>
      <c r="CT218" s="257"/>
      <c r="CU218" s="257"/>
      <c r="CV218" s="257"/>
      <c r="CW218" s="257"/>
      <c r="CX218" s="257"/>
      <c r="CY218" s="257"/>
      <c r="CZ218" s="257"/>
      <c r="DA218" s="257"/>
      <c r="DB218" s="202"/>
      <c r="DC218" s="202"/>
      <c r="DD218" s="202"/>
      <c r="DE218" s="202"/>
      <c r="DF218" s="202"/>
      <c r="DG218" s="202"/>
      <c r="DH218" s="202"/>
      <c r="DI218" s="202"/>
      <c r="DJ218" s="202"/>
      <c r="DK218" s="202"/>
      <c r="DL218" s="202"/>
      <c r="DM218" s="202"/>
      <c r="DN218" s="202"/>
      <c r="DO218" s="202"/>
      <c r="DP218" s="202"/>
      <c r="DQ218" s="202"/>
      <c r="DR218" s="202"/>
      <c r="DS218" s="202"/>
      <c r="DT218" s="196"/>
      <c r="DU218" s="196"/>
      <c r="DV218" s="196"/>
      <c r="DW218" s="196"/>
      <c r="DX218" s="196"/>
      <c r="DY218" s="196"/>
      <c r="DZ218" s="196"/>
      <c r="EA218" s="196"/>
      <c r="EB218" s="176">
        <f t="shared" si="24"/>
        <v>0</v>
      </c>
      <c r="EC218" s="176">
        <f t="shared" si="25"/>
        <v>0</v>
      </c>
      <c r="ED218" s="176">
        <f t="shared" si="26"/>
        <v>0</v>
      </c>
      <c r="EE218" s="176">
        <f t="shared" si="27"/>
        <v>0</v>
      </c>
      <c r="EG218" s="129">
        <f t="shared" si="28"/>
        <v>0</v>
      </c>
      <c r="EI218" s="176">
        <f t="shared" si="29"/>
        <v>0</v>
      </c>
      <c r="EK218" s="176">
        <f t="shared" si="30"/>
        <v>0</v>
      </c>
      <c r="EL218" s="176"/>
      <c r="EM218" s="177"/>
      <c r="EN218" s="178"/>
      <c r="EO218" s="177"/>
      <c r="EP218" s="177"/>
      <c r="EQ218" s="176">
        <f t="shared" si="31"/>
        <v>0</v>
      </c>
      <c r="ER218" s="179">
        <v>23300</v>
      </c>
      <c r="ES218" s="177">
        <v>7.5</v>
      </c>
    </row>
    <row r="219" spans="1:149" x14ac:dyDescent="0.3">
      <c r="A219" s="197">
        <v>214</v>
      </c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247"/>
      <c r="AQ219" s="247"/>
      <c r="AR219" s="247"/>
      <c r="AS219" s="247"/>
      <c r="AT219" s="247"/>
      <c r="AU219" s="247"/>
      <c r="AV219" s="247"/>
      <c r="AW219" s="247"/>
      <c r="AX219" s="247"/>
      <c r="AY219" s="247"/>
      <c r="AZ219" s="247"/>
      <c r="BA219" s="247"/>
      <c r="BB219" s="247"/>
      <c r="BC219" s="247"/>
      <c r="BD219" s="206"/>
      <c r="BE219" s="206"/>
      <c r="BF219" s="206"/>
      <c r="BG219" s="206"/>
      <c r="BH219" s="206"/>
      <c r="BI219" s="206"/>
      <c r="BJ219" s="206"/>
      <c r="BK219" s="206"/>
      <c r="BL219" s="206"/>
      <c r="BM219" s="206"/>
      <c r="BN219" s="206"/>
      <c r="BO219" s="206"/>
      <c r="BP219" s="206"/>
      <c r="BQ219" s="206"/>
      <c r="BR219" s="252"/>
      <c r="BS219" s="252"/>
      <c r="BT219" s="252"/>
      <c r="BU219" s="252"/>
      <c r="BV219" s="252"/>
      <c r="BW219" s="252"/>
      <c r="BX219" s="252"/>
      <c r="BY219" s="252"/>
      <c r="BZ219" s="252"/>
      <c r="CA219" s="252"/>
      <c r="CB219" s="252"/>
      <c r="CC219" s="252"/>
      <c r="CD219" s="252"/>
      <c r="CE219" s="252"/>
      <c r="CF219" s="252"/>
      <c r="CG219" s="252"/>
      <c r="CH219" s="252"/>
      <c r="CI219" s="252"/>
      <c r="CJ219" s="257"/>
      <c r="CK219" s="257"/>
      <c r="CL219" s="257"/>
      <c r="CM219" s="257"/>
      <c r="CN219" s="257"/>
      <c r="CO219" s="257"/>
      <c r="CP219" s="257"/>
      <c r="CQ219" s="257"/>
      <c r="CR219" s="257"/>
      <c r="CS219" s="257"/>
      <c r="CT219" s="257"/>
      <c r="CU219" s="257"/>
      <c r="CV219" s="257"/>
      <c r="CW219" s="257"/>
      <c r="CX219" s="257"/>
      <c r="CY219" s="257"/>
      <c r="CZ219" s="257"/>
      <c r="DA219" s="257"/>
      <c r="DB219" s="202"/>
      <c r="DC219" s="202"/>
      <c r="DD219" s="202"/>
      <c r="DE219" s="202"/>
      <c r="DF219" s="202"/>
      <c r="DG219" s="202"/>
      <c r="DH219" s="202"/>
      <c r="DI219" s="202"/>
      <c r="DJ219" s="202"/>
      <c r="DK219" s="202"/>
      <c r="DL219" s="202"/>
      <c r="DM219" s="202"/>
      <c r="DN219" s="202"/>
      <c r="DO219" s="202"/>
      <c r="DP219" s="202"/>
      <c r="DQ219" s="202"/>
      <c r="DR219" s="202"/>
      <c r="DS219" s="202"/>
      <c r="DT219" s="196"/>
      <c r="DU219" s="196"/>
      <c r="DV219" s="196"/>
      <c r="DW219" s="196"/>
      <c r="DX219" s="196"/>
      <c r="DY219" s="196"/>
      <c r="DZ219" s="196"/>
      <c r="EA219" s="196"/>
      <c r="EB219" s="176">
        <f t="shared" si="24"/>
        <v>0</v>
      </c>
      <c r="EC219" s="176">
        <f t="shared" si="25"/>
        <v>0</v>
      </c>
      <c r="ED219" s="176">
        <f t="shared" si="26"/>
        <v>0</v>
      </c>
      <c r="EE219" s="176">
        <f t="shared" si="27"/>
        <v>0</v>
      </c>
      <c r="EG219" s="129">
        <f t="shared" si="28"/>
        <v>0</v>
      </c>
      <c r="EI219" s="176">
        <f t="shared" si="29"/>
        <v>0</v>
      </c>
      <c r="EK219" s="176">
        <f t="shared" si="30"/>
        <v>0</v>
      </c>
      <c r="EL219" s="176"/>
      <c r="EM219" s="177"/>
      <c r="EN219" s="178"/>
      <c r="EO219" s="177"/>
      <c r="EP219" s="177"/>
      <c r="EQ219" s="176">
        <f t="shared" si="31"/>
        <v>0</v>
      </c>
      <c r="ER219" s="179">
        <v>23300</v>
      </c>
      <c r="ES219" s="177">
        <v>7.5</v>
      </c>
    </row>
    <row r="220" spans="1:149" x14ac:dyDescent="0.3">
      <c r="A220" s="197">
        <v>215</v>
      </c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247"/>
      <c r="AQ220" s="247"/>
      <c r="AR220" s="247"/>
      <c r="AS220" s="247"/>
      <c r="AT220" s="247"/>
      <c r="AU220" s="247"/>
      <c r="AV220" s="247"/>
      <c r="AW220" s="247"/>
      <c r="AX220" s="247"/>
      <c r="AY220" s="247"/>
      <c r="AZ220" s="247"/>
      <c r="BA220" s="247"/>
      <c r="BB220" s="247"/>
      <c r="BC220" s="247"/>
      <c r="BD220" s="206"/>
      <c r="BE220" s="206"/>
      <c r="BF220" s="206"/>
      <c r="BG220" s="206"/>
      <c r="BH220" s="206"/>
      <c r="BI220" s="206"/>
      <c r="BJ220" s="206"/>
      <c r="BK220" s="206"/>
      <c r="BL220" s="206"/>
      <c r="BM220" s="206"/>
      <c r="BN220" s="206"/>
      <c r="BO220" s="206"/>
      <c r="BP220" s="206"/>
      <c r="BQ220" s="206"/>
      <c r="BR220" s="252"/>
      <c r="BS220" s="252"/>
      <c r="BT220" s="252"/>
      <c r="BU220" s="252"/>
      <c r="BV220" s="252"/>
      <c r="BW220" s="252"/>
      <c r="BX220" s="252"/>
      <c r="BY220" s="252"/>
      <c r="BZ220" s="252"/>
      <c r="CA220" s="252"/>
      <c r="CB220" s="252"/>
      <c r="CC220" s="252"/>
      <c r="CD220" s="252"/>
      <c r="CE220" s="252"/>
      <c r="CF220" s="252"/>
      <c r="CG220" s="252"/>
      <c r="CH220" s="252"/>
      <c r="CI220" s="252"/>
      <c r="CJ220" s="257"/>
      <c r="CK220" s="257"/>
      <c r="CL220" s="257"/>
      <c r="CM220" s="257"/>
      <c r="CN220" s="257"/>
      <c r="CO220" s="257"/>
      <c r="CP220" s="257"/>
      <c r="CQ220" s="257"/>
      <c r="CR220" s="257"/>
      <c r="CS220" s="257"/>
      <c r="CT220" s="257"/>
      <c r="CU220" s="257"/>
      <c r="CV220" s="257"/>
      <c r="CW220" s="257"/>
      <c r="CX220" s="257"/>
      <c r="CY220" s="257"/>
      <c r="CZ220" s="257"/>
      <c r="DA220" s="257"/>
      <c r="DB220" s="202"/>
      <c r="DC220" s="202"/>
      <c r="DD220" s="202"/>
      <c r="DE220" s="202"/>
      <c r="DF220" s="202"/>
      <c r="DG220" s="202"/>
      <c r="DH220" s="202"/>
      <c r="DI220" s="202"/>
      <c r="DJ220" s="202"/>
      <c r="DK220" s="202"/>
      <c r="DL220" s="202"/>
      <c r="DM220" s="202"/>
      <c r="DN220" s="202"/>
      <c r="DO220" s="202"/>
      <c r="DP220" s="202"/>
      <c r="DQ220" s="202"/>
      <c r="DR220" s="202"/>
      <c r="DS220" s="202"/>
      <c r="DT220" s="196"/>
      <c r="DU220" s="196"/>
      <c r="DV220" s="196"/>
      <c r="DW220" s="196"/>
      <c r="DX220" s="196"/>
      <c r="DY220" s="196"/>
      <c r="DZ220" s="196"/>
      <c r="EA220" s="196"/>
      <c r="EB220" s="176">
        <f t="shared" si="24"/>
        <v>0</v>
      </c>
      <c r="EC220" s="176">
        <f t="shared" si="25"/>
        <v>0</v>
      </c>
      <c r="ED220" s="176">
        <f t="shared" si="26"/>
        <v>0</v>
      </c>
      <c r="EE220" s="176">
        <f t="shared" si="27"/>
        <v>0</v>
      </c>
      <c r="EG220" s="129">
        <f t="shared" si="28"/>
        <v>0</v>
      </c>
      <c r="EI220" s="176">
        <f t="shared" si="29"/>
        <v>0</v>
      </c>
      <c r="EK220" s="176">
        <f t="shared" si="30"/>
        <v>0</v>
      </c>
      <c r="EL220" s="176"/>
      <c r="EM220" s="177"/>
      <c r="EN220" s="178"/>
      <c r="EO220" s="177"/>
      <c r="EP220" s="177"/>
      <c r="EQ220" s="176">
        <f t="shared" si="31"/>
        <v>0</v>
      </c>
      <c r="ER220" s="179">
        <v>23300</v>
      </c>
      <c r="ES220" s="177">
        <v>7.5</v>
      </c>
    </row>
    <row r="221" spans="1:149" x14ac:dyDescent="0.3">
      <c r="A221" s="197">
        <v>216</v>
      </c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247"/>
      <c r="AQ221" s="247"/>
      <c r="AR221" s="247"/>
      <c r="AS221" s="247"/>
      <c r="AT221" s="247"/>
      <c r="AU221" s="247"/>
      <c r="AV221" s="247"/>
      <c r="AW221" s="247"/>
      <c r="AX221" s="247"/>
      <c r="AY221" s="247"/>
      <c r="AZ221" s="247"/>
      <c r="BA221" s="247"/>
      <c r="BB221" s="247"/>
      <c r="BC221" s="247"/>
      <c r="BD221" s="206"/>
      <c r="BE221" s="206"/>
      <c r="BF221" s="206"/>
      <c r="BG221" s="206"/>
      <c r="BH221" s="206"/>
      <c r="BI221" s="206"/>
      <c r="BJ221" s="206"/>
      <c r="BK221" s="206"/>
      <c r="BL221" s="206"/>
      <c r="BM221" s="206"/>
      <c r="BN221" s="206"/>
      <c r="BO221" s="206"/>
      <c r="BP221" s="206"/>
      <c r="BQ221" s="206"/>
      <c r="BR221" s="252"/>
      <c r="BS221" s="252"/>
      <c r="BT221" s="252"/>
      <c r="BU221" s="252"/>
      <c r="BV221" s="252"/>
      <c r="BW221" s="252"/>
      <c r="BX221" s="252"/>
      <c r="BY221" s="252"/>
      <c r="BZ221" s="252"/>
      <c r="CA221" s="252"/>
      <c r="CB221" s="252"/>
      <c r="CC221" s="252"/>
      <c r="CD221" s="252"/>
      <c r="CE221" s="252"/>
      <c r="CF221" s="252"/>
      <c r="CG221" s="252"/>
      <c r="CH221" s="252"/>
      <c r="CI221" s="252"/>
      <c r="CJ221" s="257"/>
      <c r="CK221" s="257"/>
      <c r="CL221" s="257"/>
      <c r="CM221" s="257"/>
      <c r="CN221" s="257"/>
      <c r="CO221" s="257"/>
      <c r="CP221" s="257"/>
      <c r="CQ221" s="257"/>
      <c r="CR221" s="257"/>
      <c r="CS221" s="257"/>
      <c r="CT221" s="257"/>
      <c r="CU221" s="257"/>
      <c r="CV221" s="257"/>
      <c r="CW221" s="257"/>
      <c r="CX221" s="257"/>
      <c r="CY221" s="257"/>
      <c r="CZ221" s="257"/>
      <c r="DA221" s="257"/>
      <c r="DB221" s="202"/>
      <c r="DC221" s="202"/>
      <c r="DD221" s="202"/>
      <c r="DE221" s="202"/>
      <c r="DF221" s="202"/>
      <c r="DG221" s="202"/>
      <c r="DH221" s="202"/>
      <c r="DI221" s="202"/>
      <c r="DJ221" s="202"/>
      <c r="DK221" s="202"/>
      <c r="DL221" s="202"/>
      <c r="DM221" s="202"/>
      <c r="DN221" s="202"/>
      <c r="DO221" s="202"/>
      <c r="DP221" s="202"/>
      <c r="DQ221" s="202"/>
      <c r="DR221" s="202"/>
      <c r="DS221" s="202"/>
      <c r="DT221" s="196"/>
      <c r="DU221" s="196"/>
      <c r="DV221" s="196"/>
      <c r="DW221" s="196"/>
      <c r="DX221" s="196"/>
      <c r="DY221" s="196"/>
      <c r="DZ221" s="196"/>
      <c r="EA221" s="196"/>
      <c r="EB221" s="176">
        <f t="shared" si="24"/>
        <v>0</v>
      </c>
      <c r="EC221" s="176">
        <f t="shared" si="25"/>
        <v>0</v>
      </c>
      <c r="ED221" s="176">
        <f t="shared" si="26"/>
        <v>0</v>
      </c>
      <c r="EE221" s="176">
        <f t="shared" si="27"/>
        <v>0</v>
      </c>
      <c r="EG221" s="129">
        <f t="shared" si="28"/>
        <v>0</v>
      </c>
      <c r="EI221" s="176">
        <f t="shared" si="29"/>
        <v>0</v>
      </c>
      <c r="EK221" s="176">
        <f t="shared" si="30"/>
        <v>0</v>
      </c>
      <c r="EL221" s="176"/>
      <c r="EM221" s="177"/>
      <c r="EN221" s="178"/>
      <c r="EO221" s="177"/>
      <c r="EP221" s="177"/>
      <c r="EQ221" s="176">
        <f t="shared" si="31"/>
        <v>0</v>
      </c>
      <c r="ER221" s="179">
        <v>23300</v>
      </c>
      <c r="ES221" s="177">
        <v>7.5</v>
      </c>
    </row>
    <row r="222" spans="1:149" x14ac:dyDescent="0.3">
      <c r="A222" s="197">
        <v>217</v>
      </c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247"/>
      <c r="AQ222" s="247"/>
      <c r="AR222" s="247"/>
      <c r="AS222" s="247"/>
      <c r="AT222" s="247"/>
      <c r="AU222" s="247"/>
      <c r="AV222" s="247"/>
      <c r="AW222" s="247"/>
      <c r="AX222" s="247"/>
      <c r="AY222" s="247"/>
      <c r="AZ222" s="247"/>
      <c r="BA222" s="247"/>
      <c r="BB222" s="247"/>
      <c r="BC222" s="247"/>
      <c r="BD222" s="206"/>
      <c r="BE222" s="206"/>
      <c r="BF222" s="206"/>
      <c r="BG222" s="206"/>
      <c r="BH222" s="206"/>
      <c r="BI222" s="206"/>
      <c r="BJ222" s="206"/>
      <c r="BK222" s="206"/>
      <c r="BL222" s="206"/>
      <c r="BM222" s="206"/>
      <c r="BN222" s="206"/>
      <c r="BO222" s="206"/>
      <c r="BP222" s="206"/>
      <c r="BQ222" s="206"/>
      <c r="BR222" s="252"/>
      <c r="BS222" s="252"/>
      <c r="BT222" s="252"/>
      <c r="BU222" s="252"/>
      <c r="BV222" s="252"/>
      <c r="BW222" s="252"/>
      <c r="BX222" s="252"/>
      <c r="BY222" s="252"/>
      <c r="BZ222" s="252"/>
      <c r="CA222" s="252"/>
      <c r="CB222" s="252"/>
      <c r="CC222" s="252"/>
      <c r="CD222" s="252"/>
      <c r="CE222" s="252"/>
      <c r="CF222" s="252"/>
      <c r="CG222" s="252"/>
      <c r="CH222" s="252"/>
      <c r="CI222" s="252"/>
      <c r="CJ222" s="257"/>
      <c r="CK222" s="257"/>
      <c r="CL222" s="257"/>
      <c r="CM222" s="257"/>
      <c r="CN222" s="257"/>
      <c r="CO222" s="257"/>
      <c r="CP222" s="257"/>
      <c r="CQ222" s="257"/>
      <c r="CR222" s="257"/>
      <c r="CS222" s="257"/>
      <c r="CT222" s="257"/>
      <c r="CU222" s="257"/>
      <c r="CV222" s="257"/>
      <c r="CW222" s="257"/>
      <c r="CX222" s="257"/>
      <c r="CY222" s="257"/>
      <c r="CZ222" s="257"/>
      <c r="DA222" s="257"/>
      <c r="DB222" s="202"/>
      <c r="DC222" s="202"/>
      <c r="DD222" s="202"/>
      <c r="DE222" s="202"/>
      <c r="DF222" s="202"/>
      <c r="DG222" s="202"/>
      <c r="DH222" s="202"/>
      <c r="DI222" s="202"/>
      <c r="DJ222" s="202"/>
      <c r="DK222" s="202"/>
      <c r="DL222" s="202"/>
      <c r="DM222" s="202"/>
      <c r="DN222" s="202"/>
      <c r="DO222" s="202"/>
      <c r="DP222" s="202"/>
      <c r="DQ222" s="202"/>
      <c r="DR222" s="202"/>
      <c r="DS222" s="202"/>
      <c r="DT222" s="196"/>
      <c r="DU222" s="196"/>
      <c r="DV222" s="196"/>
      <c r="DW222" s="196"/>
      <c r="DX222" s="196"/>
      <c r="DY222" s="196"/>
      <c r="DZ222" s="196"/>
      <c r="EA222" s="196"/>
      <c r="EB222" s="176">
        <f t="shared" si="24"/>
        <v>0</v>
      </c>
      <c r="EC222" s="176">
        <f t="shared" si="25"/>
        <v>0</v>
      </c>
      <c r="ED222" s="176">
        <f t="shared" si="26"/>
        <v>0</v>
      </c>
      <c r="EE222" s="176">
        <f t="shared" si="27"/>
        <v>0</v>
      </c>
      <c r="EG222" s="129">
        <f t="shared" si="28"/>
        <v>0</v>
      </c>
      <c r="EI222" s="176">
        <f t="shared" si="29"/>
        <v>0</v>
      </c>
      <c r="EK222" s="176">
        <f t="shared" si="30"/>
        <v>0</v>
      </c>
      <c r="EL222" s="176"/>
      <c r="EM222" s="177"/>
      <c r="EN222" s="178"/>
      <c r="EO222" s="177"/>
      <c r="EP222" s="177"/>
      <c r="EQ222" s="176">
        <f t="shared" si="31"/>
        <v>0</v>
      </c>
      <c r="ER222" s="179">
        <v>23300</v>
      </c>
      <c r="ES222" s="177">
        <v>7.5</v>
      </c>
    </row>
    <row r="223" spans="1:149" x14ac:dyDescent="0.3">
      <c r="A223" s="197">
        <v>218</v>
      </c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247"/>
      <c r="AQ223" s="247"/>
      <c r="AR223" s="247"/>
      <c r="AS223" s="247"/>
      <c r="AT223" s="247"/>
      <c r="AU223" s="247"/>
      <c r="AV223" s="247"/>
      <c r="AW223" s="247"/>
      <c r="AX223" s="247"/>
      <c r="AY223" s="247"/>
      <c r="AZ223" s="247"/>
      <c r="BA223" s="247"/>
      <c r="BB223" s="247"/>
      <c r="BC223" s="247"/>
      <c r="BD223" s="206"/>
      <c r="BE223" s="206"/>
      <c r="BF223" s="206"/>
      <c r="BG223" s="206"/>
      <c r="BH223" s="206"/>
      <c r="BI223" s="206"/>
      <c r="BJ223" s="206"/>
      <c r="BK223" s="206"/>
      <c r="BL223" s="206"/>
      <c r="BM223" s="206"/>
      <c r="BN223" s="206"/>
      <c r="BO223" s="206"/>
      <c r="BP223" s="206"/>
      <c r="BQ223" s="206"/>
      <c r="BR223" s="252"/>
      <c r="BS223" s="252"/>
      <c r="BT223" s="252"/>
      <c r="BU223" s="252"/>
      <c r="BV223" s="252"/>
      <c r="BW223" s="252"/>
      <c r="BX223" s="252"/>
      <c r="BY223" s="252"/>
      <c r="BZ223" s="252"/>
      <c r="CA223" s="252"/>
      <c r="CB223" s="252"/>
      <c r="CC223" s="252"/>
      <c r="CD223" s="252"/>
      <c r="CE223" s="252"/>
      <c r="CF223" s="252"/>
      <c r="CG223" s="252"/>
      <c r="CH223" s="252"/>
      <c r="CI223" s="252"/>
      <c r="CJ223" s="257"/>
      <c r="CK223" s="257"/>
      <c r="CL223" s="257"/>
      <c r="CM223" s="257"/>
      <c r="CN223" s="257"/>
      <c r="CO223" s="257"/>
      <c r="CP223" s="257"/>
      <c r="CQ223" s="257"/>
      <c r="CR223" s="257"/>
      <c r="CS223" s="257"/>
      <c r="CT223" s="257"/>
      <c r="CU223" s="257"/>
      <c r="CV223" s="257"/>
      <c r="CW223" s="257"/>
      <c r="CX223" s="257"/>
      <c r="CY223" s="257"/>
      <c r="CZ223" s="257"/>
      <c r="DA223" s="257"/>
      <c r="DB223" s="202"/>
      <c r="DC223" s="202"/>
      <c r="DD223" s="202"/>
      <c r="DE223" s="202"/>
      <c r="DF223" s="202"/>
      <c r="DG223" s="202"/>
      <c r="DH223" s="202"/>
      <c r="DI223" s="202"/>
      <c r="DJ223" s="202"/>
      <c r="DK223" s="202"/>
      <c r="DL223" s="202"/>
      <c r="DM223" s="202"/>
      <c r="DN223" s="202"/>
      <c r="DO223" s="202"/>
      <c r="DP223" s="202"/>
      <c r="DQ223" s="202"/>
      <c r="DR223" s="202"/>
      <c r="DS223" s="202"/>
      <c r="DT223" s="196"/>
      <c r="DU223" s="196"/>
      <c r="DV223" s="196"/>
      <c r="DW223" s="196"/>
      <c r="DX223" s="196"/>
      <c r="DY223" s="196"/>
      <c r="DZ223" s="196"/>
      <c r="EA223" s="196"/>
      <c r="EB223" s="176">
        <f t="shared" si="24"/>
        <v>0</v>
      </c>
      <c r="EC223" s="176">
        <f t="shared" si="25"/>
        <v>0</v>
      </c>
      <c r="ED223" s="176">
        <f t="shared" si="26"/>
        <v>0</v>
      </c>
      <c r="EE223" s="176">
        <f t="shared" si="27"/>
        <v>0</v>
      </c>
      <c r="EG223" s="129">
        <f t="shared" si="28"/>
        <v>0</v>
      </c>
      <c r="EI223" s="176">
        <f t="shared" si="29"/>
        <v>0</v>
      </c>
      <c r="EK223" s="176">
        <f t="shared" si="30"/>
        <v>0</v>
      </c>
      <c r="EL223" s="176"/>
      <c r="EM223" s="177"/>
      <c r="EN223" s="178"/>
      <c r="EO223" s="177"/>
      <c r="EP223" s="177"/>
      <c r="EQ223" s="176">
        <f t="shared" si="31"/>
        <v>0</v>
      </c>
      <c r="ER223" s="179">
        <v>23300</v>
      </c>
      <c r="ES223" s="177">
        <v>7.5</v>
      </c>
    </row>
    <row r="224" spans="1:149" x14ac:dyDescent="0.3">
      <c r="A224" s="197">
        <v>219</v>
      </c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247"/>
      <c r="AQ224" s="247"/>
      <c r="AR224" s="247"/>
      <c r="AS224" s="247"/>
      <c r="AT224" s="247"/>
      <c r="AU224" s="247"/>
      <c r="AV224" s="247"/>
      <c r="AW224" s="247"/>
      <c r="AX224" s="247"/>
      <c r="AY224" s="247"/>
      <c r="AZ224" s="247"/>
      <c r="BA224" s="247"/>
      <c r="BB224" s="247"/>
      <c r="BC224" s="247"/>
      <c r="BD224" s="206"/>
      <c r="BE224" s="206"/>
      <c r="BF224" s="206"/>
      <c r="BG224" s="206"/>
      <c r="BH224" s="206"/>
      <c r="BI224" s="206"/>
      <c r="BJ224" s="206"/>
      <c r="BK224" s="206"/>
      <c r="BL224" s="206"/>
      <c r="BM224" s="206"/>
      <c r="BN224" s="206"/>
      <c r="BO224" s="206"/>
      <c r="BP224" s="206"/>
      <c r="BQ224" s="206"/>
      <c r="BR224" s="252"/>
      <c r="BS224" s="252"/>
      <c r="BT224" s="252"/>
      <c r="BU224" s="252"/>
      <c r="BV224" s="252"/>
      <c r="BW224" s="252"/>
      <c r="BX224" s="252"/>
      <c r="BY224" s="252"/>
      <c r="BZ224" s="252"/>
      <c r="CA224" s="252"/>
      <c r="CB224" s="252"/>
      <c r="CC224" s="252"/>
      <c r="CD224" s="252"/>
      <c r="CE224" s="252"/>
      <c r="CF224" s="252"/>
      <c r="CG224" s="252"/>
      <c r="CH224" s="252"/>
      <c r="CI224" s="252"/>
      <c r="CJ224" s="257"/>
      <c r="CK224" s="257"/>
      <c r="CL224" s="257"/>
      <c r="CM224" s="257"/>
      <c r="CN224" s="257"/>
      <c r="CO224" s="257"/>
      <c r="CP224" s="257"/>
      <c r="CQ224" s="257"/>
      <c r="CR224" s="257"/>
      <c r="CS224" s="257"/>
      <c r="CT224" s="257"/>
      <c r="CU224" s="257"/>
      <c r="CV224" s="257"/>
      <c r="CW224" s="257"/>
      <c r="CX224" s="257"/>
      <c r="CY224" s="257"/>
      <c r="CZ224" s="257"/>
      <c r="DA224" s="257"/>
      <c r="DB224" s="202"/>
      <c r="DC224" s="202"/>
      <c r="DD224" s="202"/>
      <c r="DE224" s="202"/>
      <c r="DF224" s="202"/>
      <c r="DG224" s="202"/>
      <c r="DH224" s="202"/>
      <c r="DI224" s="202"/>
      <c r="DJ224" s="202"/>
      <c r="DK224" s="202"/>
      <c r="DL224" s="202"/>
      <c r="DM224" s="202"/>
      <c r="DN224" s="202"/>
      <c r="DO224" s="202"/>
      <c r="DP224" s="202"/>
      <c r="DQ224" s="202"/>
      <c r="DR224" s="202"/>
      <c r="DS224" s="202"/>
      <c r="DT224" s="196"/>
      <c r="DU224" s="196"/>
      <c r="DV224" s="196"/>
      <c r="DW224" s="196"/>
      <c r="DX224" s="196"/>
      <c r="DY224" s="196"/>
      <c r="DZ224" s="196"/>
      <c r="EA224" s="196"/>
      <c r="EB224" s="176">
        <f t="shared" si="24"/>
        <v>0</v>
      </c>
      <c r="EC224" s="176">
        <f t="shared" si="25"/>
        <v>0</v>
      </c>
      <c r="ED224" s="176">
        <f t="shared" si="26"/>
        <v>0</v>
      </c>
      <c r="EE224" s="176">
        <f t="shared" si="27"/>
        <v>0</v>
      </c>
      <c r="EG224" s="129">
        <f t="shared" si="28"/>
        <v>0</v>
      </c>
      <c r="EI224" s="176">
        <f t="shared" si="29"/>
        <v>0</v>
      </c>
      <c r="EK224" s="176">
        <f t="shared" si="30"/>
        <v>0</v>
      </c>
      <c r="EL224" s="176"/>
      <c r="EM224" s="177"/>
      <c r="EN224" s="178"/>
      <c r="EO224" s="177"/>
      <c r="EP224" s="177"/>
      <c r="EQ224" s="176">
        <f t="shared" si="31"/>
        <v>0</v>
      </c>
      <c r="ER224" s="179">
        <v>23300</v>
      </c>
      <c r="ES224" s="177">
        <v>7.5</v>
      </c>
    </row>
    <row r="225" spans="1:149" x14ac:dyDescent="0.3">
      <c r="A225" s="197">
        <v>220</v>
      </c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247"/>
      <c r="AQ225" s="247"/>
      <c r="AR225" s="247"/>
      <c r="AS225" s="247"/>
      <c r="AT225" s="247"/>
      <c r="AU225" s="247"/>
      <c r="AV225" s="247"/>
      <c r="AW225" s="247"/>
      <c r="AX225" s="247"/>
      <c r="AY225" s="247"/>
      <c r="AZ225" s="247"/>
      <c r="BA225" s="247"/>
      <c r="BB225" s="247"/>
      <c r="BC225" s="247"/>
      <c r="BD225" s="206"/>
      <c r="BE225" s="206"/>
      <c r="BF225" s="206"/>
      <c r="BG225" s="206"/>
      <c r="BH225" s="206"/>
      <c r="BI225" s="206"/>
      <c r="BJ225" s="206"/>
      <c r="BK225" s="206"/>
      <c r="BL225" s="206"/>
      <c r="BM225" s="206"/>
      <c r="BN225" s="206"/>
      <c r="BO225" s="206"/>
      <c r="BP225" s="206"/>
      <c r="BQ225" s="206"/>
      <c r="BR225" s="252"/>
      <c r="BS225" s="252"/>
      <c r="BT225" s="252"/>
      <c r="BU225" s="252"/>
      <c r="BV225" s="252"/>
      <c r="BW225" s="252"/>
      <c r="BX225" s="252"/>
      <c r="BY225" s="252"/>
      <c r="BZ225" s="252"/>
      <c r="CA225" s="252"/>
      <c r="CB225" s="252"/>
      <c r="CC225" s="252"/>
      <c r="CD225" s="252"/>
      <c r="CE225" s="252"/>
      <c r="CF225" s="252"/>
      <c r="CG225" s="252"/>
      <c r="CH225" s="252"/>
      <c r="CI225" s="252"/>
      <c r="CJ225" s="257"/>
      <c r="CK225" s="257"/>
      <c r="CL225" s="257"/>
      <c r="CM225" s="257"/>
      <c r="CN225" s="257"/>
      <c r="CO225" s="257"/>
      <c r="CP225" s="257"/>
      <c r="CQ225" s="257"/>
      <c r="CR225" s="257"/>
      <c r="CS225" s="257"/>
      <c r="CT225" s="257"/>
      <c r="CU225" s="257"/>
      <c r="CV225" s="257"/>
      <c r="CW225" s="257"/>
      <c r="CX225" s="257"/>
      <c r="CY225" s="257"/>
      <c r="CZ225" s="257"/>
      <c r="DA225" s="257"/>
      <c r="DB225" s="202"/>
      <c r="DC225" s="202"/>
      <c r="DD225" s="202"/>
      <c r="DE225" s="202"/>
      <c r="DF225" s="202"/>
      <c r="DG225" s="202"/>
      <c r="DH225" s="202"/>
      <c r="DI225" s="202"/>
      <c r="DJ225" s="202"/>
      <c r="DK225" s="202"/>
      <c r="DL225" s="202"/>
      <c r="DM225" s="202"/>
      <c r="DN225" s="202"/>
      <c r="DO225" s="202"/>
      <c r="DP225" s="202"/>
      <c r="DQ225" s="202"/>
      <c r="DR225" s="202"/>
      <c r="DS225" s="202"/>
      <c r="DT225" s="196"/>
      <c r="DU225" s="196"/>
      <c r="DV225" s="196"/>
      <c r="DW225" s="196"/>
      <c r="DX225" s="196"/>
      <c r="DY225" s="196"/>
      <c r="DZ225" s="196"/>
      <c r="EA225" s="196"/>
      <c r="EB225" s="176">
        <f t="shared" si="24"/>
        <v>0</v>
      </c>
      <c r="EC225" s="176">
        <f t="shared" si="25"/>
        <v>0</v>
      </c>
      <c r="ED225" s="176">
        <f t="shared" si="26"/>
        <v>0</v>
      </c>
      <c r="EE225" s="176">
        <f t="shared" si="27"/>
        <v>0</v>
      </c>
      <c r="EG225" s="129">
        <f t="shared" si="28"/>
        <v>0</v>
      </c>
      <c r="EI225" s="176">
        <f t="shared" si="29"/>
        <v>0</v>
      </c>
      <c r="EK225" s="176">
        <f t="shared" si="30"/>
        <v>0</v>
      </c>
      <c r="EL225" s="176"/>
      <c r="EM225" s="177"/>
      <c r="EN225" s="178"/>
      <c r="EO225" s="177"/>
      <c r="EP225" s="177"/>
      <c r="EQ225" s="176">
        <f t="shared" si="31"/>
        <v>0</v>
      </c>
      <c r="ER225" s="179">
        <v>23300</v>
      </c>
      <c r="ES225" s="177">
        <v>7.5</v>
      </c>
    </row>
    <row r="226" spans="1:149" x14ac:dyDescent="0.3">
      <c r="A226" s="197">
        <v>221</v>
      </c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247"/>
      <c r="AQ226" s="247"/>
      <c r="AR226" s="247"/>
      <c r="AS226" s="247"/>
      <c r="AT226" s="247"/>
      <c r="AU226" s="247"/>
      <c r="AV226" s="247"/>
      <c r="AW226" s="247"/>
      <c r="AX226" s="247"/>
      <c r="AY226" s="247"/>
      <c r="AZ226" s="247"/>
      <c r="BA226" s="247"/>
      <c r="BB226" s="247"/>
      <c r="BC226" s="247"/>
      <c r="BD226" s="206"/>
      <c r="BE226" s="206"/>
      <c r="BF226" s="206"/>
      <c r="BG226" s="206"/>
      <c r="BH226" s="206"/>
      <c r="BI226" s="206"/>
      <c r="BJ226" s="206"/>
      <c r="BK226" s="206"/>
      <c r="BL226" s="206"/>
      <c r="BM226" s="206"/>
      <c r="BN226" s="206"/>
      <c r="BO226" s="206"/>
      <c r="BP226" s="206"/>
      <c r="BQ226" s="206"/>
      <c r="BR226" s="252"/>
      <c r="BS226" s="252"/>
      <c r="BT226" s="252"/>
      <c r="BU226" s="252"/>
      <c r="BV226" s="252"/>
      <c r="BW226" s="252"/>
      <c r="BX226" s="252"/>
      <c r="BY226" s="252"/>
      <c r="BZ226" s="252"/>
      <c r="CA226" s="252"/>
      <c r="CB226" s="252"/>
      <c r="CC226" s="252"/>
      <c r="CD226" s="252"/>
      <c r="CE226" s="252"/>
      <c r="CF226" s="252"/>
      <c r="CG226" s="252"/>
      <c r="CH226" s="252"/>
      <c r="CI226" s="252"/>
      <c r="CJ226" s="257"/>
      <c r="CK226" s="257"/>
      <c r="CL226" s="257"/>
      <c r="CM226" s="257"/>
      <c r="CN226" s="257"/>
      <c r="CO226" s="257"/>
      <c r="CP226" s="257"/>
      <c r="CQ226" s="257"/>
      <c r="CR226" s="257"/>
      <c r="CS226" s="257"/>
      <c r="CT226" s="257"/>
      <c r="CU226" s="257"/>
      <c r="CV226" s="257"/>
      <c r="CW226" s="257"/>
      <c r="CX226" s="257"/>
      <c r="CY226" s="257"/>
      <c r="CZ226" s="257"/>
      <c r="DA226" s="257"/>
      <c r="DB226" s="202"/>
      <c r="DC226" s="202"/>
      <c r="DD226" s="202"/>
      <c r="DE226" s="202"/>
      <c r="DF226" s="202"/>
      <c r="DG226" s="202"/>
      <c r="DH226" s="202"/>
      <c r="DI226" s="202"/>
      <c r="DJ226" s="202"/>
      <c r="DK226" s="202"/>
      <c r="DL226" s="202"/>
      <c r="DM226" s="202"/>
      <c r="DN226" s="202"/>
      <c r="DO226" s="202"/>
      <c r="DP226" s="202"/>
      <c r="DQ226" s="202"/>
      <c r="DR226" s="202"/>
      <c r="DS226" s="202"/>
      <c r="DT226" s="196"/>
      <c r="DU226" s="196"/>
      <c r="DV226" s="196"/>
      <c r="DW226" s="196"/>
      <c r="DX226" s="196"/>
      <c r="DY226" s="196"/>
      <c r="DZ226" s="196"/>
      <c r="EA226" s="196"/>
      <c r="EB226" s="176">
        <f t="shared" si="24"/>
        <v>0</v>
      </c>
      <c r="EC226" s="176">
        <f t="shared" si="25"/>
        <v>0</v>
      </c>
      <c r="ED226" s="176">
        <f t="shared" si="26"/>
        <v>0</v>
      </c>
      <c r="EE226" s="176">
        <f t="shared" si="27"/>
        <v>0</v>
      </c>
      <c r="EG226" s="129">
        <f t="shared" si="28"/>
        <v>0</v>
      </c>
      <c r="EI226" s="176">
        <f t="shared" si="29"/>
        <v>0</v>
      </c>
      <c r="EK226" s="176">
        <f t="shared" si="30"/>
        <v>0</v>
      </c>
      <c r="EL226" s="176"/>
      <c r="EM226" s="177"/>
      <c r="EN226" s="178"/>
      <c r="EO226" s="177"/>
      <c r="EP226" s="177"/>
      <c r="EQ226" s="176">
        <f t="shared" si="31"/>
        <v>0</v>
      </c>
      <c r="ER226" s="179">
        <v>23300</v>
      </c>
      <c r="ES226" s="177">
        <v>7.5</v>
      </c>
    </row>
    <row r="227" spans="1:149" x14ac:dyDescent="0.3">
      <c r="A227" s="197">
        <v>222</v>
      </c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247"/>
      <c r="AQ227" s="247"/>
      <c r="AR227" s="247"/>
      <c r="AS227" s="247"/>
      <c r="AT227" s="247"/>
      <c r="AU227" s="247"/>
      <c r="AV227" s="247"/>
      <c r="AW227" s="247"/>
      <c r="AX227" s="247"/>
      <c r="AY227" s="247"/>
      <c r="AZ227" s="247"/>
      <c r="BA227" s="247"/>
      <c r="BB227" s="247"/>
      <c r="BC227" s="247"/>
      <c r="BD227" s="206"/>
      <c r="BE227" s="206"/>
      <c r="BF227" s="206"/>
      <c r="BG227" s="206"/>
      <c r="BH227" s="206"/>
      <c r="BI227" s="206"/>
      <c r="BJ227" s="206"/>
      <c r="BK227" s="206"/>
      <c r="BL227" s="206"/>
      <c r="BM227" s="206"/>
      <c r="BN227" s="206"/>
      <c r="BO227" s="206"/>
      <c r="BP227" s="206"/>
      <c r="BQ227" s="206"/>
      <c r="BR227" s="252"/>
      <c r="BS227" s="252"/>
      <c r="BT227" s="252"/>
      <c r="BU227" s="252"/>
      <c r="BV227" s="252"/>
      <c r="BW227" s="252"/>
      <c r="BX227" s="252"/>
      <c r="BY227" s="252"/>
      <c r="BZ227" s="252"/>
      <c r="CA227" s="252"/>
      <c r="CB227" s="252"/>
      <c r="CC227" s="252"/>
      <c r="CD227" s="252"/>
      <c r="CE227" s="252"/>
      <c r="CF227" s="252"/>
      <c r="CG227" s="252"/>
      <c r="CH227" s="252"/>
      <c r="CI227" s="252"/>
      <c r="CJ227" s="257"/>
      <c r="CK227" s="257"/>
      <c r="CL227" s="257"/>
      <c r="CM227" s="257"/>
      <c r="CN227" s="257"/>
      <c r="CO227" s="257"/>
      <c r="CP227" s="257"/>
      <c r="CQ227" s="257"/>
      <c r="CR227" s="257"/>
      <c r="CS227" s="257"/>
      <c r="CT227" s="257"/>
      <c r="CU227" s="257"/>
      <c r="CV227" s="257"/>
      <c r="CW227" s="257"/>
      <c r="CX227" s="257"/>
      <c r="CY227" s="257"/>
      <c r="CZ227" s="257"/>
      <c r="DA227" s="257"/>
      <c r="DB227" s="202"/>
      <c r="DC227" s="202"/>
      <c r="DD227" s="202"/>
      <c r="DE227" s="202"/>
      <c r="DF227" s="202"/>
      <c r="DG227" s="202"/>
      <c r="DH227" s="202"/>
      <c r="DI227" s="202"/>
      <c r="DJ227" s="202"/>
      <c r="DK227" s="202"/>
      <c r="DL227" s="202"/>
      <c r="DM227" s="202"/>
      <c r="DN227" s="202"/>
      <c r="DO227" s="202"/>
      <c r="DP227" s="202"/>
      <c r="DQ227" s="202"/>
      <c r="DR227" s="202"/>
      <c r="DS227" s="202"/>
      <c r="DT227" s="196"/>
      <c r="DU227" s="196"/>
      <c r="DV227" s="196"/>
      <c r="DW227" s="196"/>
      <c r="DX227" s="196"/>
      <c r="DY227" s="196"/>
      <c r="DZ227" s="196"/>
      <c r="EA227" s="196"/>
      <c r="EB227" s="176">
        <f t="shared" si="24"/>
        <v>0</v>
      </c>
      <c r="EC227" s="176">
        <f t="shared" si="25"/>
        <v>0</v>
      </c>
      <c r="ED227" s="176">
        <f t="shared" si="26"/>
        <v>0</v>
      </c>
      <c r="EE227" s="176">
        <f t="shared" si="27"/>
        <v>0</v>
      </c>
      <c r="EG227" s="129">
        <f t="shared" si="28"/>
        <v>0</v>
      </c>
      <c r="EI227" s="176">
        <f t="shared" si="29"/>
        <v>0</v>
      </c>
      <c r="EK227" s="176">
        <f t="shared" si="30"/>
        <v>0</v>
      </c>
      <c r="EL227" s="176"/>
      <c r="EM227" s="177"/>
      <c r="EN227" s="178"/>
      <c r="EO227" s="177"/>
      <c r="EP227" s="177"/>
      <c r="EQ227" s="176">
        <f t="shared" si="31"/>
        <v>0</v>
      </c>
      <c r="ER227" s="179">
        <v>23300</v>
      </c>
      <c r="ES227" s="177">
        <v>7.5</v>
      </c>
    </row>
    <row r="228" spans="1:149" x14ac:dyDescent="0.3">
      <c r="A228" s="197">
        <v>223</v>
      </c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247"/>
      <c r="AQ228" s="247"/>
      <c r="AR228" s="247"/>
      <c r="AS228" s="247"/>
      <c r="AT228" s="247"/>
      <c r="AU228" s="247"/>
      <c r="AV228" s="247"/>
      <c r="AW228" s="247"/>
      <c r="AX228" s="247"/>
      <c r="AY228" s="247"/>
      <c r="AZ228" s="247"/>
      <c r="BA228" s="247"/>
      <c r="BB228" s="247"/>
      <c r="BC228" s="247"/>
      <c r="BD228" s="206"/>
      <c r="BE228" s="206"/>
      <c r="BF228" s="206"/>
      <c r="BG228" s="206"/>
      <c r="BH228" s="206"/>
      <c r="BI228" s="206"/>
      <c r="BJ228" s="206"/>
      <c r="BK228" s="206"/>
      <c r="BL228" s="206"/>
      <c r="BM228" s="206"/>
      <c r="BN228" s="206"/>
      <c r="BO228" s="206"/>
      <c r="BP228" s="206"/>
      <c r="BQ228" s="206"/>
      <c r="BR228" s="252"/>
      <c r="BS228" s="252"/>
      <c r="BT228" s="252"/>
      <c r="BU228" s="252"/>
      <c r="BV228" s="252"/>
      <c r="BW228" s="252"/>
      <c r="BX228" s="252"/>
      <c r="BY228" s="252"/>
      <c r="BZ228" s="252"/>
      <c r="CA228" s="252"/>
      <c r="CB228" s="252"/>
      <c r="CC228" s="252"/>
      <c r="CD228" s="252"/>
      <c r="CE228" s="252"/>
      <c r="CF228" s="252"/>
      <c r="CG228" s="252"/>
      <c r="CH228" s="252"/>
      <c r="CI228" s="252"/>
      <c r="CJ228" s="257"/>
      <c r="CK228" s="257"/>
      <c r="CL228" s="257"/>
      <c r="CM228" s="257"/>
      <c r="CN228" s="257"/>
      <c r="CO228" s="257"/>
      <c r="CP228" s="257"/>
      <c r="CQ228" s="257"/>
      <c r="CR228" s="257"/>
      <c r="CS228" s="257"/>
      <c r="CT228" s="257"/>
      <c r="CU228" s="257"/>
      <c r="CV228" s="257"/>
      <c r="CW228" s="257"/>
      <c r="CX228" s="257"/>
      <c r="CY228" s="257"/>
      <c r="CZ228" s="257"/>
      <c r="DA228" s="257"/>
      <c r="DB228" s="202"/>
      <c r="DC228" s="202"/>
      <c r="DD228" s="202"/>
      <c r="DE228" s="202"/>
      <c r="DF228" s="202"/>
      <c r="DG228" s="202"/>
      <c r="DH228" s="202"/>
      <c r="DI228" s="202"/>
      <c r="DJ228" s="202"/>
      <c r="DK228" s="202"/>
      <c r="DL228" s="202"/>
      <c r="DM228" s="202"/>
      <c r="DN228" s="202"/>
      <c r="DO228" s="202"/>
      <c r="DP228" s="202"/>
      <c r="DQ228" s="202"/>
      <c r="DR228" s="202"/>
      <c r="DS228" s="202"/>
      <c r="DT228" s="196"/>
      <c r="DU228" s="196"/>
      <c r="DV228" s="196"/>
      <c r="DW228" s="196"/>
      <c r="DX228" s="196"/>
      <c r="DY228" s="196"/>
      <c r="DZ228" s="196"/>
      <c r="EA228" s="196"/>
      <c r="EB228" s="176">
        <f t="shared" si="24"/>
        <v>0</v>
      </c>
      <c r="EC228" s="176">
        <f t="shared" si="25"/>
        <v>0</v>
      </c>
      <c r="ED228" s="176">
        <f t="shared" si="26"/>
        <v>0</v>
      </c>
      <c r="EE228" s="176">
        <f t="shared" si="27"/>
        <v>0</v>
      </c>
      <c r="EG228" s="129">
        <f t="shared" si="28"/>
        <v>0</v>
      </c>
      <c r="EI228" s="176">
        <f t="shared" si="29"/>
        <v>0</v>
      </c>
      <c r="EK228" s="176">
        <f t="shared" si="30"/>
        <v>0</v>
      </c>
      <c r="EL228" s="176"/>
      <c r="EM228" s="177"/>
      <c r="EN228" s="178"/>
      <c r="EO228" s="177"/>
      <c r="EP228" s="177"/>
      <c r="EQ228" s="176">
        <f t="shared" si="31"/>
        <v>0</v>
      </c>
      <c r="ER228" s="179">
        <v>23300</v>
      </c>
      <c r="ES228" s="177">
        <v>7.5</v>
      </c>
    </row>
    <row r="229" spans="1:149" x14ac:dyDescent="0.3">
      <c r="A229" s="197">
        <v>224</v>
      </c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247"/>
      <c r="AQ229" s="247"/>
      <c r="AR229" s="247"/>
      <c r="AS229" s="247"/>
      <c r="AT229" s="247"/>
      <c r="AU229" s="247"/>
      <c r="AV229" s="247"/>
      <c r="AW229" s="247"/>
      <c r="AX229" s="247"/>
      <c r="AY229" s="247"/>
      <c r="AZ229" s="247"/>
      <c r="BA229" s="247"/>
      <c r="BB229" s="247"/>
      <c r="BC229" s="247"/>
      <c r="BD229" s="206"/>
      <c r="BE229" s="206"/>
      <c r="BF229" s="206"/>
      <c r="BG229" s="206"/>
      <c r="BH229" s="206"/>
      <c r="BI229" s="206"/>
      <c r="BJ229" s="206"/>
      <c r="BK229" s="206"/>
      <c r="BL229" s="206"/>
      <c r="BM229" s="206"/>
      <c r="BN229" s="206"/>
      <c r="BO229" s="206"/>
      <c r="BP229" s="206"/>
      <c r="BQ229" s="206"/>
      <c r="BR229" s="252"/>
      <c r="BS229" s="252"/>
      <c r="BT229" s="252"/>
      <c r="BU229" s="252"/>
      <c r="BV229" s="252"/>
      <c r="BW229" s="252"/>
      <c r="BX229" s="252"/>
      <c r="BY229" s="252"/>
      <c r="BZ229" s="252"/>
      <c r="CA229" s="252"/>
      <c r="CB229" s="252"/>
      <c r="CC229" s="252"/>
      <c r="CD229" s="252"/>
      <c r="CE229" s="252"/>
      <c r="CF229" s="252"/>
      <c r="CG229" s="252"/>
      <c r="CH229" s="252"/>
      <c r="CI229" s="252"/>
      <c r="CJ229" s="257"/>
      <c r="CK229" s="257"/>
      <c r="CL229" s="257"/>
      <c r="CM229" s="257"/>
      <c r="CN229" s="257"/>
      <c r="CO229" s="257"/>
      <c r="CP229" s="257"/>
      <c r="CQ229" s="257"/>
      <c r="CR229" s="257"/>
      <c r="CS229" s="257"/>
      <c r="CT229" s="257"/>
      <c r="CU229" s="257"/>
      <c r="CV229" s="257"/>
      <c r="CW229" s="257"/>
      <c r="CX229" s="257"/>
      <c r="CY229" s="257"/>
      <c r="CZ229" s="257"/>
      <c r="DA229" s="257"/>
      <c r="DB229" s="202"/>
      <c r="DC229" s="202"/>
      <c r="DD229" s="202"/>
      <c r="DE229" s="202"/>
      <c r="DF229" s="202"/>
      <c r="DG229" s="202"/>
      <c r="DH229" s="202"/>
      <c r="DI229" s="202"/>
      <c r="DJ229" s="202"/>
      <c r="DK229" s="202"/>
      <c r="DL229" s="202"/>
      <c r="DM229" s="202"/>
      <c r="DN229" s="202"/>
      <c r="DO229" s="202"/>
      <c r="DP229" s="202"/>
      <c r="DQ229" s="202"/>
      <c r="DR229" s="202"/>
      <c r="DS229" s="202"/>
      <c r="DT229" s="196"/>
      <c r="DU229" s="196"/>
      <c r="DV229" s="196"/>
      <c r="DW229" s="196"/>
      <c r="DX229" s="196"/>
      <c r="DY229" s="196"/>
      <c r="DZ229" s="196"/>
      <c r="EA229" s="196"/>
      <c r="EB229" s="176">
        <f t="shared" si="24"/>
        <v>0</v>
      </c>
      <c r="EC229" s="176">
        <f t="shared" si="25"/>
        <v>0</v>
      </c>
      <c r="ED229" s="176">
        <f t="shared" si="26"/>
        <v>0</v>
      </c>
      <c r="EE229" s="176">
        <f t="shared" si="27"/>
        <v>0</v>
      </c>
      <c r="EG229" s="129">
        <f t="shared" si="28"/>
        <v>0</v>
      </c>
      <c r="EI229" s="176">
        <f t="shared" si="29"/>
        <v>0</v>
      </c>
      <c r="EK229" s="176">
        <f t="shared" si="30"/>
        <v>0</v>
      </c>
      <c r="EL229" s="176"/>
      <c r="EM229" s="177"/>
      <c r="EN229" s="178"/>
      <c r="EO229" s="177"/>
      <c r="EP229" s="177"/>
      <c r="EQ229" s="176">
        <f t="shared" si="31"/>
        <v>0</v>
      </c>
      <c r="ER229" s="179">
        <v>23300</v>
      </c>
      <c r="ES229" s="177">
        <v>7.5</v>
      </c>
    </row>
    <row r="230" spans="1:149" x14ac:dyDescent="0.3">
      <c r="A230" s="197">
        <v>225</v>
      </c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247"/>
      <c r="AQ230" s="247"/>
      <c r="AR230" s="247"/>
      <c r="AS230" s="247"/>
      <c r="AT230" s="247"/>
      <c r="AU230" s="247"/>
      <c r="AV230" s="247"/>
      <c r="AW230" s="247"/>
      <c r="AX230" s="247"/>
      <c r="AY230" s="247"/>
      <c r="AZ230" s="247"/>
      <c r="BA230" s="247"/>
      <c r="BB230" s="247"/>
      <c r="BC230" s="247"/>
      <c r="BD230" s="206"/>
      <c r="BE230" s="206"/>
      <c r="BF230" s="206"/>
      <c r="BG230" s="206"/>
      <c r="BH230" s="206"/>
      <c r="BI230" s="206"/>
      <c r="BJ230" s="206"/>
      <c r="BK230" s="206"/>
      <c r="BL230" s="206"/>
      <c r="BM230" s="206"/>
      <c r="BN230" s="206"/>
      <c r="BO230" s="206"/>
      <c r="BP230" s="206"/>
      <c r="BQ230" s="206"/>
      <c r="BR230" s="252"/>
      <c r="BS230" s="252"/>
      <c r="BT230" s="252"/>
      <c r="BU230" s="252"/>
      <c r="BV230" s="252"/>
      <c r="BW230" s="252"/>
      <c r="BX230" s="252"/>
      <c r="BY230" s="252"/>
      <c r="BZ230" s="252"/>
      <c r="CA230" s="252"/>
      <c r="CB230" s="252"/>
      <c r="CC230" s="252"/>
      <c r="CD230" s="252"/>
      <c r="CE230" s="252"/>
      <c r="CF230" s="252"/>
      <c r="CG230" s="252"/>
      <c r="CH230" s="252"/>
      <c r="CI230" s="252"/>
      <c r="CJ230" s="257"/>
      <c r="CK230" s="257"/>
      <c r="CL230" s="257"/>
      <c r="CM230" s="257"/>
      <c r="CN230" s="257"/>
      <c r="CO230" s="257"/>
      <c r="CP230" s="257"/>
      <c r="CQ230" s="257"/>
      <c r="CR230" s="257"/>
      <c r="CS230" s="257"/>
      <c r="CT230" s="257"/>
      <c r="CU230" s="257"/>
      <c r="CV230" s="257"/>
      <c r="CW230" s="257"/>
      <c r="CX230" s="257"/>
      <c r="CY230" s="257"/>
      <c r="CZ230" s="257"/>
      <c r="DA230" s="257"/>
      <c r="DB230" s="202"/>
      <c r="DC230" s="202"/>
      <c r="DD230" s="202"/>
      <c r="DE230" s="202"/>
      <c r="DF230" s="202"/>
      <c r="DG230" s="202"/>
      <c r="DH230" s="202"/>
      <c r="DI230" s="202"/>
      <c r="DJ230" s="202"/>
      <c r="DK230" s="202"/>
      <c r="DL230" s="202"/>
      <c r="DM230" s="202"/>
      <c r="DN230" s="202"/>
      <c r="DO230" s="202"/>
      <c r="DP230" s="202"/>
      <c r="DQ230" s="202"/>
      <c r="DR230" s="202"/>
      <c r="DS230" s="202"/>
      <c r="DT230" s="196"/>
      <c r="DU230" s="196"/>
      <c r="DV230" s="196"/>
      <c r="DW230" s="196"/>
      <c r="DX230" s="196"/>
      <c r="DY230" s="196"/>
      <c r="DZ230" s="196"/>
      <c r="EA230" s="196"/>
      <c r="EB230" s="176">
        <f t="shared" si="24"/>
        <v>0</v>
      </c>
      <c r="EC230" s="176">
        <f t="shared" si="25"/>
        <v>0</v>
      </c>
      <c r="ED230" s="176">
        <f t="shared" si="26"/>
        <v>0</v>
      </c>
      <c r="EE230" s="176">
        <f t="shared" si="27"/>
        <v>0</v>
      </c>
      <c r="EG230" s="129">
        <f t="shared" si="28"/>
        <v>0</v>
      </c>
      <c r="EI230" s="176">
        <f t="shared" si="29"/>
        <v>0</v>
      </c>
      <c r="EK230" s="176">
        <f t="shared" si="30"/>
        <v>0</v>
      </c>
      <c r="EL230" s="176"/>
      <c r="EM230" s="177"/>
      <c r="EN230" s="178"/>
      <c r="EO230" s="177"/>
      <c r="EP230" s="177"/>
      <c r="EQ230" s="176">
        <f t="shared" si="31"/>
        <v>0</v>
      </c>
      <c r="ER230" s="179">
        <v>23300</v>
      </c>
      <c r="ES230" s="177">
        <v>7.5</v>
      </c>
    </row>
    <row r="231" spans="1:149" x14ac:dyDescent="0.3">
      <c r="A231" s="197">
        <v>226</v>
      </c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247"/>
      <c r="AQ231" s="247"/>
      <c r="AR231" s="247"/>
      <c r="AS231" s="247"/>
      <c r="AT231" s="247"/>
      <c r="AU231" s="247"/>
      <c r="AV231" s="247"/>
      <c r="AW231" s="247"/>
      <c r="AX231" s="247"/>
      <c r="AY231" s="247"/>
      <c r="AZ231" s="247"/>
      <c r="BA231" s="247"/>
      <c r="BB231" s="247"/>
      <c r="BC231" s="247"/>
      <c r="BD231" s="206"/>
      <c r="BE231" s="206"/>
      <c r="BF231" s="206"/>
      <c r="BG231" s="206"/>
      <c r="BH231" s="206"/>
      <c r="BI231" s="206"/>
      <c r="BJ231" s="206"/>
      <c r="BK231" s="206"/>
      <c r="BL231" s="206"/>
      <c r="BM231" s="206"/>
      <c r="BN231" s="206"/>
      <c r="BO231" s="206"/>
      <c r="BP231" s="206"/>
      <c r="BQ231" s="206"/>
      <c r="BR231" s="252"/>
      <c r="BS231" s="252"/>
      <c r="BT231" s="252"/>
      <c r="BU231" s="252"/>
      <c r="BV231" s="252"/>
      <c r="BW231" s="252"/>
      <c r="BX231" s="252"/>
      <c r="BY231" s="252"/>
      <c r="BZ231" s="252"/>
      <c r="CA231" s="252"/>
      <c r="CB231" s="252"/>
      <c r="CC231" s="252"/>
      <c r="CD231" s="252"/>
      <c r="CE231" s="252"/>
      <c r="CF231" s="252"/>
      <c r="CG231" s="252"/>
      <c r="CH231" s="252"/>
      <c r="CI231" s="252"/>
      <c r="CJ231" s="257"/>
      <c r="CK231" s="257"/>
      <c r="CL231" s="257"/>
      <c r="CM231" s="257"/>
      <c r="CN231" s="257"/>
      <c r="CO231" s="257"/>
      <c r="CP231" s="257"/>
      <c r="CQ231" s="257"/>
      <c r="CR231" s="257"/>
      <c r="CS231" s="257"/>
      <c r="CT231" s="257"/>
      <c r="CU231" s="257"/>
      <c r="CV231" s="257"/>
      <c r="CW231" s="257"/>
      <c r="CX231" s="257"/>
      <c r="CY231" s="257"/>
      <c r="CZ231" s="257"/>
      <c r="DA231" s="257"/>
      <c r="DB231" s="202"/>
      <c r="DC231" s="202"/>
      <c r="DD231" s="202"/>
      <c r="DE231" s="202"/>
      <c r="DF231" s="202"/>
      <c r="DG231" s="202"/>
      <c r="DH231" s="202"/>
      <c r="DI231" s="202"/>
      <c r="DJ231" s="202"/>
      <c r="DK231" s="202"/>
      <c r="DL231" s="202"/>
      <c r="DM231" s="202"/>
      <c r="DN231" s="202"/>
      <c r="DO231" s="202"/>
      <c r="DP231" s="202"/>
      <c r="DQ231" s="202"/>
      <c r="DR231" s="202"/>
      <c r="DS231" s="202"/>
      <c r="DT231" s="196"/>
      <c r="DU231" s="196"/>
      <c r="DV231" s="196"/>
      <c r="DW231" s="196"/>
      <c r="DX231" s="196"/>
      <c r="DY231" s="196"/>
      <c r="DZ231" s="196"/>
      <c r="EA231" s="196"/>
      <c r="EB231" s="176">
        <f t="shared" si="24"/>
        <v>0</v>
      </c>
      <c r="EC231" s="176">
        <f t="shared" si="25"/>
        <v>0</v>
      </c>
      <c r="ED231" s="176">
        <f t="shared" si="26"/>
        <v>0</v>
      </c>
      <c r="EE231" s="176">
        <f t="shared" si="27"/>
        <v>0</v>
      </c>
      <c r="EG231" s="129">
        <f t="shared" si="28"/>
        <v>0</v>
      </c>
      <c r="EI231" s="176">
        <f t="shared" si="29"/>
        <v>0</v>
      </c>
      <c r="EK231" s="176">
        <f t="shared" si="30"/>
        <v>0</v>
      </c>
      <c r="EL231" s="176"/>
      <c r="EM231" s="177"/>
      <c r="EN231" s="178"/>
      <c r="EO231" s="177"/>
      <c r="EP231" s="177"/>
      <c r="EQ231" s="176">
        <f t="shared" si="31"/>
        <v>0</v>
      </c>
      <c r="ER231" s="179">
        <v>23300</v>
      </c>
      <c r="ES231" s="177">
        <v>7.5</v>
      </c>
    </row>
    <row r="232" spans="1:149" x14ac:dyDescent="0.3">
      <c r="A232" s="197">
        <v>227</v>
      </c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247"/>
      <c r="AQ232" s="247"/>
      <c r="AR232" s="247"/>
      <c r="AS232" s="247"/>
      <c r="AT232" s="247"/>
      <c r="AU232" s="247"/>
      <c r="AV232" s="247"/>
      <c r="AW232" s="247"/>
      <c r="AX232" s="247"/>
      <c r="AY232" s="247"/>
      <c r="AZ232" s="247"/>
      <c r="BA232" s="247"/>
      <c r="BB232" s="247"/>
      <c r="BC232" s="247"/>
      <c r="BD232" s="206"/>
      <c r="BE232" s="206"/>
      <c r="BF232" s="206"/>
      <c r="BG232" s="206"/>
      <c r="BH232" s="206"/>
      <c r="BI232" s="206"/>
      <c r="BJ232" s="206"/>
      <c r="BK232" s="206"/>
      <c r="BL232" s="206"/>
      <c r="BM232" s="206"/>
      <c r="BN232" s="206"/>
      <c r="BO232" s="206"/>
      <c r="BP232" s="206"/>
      <c r="BQ232" s="206"/>
      <c r="BR232" s="252"/>
      <c r="BS232" s="252"/>
      <c r="BT232" s="252"/>
      <c r="BU232" s="252"/>
      <c r="BV232" s="252"/>
      <c r="BW232" s="252"/>
      <c r="BX232" s="252"/>
      <c r="BY232" s="252"/>
      <c r="BZ232" s="252"/>
      <c r="CA232" s="252"/>
      <c r="CB232" s="252"/>
      <c r="CC232" s="252"/>
      <c r="CD232" s="252"/>
      <c r="CE232" s="252"/>
      <c r="CF232" s="252"/>
      <c r="CG232" s="252"/>
      <c r="CH232" s="252"/>
      <c r="CI232" s="252"/>
      <c r="CJ232" s="257"/>
      <c r="CK232" s="257"/>
      <c r="CL232" s="257"/>
      <c r="CM232" s="257"/>
      <c r="CN232" s="257"/>
      <c r="CO232" s="257"/>
      <c r="CP232" s="257"/>
      <c r="CQ232" s="257"/>
      <c r="CR232" s="257"/>
      <c r="CS232" s="257"/>
      <c r="CT232" s="257"/>
      <c r="CU232" s="257"/>
      <c r="CV232" s="257"/>
      <c r="CW232" s="257"/>
      <c r="CX232" s="257"/>
      <c r="CY232" s="257"/>
      <c r="CZ232" s="257"/>
      <c r="DA232" s="257"/>
      <c r="DB232" s="202"/>
      <c r="DC232" s="202"/>
      <c r="DD232" s="202"/>
      <c r="DE232" s="202"/>
      <c r="DF232" s="202"/>
      <c r="DG232" s="202"/>
      <c r="DH232" s="202"/>
      <c r="DI232" s="202"/>
      <c r="DJ232" s="202"/>
      <c r="DK232" s="202"/>
      <c r="DL232" s="202"/>
      <c r="DM232" s="202"/>
      <c r="DN232" s="202"/>
      <c r="DO232" s="202"/>
      <c r="DP232" s="202"/>
      <c r="DQ232" s="202"/>
      <c r="DR232" s="202"/>
      <c r="DS232" s="202"/>
      <c r="DT232" s="196"/>
      <c r="DU232" s="196"/>
      <c r="DV232" s="196"/>
      <c r="DW232" s="196"/>
      <c r="DX232" s="196"/>
      <c r="DY232" s="196"/>
      <c r="DZ232" s="196"/>
      <c r="EA232" s="196"/>
      <c r="EB232" s="176">
        <f t="shared" si="24"/>
        <v>0</v>
      </c>
      <c r="EC232" s="176">
        <f t="shared" si="25"/>
        <v>0</v>
      </c>
      <c r="ED232" s="176">
        <f t="shared" si="26"/>
        <v>0</v>
      </c>
      <c r="EE232" s="176">
        <f t="shared" si="27"/>
        <v>0</v>
      </c>
      <c r="EG232" s="129">
        <f t="shared" si="28"/>
        <v>0</v>
      </c>
      <c r="EI232" s="176">
        <f t="shared" si="29"/>
        <v>0</v>
      </c>
      <c r="EK232" s="176">
        <f t="shared" si="30"/>
        <v>0</v>
      </c>
      <c r="EL232" s="176"/>
      <c r="EM232" s="177"/>
      <c r="EN232" s="178"/>
      <c r="EO232" s="177"/>
      <c r="EP232" s="177"/>
      <c r="EQ232" s="176">
        <f t="shared" si="31"/>
        <v>0</v>
      </c>
      <c r="ER232" s="179">
        <v>23300</v>
      </c>
      <c r="ES232" s="177">
        <v>7.5</v>
      </c>
    </row>
    <row r="233" spans="1:149" x14ac:dyDescent="0.3">
      <c r="A233" s="197">
        <v>228</v>
      </c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247"/>
      <c r="AQ233" s="247"/>
      <c r="AR233" s="247"/>
      <c r="AS233" s="247"/>
      <c r="AT233" s="247"/>
      <c r="AU233" s="247"/>
      <c r="AV233" s="247"/>
      <c r="AW233" s="247"/>
      <c r="AX233" s="247"/>
      <c r="AY233" s="247"/>
      <c r="AZ233" s="247"/>
      <c r="BA233" s="247"/>
      <c r="BB233" s="247"/>
      <c r="BC233" s="247"/>
      <c r="BD233" s="206"/>
      <c r="BE233" s="206"/>
      <c r="BF233" s="206"/>
      <c r="BG233" s="206"/>
      <c r="BH233" s="206"/>
      <c r="BI233" s="206"/>
      <c r="BJ233" s="206"/>
      <c r="BK233" s="206"/>
      <c r="BL233" s="206"/>
      <c r="BM233" s="206"/>
      <c r="BN233" s="206"/>
      <c r="BO233" s="206"/>
      <c r="BP233" s="206"/>
      <c r="BQ233" s="206"/>
      <c r="BR233" s="252"/>
      <c r="BS233" s="252"/>
      <c r="BT233" s="252"/>
      <c r="BU233" s="252"/>
      <c r="BV233" s="252"/>
      <c r="BW233" s="252"/>
      <c r="BX233" s="252"/>
      <c r="BY233" s="252"/>
      <c r="BZ233" s="252"/>
      <c r="CA233" s="252"/>
      <c r="CB233" s="252"/>
      <c r="CC233" s="252"/>
      <c r="CD233" s="252"/>
      <c r="CE233" s="252"/>
      <c r="CF233" s="252"/>
      <c r="CG233" s="252"/>
      <c r="CH233" s="252"/>
      <c r="CI233" s="252"/>
      <c r="CJ233" s="257"/>
      <c r="CK233" s="257"/>
      <c r="CL233" s="257"/>
      <c r="CM233" s="257"/>
      <c r="CN233" s="257"/>
      <c r="CO233" s="257"/>
      <c r="CP233" s="257"/>
      <c r="CQ233" s="257"/>
      <c r="CR233" s="257"/>
      <c r="CS233" s="257"/>
      <c r="CT233" s="257"/>
      <c r="CU233" s="257"/>
      <c r="CV233" s="257"/>
      <c r="CW233" s="257"/>
      <c r="CX233" s="257"/>
      <c r="CY233" s="257"/>
      <c r="CZ233" s="257"/>
      <c r="DA233" s="257"/>
      <c r="DB233" s="202"/>
      <c r="DC233" s="202"/>
      <c r="DD233" s="202"/>
      <c r="DE233" s="202"/>
      <c r="DF233" s="202"/>
      <c r="DG233" s="202"/>
      <c r="DH233" s="202"/>
      <c r="DI233" s="202"/>
      <c r="DJ233" s="202"/>
      <c r="DK233" s="202"/>
      <c r="DL233" s="202"/>
      <c r="DM233" s="202"/>
      <c r="DN233" s="202"/>
      <c r="DO233" s="202"/>
      <c r="DP233" s="202"/>
      <c r="DQ233" s="202"/>
      <c r="DR233" s="202"/>
      <c r="DS233" s="202"/>
      <c r="DT233" s="196"/>
      <c r="DU233" s="196"/>
      <c r="DV233" s="196"/>
      <c r="DW233" s="196"/>
      <c r="DX233" s="196"/>
      <c r="DY233" s="196"/>
      <c r="DZ233" s="196"/>
      <c r="EA233" s="196"/>
      <c r="EB233" s="176">
        <f t="shared" si="24"/>
        <v>0</v>
      </c>
      <c r="EC233" s="176">
        <f t="shared" si="25"/>
        <v>0</v>
      </c>
      <c r="ED233" s="176">
        <f t="shared" si="26"/>
        <v>0</v>
      </c>
      <c r="EE233" s="176">
        <f t="shared" si="27"/>
        <v>0</v>
      </c>
      <c r="EG233" s="129">
        <f t="shared" si="28"/>
        <v>0</v>
      </c>
      <c r="EI233" s="176">
        <f t="shared" si="29"/>
        <v>0</v>
      </c>
      <c r="EK233" s="176">
        <f t="shared" si="30"/>
        <v>0</v>
      </c>
      <c r="EL233" s="176"/>
      <c r="EM233" s="177"/>
      <c r="EN233" s="178"/>
      <c r="EO233" s="177"/>
      <c r="EP233" s="177"/>
      <c r="EQ233" s="176">
        <f t="shared" si="31"/>
        <v>0</v>
      </c>
      <c r="ER233" s="179">
        <v>23300</v>
      </c>
      <c r="ES233" s="177">
        <v>7.5</v>
      </c>
    </row>
    <row r="234" spans="1:149" x14ac:dyDescent="0.3">
      <c r="A234" s="197">
        <v>229</v>
      </c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247"/>
      <c r="AQ234" s="247"/>
      <c r="AR234" s="247"/>
      <c r="AS234" s="247"/>
      <c r="AT234" s="247"/>
      <c r="AU234" s="247"/>
      <c r="AV234" s="247"/>
      <c r="AW234" s="247"/>
      <c r="AX234" s="247"/>
      <c r="AY234" s="247"/>
      <c r="AZ234" s="247"/>
      <c r="BA234" s="247"/>
      <c r="BB234" s="247"/>
      <c r="BC234" s="247"/>
      <c r="BD234" s="206"/>
      <c r="BE234" s="206"/>
      <c r="BF234" s="206"/>
      <c r="BG234" s="206"/>
      <c r="BH234" s="206"/>
      <c r="BI234" s="206"/>
      <c r="BJ234" s="206"/>
      <c r="BK234" s="206"/>
      <c r="BL234" s="206"/>
      <c r="BM234" s="206"/>
      <c r="BN234" s="206"/>
      <c r="BO234" s="206"/>
      <c r="BP234" s="206"/>
      <c r="BQ234" s="206"/>
      <c r="BR234" s="252"/>
      <c r="BS234" s="252"/>
      <c r="BT234" s="252"/>
      <c r="BU234" s="252"/>
      <c r="BV234" s="252"/>
      <c r="BW234" s="252"/>
      <c r="BX234" s="252"/>
      <c r="BY234" s="252"/>
      <c r="BZ234" s="252"/>
      <c r="CA234" s="252"/>
      <c r="CB234" s="252"/>
      <c r="CC234" s="252"/>
      <c r="CD234" s="252"/>
      <c r="CE234" s="252"/>
      <c r="CF234" s="252"/>
      <c r="CG234" s="252"/>
      <c r="CH234" s="252"/>
      <c r="CI234" s="252"/>
      <c r="CJ234" s="257"/>
      <c r="CK234" s="257"/>
      <c r="CL234" s="257"/>
      <c r="CM234" s="257"/>
      <c r="CN234" s="257"/>
      <c r="CO234" s="257"/>
      <c r="CP234" s="257"/>
      <c r="CQ234" s="257"/>
      <c r="CR234" s="257"/>
      <c r="CS234" s="257"/>
      <c r="CT234" s="257"/>
      <c r="CU234" s="257"/>
      <c r="CV234" s="257"/>
      <c r="CW234" s="257"/>
      <c r="CX234" s="257"/>
      <c r="CY234" s="257"/>
      <c r="CZ234" s="257"/>
      <c r="DA234" s="257"/>
      <c r="DB234" s="202"/>
      <c r="DC234" s="202"/>
      <c r="DD234" s="202"/>
      <c r="DE234" s="202"/>
      <c r="DF234" s="202"/>
      <c r="DG234" s="202"/>
      <c r="DH234" s="202"/>
      <c r="DI234" s="202"/>
      <c r="DJ234" s="202"/>
      <c r="DK234" s="202"/>
      <c r="DL234" s="202"/>
      <c r="DM234" s="202"/>
      <c r="DN234" s="202"/>
      <c r="DO234" s="202"/>
      <c r="DP234" s="202"/>
      <c r="DQ234" s="202"/>
      <c r="DR234" s="202"/>
      <c r="DS234" s="202"/>
      <c r="DT234" s="196"/>
      <c r="DU234" s="196"/>
      <c r="DV234" s="196"/>
      <c r="DW234" s="196"/>
      <c r="DX234" s="196"/>
      <c r="DY234" s="196"/>
      <c r="DZ234" s="196"/>
      <c r="EA234" s="196"/>
      <c r="EB234" s="176">
        <f t="shared" si="24"/>
        <v>0</v>
      </c>
      <c r="EC234" s="176">
        <f t="shared" si="25"/>
        <v>0</v>
      </c>
      <c r="ED234" s="176">
        <f t="shared" si="26"/>
        <v>0</v>
      </c>
      <c r="EE234" s="176">
        <f t="shared" si="27"/>
        <v>0</v>
      </c>
      <c r="EG234" s="129">
        <f t="shared" si="28"/>
        <v>0</v>
      </c>
      <c r="EI234" s="176">
        <f t="shared" si="29"/>
        <v>0</v>
      </c>
      <c r="EK234" s="176">
        <f t="shared" si="30"/>
        <v>0</v>
      </c>
      <c r="EL234" s="176"/>
      <c r="EM234" s="177"/>
      <c r="EN234" s="178"/>
      <c r="EO234" s="177"/>
      <c r="EP234" s="177"/>
      <c r="EQ234" s="176">
        <f t="shared" si="31"/>
        <v>0</v>
      </c>
      <c r="ER234" s="179">
        <v>23300</v>
      </c>
      <c r="ES234" s="177">
        <v>7.5</v>
      </c>
    </row>
    <row r="235" spans="1:149" x14ac:dyDescent="0.3">
      <c r="A235" s="197">
        <v>230</v>
      </c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247"/>
      <c r="AQ235" s="247"/>
      <c r="AR235" s="247"/>
      <c r="AS235" s="247"/>
      <c r="AT235" s="247"/>
      <c r="AU235" s="247"/>
      <c r="AV235" s="247"/>
      <c r="AW235" s="247"/>
      <c r="AX235" s="247"/>
      <c r="AY235" s="247"/>
      <c r="AZ235" s="247"/>
      <c r="BA235" s="247"/>
      <c r="BB235" s="247"/>
      <c r="BC235" s="247"/>
      <c r="BD235" s="206"/>
      <c r="BE235" s="206"/>
      <c r="BF235" s="206"/>
      <c r="BG235" s="206"/>
      <c r="BH235" s="206"/>
      <c r="BI235" s="206"/>
      <c r="BJ235" s="206"/>
      <c r="BK235" s="206"/>
      <c r="BL235" s="206"/>
      <c r="BM235" s="206"/>
      <c r="BN235" s="206"/>
      <c r="BO235" s="206"/>
      <c r="BP235" s="206"/>
      <c r="BQ235" s="206"/>
      <c r="BR235" s="252"/>
      <c r="BS235" s="252"/>
      <c r="BT235" s="252"/>
      <c r="BU235" s="252"/>
      <c r="BV235" s="252"/>
      <c r="BW235" s="252"/>
      <c r="BX235" s="252"/>
      <c r="BY235" s="252"/>
      <c r="BZ235" s="252"/>
      <c r="CA235" s="252"/>
      <c r="CB235" s="252"/>
      <c r="CC235" s="252"/>
      <c r="CD235" s="252"/>
      <c r="CE235" s="252"/>
      <c r="CF235" s="252"/>
      <c r="CG235" s="252"/>
      <c r="CH235" s="252"/>
      <c r="CI235" s="252"/>
      <c r="CJ235" s="257"/>
      <c r="CK235" s="257"/>
      <c r="CL235" s="257"/>
      <c r="CM235" s="257"/>
      <c r="CN235" s="257"/>
      <c r="CO235" s="257"/>
      <c r="CP235" s="257"/>
      <c r="CQ235" s="257"/>
      <c r="CR235" s="257"/>
      <c r="CS235" s="257"/>
      <c r="CT235" s="257"/>
      <c r="CU235" s="257"/>
      <c r="CV235" s="257"/>
      <c r="CW235" s="257"/>
      <c r="CX235" s="257"/>
      <c r="CY235" s="257"/>
      <c r="CZ235" s="257"/>
      <c r="DA235" s="257"/>
      <c r="DB235" s="202"/>
      <c r="DC235" s="202"/>
      <c r="DD235" s="202"/>
      <c r="DE235" s="202"/>
      <c r="DF235" s="202"/>
      <c r="DG235" s="202"/>
      <c r="DH235" s="202"/>
      <c r="DI235" s="202"/>
      <c r="DJ235" s="202"/>
      <c r="DK235" s="202"/>
      <c r="DL235" s="202"/>
      <c r="DM235" s="202"/>
      <c r="DN235" s="202"/>
      <c r="DO235" s="202"/>
      <c r="DP235" s="202"/>
      <c r="DQ235" s="202"/>
      <c r="DR235" s="202"/>
      <c r="DS235" s="202"/>
      <c r="DT235" s="196"/>
      <c r="DU235" s="196"/>
      <c r="DV235" s="196"/>
      <c r="DW235" s="196"/>
      <c r="DX235" s="196"/>
      <c r="DY235" s="196"/>
      <c r="DZ235" s="196"/>
      <c r="EA235" s="196"/>
      <c r="EB235" s="176">
        <f t="shared" si="24"/>
        <v>0</v>
      </c>
      <c r="EC235" s="176">
        <f t="shared" si="25"/>
        <v>0</v>
      </c>
      <c r="ED235" s="176">
        <f t="shared" si="26"/>
        <v>0</v>
      </c>
      <c r="EE235" s="176">
        <f t="shared" si="27"/>
        <v>0</v>
      </c>
      <c r="EG235" s="129">
        <f t="shared" si="28"/>
        <v>0</v>
      </c>
      <c r="EI235" s="176">
        <f t="shared" si="29"/>
        <v>0</v>
      </c>
      <c r="EK235" s="176">
        <f t="shared" si="30"/>
        <v>0</v>
      </c>
      <c r="EL235" s="176"/>
      <c r="EM235" s="177"/>
      <c r="EN235" s="178"/>
      <c r="EO235" s="177"/>
      <c r="EP235" s="177"/>
      <c r="EQ235" s="176">
        <f t="shared" si="31"/>
        <v>0</v>
      </c>
      <c r="ER235" s="179">
        <v>23300</v>
      </c>
      <c r="ES235" s="177">
        <v>7.5</v>
      </c>
    </row>
    <row r="236" spans="1:149" x14ac:dyDescent="0.3">
      <c r="A236" s="197">
        <v>231</v>
      </c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247"/>
      <c r="AQ236" s="247"/>
      <c r="AR236" s="247"/>
      <c r="AS236" s="247"/>
      <c r="AT236" s="247"/>
      <c r="AU236" s="247"/>
      <c r="AV236" s="247"/>
      <c r="AW236" s="247"/>
      <c r="AX236" s="247"/>
      <c r="AY236" s="247"/>
      <c r="AZ236" s="247"/>
      <c r="BA236" s="247"/>
      <c r="BB236" s="247"/>
      <c r="BC236" s="247"/>
      <c r="BD236" s="206"/>
      <c r="BE236" s="206"/>
      <c r="BF236" s="206"/>
      <c r="BG236" s="206"/>
      <c r="BH236" s="206"/>
      <c r="BI236" s="206"/>
      <c r="BJ236" s="206"/>
      <c r="BK236" s="206"/>
      <c r="BL236" s="206"/>
      <c r="BM236" s="206"/>
      <c r="BN236" s="206"/>
      <c r="BO236" s="206"/>
      <c r="BP236" s="206"/>
      <c r="BQ236" s="206"/>
      <c r="BR236" s="252"/>
      <c r="BS236" s="252"/>
      <c r="BT236" s="252"/>
      <c r="BU236" s="252"/>
      <c r="BV236" s="252"/>
      <c r="BW236" s="252"/>
      <c r="BX236" s="252"/>
      <c r="BY236" s="252"/>
      <c r="BZ236" s="252"/>
      <c r="CA236" s="252"/>
      <c r="CB236" s="252"/>
      <c r="CC236" s="252"/>
      <c r="CD236" s="252"/>
      <c r="CE236" s="252"/>
      <c r="CF236" s="252"/>
      <c r="CG236" s="252"/>
      <c r="CH236" s="252"/>
      <c r="CI236" s="252"/>
      <c r="CJ236" s="257"/>
      <c r="CK236" s="257"/>
      <c r="CL236" s="257"/>
      <c r="CM236" s="257"/>
      <c r="CN236" s="257"/>
      <c r="CO236" s="257"/>
      <c r="CP236" s="257"/>
      <c r="CQ236" s="257"/>
      <c r="CR236" s="257"/>
      <c r="CS236" s="257"/>
      <c r="CT236" s="257"/>
      <c r="CU236" s="257"/>
      <c r="CV236" s="257"/>
      <c r="CW236" s="257"/>
      <c r="CX236" s="257"/>
      <c r="CY236" s="257"/>
      <c r="CZ236" s="257"/>
      <c r="DA236" s="257"/>
      <c r="DB236" s="202"/>
      <c r="DC236" s="202"/>
      <c r="DD236" s="202"/>
      <c r="DE236" s="202"/>
      <c r="DF236" s="202"/>
      <c r="DG236" s="202"/>
      <c r="DH236" s="202"/>
      <c r="DI236" s="202"/>
      <c r="DJ236" s="202"/>
      <c r="DK236" s="202"/>
      <c r="DL236" s="202"/>
      <c r="DM236" s="202"/>
      <c r="DN236" s="202"/>
      <c r="DO236" s="202"/>
      <c r="DP236" s="202"/>
      <c r="DQ236" s="202"/>
      <c r="DR236" s="202"/>
      <c r="DS236" s="202"/>
      <c r="DT236" s="196"/>
      <c r="DU236" s="196"/>
      <c r="DV236" s="196"/>
      <c r="DW236" s="196"/>
      <c r="DX236" s="196"/>
      <c r="DY236" s="196"/>
      <c r="DZ236" s="196"/>
      <c r="EA236" s="196"/>
      <c r="EB236" s="176">
        <f t="shared" si="24"/>
        <v>0</v>
      </c>
      <c r="EC236" s="176">
        <f t="shared" si="25"/>
        <v>0</v>
      </c>
      <c r="ED236" s="176">
        <f t="shared" si="26"/>
        <v>0</v>
      </c>
      <c r="EE236" s="176">
        <f t="shared" si="27"/>
        <v>0</v>
      </c>
      <c r="EG236" s="129">
        <f t="shared" si="28"/>
        <v>0</v>
      </c>
      <c r="EI236" s="176">
        <f t="shared" si="29"/>
        <v>0</v>
      </c>
      <c r="EK236" s="176">
        <f t="shared" si="30"/>
        <v>0</v>
      </c>
      <c r="EL236" s="176"/>
      <c r="EM236" s="177"/>
      <c r="EN236" s="178"/>
      <c r="EO236" s="177"/>
      <c r="EP236" s="177"/>
      <c r="EQ236" s="176">
        <f t="shared" si="31"/>
        <v>0</v>
      </c>
      <c r="ER236" s="179">
        <v>23300</v>
      </c>
      <c r="ES236" s="177">
        <v>7.5</v>
      </c>
    </row>
    <row r="237" spans="1:149" x14ac:dyDescent="0.3">
      <c r="A237" s="197">
        <v>232</v>
      </c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247"/>
      <c r="AQ237" s="247"/>
      <c r="AR237" s="247"/>
      <c r="AS237" s="247"/>
      <c r="AT237" s="247"/>
      <c r="AU237" s="247"/>
      <c r="AV237" s="247"/>
      <c r="AW237" s="247"/>
      <c r="AX237" s="247"/>
      <c r="AY237" s="247"/>
      <c r="AZ237" s="247"/>
      <c r="BA237" s="247"/>
      <c r="BB237" s="247"/>
      <c r="BC237" s="247"/>
      <c r="BD237" s="206"/>
      <c r="BE237" s="206"/>
      <c r="BF237" s="206"/>
      <c r="BG237" s="206"/>
      <c r="BH237" s="206"/>
      <c r="BI237" s="206"/>
      <c r="BJ237" s="206"/>
      <c r="BK237" s="206"/>
      <c r="BL237" s="206"/>
      <c r="BM237" s="206"/>
      <c r="BN237" s="206"/>
      <c r="BO237" s="206"/>
      <c r="BP237" s="206"/>
      <c r="BQ237" s="206"/>
      <c r="BR237" s="252"/>
      <c r="BS237" s="252"/>
      <c r="BT237" s="252"/>
      <c r="BU237" s="252"/>
      <c r="BV237" s="252"/>
      <c r="BW237" s="252"/>
      <c r="BX237" s="252"/>
      <c r="BY237" s="252"/>
      <c r="BZ237" s="252"/>
      <c r="CA237" s="252"/>
      <c r="CB237" s="252"/>
      <c r="CC237" s="252"/>
      <c r="CD237" s="252"/>
      <c r="CE237" s="252"/>
      <c r="CF237" s="252"/>
      <c r="CG237" s="252"/>
      <c r="CH237" s="252"/>
      <c r="CI237" s="252"/>
      <c r="CJ237" s="257"/>
      <c r="CK237" s="257"/>
      <c r="CL237" s="257"/>
      <c r="CM237" s="257"/>
      <c r="CN237" s="257"/>
      <c r="CO237" s="257"/>
      <c r="CP237" s="257"/>
      <c r="CQ237" s="257"/>
      <c r="CR237" s="257"/>
      <c r="CS237" s="257"/>
      <c r="CT237" s="257"/>
      <c r="CU237" s="257"/>
      <c r="CV237" s="257"/>
      <c r="CW237" s="257"/>
      <c r="CX237" s="257"/>
      <c r="CY237" s="257"/>
      <c r="CZ237" s="257"/>
      <c r="DA237" s="257"/>
      <c r="DB237" s="202"/>
      <c r="DC237" s="202"/>
      <c r="DD237" s="202"/>
      <c r="DE237" s="202"/>
      <c r="DF237" s="202"/>
      <c r="DG237" s="202"/>
      <c r="DH237" s="202"/>
      <c r="DI237" s="202"/>
      <c r="DJ237" s="202"/>
      <c r="DK237" s="202"/>
      <c r="DL237" s="202"/>
      <c r="DM237" s="202"/>
      <c r="DN237" s="202"/>
      <c r="DO237" s="202"/>
      <c r="DP237" s="202"/>
      <c r="DQ237" s="202"/>
      <c r="DR237" s="202"/>
      <c r="DS237" s="202"/>
      <c r="DT237" s="196"/>
      <c r="DU237" s="196"/>
      <c r="DV237" s="196"/>
      <c r="DW237" s="196"/>
      <c r="DX237" s="196"/>
      <c r="DY237" s="196"/>
      <c r="DZ237" s="196"/>
      <c r="EA237" s="196"/>
      <c r="EB237" s="176">
        <f t="shared" si="24"/>
        <v>0</v>
      </c>
      <c r="EC237" s="176">
        <f t="shared" si="25"/>
        <v>0</v>
      </c>
      <c r="ED237" s="176">
        <f t="shared" si="26"/>
        <v>0</v>
      </c>
      <c r="EE237" s="176">
        <f t="shared" si="27"/>
        <v>0</v>
      </c>
      <c r="EG237" s="129">
        <f t="shared" si="28"/>
        <v>0</v>
      </c>
      <c r="EI237" s="176">
        <f t="shared" si="29"/>
        <v>0</v>
      </c>
      <c r="EK237" s="176">
        <f t="shared" si="30"/>
        <v>0</v>
      </c>
      <c r="EL237" s="176"/>
      <c r="EM237" s="177"/>
      <c r="EN237" s="178"/>
      <c r="EO237" s="177"/>
      <c r="EP237" s="177"/>
      <c r="EQ237" s="176">
        <f t="shared" si="31"/>
        <v>0</v>
      </c>
      <c r="ER237" s="179">
        <v>23300</v>
      </c>
      <c r="ES237" s="177">
        <v>7.5</v>
      </c>
    </row>
    <row r="238" spans="1:149" x14ac:dyDescent="0.3">
      <c r="A238" s="197">
        <v>233</v>
      </c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247"/>
      <c r="AQ238" s="247"/>
      <c r="AR238" s="247"/>
      <c r="AS238" s="247"/>
      <c r="AT238" s="247"/>
      <c r="AU238" s="247"/>
      <c r="AV238" s="247"/>
      <c r="AW238" s="247"/>
      <c r="AX238" s="247"/>
      <c r="AY238" s="247"/>
      <c r="AZ238" s="247"/>
      <c r="BA238" s="247"/>
      <c r="BB238" s="247"/>
      <c r="BC238" s="247"/>
      <c r="BD238" s="206"/>
      <c r="BE238" s="206"/>
      <c r="BF238" s="206"/>
      <c r="BG238" s="206"/>
      <c r="BH238" s="206"/>
      <c r="BI238" s="206"/>
      <c r="BJ238" s="206"/>
      <c r="BK238" s="206"/>
      <c r="BL238" s="206"/>
      <c r="BM238" s="206"/>
      <c r="BN238" s="206"/>
      <c r="BO238" s="206"/>
      <c r="BP238" s="206"/>
      <c r="BQ238" s="206"/>
      <c r="BR238" s="252"/>
      <c r="BS238" s="252"/>
      <c r="BT238" s="252"/>
      <c r="BU238" s="252"/>
      <c r="BV238" s="252"/>
      <c r="BW238" s="252"/>
      <c r="BX238" s="252"/>
      <c r="BY238" s="252"/>
      <c r="BZ238" s="252"/>
      <c r="CA238" s="252"/>
      <c r="CB238" s="252"/>
      <c r="CC238" s="252"/>
      <c r="CD238" s="252"/>
      <c r="CE238" s="252"/>
      <c r="CF238" s="252"/>
      <c r="CG238" s="252"/>
      <c r="CH238" s="252"/>
      <c r="CI238" s="252"/>
      <c r="CJ238" s="257"/>
      <c r="CK238" s="257"/>
      <c r="CL238" s="257"/>
      <c r="CM238" s="257"/>
      <c r="CN238" s="257"/>
      <c r="CO238" s="257"/>
      <c r="CP238" s="257"/>
      <c r="CQ238" s="257"/>
      <c r="CR238" s="257"/>
      <c r="CS238" s="257"/>
      <c r="CT238" s="257"/>
      <c r="CU238" s="257"/>
      <c r="CV238" s="257"/>
      <c r="CW238" s="257"/>
      <c r="CX238" s="257"/>
      <c r="CY238" s="257"/>
      <c r="CZ238" s="257"/>
      <c r="DA238" s="257"/>
      <c r="DB238" s="202"/>
      <c r="DC238" s="202"/>
      <c r="DD238" s="202"/>
      <c r="DE238" s="202"/>
      <c r="DF238" s="202"/>
      <c r="DG238" s="202"/>
      <c r="DH238" s="202"/>
      <c r="DI238" s="202"/>
      <c r="DJ238" s="202"/>
      <c r="DK238" s="202"/>
      <c r="DL238" s="202"/>
      <c r="DM238" s="202"/>
      <c r="DN238" s="202"/>
      <c r="DO238" s="202"/>
      <c r="DP238" s="202"/>
      <c r="DQ238" s="202"/>
      <c r="DR238" s="202"/>
      <c r="DS238" s="202"/>
      <c r="DT238" s="196"/>
      <c r="DU238" s="196"/>
      <c r="DV238" s="196"/>
      <c r="DW238" s="196"/>
      <c r="DX238" s="196"/>
      <c r="DY238" s="196"/>
      <c r="DZ238" s="196"/>
      <c r="EA238" s="196"/>
      <c r="EB238" s="176">
        <f t="shared" si="24"/>
        <v>0</v>
      </c>
      <c r="EC238" s="176">
        <f t="shared" si="25"/>
        <v>0</v>
      </c>
      <c r="ED238" s="176">
        <f t="shared" si="26"/>
        <v>0</v>
      </c>
      <c r="EE238" s="176">
        <f t="shared" si="27"/>
        <v>0</v>
      </c>
      <c r="EG238" s="129">
        <f t="shared" si="28"/>
        <v>0</v>
      </c>
      <c r="EI238" s="176">
        <f t="shared" si="29"/>
        <v>0</v>
      </c>
      <c r="EK238" s="176">
        <f t="shared" si="30"/>
        <v>0</v>
      </c>
      <c r="EL238" s="176"/>
      <c r="EM238" s="177"/>
      <c r="EN238" s="178"/>
      <c r="EO238" s="177"/>
      <c r="EP238" s="177"/>
      <c r="EQ238" s="176">
        <f t="shared" si="31"/>
        <v>0</v>
      </c>
      <c r="ER238" s="179">
        <v>23300</v>
      </c>
      <c r="ES238" s="177">
        <v>7.5</v>
      </c>
    </row>
    <row r="239" spans="1:149" x14ac:dyDescent="0.3">
      <c r="A239" s="197">
        <v>234</v>
      </c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247"/>
      <c r="AQ239" s="247"/>
      <c r="AR239" s="247"/>
      <c r="AS239" s="247"/>
      <c r="AT239" s="247"/>
      <c r="AU239" s="247"/>
      <c r="AV239" s="247"/>
      <c r="AW239" s="247"/>
      <c r="AX239" s="247"/>
      <c r="AY239" s="247"/>
      <c r="AZ239" s="247"/>
      <c r="BA239" s="247"/>
      <c r="BB239" s="247"/>
      <c r="BC239" s="247"/>
      <c r="BD239" s="206"/>
      <c r="BE239" s="206"/>
      <c r="BF239" s="206"/>
      <c r="BG239" s="206"/>
      <c r="BH239" s="206"/>
      <c r="BI239" s="206"/>
      <c r="BJ239" s="206"/>
      <c r="BK239" s="206"/>
      <c r="BL239" s="206"/>
      <c r="BM239" s="206"/>
      <c r="BN239" s="206"/>
      <c r="BO239" s="206"/>
      <c r="BP239" s="206"/>
      <c r="BQ239" s="206"/>
      <c r="BR239" s="252"/>
      <c r="BS239" s="252"/>
      <c r="BT239" s="252"/>
      <c r="BU239" s="252"/>
      <c r="BV239" s="252"/>
      <c r="BW239" s="252"/>
      <c r="BX239" s="252"/>
      <c r="BY239" s="252"/>
      <c r="BZ239" s="252"/>
      <c r="CA239" s="252"/>
      <c r="CB239" s="252"/>
      <c r="CC239" s="252"/>
      <c r="CD239" s="252"/>
      <c r="CE239" s="252"/>
      <c r="CF239" s="252"/>
      <c r="CG239" s="252"/>
      <c r="CH239" s="252"/>
      <c r="CI239" s="252"/>
      <c r="CJ239" s="257"/>
      <c r="CK239" s="257"/>
      <c r="CL239" s="257"/>
      <c r="CM239" s="257"/>
      <c r="CN239" s="257"/>
      <c r="CO239" s="257"/>
      <c r="CP239" s="257"/>
      <c r="CQ239" s="257"/>
      <c r="CR239" s="257"/>
      <c r="CS239" s="257"/>
      <c r="CT239" s="257"/>
      <c r="CU239" s="257"/>
      <c r="CV239" s="257"/>
      <c r="CW239" s="257"/>
      <c r="CX239" s="257"/>
      <c r="CY239" s="257"/>
      <c r="CZ239" s="257"/>
      <c r="DA239" s="257"/>
      <c r="DB239" s="202"/>
      <c r="DC239" s="202"/>
      <c r="DD239" s="202"/>
      <c r="DE239" s="202"/>
      <c r="DF239" s="202"/>
      <c r="DG239" s="202"/>
      <c r="DH239" s="202"/>
      <c r="DI239" s="202"/>
      <c r="DJ239" s="202"/>
      <c r="DK239" s="202"/>
      <c r="DL239" s="202"/>
      <c r="DM239" s="202"/>
      <c r="DN239" s="202"/>
      <c r="DO239" s="202"/>
      <c r="DP239" s="202"/>
      <c r="DQ239" s="202"/>
      <c r="DR239" s="202"/>
      <c r="DS239" s="202"/>
      <c r="DT239" s="196"/>
      <c r="DU239" s="196"/>
      <c r="DV239" s="196"/>
      <c r="DW239" s="196"/>
      <c r="DX239" s="196"/>
      <c r="DY239" s="196"/>
      <c r="DZ239" s="196"/>
      <c r="EA239" s="196"/>
      <c r="EB239" s="176">
        <f t="shared" si="24"/>
        <v>0</v>
      </c>
      <c r="EC239" s="176">
        <f t="shared" si="25"/>
        <v>0</v>
      </c>
      <c r="ED239" s="176">
        <f t="shared" si="26"/>
        <v>0</v>
      </c>
      <c r="EE239" s="176">
        <f t="shared" si="27"/>
        <v>0</v>
      </c>
      <c r="EG239" s="129">
        <f t="shared" si="28"/>
        <v>0</v>
      </c>
      <c r="EI239" s="176">
        <f t="shared" si="29"/>
        <v>0</v>
      </c>
      <c r="EK239" s="176">
        <f t="shared" si="30"/>
        <v>0</v>
      </c>
      <c r="EL239" s="176"/>
      <c r="EM239" s="177"/>
      <c r="EN239" s="178"/>
      <c r="EO239" s="177"/>
      <c r="EP239" s="177"/>
      <c r="EQ239" s="176">
        <f t="shared" si="31"/>
        <v>0</v>
      </c>
      <c r="ER239" s="179">
        <v>23300</v>
      </c>
      <c r="ES239" s="177">
        <v>7.5</v>
      </c>
    </row>
    <row r="240" spans="1:149" x14ac:dyDescent="0.3">
      <c r="A240" s="197">
        <v>235</v>
      </c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247"/>
      <c r="AQ240" s="247"/>
      <c r="AR240" s="247"/>
      <c r="AS240" s="247"/>
      <c r="AT240" s="247"/>
      <c r="AU240" s="247"/>
      <c r="AV240" s="247"/>
      <c r="AW240" s="247"/>
      <c r="AX240" s="247"/>
      <c r="AY240" s="247"/>
      <c r="AZ240" s="247"/>
      <c r="BA240" s="247"/>
      <c r="BB240" s="247"/>
      <c r="BC240" s="247"/>
      <c r="BD240" s="206"/>
      <c r="BE240" s="206"/>
      <c r="BF240" s="206"/>
      <c r="BG240" s="206"/>
      <c r="BH240" s="206"/>
      <c r="BI240" s="206"/>
      <c r="BJ240" s="206"/>
      <c r="BK240" s="206"/>
      <c r="BL240" s="206"/>
      <c r="BM240" s="206"/>
      <c r="BN240" s="206"/>
      <c r="BO240" s="206"/>
      <c r="BP240" s="206"/>
      <c r="BQ240" s="206"/>
      <c r="BR240" s="252"/>
      <c r="BS240" s="252"/>
      <c r="BT240" s="252"/>
      <c r="BU240" s="252"/>
      <c r="BV240" s="252"/>
      <c r="BW240" s="252"/>
      <c r="BX240" s="252"/>
      <c r="BY240" s="252"/>
      <c r="BZ240" s="252"/>
      <c r="CA240" s="252"/>
      <c r="CB240" s="252"/>
      <c r="CC240" s="252"/>
      <c r="CD240" s="252"/>
      <c r="CE240" s="252"/>
      <c r="CF240" s="252"/>
      <c r="CG240" s="252"/>
      <c r="CH240" s="252"/>
      <c r="CI240" s="252"/>
      <c r="CJ240" s="257"/>
      <c r="CK240" s="257"/>
      <c r="CL240" s="257"/>
      <c r="CM240" s="257"/>
      <c r="CN240" s="257"/>
      <c r="CO240" s="257"/>
      <c r="CP240" s="257"/>
      <c r="CQ240" s="257"/>
      <c r="CR240" s="257"/>
      <c r="CS240" s="257"/>
      <c r="CT240" s="257"/>
      <c r="CU240" s="257"/>
      <c r="CV240" s="257"/>
      <c r="CW240" s="257"/>
      <c r="CX240" s="257"/>
      <c r="CY240" s="257"/>
      <c r="CZ240" s="257"/>
      <c r="DA240" s="257"/>
      <c r="DB240" s="202"/>
      <c r="DC240" s="202"/>
      <c r="DD240" s="202"/>
      <c r="DE240" s="202"/>
      <c r="DF240" s="202"/>
      <c r="DG240" s="202"/>
      <c r="DH240" s="202"/>
      <c r="DI240" s="202"/>
      <c r="DJ240" s="202"/>
      <c r="DK240" s="202"/>
      <c r="DL240" s="202"/>
      <c r="DM240" s="202"/>
      <c r="DN240" s="202"/>
      <c r="DO240" s="202"/>
      <c r="DP240" s="202"/>
      <c r="DQ240" s="202"/>
      <c r="DR240" s="202"/>
      <c r="DS240" s="202"/>
      <c r="DT240" s="196"/>
      <c r="DU240" s="196"/>
      <c r="DV240" s="196"/>
      <c r="DW240" s="196"/>
      <c r="DX240" s="196"/>
      <c r="DY240" s="196"/>
      <c r="DZ240" s="196"/>
      <c r="EA240" s="196"/>
      <c r="EB240" s="176">
        <f t="shared" si="24"/>
        <v>0</v>
      </c>
      <c r="EC240" s="176">
        <f t="shared" si="25"/>
        <v>0</v>
      </c>
      <c r="ED240" s="176">
        <f t="shared" si="26"/>
        <v>0</v>
      </c>
      <c r="EE240" s="176">
        <f t="shared" si="27"/>
        <v>0</v>
      </c>
      <c r="EG240" s="129">
        <f t="shared" si="28"/>
        <v>0</v>
      </c>
      <c r="EI240" s="176">
        <f t="shared" si="29"/>
        <v>0</v>
      </c>
      <c r="EK240" s="176">
        <f t="shared" si="30"/>
        <v>0</v>
      </c>
      <c r="EL240" s="176"/>
      <c r="EM240" s="177"/>
      <c r="EN240" s="178"/>
      <c r="EO240" s="177"/>
      <c r="EP240" s="177"/>
      <c r="EQ240" s="176">
        <f t="shared" si="31"/>
        <v>0</v>
      </c>
      <c r="ER240" s="179">
        <v>23300</v>
      </c>
      <c r="ES240" s="177">
        <v>7.5</v>
      </c>
    </row>
    <row r="241" spans="1:149" x14ac:dyDescent="0.3">
      <c r="A241" s="197">
        <v>236</v>
      </c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247"/>
      <c r="AQ241" s="247"/>
      <c r="AR241" s="247"/>
      <c r="AS241" s="247"/>
      <c r="AT241" s="247"/>
      <c r="AU241" s="247"/>
      <c r="AV241" s="247"/>
      <c r="AW241" s="247"/>
      <c r="AX241" s="247"/>
      <c r="AY241" s="247"/>
      <c r="AZ241" s="247"/>
      <c r="BA241" s="247"/>
      <c r="BB241" s="247"/>
      <c r="BC241" s="247"/>
      <c r="BD241" s="206"/>
      <c r="BE241" s="206"/>
      <c r="BF241" s="206"/>
      <c r="BG241" s="206"/>
      <c r="BH241" s="206"/>
      <c r="BI241" s="206"/>
      <c r="BJ241" s="206"/>
      <c r="BK241" s="206"/>
      <c r="BL241" s="206"/>
      <c r="BM241" s="206"/>
      <c r="BN241" s="206"/>
      <c r="BO241" s="206"/>
      <c r="BP241" s="206"/>
      <c r="BQ241" s="206"/>
      <c r="BR241" s="252"/>
      <c r="BS241" s="252"/>
      <c r="BT241" s="252"/>
      <c r="BU241" s="252"/>
      <c r="BV241" s="252"/>
      <c r="BW241" s="252"/>
      <c r="BX241" s="252"/>
      <c r="BY241" s="252"/>
      <c r="BZ241" s="252"/>
      <c r="CA241" s="252"/>
      <c r="CB241" s="252"/>
      <c r="CC241" s="252"/>
      <c r="CD241" s="252"/>
      <c r="CE241" s="252"/>
      <c r="CF241" s="252"/>
      <c r="CG241" s="252"/>
      <c r="CH241" s="252"/>
      <c r="CI241" s="252"/>
      <c r="CJ241" s="257"/>
      <c r="CK241" s="257"/>
      <c r="CL241" s="257"/>
      <c r="CM241" s="257"/>
      <c r="CN241" s="257"/>
      <c r="CO241" s="257"/>
      <c r="CP241" s="257"/>
      <c r="CQ241" s="257"/>
      <c r="CR241" s="257"/>
      <c r="CS241" s="257"/>
      <c r="CT241" s="257"/>
      <c r="CU241" s="257"/>
      <c r="CV241" s="257"/>
      <c r="CW241" s="257"/>
      <c r="CX241" s="257"/>
      <c r="CY241" s="257"/>
      <c r="CZ241" s="257"/>
      <c r="DA241" s="257"/>
      <c r="DB241" s="202"/>
      <c r="DC241" s="202"/>
      <c r="DD241" s="202"/>
      <c r="DE241" s="202"/>
      <c r="DF241" s="202"/>
      <c r="DG241" s="202"/>
      <c r="DH241" s="202"/>
      <c r="DI241" s="202"/>
      <c r="DJ241" s="202"/>
      <c r="DK241" s="202"/>
      <c r="DL241" s="202"/>
      <c r="DM241" s="202"/>
      <c r="DN241" s="202"/>
      <c r="DO241" s="202"/>
      <c r="DP241" s="202"/>
      <c r="DQ241" s="202"/>
      <c r="DR241" s="202"/>
      <c r="DS241" s="202"/>
      <c r="DT241" s="196"/>
      <c r="DU241" s="196"/>
      <c r="DV241" s="196"/>
      <c r="DW241" s="196"/>
      <c r="DX241" s="196"/>
      <c r="DY241" s="196"/>
      <c r="DZ241" s="196"/>
      <c r="EA241" s="196"/>
      <c r="EB241" s="176">
        <f t="shared" si="24"/>
        <v>0</v>
      </c>
      <c r="EC241" s="176">
        <f t="shared" si="25"/>
        <v>0</v>
      </c>
      <c r="ED241" s="176">
        <f t="shared" si="26"/>
        <v>0</v>
      </c>
      <c r="EE241" s="176">
        <f t="shared" si="27"/>
        <v>0</v>
      </c>
      <c r="EG241" s="129">
        <f t="shared" si="28"/>
        <v>0</v>
      </c>
      <c r="EI241" s="176">
        <f t="shared" si="29"/>
        <v>0</v>
      </c>
      <c r="EK241" s="176">
        <f t="shared" si="30"/>
        <v>0</v>
      </c>
      <c r="EL241" s="176"/>
      <c r="EM241" s="177"/>
      <c r="EN241" s="178"/>
      <c r="EO241" s="177"/>
      <c r="EP241" s="177"/>
      <c r="EQ241" s="176">
        <f t="shared" si="31"/>
        <v>0</v>
      </c>
      <c r="ER241" s="179">
        <v>23300</v>
      </c>
      <c r="ES241" s="177">
        <v>7.5</v>
      </c>
    </row>
    <row r="242" spans="1:149" x14ac:dyDescent="0.3">
      <c r="A242" s="197">
        <v>237</v>
      </c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247"/>
      <c r="AQ242" s="247"/>
      <c r="AR242" s="247"/>
      <c r="AS242" s="247"/>
      <c r="AT242" s="247"/>
      <c r="AU242" s="247"/>
      <c r="AV242" s="247"/>
      <c r="AW242" s="247"/>
      <c r="AX242" s="247"/>
      <c r="AY242" s="247"/>
      <c r="AZ242" s="247"/>
      <c r="BA242" s="247"/>
      <c r="BB242" s="247"/>
      <c r="BC242" s="247"/>
      <c r="BD242" s="206"/>
      <c r="BE242" s="206"/>
      <c r="BF242" s="206"/>
      <c r="BG242" s="206"/>
      <c r="BH242" s="206"/>
      <c r="BI242" s="206"/>
      <c r="BJ242" s="206"/>
      <c r="BK242" s="206"/>
      <c r="BL242" s="206"/>
      <c r="BM242" s="206"/>
      <c r="BN242" s="206"/>
      <c r="BO242" s="206"/>
      <c r="BP242" s="206"/>
      <c r="BQ242" s="206"/>
      <c r="BR242" s="252"/>
      <c r="BS242" s="252"/>
      <c r="BT242" s="252"/>
      <c r="BU242" s="252"/>
      <c r="BV242" s="252"/>
      <c r="BW242" s="252"/>
      <c r="BX242" s="252"/>
      <c r="BY242" s="252"/>
      <c r="BZ242" s="252"/>
      <c r="CA242" s="252"/>
      <c r="CB242" s="252"/>
      <c r="CC242" s="252"/>
      <c r="CD242" s="252"/>
      <c r="CE242" s="252"/>
      <c r="CF242" s="252"/>
      <c r="CG242" s="252"/>
      <c r="CH242" s="252"/>
      <c r="CI242" s="252"/>
      <c r="CJ242" s="257"/>
      <c r="CK242" s="257"/>
      <c r="CL242" s="257"/>
      <c r="CM242" s="257"/>
      <c r="CN242" s="257"/>
      <c r="CO242" s="257"/>
      <c r="CP242" s="257"/>
      <c r="CQ242" s="257"/>
      <c r="CR242" s="257"/>
      <c r="CS242" s="257"/>
      <c r="CT242" s="257"/>
      <c r="CU242" s="257"/>
      <c r="CV242" s="257"/>
      <c r="CW242" s="257"/>
      <c r="CX242" s="257"/>
      <c r="CY242" s="257"/>
      <c r="CZ242" s="257"/>
      <c r="DA242" s="257"/>
      <c r="DB242" s="202"/>
      <c r="DC242" s="202"/>
      <c r="DD242" s="202"/>
      <c r="DE242" s="202"/>
      <c r="DF242" s="202"/>
      <c r="DG242" s="202"/>
      <c r="DH242" s="202"/>
      <c r="DI242" s="202"/>
      <c r="DJ242" s="202"/>
      <c r="DK242" s="202"/>
      <c r="DL242" s="202"/>
      <c r="DM242" s="202"/>
      <c r="DN242" s="202"/>
      <c r="DO242" s="202"/>
      <c r="DP242" s="202"/>
      <c r="DQ242" s="202"/>
      <c r="DR242" s="202"/>
      <c r="DS242" s="202"/>
      <c r="DT242" s="196"/>
      <c r="DU242" s="196"/>
      <c r="DV242" s="196"/>
      <c r="DW242" s="196"/>
      <c r="DX242" s="196"/>
      <c r="DY242" s="196"/>
      <c r="DZ242" s="196"/>
      <c r="EA242" s="196"/>
      <c r="EB242" s="176">
        <f t="shared" si="24"/>
        <v>0</v>
      </c>
      <c r="EC242" s="176">
        <f t="shared" si="25"/>
        <v>0</v>
      </c>
      <c r="ED242" s="176">
        <f t="shared" si="26"/>
        <v>0</v>
      </c>
      <c r="EE242" s="176">
        <f t="shared" si="27"/>
        <v>0</v>
      </c>
      <c r="EG242" s="129">
        <f t="shared" si="28"/>
        <v>0</v>
      </c>
      <c r="EI242" s="176">
        <f t="shared" si="29"/>
        <v>0</v>
      </c>
      <c r="EK242" s="176">
        <f t="shared" si="30"/>
        <v>0</v>
      </c>
      <c r="EL242" s="176"/>
      <c r="EM242" s="177"/>
      <c r="EN242" s="178"/>
      <c r="EO242" s="177"/>
      <c r="EP242" s="177"/>
      <c r="EQ242" s="176">
        <f t="shared" si="31"/>
        <v>0</v>
      </c>
      <c r="ER242" s="179">
        <v>23300</v>
      </c>
      <c r="ES242" s="177">
        <v>7.5</v>
      </c>
    </row>
    <row r="243" spans="1:149" x14ac:dyDescent="0.3">
      <c r="A243" s="197">
        <v>238</v>
      </c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247"/>
      <c r="AQ243" s="247"/>
      <c r="AR243" s="247"/>
      <c r="AS243" s="247"/>
      <c r="AT243" s="247"/>
      <c r="AU243" s="247"/>
      <c r="AV243" s="247"/>
      <c r="AW243" s="247"/>
      <c r="AX243" s="247"/>
      <c r="AY243" s="247"/>
      <c r="AZ243" s="247"/>
      <c r="BA243" s="247"/>
      <c r="BB243" s="247"/>
      <c r="BC243" s="247"/>
      <c r="BD243" s="206"/>
      <c r="BE243" s="206"/>
      <c r="BF243" s="206"/>
      <c r="BG243" s="206"/>
      <c r="BH243" s="206"/>
      <c r="BI243" s="206"/>
      <c r="BJ243" s="206"/>
      <c r="BK243" s="206"/>
      <c r="BL243" s="206"/>
      <c r="BM243" s="206"/>
      <c r="BN243" s="206"/>
      <c r="BO243" s="206"/>
      <c r="BP243" s="206"/>
      <c r="BQ243" s="206"/>
      <c r="BR243" s="252"/>
      <c r="BS243" s="252"/>
      <c r="BT243" s="252"/>
      <c r="BU243" s="252"/>
      <c r="BV243" s="252"/>
      <c r="BW243" s="252"/>
      <c r="BX243" s="252"/>
      <c r="BY243" s="252"/>
      <c r="BZ243" s="252"/>
      <c r="CA243" s="252"/>
      <c r="CB243" s="252"/>
      <c r="CC243" s="252"/>
      <c r="CD243" s="252"/>
      <c r="CE243" s="252"/>
      <c r="CF243" s="252"/>
      <c r="CG243" s="252"/>
      <c r="CH243" s="252"/>
      <c r="CI243" s="252"/>
      <c r="CJ243" s="257"/>
      <c r="CK243" s="257"/>
      <c r="CL243" s="257"/>
      <c r="CM243" s="257"/>
      <c r="CN243" s="257"/>
      <c r="CO243" s="257"/>
      <c r="CP243" s="257"/>
      <c r="CQ243" s="257"/>
      <c r="CR243" s="257"/>
      <c r="CS243" s="257"/>
      <c r="CT243" s="257"/>
      <c r="CU243" s="257"/>
      <c r="CV243" s="257"/>
      <c r="CW243" s="257"/>
      <c r="CX243" s="257"/>
      <c r="CY243" s="257"/>
      <c r="CZ243" s="257"/>
      <c r="DA243" s="257"/>
      <c r="DB243" s="202"/>
      <c r="DC243" s="202"/>
      <c r="DD243" s="202"/>
      <c r="DE243" s="202"/>
      <c r="DF243" s="202"/>
      <c r="DG243" s="202"/>
      <c r="DH243" s="202"/>
      <c r="DI243" s="202"/>
      <c r="DJ243" s="202"/>
      <c r="DK243" s="202"/>
      <c r="DL243" s="202"/>
      <c r="DM243" s="202"/>
      <c r="DN243" s="202"/>
      <c r="DO243" s="202"/>
      <c r="DP243" s="202"/>
      <c r="DQ243" s="202"/>
      <c r="DR243" s="202"/>
      <c r="DS243" s="202"/>
      <c r="DT243" s="196"/>
      <c r="DU243" s="196"/>
      <c r="DV243" s="196"/>
      <c r="DW243" s="196"/>
      <c r="DX243" s="196"/>
      <c r="DY243" s="196"/>
      <c r="DZ243" s="196"/>
      <c r="EA243" s="196"/>
      <c r="EB243" s="176">
        <f t="shared" si="24"/>
        <v>0</v>
      </c>
      <c r="EC243" s="176">
        <f t="shared" si="25"/>
        <v>0</v>
      </c>
      <c r="ED243" s="176">
        <f t="shared" si="26"/>
        <v>0</v>
      </c>
      <c r="EE243" s="176">
        <f t="shared" si="27"/>
        <v>0</v>
      </c>
      <c r="EG243" s="129">
        <f t="shared" si="28"/>
        <v>0</v>
      </c>
      <c r="EI243" s="176">
        <f t="shared" si="29"/>
        <v>0</v>
      </c>
      <c r="EK243" s="176">
        <f t="shared" si="30"/>
        <v>0</v>
      </c>
      <c r="EL243" s="176"/>
      <c r="EM243" s="177"/>
      <c r="EN243" s="178"/>
      <c r="EO243" s="177"/>
      <c r="EP243" s="177"/>
      <c r="EQ243" s="176">
        <f t="shared" si="31"/>
        <v>0</v>
      </c>
      <c r="ER243" s="179">
        <v>23300</v>
      </c>
      <c r="ES243" s="177">
        <v>7.5</v>
      </c>
    </row>
    <row r="244" spans="1:149" x14ac:dyDescent="0.3">
      <c r="A244" s="197">
        <v>239</v>
      </c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247"/>
      <c r="AQ244" s="247"/>
      <c r="AR244" s="247"/>
      <c r="AS244" s="247"/>
      <c r="AT244" s="247"/>
      <c r="AU244" s="247"/>
      <c r="AV244" s="247"/>
      <c r="AW244" s="247"/>
      <c r="AX244" s="247"/>
      <c r="AY244" s="247"/>
      <c r="AZ244" s="247"/>
      <c r="BA244" s="247"/>
      <c r="BB244" s="247"/>
      <c r="BC244" s="247"/>
      <c r="BD244" s="206"/>
      <c r="BE244" s="206"/>
      <c r="BF244" s="206"/>
      <c r="BG244" s="206"/>
      <c r="BH244" s="206"/>
      <c r="BI244" s="206"/>
      <c r="BJ244" s="206"/>
      <c r="BK244" s="206"/>
      <c r="BL244" s="206"/>
      <c r="BM244" s="206"/>
      <c r="BN244" s="206"/>
      <c r="BO244" s="206"/>
      <c r="BP244" s="206"/>
      <c r="BQ244" s="206"/>
      <c r="BR244" s="252"/>
      <c r="BS244" s="252"/>
      <c r="BT244" s="252"/>
      <c r="BU244" s="252"/>
      <c r="BV244" s="252"/>
      <c r="BW244" s="252"/>
      <c r="BX244" s="252"/>
      <c r="BY244" s="252"/>
      <c r="BZ244" s="252"/>
      <c r="CA244" s="252"/>
      <c r="CB244" s="252"/>
      <c r="CC244" s="252"/>
      <c r="CD244" s="252"/>
      <c r="CE244" s="252"/>
      <c r="CF244" s="252"/>
      <c r="CG244" s="252"/>
      <c r="CH244" s="252"/>
      <c r="CI244" s="252"/>
      <c r="CJ244" s="257"/>
      <c r="CK244" s="257"/>
      <c r="CL244" s="257"/>
      <c r="CM244" s="257"/>
      <c r="CN244" s="257"/>
      <c r="CO244" s="257"/>
      <c r="CP244" s="257"/>
      <c r="CQ244" s="257"/>
      <c r="CR244" s="257"/>
      <c r="CS244" s="257"/>
      <c r="CT244" s="257"/>
      <c r="CU244" s="257"/>
      <c r="CV244" s="257"/>
      <c r="CW244" s="257"/>
      <c r="CX244" s="257"/>
      <c r="CY244" s="257"/>
      <c r="CZ244" s="257"/>
      <c r="DA244" s="257"/>
      <c r="DB244" s="202"/>
      <c r="DC244" s="202"/>
      <c r="DD244" s="202"/>
      <c r="DE244" s="202"/>
      <c r="DF244" s="202"/>
      <c r="DG244" s="202"/>
      <c r="DH244" s="202"/>
      <c r="DI244" s="202"/>
      <c r="DJ244" s="202"/>
      <c r="DK244" s="202"/>
      <c r="DL244" s="202"/>
      <c r="DM244" s="202"/>
      <c r="DN244" s="202"/>
      <c r="DO244" s="202"/>
      <c r="DP244" s="202"/>
      <c r="DQ244" s="202"/>
      <c r="DR244" s="202"/>
      <c r="DS244" s="202"/>
      <c r="DT244" s="196"/>
      <c r="DU244" s="196"/>
      <c r="DV244" s="196"/>
      <c r="DW244" s="196"/>
      <c r="DX244" s="196"/>
      <c r="DY244" s="196"/>
      <c r="DZ244" s="196"/>
      <c r="EA244" s="196"/>
      <c r="EB244" s="176">
        <f t="shared" si="24"/>
        <v>0</v>
      </c>
      <c r="EC244" s="176">
        <f t="shared" si="25"/>
        <v>0</v>
      </c>
      <c r="ED244" s="176">
        <f t="shared" si="26"/>
        <v>0</v>
      </c>
      <c r="EE244" s="176">
        <f t="shared" si="27"/>
        <v>0</v>
      </c>
      <c r="EG244" s="129">
        <f t="shared" si="28"/>
        <v>0</v>
      </c>
      <c r="EI244" s="176">
        <f t="shared" si="29"/>
        <v>0</v>
      </c>
      <c r="EK244" s="176">
        <f t="shared" si="30"/>
        <v>0</v>
      </c>
      <c r="EL244" s="176"/>
      <c r="EM244" s="177"/>
      <c r="EN244" s="178"/>
      <c r="EO244" s="177"/>
      <c r="EP244" s="177"/>
      <c r="EQ244" s="176">
        <f t="shared" si="31"/>
        <v>0</v>
      </c>
      <c r="ER244" s="179">
        <v>23300</v>
      </c>
      <c r="ES244" s="177">
        <v>7.5</v>
      </c>
    </row>
    <row r="245" spans="1:149" x14ac:dyDescent="0.3">
      <c r="A245" s="197">
        <v>240</v>
      </c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247"/>
      <c r="AQ245" s="247"/>
      <c r="AR245" s="247"/>
      <c r="AS245" s="247"/>
      <c r="AT245" s="247"/>
      <c r="AU245" s="247"/>
      <c r="AV245" s="247"/>
      <c r="AW245" s="247"/>
      <c r="AX245" s="247"/>
      <c r="AY245" s="247"/>
      <c r="AZ245" s="247"/>
      <c r="BA245" s="247"/>
      <c r="BB245" s="247"/>
      <c r="BC245" s="247"/>
      <c r="BD245" s="206"/>
      <c r="BE245" s="206"/>
      <c r="BF245" s="206"/>
      <c r="BG245" s="206"/>
      <c r="BH245" s="206"/>
      <c r="BI245" s="206"/>
      <c r="BJ245" s="206"/>
      <c r="BK245" s="206"/>
      <c r="BL245" s="206"/>
      <c r="BM245" s="206"/>
      <c r="BN245" s="206"/>
      <c r="BO245" s="206"/>
      <c r="BP245" s="206"/>
      <c r="BQ245" s="206"/>
      <c r="BR245" s="252"/>
      <c r="BS245" s="252"/>
      <c r="BT245" s="252"/>
      <c r="BU245" s="252"/>
      <c r="BV245" s="252"/>
      <c r="BW245" s="252"/>
      <c r="BX245" s="252"/>
      <c r="BY245" s="252"/>
      <c r="BZ245" s="252"/>
      <c r="CA245" s="252"/>
      <c r="CB245" s="252"/>
      <c r="CC245" s="252"/>
      <c r="CD245" s="252"/>
      <c r="CE245" s="252"/>
      <c r="CF245" s="252"/>
      <c r="CG245" s="252"/>
      <c r="CH245" s="252"/>
      <c r="CI245" s="252"/>
      <c r="CJ245" s="257"/>
      <c r="CK245" s="257"/>
      <c r="CL245" s="257"/>
      <c r="CM245" s="257"/>
      <c r="CN245" s="257"/>
      <c r="CO245" s="257"/>
      <c r="CP245" s="257"/>
      <c r="CQ245" s="257"/>
      <c r="CR245" s="257"/>
      <c r="CS245" s="257"/>
      <c r="CT245" s="257"/>
      <c r="CU245" s="257"/>
      <c r="CV245" s="257"/>
      <c r="CW245" s="257"/>
      <c r="CX245" s="257"/>
      <c r="CY245" s="257"/>
      <c r="CZ245" s="257"/>
      <c r="DA245" s="257"/>
      <c r="DB245" s="202"/>
      <c r="DC245" s="202"/>
      <c r="DD245" s="202"/>
      <c r="DE245" s="202"/>
      <c r="DF245" s="202"/>
      <c r="DG245" s="202"/>
      <c r="DH245" s="202"/>
      <c r="DI245" s="202"/>
      <c r="DJ245" s="202"/>
      <c r="DK245" s="202"/>
      <c r="DL245" s="202"/>
      <c r="DM245" s="202"/>
      <c r="DN245" s="202"/>
      <c r="DO245" s="202"/>
      <c r="DP245" s="202"/>
      <c r="DQ245" s="202"/>
      <c r="DR245" s="202"/>
      <c r="DS245" s="202"/>
      <c r="DT245" s="196"/>
      <c r="DU245" s="196"/>
      <c r="DV245" s="196"/>
      <c r="DW245" s="196"/>
      <c r="DX245" s="196"/>
      <c r="DY245" s="196"/>
      <c r="DZ245" s="196"/>
      <c r="EA245" s="196"/>
      <c r="EB245" s="176">
        <f t="shared" si="24"/>
        <v>0</v>
      </c>
      <c r="EC245" s="176">
        <f t="shared" si="25"/>
        <v>0</v>
      </c>
      <c r="ED245" s="176">
        <f t="shared" si="26"/>
        <v>0</v>
      </c>
      <c r="EE245" s="176">
        <f t="shared" si="27"/>
        <v>0</v>
      </c>
      <c r="EG245" s="129">
        <f t="shared" si="28"/>
        <v>0</v>
      </c>
      <c r="EI245" s="176">
        <f t="shared" si="29"/>
        <v>0</v>
      </c>
      <c r="EK245" s="176">
        <f t="shared" si="30"/>
        <v>0</v>
      </c>
      <c r="EL245" s="176"/>
      <c r="EM245" s="177"/>
      <c r="EN245" s="178"/>
      <c r="EO245" s="177"/>
      <c r="EP245" s="177"/>
      <c r="EQ245" s="176">
        <f t="shared" si="31"/>
        <v>0</v>
      </c>
      <c r="ER245" s="179">
        <v>23300</v>
      </c>
      <c r="ES245" s="177">
        <v>7.5</v>
      </c>
    </row>
    <row r="246" spans="1:149" x14ac:dyDescent="0.3">
      <c r="A246" s="197">
        <v>241</v>
      </c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247"/>
      <c r="AQ246" s="247"/>
      <c r="AR246" s="247"/>
      <c r="AS246" s="247"/>
      <c r="AT246" s="247"/>
      <c r="AU246" s="247"/>
      <c r="AV246" s="247"/>
      <c r="AW246" s="247"/>
      <c r="AX246" s="247"/>
      <c r="AY246" s="247"/>
      <c r="AZ246" s="247"/>
      <c r="BA246" s="247"/>
      <c r="BB246" s="247"/>
      <c r="BC246" s="247"/>
      <c r="BD246" s="206"/>
      <c r="BE246" s="206"/>
      <c r="BF246" s="206"/>
      <c r="BG246" s="206"/>
      <c r="BH246" s="206"/>
      <c r="BI246" s="206"/>
      <c r="BJ246" s="206"/>
      <c r="BK246" s="206"/>
      <c r="BL246" s="206"/>
      <c r="BM246" s="206"/>
      <c r="BN246" s="206"/>
      <c r="BO246" s="206"/>
      <c r="BP246" s="206"/>
      <c r="BQ246" s="206"/>
      <c r="BR246" s="252"/>
      <c r="BS246" s="252"/>
      <c r="BT246" s="252"/>
      <c r="BU246" s="252"/>
      <c r="BV246" s="252"/>
      <c r="BW246" s="252"/>
      <c r="BX246" s="252"/>
      <c r="BY246" s="252"/>
      <c r="BZ246" s="252"/>
      <c r="CA246" s="252"/>
      <c r="CB246" s="252"/>
      <c r="CC246" s="252"/>
      <c r="CD246" s="252"/>
      <c r="CE246" s="252"/>
      <c r="CF246" s="252"/>
      <c r="CG246" s="252"/>
      <c r="CH246" s="252"/>
      <c r="CI246" s="252"/>
      <c r="CJ246" s="257"/>
      <c r="CK246" s="257"/>
      <c r="CL246" s="257"/>
      <c r="CM246" s="257"/>
      <c r="CN246" s="257"/>
      <c r="CO246" s="257"/>
      <c r="CP246" s="257"/>
      <c r="CQ246" s="257"/>
      <c r="CR246" s="257"/>
      <c r="CS246" s="257"/>
      <c r="CT246" s="257"/>
      <c r="CU246" s="257"/>
      <c r="CV246" s="257"/>
      <c r="CW246" s="257"/>
      <c r="CX246" s="257"/>
      <c r="CY246" s="257"/>
      <c r="CZ246" s="257"/>
      <c r="DA246" s="257"/>
      <c r="DB246" s="202"/>
      <c r="DC246" s="202"/>
      <c r="DD246" s="202"/>
      <c r="DE246" s="202"/>
      <c r="DF246" s="202"/>
      <c r="DG246" s="202"/>
      <c r="DH246" s="202"/>
      <c r="DI246" s="202"/>
      <c r="DJ246" s="202"/>
      <c r="DK246" s="202"/>
      <c r="DL246" s="202"/>
      <c r="DM246" s="202"/>
      <c r="DN246" s="202"/>
      <c r="DO246" s="202"/>
      <c r="DP246" s="202"/>
      <c r="DQ246" s="202"/>
      <c r="DR246" s="202"/>
      <c r="DS246" s="202"/>
      <c r="DT246" s="196"/>
      <c r="DU246" s="196"/>
      <c r="DV246" s="196"/>
      <c r="DW246" s="196"/>
      <c r="DX246" s="196"/>
      <c r="DY246" s="196"/>
      <c r="DZ246" s="196"/>
      <c r="EA246" s="196"/>
      <c r="EB246" s="176">
        <f t="shared" si="24"/>
        <v>0</v>
      </c>
      <c r="EC246" s="176">
        <f t="shared" si="25"/>
        <v>0</v>
      </c>
      <c r="ED246" s="176">
        <f t="shared" si="26"/>
        <v>0</v>
      </c>
      <c r="EE246" s="176">
        <f t="shared" si="27"/>
        <v>0</v>
      </c>
      <c r="EG246" s="129">
        <f t="shared" si="28"/>
        <v>0</v>
      </c>
      <c r="EI246" s="176">
        <f t="shared" si="29"/>
        <v>0</v>
      </c>
      <c r="EK246" s="176">
        <f t="shared" si="30"/>
        <v>0</v>
      </c>
      <c r="EL246" s="176"/>
      <c r="EM246" s="177"/>
      <c r="EN246" s="178"/>
      <c r="EO246" s="177"/>
      <c r="EP246" s="177"/>
      <c r="EQ246" s="176">
        <f t="shared" si="31"/>
        <v>0</v>
      </c>
      <c r="ER246" s="179">
        <v>23300</v>
      </c>
      <c r="ES246" s="177">
        <v>7.5</v>
      </c>
    </row>
    <row r="247" spans="1:149" x14ac:dyDescent="0.3">
      <c r="A247" s="197">
        <v>242</v>
      </c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247"/>
      <c r="AQ247" s="247"/>
      <c r="AR247" s="247"/>
      <c r="AS247" s="247"/>
      <c r="AT247" s="247"/>
      <c r="AU247" s="247"/>
      <c r="AV247" s="247"/>
      <c r="AW247" s="247"/>
      <c r="AX247" s="247"/>
      <c r="AY247" s="247"/>
      <c r="AZ247" s="247"/>
      <c r="BA247" s="247"/>
      <c r="BB247" s="247"/>
      <c r="BC247" s="247"/>
      <c r="BD247" s="206"/>
      <c r="BE247" s="206"/>
      <c r="BF247" s="206"/>
      <c r="BG247" s="206"/>
      <c r="BH247" s="206"/>
      <c r="BI247" s="206"/>
      <c r="BJ247" s="206"/>
      <c r="BK247" s="206"/>
      <c r="BL247" s="206"/>
      <c r="BM247" s="206"/>
      <c r="BN247" s="206"/>
      <c r="BO247" s="206"/>
      <c r="BP247" s="206"/>
      <c r="BQ247" s="206"/>
      <c r="BR247" s="252"/>
      <c r="BS247" s="252"/>
      <c r="BT247" s="252"/>
      <c r="BU247" s="252"/>
      <c r="BV247" s="252"/>
      <c r="BW247" s="252"/>
      <c r="BX247" s="252"/>
      <c r="BY247" s="252"/>
      <c r="BZ247" s="252"/>
      <c r="CA247" s="252"/>
      <c r="CB247" s="252"/>
      <c r="CC247" s="252"/>
      <c r="CD247" s="252"/>
      <c r="CE247" s="252"/>
      <c r="CF247" s="252"/>
      <c r="CG247" s="252"/>
      <c r="CH247" s="252"/>
      <c r="CI247" s="252"/>
      <c r="CJ247" s="257"/>
      <c r="CK247" s="257"/>
      <c r="CL247" s="257"/>
      <c r="CM247" s="257"/>
      <c r="CN247" s="257"/>
      <c r="CO247" s="257"/>
      <c r="CP247" s="257"/>
      <c r="CQ247" s="257"/>
      <c r="CR247" s="257"/>
      <c r="CS247" s="257"/>
      <c r="CT247" s="257"/>
      <c r="CU247" s="257"/>
      <c r="CV247" s="257"/>
      <c r="CW247" s="257"/>
      <c r="CX247" s="257"/>
      <c r="CY247" s="257"/>
      <c r="CZ247" s="257"/>
      <c r="DA247" s="257"/>
      <c r="DB247" s="202"/>
      <c r="DC247" s="202"/>
      <c r="DD247" s="202"/>
      <c r="DE247" s="202"/>
      <c r="DF247" s="202"/>
      <c r="DG247" s="202"/>
      <c r="DH247" s="202"/>
      <c r="DI247" s="202"/>
      <c r="DJ247" s="202"/>
      <c r="DK247" s="202"/>
      <c r="DL247" s="202"/>
      <c r="DM247" s="202"/>
      <c r="DN247" s="202"/>
      <c r="DO247" s="202"/>
      <c r="DP247" s="202"/>
      <c r="DQ247" s="202"/>
      <c r="DR247" s="202"/>
      <c r="DS247" s="202"/>
      <c r="DT247" s="196"/>
      <c r="DU247" s="196"/>
      <c r="DV247" s="196"/>
      <c r="DW247" s="196"/>
      <c r="DX247" s="196"/>
      <c r="DY247" s="196"/>
      <c r="DZ247" s="196"/>
      <c r="EA247" s="196"/>
      <c r="EB247" s="176">
        <f t="shared" si="24"/>
        <v>0</v>
      </c>
      <c r="EC247" s="176">
        <f t="shared" si="25"/>
        <v>0</v>
      </c>
      <c r="ED247" s="176">
        <f t="shared" si="26"/>
        <v>0</v>
      </c>
      <c r="EE247" s="176">
        <f t="shared" si="27"/>
        <v>0</v>
      </c>
      <c r="EG247" s="129">
        <f t="shared" si="28"/>
        <v>0</v>
      </c>
      <c r="EI247" s="176">
        <f t="shared" si="29"/>
        <v>0</v>
      </c>
      <c r="EK247" s="176">
        <f t="shared" si="30"/>
        <v>0</v>
      </c>
      <c r="EL247" s="176"/>
      <c r="EM247" s="177"/>
      <c r="EN247" s="178"/>
      <c r="EO247" s="177"/>
      <c r="EP247" s="177"/>
      <c r="EQ247" s="176">
        <f t="shared" si="31"/>
        <v>0</v>
      </c>
      <c r="ER247" s="179">
        <v>23300</v>
      </c>
      <c r="ES247" s="177">
        <v>7.5</v>
      </c>
    </row>
    <row r="248" spans="1:149" x14ac:dyDescent="0.3">
      <c r="A248" s="197">
        <v>243</v>
      </c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247"/>
      <c r="AQ248" s="247"/>
      <c r="AR248" s="247"/>
      <c r="AS248" s="247"/>
      <c r="AT248" s="247"/>
      <c r="AU248" s="247"/>
      <c r="AV248" s="247"/>
      <c r="AW248" s="247"/>
      <c r="AX248" s="247"/>
      <c r="AY248" s="247"/>
      <c r="AZ248" s="247"/>
      <c r="BA248" s="247"/>
      <c r="BB248" s="247"/>
      <c r="BC248" s="247"/>
      <c r="BD248" s="206"/>
      <c r="BE248" s="206"/>
      <c r="BF248" s="206"/>
      <c r="BG248" s="206"/>
      <c r="BH248" s="206"/>
      <c r="BI248" s="206"/>
      <c r="BJ248" s="206"/>
      <c r="BK248" s="206"/>
      <c r="BL248" s="206"/>
      <c r="BM248" s="206"/>
      <c r="BN248" s="206"/>
      <c r="BO248" s="206"/>
      <c r="BP248" s="206"/>
      <c r="BQ248" s="206"/>
      <c r="BR248" s="252"/>
      <c r="BS248" s="252"/>
      <c r="BT248" s="252"/>
      <c r="BU248" s="252"/>
      <c r="BV248" s="252"/>
      <c r="BW248" s="252"/>
      <c r="BX248" s="252"/>
      <c r="BY248" s="252"/>
      <c r="BZ248" s="252"/>
      <c r="CA248" s="252"/>
      <c r="CB248" s="252"/>
      <c r="CC248" s="252"/>
      <c r="CD248" s="252"/>
      <c r="CE248" s="252"/>
      <c r="CF248" s="252"/>
      <c r="CG248" s="252"/>
      <c r="CH248" s="252"/>
      <c r="CI248" s="252"/>
      <c r="CJ248" s="257"/>
      <c r="CK248" s="257"/>
      <c r="CL248" s="257"/>
      <c r="CM248" s="257"/>
      <c r="CN248" s="257"/>
      <c r="CO248" s="257"/>
      <c r="CP248" s="257"/>
      <c r="CQ248" s="257"/>
      <c r="CR248" s="257"/>
      <c r="CS248" s="257"/>
      <c r="CT248" s="257"/>
      <c r="CU248" s="257"/>
      <c r="CV248" s="257"/>
      <c r="CW248" s="257"/>
      <c r="CX248" s="257"/>
      <c r="CY248" s="257"/>
      <c r="CZ248" s="257"/>
      <c r="DA248" s="257"/>
      <c r="DB248" s="202"/>
      <c r="DC248" s="202"/>
      <c r="DD248" s="202"/>
      <c r="DE248" s="202"/>
      <c r="DF248" s="202"/>
      <c r="DG248" s="202"/>
      <c r="DH248" s="202"/>
      <c r="DI248" s="202"/>
      <c r="DJ248" s="202"/>
      <c r="DK248" s="202"/>
      <c r="DL248" s="202"/>
      <c r="DM248" s="202"/>
      <c r="DN248" s="202"/>
      <c r="DO248" s="202"/>
      <c r="DP248" s="202"/>
      <c r="DQ248" s="202"/>
      <c r="DR248" s="202"/>
      <c r="DS248" s="202"/>
      <c r="DT248" s="196"/>
      <c r="DU248" s="196"/>
      <c r="DV248" s="196"/>
      <c r="DW248" s="196"/>
      <c r="DX248" s="196"/>
      <c r="DY248" s="196"/>
      <c r="DZ248" s="196"/>
      <c r="EA248" s="196"/>
      <c r="EB248" s="176">
        <f t="shared" si="24"/>
        <v>0</v>
      </c>
      <c r="EC248" s="176">
        <f t="shared" si="25"/>
        <v>0</v>
      </c>
      <c r="ED248" s="176">
        <f t="shared" si="26"/>
        <v>0</v>
      </c>
      <c r="EE248" s="176">
        <f t="shared" si="27"/>
        <v>0</v>
      </c>
      <c r="EG248" s="129">
        <f t="shared" si="28"/>
        <v>0</v>
      </c>
      <c r="EI248" s="176">
        <f t="shared" si="29"/>
        <v>0</v>
      </c>
      <c r="EK248" s="176">
        <f t="shared" si="30"/>
        <v>0</v>
      </c>
      <c r="EL248" s="176"/>
      <c r="EM248" s="177"/>
      <c r="EN248" s="178"/>
      <c r="EO248" s="177"/>
      <c r="EP248" s="177"/>
      <c r="EQ248" s="176">
        <f t="shared" si="31"/>
        <v>0</v>
      </c>
      <c r="ER248" s="179">
        <v>23300</v>
      </c>
      <c r="ES248" s="177">
        <v>7.5</v>
      </c>
    </row>
    <row r="249" spans="1:149" x14ac:dyDescent="0.3">
      <c r="A249" s="197">
        <v>244</v>
      </c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247"/>
      <c r="AQ249" s="247"/>
      <c r="AR249" s="247"/>
      <c r="AS249" s="247"/>
      <c r="AT249" s="247"/>
      <c r="AU249" s="247"/>
      <c r="AV249" s="247"/>
      <c r="AW249" s="247"/>
      <c r="AX249" s="247"/>
      <c r="AY249" s="247"/>
      <c r="AZ249" s="247"/>
      <c r="BA249" s="247"/>
      <c r="BB249" s="247"/>
      <c r="BC249" s="247"/>
      <c r="BD249" s="206"/>
      <c r="BE249" s="206"/>
      <c r="BF249" s="206"/>
      <c r="BG249" s="206"/>
      <c r="BH249" s="206"/>
      <c r="BI249" s="206"/>
      <c r="BJ249" s="206"/>
      <c r="BK249" s="206"/>
      <c r="BL249" s="206"/>
      <c r="BM249" s="206"/>
      <c r="BN249" s="206"/>
      <c r="BO249" s="206"/>
      <c r="BP249" s="206"/>
      <c r="BQ249" s="206"/>
      <c r="BR249" s="252"/>
      <c r="BS249" s="252"/>
      <c r="BT249" s="252"/>
      <c r="BU249" s="252"/>
      <c r="BV249" s="252"/>
      <c r="BW249" s="252"/>
      <c r="BX249" s="252"/>
      <c r="BY249" s="252"/>
      <c r="BZ249" s="252"/>
      <c r="CA249" s="252"/>
      <c r="CB249" s="252"/>
      <c r="CC249" s="252"/>
      <c r="CD249" s="252"/>
      <c r="CE249" s="252"/>
      <c r="CF249" s="252"/>
      <c r="CG249" s="252"/>
      <c r="CH249" s="252"/>
      <c r="CI249" s="252"/>
      <c r="CJ249" s="257"/>
      <c r="CK249" s="257"/>
      <c r="CL249" s="257"/>
      <c r="CM249" s="257"/>
      <c r="CN249" s="257"/>
      <c r="CO249" s="257"/>
      <c r="CP249" s="257"/>
      <c r="CQ249" s="257"/>
      <c r="CR249" s="257"/>
      <c r="CS249" s="257"/>
      <c r="CT249" s="257"/>
      <c r="CU249" s="257"/>
      <c r="CV249" s="257"/>
      <c r="CW249" s="257"/>
      <c r="CX249" s="257"/>
      <c r="CY249" s="257"/>
      <c r="CZ249" s="257"/>
      <c r="DA249" s="257"/>
      <c r="DB249" s="202"/>
      <c r="DC249" s="202"/>
      <c r="DD249" s="202"/>
      <c r="DE249" s="202"/>
      <c r="DF249" s="202"/>
      <c r="DG249" s="202"/>
      <c r="DH249" s="202"/>
      <c r="DI249" s="202"/>
      <c r="DJ249" s="202"/>
      <c r="DK249" s="202"/>
      <c r="DL249" s="202"/>
      <c r="DM249" s="202"/>
      <c r="DN249" s="202"/>
      <c r="DO249" s="202"/>
      <c r="DP249" s="202"/>
      <c r="DQ249" s="202"/>
      <c r="DR249" s="202"/>
      <c r="DS249" s="202"/>
      <c r="DT249" s="196"/>
      <c r="DU249" s="196"/>
      <c r="DV249" s="196"/>
      <c r="DW249" s="196"/>
      <c r="DX249" s="196"/>
      <c r="DY249" s="196"/>
      <c r="DZ249" s="196"/>
      <c r="EA249" s="196"/>
      <c r="EB249" s="176">
        <f t="shared" si="24"/>
        <v>0</v>
      </c>
      <c r="EC249" s="176">
        <f t="shared" si="25"/>
        <v>0</v>
      </c>
      <c r="ED249" s="176">
        <f t="shared" si="26"/>
        <v>0</v>
      </c>
      <c r="EE249" s="176">
        <f t="shared" si="27"/>
        <v>0</v>
      </c>
      <c r="EG249" s="129">
        <f t="shared" si="28"/>
        <v>0</v>
      </c>
      <c r="EI249" s="176">
        <f t="shared" si="29"/>
        <v>0</v>
      </c>
      <c r="EK249" s="176">
        <f t="shared" si="30"/>
        <v>0</v>
      </c>
      <c r="EL249" s="176"/>
      <c r="EM249" s="177"/>
      <c r="EN249" s="178"/>
      <c r="EO249" s="177"/>
      <c r="EP249" s="177"/>
      <c r="EQ249" s="176">
        <f t="shared" si="31"/>
        <v>0</v>
      </c>
      <c r="ER249" s="179">
        <v>23300</v>
      </c>
      <c r="ES249" s="177">
        <v>7.5</v>
      </c>
    </row>
    <row r="250" spans="1:149" x14ac:dyDescent="0.3">
      <c r="A250" s="197">
        <v>245</v>
      </c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247"/>
      <c r="AQ250" s="247"/>
      <c r="AR250" s="247"/>
      <c r="AS250" s="247"/>
      <c r="AT250" s="247"/>
      <c r="AU250" s="247"/>
      <c r="AV250" s="247"/>
      <c r="AW250" s="247"/>
      <c r="AX250" s="247"/>
      <c r="AY250" s="247"/>
      <c r="AZ250" s="247"/>
      <c r="BA250" s="247"/>
      <c r="BB250" s="247"/>
      <c r="BC250" s="247"/>
      <c r="BD250" s="206"/>
      <c r="BE250" s="206"/>
      <c r="BF250" s="206"/>
      <c r="BG250" s="206"/>
      <c r="BH250" s="206"/>
      <c r="BI250" s="206"/>
      <c r="BJ250" s="206"/>
      <c r="BK250" s="206"/>
      <c r="BL250" s="206"/>
      <c r="BM250" s="206"/>
      <c r="BN250" s="206"/>
      <c r="BO250" s="206"/>
      <c r="BP250" s="206"/>
      <c r="BQ250" s="206"/>
      <c r="BR250" s="252"/>
      <c r="BS250" s="252"/>
      <c r="BT250" s="252"/>
      <c r="BU250" s="252"/>
      <c r="BV250" s="252"/>
      <c r="BW250" s="252"/>
      <c r="BX250" s="252"/>
      <c r="BY250" s="252"/>
      <c r="BZ250" s="252"/>
      <c r="CA250" s="252"/>
      <c r="CB250" s="252"/>
      <c r="CC250" s="252"/>
      <c r="CD250" s="252"/>
      <c r="CE250" s="252"/>
      <c r="CF250" s="252"/>
      <c r="CG250" s="252"/>
      <c r="CH250" s="252"/>
      <c r="CI250" s="252"/>
      <c r="CJ250" s="257"/>
      <c r="CK250" s="257"/>
      <c r="CL250" s="257"/>
      <c r="CM250" s="257"/>
      <c r="CN250" s="257"/>
      <c r="CO250" s="257"/>
      <c r="CP250" s="257"/>
      <c r="CQ250" s="257"/>
      <c r="CR250" s="257"/>
      <c r="CS250" s="257"/>
      <c r="CT250" s="257"/>
      <c r="CU250" s="257"/>
      <c r="CV250" s="257"/>
      <c r="CW250" s="257"/>
      <c r="CX250" s="257"/>
      <c r="CY250" s="257"/>
      <c r="CZ250" s="257"/>
      <c r="DA250" s="257"/>
      <c r="DB250" s="202"/>
      <c r="DC250" s="202"/>
      <c r="DD250" s="202"/>
      <c r="DE250" s="202"/>
      <c r="DF250" s="202"/>
      <c r="DG250" s="202"/>
      <c r="DH250" s="202"/>
      <c r="DI250" s="202"/>
      <c r="DJ250" s="202"/>
      <c r="DK250" s="202"/>
      <c r="DL250" s="202"/>
      <c r="DM250" s="202"/>
      <c r="DN250" s="202"/>
      <c r="DO250" s="202"/>
      <c r="DP250" s="202"/>
      <c r="DQ250" s="202"/>
      <c r="DR250" s="202"/>
      <c r="DS250" s="202"/>
      <c r="DT250" s="196"/>
      <c r="DU250" s="196"/>
      <c r="DV250" s="196"/>
      <c r="DW250" s="196"/>
      <c r="DX250" s="196"/>
      <c r="DY250" s="196"/>
      <c r="DZ250" s="196"/>
      <c r="EA250" s="196"/>
      <c r="EB250" s="176">
        <f t="shared" si="24"/>
        <v>0</v>
      </c>
      <c r="EC250" s="176">
        <f t="shared" si="25"/>
        <v>0</v>
      </c>
      <c r="ED250" s="176">
        <f t="shared" si="26"/>
        <v>0</v>
      </c>
      <c r="EE250" s="176">
        <f t="shared" si="27"/>
        <v>0</v>
      </c>
      <c r="EG250" s="129">
        <f t="shared" si="28"/>
        <v>0</v>
      </c>
      <c r="EI250" s="176">
        <f t="shared" si="29"/>
        <v>0</v>
      </c>
      <c r="EK250" s="176">
        <f t="shared" si="30"/>
        <v>0</v>
      </c>
      <c r="EL250" s="176"/>
      <c r="EM250" s="177"/>
      <c r="EN250" s="178"/>
      <c r="EO250" s="177"/>
      <c r="EP250" s="177"/>
      <c r="EQ250" s="176">
        <f t="shared" si="31"/>
        <v>0</v>
      </c>
      <c r="ER250" s="179">
        <v>23300</v>
      </c>
      <c r="ES250" s="177">
        <v>7.5</v>
      </c>
    </row>
    <row r="251" spans="1:149" x14ac:dyDescent="0.3">
      <c r="A251" s="197">
        <v>246</v>
      </c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247"/>
      <c r="AQ251" s="247"/>
      <c r="AR251" s="247"/>
      <c r="AS251" s="247"/>
      <c r="AT251" s="247"/>
      <c r="AU251" s="247"/>
      <c r="AV251" s="247"/>
      <c r="AW251" s="247"/>
      <c r="AX251" s="247"/>
      <c r="AY251" s="247"/>
      <c r="AZ251" s="247"/>
      <c r="BA251" s="247"/>
      <c r="BB251" s="247"/>
      <c r="BC251" s="247"/>
      <c r="BD251" s="206"/>
      <c r="BE251" s="206"/>
      <c r="BF251" s="206"/>
      <c r="BG251" s="206"/>
      <c r="BH251" s="206"/>
      <c r="BI251" s="206"/>
      <c r="BJ251" s="206"/>
      <c r="BK251" s="206"/>
      <c r="BL251" s="206"/>
      <c r="BM251" s="206"/>
      <c r="BN251" s="206"/>
      <c r="BO251" s="206"/>
      <c r="BP251" s="206"/>
      <c r="BQ251" s="206"/>
      <c r="BR251" s="252"/>
      <c r="BS251" s="252"/>
      <c r="BT251" s="252"/>
      <c r="BU251" s="252"/>
      <c r="BV251" s="252"/>
      <c r="BW251" s="252"/>
      <c r="BX251" s="252"/>
      <c r="BY251" s="252"/>
      <c r="BZ251" s="252"/>
      <c r="CA251" s="252"/>
      <c r="CB251" s="252"/>
      <c r="CC251" s="252"/>
      <c r="CD251" s="252"/>
      <c r="CE251" s="252"/>
      <c r="CF251" s="252"/>
      <c r="CG251" s="252"/>
      <c r="CH251" s="252"/>
      <c r="CI251" s="252"/>
      <c r="CJ251" s="257"/>
      <c r="CK251" s="257"/>
      <c r="CL251" s="257"/>
      <c r="CM251" s="257"/>
      <c r="CN251" s="257"/>
      <c r="CO251" s="257"/>
      <c r="CP251" s="257"/>
      <c r="CQ251" s="257"/>
      <c r="CR251" s="257"/>
      <c r="CS251" s="257"/>
      <c r="CT251" s="257"/>
      <c r="CU251" s="257"/>
      <c r="CV251" s="257"/>
      <c r="CW251" s="257"/>
      <c r="CX251" s="257"/>
      <c r="CY251" s="257"/>
      <c r="CZ251" s="257"/>
      <c r="DA251" s="257"/>
      <c r="DB251" s="202"/>
      <c r="DC251" s="202"/>
      <c r="DD251" s="202"/>
      <c r="DE251" s="202"/>
      <c r="DF251" s="202"/>
      <c r="DG251" s="202"/>
      <c r="DH251" s="202"/>
      <c r="DI251" s="202"/>
      <c r="DJ251" s="202"/>
      <c r="DK251" s="202"/>
      <c r="DL251" s="202"/>
      <c r="DM251" s="202"/>
      <c r="DN251" s="202"/>
      <c r="DO251" s="202"/>
      <c r="DP251" s="202"/>
      <c r="DQ251" s="202"/>
      <c r="DR251" s="202"/>
      <c r="DS251" s="202"/>
      <c r="DT251" s="196"/>
      <c r="DU251" s="196"/>
      <c r="DV251" s="196"/>
      <c r="DW251" s="196"/>
      <c r="DX251" s="196"/>
      <c r="DY251" s="196"/>
      <c r="DZ251" s="196"/>
      <c r="EA251" s="196"/>
      <c r="EB251" s="176">
        <f t="shared" si="24"/>
        <v>0</v>
      </c>
      <c r="EC251" s="176">
        <f t="shared" si="25"/>
        <v>0</v>
      </c>
      <c r="ED251" s="176">
        <f t="shared" si="26"/>
        <v>0</v>
      </c>
      <c r="EE251" s="176">
        <f t="shared" si="27"/>
        <v>0</v>
      </c>
      <c r="EG251" s="129">
        <f t="shared" si="28"/>
        <v>0</v>
      </c>
      <c r="EI251" s="176">
        <f t="shared" si="29"/>
        <v>0</v>
      </c>
      <c r="EK251" s="176">
        <f t="shared" si="30"/>
        <v>0</v>
      </c>
      <c r="EL251" s="176"/>
      <c r="EM251" s="177"/>
      <c r="EN251" s="178"/>
      <c r="EO251" s="177"/>
      <c r="EP251" s="177"/>
      <c r="EQ251" s="176">
        <f t="shared" si="31"/>
        <v>0</v>
      </c>
      <c r="ER251" s="179">
        <v>23300</v>
      </c>
      <c r="ES251" s="177">
        <v>7.5</v>
      </c>
    </row>
    <row r="252" spans="1:149" x14ac:dyDescent="0.3">
      <c r="A252" s="197">
        <v>247</v>
      </c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247"/>
      <c r="AQ252" s="247"/>
      <c r="AR252" s="247"/>
      <c r="AS252" s="247"/>
      <c r="AT252" s="247"/>
      <c r="AU252" s="247"/>
      <c r="AV252" s="247"/>
      <c r="AW252" s="247"/>
      <c r="AX252" s="247"/>
      <c r="AY252" s="247"/>
      <c r="AZ252" s="247"/>
      <c r="BA252" s="247"/>
      <c r="BB252" s="247"/>
      <c r="BC252" s="247"/>
      <c r="BD252" s="206"/>
      <c r="BE252" s="206"/>
      <c r="BF252" s="206"/>
      <c r="BG252" s="206"/>
      <c r="BH252" s="206"/>
      <c r="BI252" s="206"/>
      <c r="BJ252" s="206"/>
      <c r="BK252" s="206"/>
      <c r="BL252" s="206"/>
      <c r="BM252" s="206"/>
      <c r="BN252" s="206"/>
      <c r="BO252" s="206"/>
      <c r="BP252" s="206"/>
      <c r="BQ252" s="206"/>
      <c r="BR252" s="252"/>
      <c r="BS252" s="252"/>
      <c r="BT252" s="252"/>
      <c r="BU252" s="252"/>
      <c r="BV252" s="252"/>
      <c r="BW252" s="252"/>
      <c r="BX252" s="252"/>
      <c r="BY252" s="252"/>
      <c r="BZ252" s="252"/>
      <c r="CA252" s="252"/>
      <c r="CB252" s="252"/>
      <c r="CC252" s="252"/>
      <c r="CD252" s="252"/>
      <c r="CE252" s="252"/>
      <c r="CF252" s="252"/>
      <c r="CG252" s="252"/>
      <c r="CH252" s="252"/>
      <c r="CI252" s="252"/>
      <c r="CJ252" s="257"/>
      <c r="CK252" s="257"/>
      <c r="CL252" s="257"/>
      <c r="CM252" s="257"/>
      <c r="CN252" s="257"/>
      <c r="CO252" s="257"/>
      <c r="CP252" s="257"/>
      <c r="CQ252" s="257"/>
      <c r="CR252" s="257"/>
      <c r="CS252" s="257"/>
      <c r="CT252" s="257"/>
      <c r="CU252" s="257"/>
      <c r="CV252" s="257"/>
      <c r="CW252" s="257"/>
      <c r="CX252" s="257"/>
      <c r="CY252" s="257"/>
      <c r="CZ252" s="257"/>
      <c r="DA252" s="257"/>
      <c r="DB252" s="202"/>
      <c r="DC252" s="202"/>
      <c r="DD252" s="202"/>
      <c r="DE252" s="202"/>
      <c r="DF252" s="202"/>
      <c r="DG252" s="202"/>
      <c r="DH252" s="202"/>
      <c r="DI252" s="202"/>
      <c r="DJ252" s="202"/>
      <c r="DK252" s="202"/>
      <c r="DL252" s="202"/>
      <c r="DM252" s="202"/>
      <c r="DN252" s="202"/>
      <c r="DO252" s="202"/>
      <c r="DP252" s="202"/>
      <c r="DQ252" s="202"/>
      <c r="DR252" s="202"/>
      <c r="DS252" s="202"/>
      <c r="DT252" s="196"/>
      <c r="DU252" s="196"/>
      <c r="DV252" s="196"/>
      <c r="DW252" s="196"/>
      <c r="DX252" s="196"/>
      <c r="DY252" s="196"/>
      <c r="DZ252" s="196"/>
      <c r="EA252" s="196"/>
      <c r="EB252" s="176">
        <f t="shared" si="24"/>
        <v>0</v>
      </c>
      <c r="EC252" s="176">
        <f t="shared" si="25"/>
        <v>0</v>
      </c>
      <c r="ED252" s="176">
        <f t="shared" si="26"/>
        <v>0</v>
      </c>
      <c r="EE252" s="176">
        <f t="shared" si="27"/>
        <v>0</v>
      </c>
      <c r="EG252" s="129">
        <f t="shared" si="28"/>
        <v>0</v>
      </c>
      <c r="EI252" s="176">
        <f t="shared" si="29"/>
        <v>0</v>
      </c>
      <c r="EK252" s="176">
        <f t="shared" si="30"/>
        <v>0</v>
      </c>
      <c r="EL252" s="176"/>
      <c r="EM252" s="177"/>
      <c r="EN252" s="178"/>
      <c r="EO252" s="177"/>
      <c r="EP252" s="177"/>
      <c r="EQ252" s="176">
        <f t="shared" si="31"/>
        <v>0</v>
      </c>
      <c r="ER252" s="179">
        <v>23300</v>
      </c>
      <c r="ES252" s="177">
        <v>7.5</v>
      </c>
    </row>
    <row r="253" spans="1:149" x14ac:dyDescent="0.3">
      <c r="A253" s="197">
        <v>248</v>
      </c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247"/>
      <c r="AQ253" s="247"/>
      <c r="AR253" s="247"/>
      <c r="AS253" s="247"/>
      <c r="AT253" s="247"/>
      <c r="AU253" s="247"/>
      <c r="AV253" s="247"/>
      <c r="AW253" s="247"/>
      <c r="AX253" s="247"/>
      <c r="AY253" s="247"/>
      <c r="AZ253" s="247"/>
      <c r="BA253" s="247"/>
      <c r="BB253" s="247"/>
      <c r="BC253" s="247"/>
      <c r="BD253" s="206"/>
      <c r="BE253" s="206"/>
      <c r="BF253" s="206"/>
      <c r="BG253" s="206"/>
      <c r="BH253" s="206"/>
      <c r="BI253" s="206"/>
      <c r="BJ253" s="206"/>
      <c r="BK253" s="206"/>
      <c r="BL253" s="206"/>
      <c r="BM253" s="206"/>
      <c r="BN253" s="206"/>
      <c r="BO253" s="206"/>
      <c r="BP253" s="206"/>
      <c r="BQ253" s="206"/>
      <c r="BR253" s="252"/>
      <c r="BS253" s="252"/>
      <c r="BT253" s="252"/>
      <c r="BU253" s="252"/>
      <c r="BV253" s="252"/>
      <c r="BW253" s="252"/>
      <c r="BX253" s="252"/>
      <c r="BY253" s="252"/>
      <c r="BZ253" s="252"/>
      <c r="CA253" s="252"/>
      <c r="CB253" s="252"/>
      <c r="CC253" s="252"/>
      <c r="CD253" s="252"/>
      <c r="CE253" s="252"/>
      <c r="CF253" s="252"/>
      <c r="CG253" s="252"/>
      <c r="CH253" s="252"/>
      <c r="CI253" s="252"/>
      <c r="CJ253" s="257"/>
      <c r="CK253" s="257"/>
      <c r="CL253" s="257"/>
      <c r="CM253" s="257"/>
      <c r="CN253" s="257"/>
      <c r="CO253" s="257"/>
      <c r="CP253" s="257"/>
      <c r="CQ253" s="257"/>
      <c r="CR253" s="257"/>
      <c r="CS253" s="257"/>
      <c r="CT253" s="257"/>
      <c r="CU253" s="257"/>
      <c r="CV253" s="257"/>
      <c r="CW253" s="257"/>
      <c r="CX253" s="257"/>
      <c r="CY253" s="257"/>
      <c r="CZ253" s="257"/>
      <c r="DA253" s="257"/>
      <c r="DB253" s="202"/>
      <c r="DC253" s="202"/>
      <c r="DD253" s="202"/>
      <c r="DE253" s="202"/>
      <c r="DF253" s="202"/>
      <c r="DG253" s="202"/>
      <c r="DH253" s="202"/>
      <c r="DI253" s="202"/>
      <c r="DJ253" s="202"/>
      <c r="DK253" s="202"/>
      <c r="DL253" s="202"/>
      <c r="DM253" s="202"/>
      <c r="DN253" s="202"/>
      <c r="DO253" s="202"/>
      <c r="DP253" s="202"/>
      <c r="DQ253" s="202"/>
      <c r="DR253" s="202"/>
      <c r="DS253" s="202"/>
      <c r="DT253" s="196"/>
      <c r="DU253" s="196"/>
      <c r="DV253" s="196"/>
      <c r="DW253" s="196"/>
      <c r="DX253" s="196"/>
      <c r="DY253" s="196"/>
      <c r="DZ253" s="196"/>
      <c r="EA253" s="196"/>
      <c r="EB253" s="176">
        <f t="shared" si="24"/>
        <v>0</v>
      </c>
      <c r="EC253" s="176">
        <f t="shared" si="25"/>
        <v>0</v>
      </c>
      <c r="ED253" s="176">
        <f t="shared" si="26"/>
        <v>0</v>
      </c>
      <c r="EE253" s="176">
        <f t="shared" si="27"/>
        <v>0</v>
      </c>
      <c r="EG253" s="129">
        <f t="shared" si="28"/>
        <v>0</v>
      </c>
      <c r="EI253" s="176">
        <f t="shared" si="29"/>
        <v>0</v>
      </c>
      <c r="EK253" s="176">
        <f t="shared" si="30"/>
        <v>0</v>
      </c>
      <c r="EL253" s="176"/>
      <c r="EM253" s="177"/>
      <c r="EN253" s="178"/>
      <c r="EO253" s="177"/>
      <c r="EP253" s="177"/>
      <c r="EQ253" s="176">
        <f t="shared" si="31"/>
        <v>0</v>
      </c>
      <c r="ER253" s="179">
        <v>23300</v>
      </c>
      <c r="ES253" s="177">
        <v>7.5</v>
      </c>
    </row>
    <row r="254" spans="1:149" x14ac:dyDescent="0.3">
      <c r="A254" s="197">
        <v>249</v>
      </c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247"/>
      <c r="AQ254" s="247"/>
      <c r="AR254" s="247"/>
      <c r="AS254" s="247"/>
      <c r="AT254" s="247"/>
      <c r="AU254" s="247"/>
      <c r="AV254" s="247"/>
      <c r="AW254" s="247"/>
      <c r="AX254" s="247"/>
      <c r="AY254" s="247"/>
      <c r="AZ254" s="247"/>
      <c r="BA254" s="247"/>
      <c r="BB254" s="247"/>
      <c r="BC254" s="247"/>
      <c r="BD254" s="206"/>
      <c r="BE254" s="206"/>
      <c r="BF254" s="206"/>
      <c r="BG254" s="206"/>
      <c r="BH254" s="206"/>
      <c r="BI254" s="206"/>
      <c r="BJ254" s="206"/>
      <c r="BK254" s="206"/>
      <c r="BL254" s="206"/>
      <c r="BM254" s="206"/>
      <c r="BN254" s="206"/>
      <c r="BO254" s="206"/>
      <c r="BP254" s="206"/>
      <c r="BQ254" s="206"/>
      <c r="BR254" s="252"/>
      <c r="BS254" s="252"/>
      <c r="BT254" s="252"/>
      <c r="BU254" s="252"/>
      <c r="BV254" s="252"/>
      <c r="BW254" s="252"/>
      <c r="BX254" s="252"/>
      <c r="BY254" s="252"/>
      <c r="BZ254" s="252"/>
      <c r="CA254" s="252"/>
      <c r="CB254" s="252"/>
      <c r="CC254" s="252"/>
      <c r="CD254" s="252"/>
      <c r="CE254" s="252"/>
      <c r="CF254" s="252"/>
      <c r="CG254" s="252"/>
      <c r="CH254" s="252"/>
      <c r="CI254" s="252"/>
      <c r="CJ254" s="257"/>
      <c r="CK254" s="257"/>
      <c r="CL254" s="257"/>
      <c r="CM254" s="257"/>
      <c r="CN254" s="257"/>
      <c r="CO254" s="257"/>
      <c r="CP254" s="257"/>
      <c r="CQ254" s="257"/>
      <c r="CR254" s="257"/>
      <c r="CS254" s="257"/>
      <c r="CT254" s="257"/>
      <c r="CU254" s="257"/>
      <c r="CV254" s="257"/>
      <c r="CW254" s="257"/>
      <c r="CX254" s="257"/>
      <c r="CY254" s="257"/>
      <c r="CZ254" s="257"/>
      <c r="DA254" s="257"/>
      <c r="DB254" s="202"/>
      <c r="DC254" s="202"/>
      <c r="DD254" s="202"/>
      <c r="DE254" s="202"/>
      <c r="DF254" s="202"/>
      <c r="DG254" s="202"/>
      <c r="DH254" s="202"/>
      <c r="DI254" s="202"/>
      <c r="DJ254" s="202"/>
      <c r="DK254" s="202"/>
      <c r="DL254" s="202"/>
      <c r="DM254" s="202"/>
      <c r="DN254" s="202"/>
      <c r="DO254" s="202"/>
      <c r="DP254" s="202"/>
      <c r="DQ254" s="202"/>
      <c r="DR254" s="202"/>
      <c r="DS254" s="202"/>
      <c r="DT254" s="196"/>
      <c r="DU254" s="196"/>
      <c r="DV254" s="196"/>
      <c r="DW254" s="196"/>
      <c r="DX254" s="196"/>
      <c r="DY254" s="196"/>
      <c r="DZ254" s="196"/>
      <c r="EA254" s="196"/>
      <c r="EB254" s="176">
        <f t="shared" si="24"/>
        <v>0</v>
      </c>
      <c r="EC254" s="176">
        <f t="shared" si="25"/>
        <v>0</v>
      </c>
      <c r="ED254" s="176">
        <f t="shared" si="26"/>
        <v>0</v>
      </c>
      <c r="EE254" s="176">
        <f t="shared" si="27"/>
        <v>0</v>
      </c>
      <c r="EG254" s="129">
        <f t="shared" si="28"/>
        <v>0</v>
      </c>
      <c r="EI254" s="176">
        <f t="shared" si="29"/>
        <v>0</v>
      </c>
      <c r="EK254" s="176">
        <f t="shared" si="30"/>
        <v>0</v>
      </c>
      <c r="EL254" s="176"/>
      <c r="EM254" s="177"/>
      <c r="EN254" s="178"/>
      <c r="EO254" s="177"/>
      <c r="EP254" s="177"/>
      <c r="EQ254" s="176">
        <f t="shared" si="31"/>
        <v>0</v>
      </c>
      <c r="ER254" s="179">
        <v>23300</v>
      </c>
      <c r="ES254" s="177">
        <v>7.5</v>
      </c>
    </row>
    <row r="255" spans="1:149" x14ac:dyDescent="0.3">
      <c r="A255" s="197">
        <v>250</v>
      </c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247"/>
      <c r="AQ255" s="247"/>
      <c r="AR255" s="247"/>
      <c r="AS255" s="247"/>
      <c r="AT255" s="247"/>
      <c r="AU255" s="247"/>
      <c r="AV255" s="247"/>
      <c r="AW255" s="247"/>
      <c r="AX255" s="247"/>
      <c r="AY255" s="247"/>
      <c r="AZ255" s="247"/>
      <c r="BA255" s="247"/>
      <c r="BB255" s="247"/>
      <c r="BC255" s="247"/>
      <c r="BD255" s="206"/>
      <c r="BE255" s="206"/>
      <c r="BF255" s="206"/>
      <c r="BG255" s="206"/>
      <c r="BH255" s="206"/>
      <c r="BI255" s="206"/>
      <c r="BJ255" s="206"/>
      <c r="BK255" s="206"/>
      <c r="BL255" s="206"/>
      <c r="BM255" s="206"/>
      <c r="BN255" s="206"/>
      <c r="BO255" s="206"/>
      <c r="BP255" s="206"/>
      <c r="BQ255" s="206"/>
      <c r="BR255" s="252"/>
      <c r="BS255" s="252"/>
      <c r="BT255" s="252"/>
      <c r="BU255" s="252"/>
      <c r="BV255" s="252"/>
      <c r="BW255" s="252"/>
      <c r="BX255" s="252"/>
      <c r="BY255" s="252"/>
      <c r="BZ255" s="252"/>
      <c r="CA255" s="252"/>
      <c r="CB255" s="252"/>
      <c r="CC255" s="252"/>
      <c r="CD255" s="252"/>
      <c r="CE255" s="252"/>
      <c r="CF255" s="252"/>
      <c r="CG255" s="252"/>
      <c r="CH255" s="252"/>
      <c r="CI255" s="252"/>
      <c r="CJ255" s="257"/>
      <c r="CK255" s="257"/>
      <c r="CL255" s="257"/>
      <c r="CM255" s="257"/>
      <c r="CN255" s="257"/>
      <c r="CO255" s="257"/>
      <c r="CP255" s="257"/>
      <c r="CQ255" s="257"/>
      <c r="CR255" s="257"/>
      <c r="CS255" s="257"/>
      <c r="CT255" s="257"/>
      <c r="CU255" s="257"/>
      <c r="CV255" s="257"/>
      <c r="CW255" s="257"/>
      <c r="CX255" s="257"/>
      <c r="CY255" s="257"/>
      <c r="CZ255" s="257"/>
      <c r="DA255" s="257"/>
      <c r="DB255" s="202"/>
      <c r="DC255" s="202"/>
      <c r="DD255" s="202"/>
      <c r="DE255" s="202"/>
      <c r="DF255" s="202"/>
      <c r="DG255" s="202"/>
      <c r="DH255" s="202"/>
      <c r="DI255" s="202"/>
      <c r="DJ255" s="202"/>
      <c r="DK255" s="202"/>
      <c r="DL255" s="202"/>
      <c r="DM255" s="202"/>
      <c r="DN255" s="202"/>
      <c r="DO255" s="202"/>
      <c r="DP255" s="202"/>
      <c r="DQ255" s="202"/>
      <c r="DR255" s="202"/>
      <c r="DS255" s="202"/>
      <c r="DT255" s="196"/>
      <c r="DU255" s="196"/>
      <c r="DV255" s="196"/>
      <c r="DW255" s="196"/>
      <c r="DX255" s="196"/>
      <c r="DY255" s="196"/>
      <c r="DZ255" s="196"/>
      <c r="EA255" s="196"/>
      <c r="EB255" s="176">
        <f t="shared" si="24"/>
        <v>0</v>
      </c>
      <c r="EC255" s="176">
        <f t="shared" si="25"/>
        <v>0</v>
      </c>
      <c r="ED255" s="176">
        <f t="shared" si="26"/>
        <v>0</v>
      </c>
      <c r="EE255" s="176">
        <f t="shared" si="27"/>
        <v>0</v>
      </c>
      <c r="EG255" s="129">
        <f t="shared" si="28"/>
        <v>0</v>
      </c>
      <c r="EI255" s="176">
        <f t="shared" si="29"/>
        <v>0</v>
      </c>
      <c r="EK255" s="176">
        <f t="shared" si="30"/>
        <v>0</v>
      </c>
      <c r="EL255" s="176"/>
      <c r="EM255" s="177"/>
      <c r="EN255" s="178"/>
      <c r="EO255" s="177"/>
      <c r="EP255" s="177"/>
      <c r="EQ255" s="176">
        <f t="shared" si="31"/>
        <v>0</v>
      </c>
      <c r="ER255" s="179">
        <v>23300</v>
      </c>
      <c r="ES255" s="177">
        <v>7.5</v>
      </c>
    </row>
    <row r="256" spans="1:149" x14ac:dyDescent="0.3">
      <c r="A256" s="197">
        <v>251</v>
      </c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247"/>
      <c r="AQ256" s="247"/>
      <c r="AR256" s="247"/>
      <c r="AS256" s="247"/>
      <c r="AT256" s="247"/>
      <c r="AU256" s="247"/>
      <c r="AV256" s="247"/>
      <c r="AW256" s="247"/>
      <c r="AX256" s="247"/>
      <c r="AY256" s="247"/>
      <c r="AZ256" s="247"/>
      <c r="BA256" s="247"/>
      <c r="BB256" s="247"/>
      <c r="BC256" s="247"/>
      <c r="BD256" s="206"/>
      <c r="BE256" s="206"/>
      <c r="BF256" s="206"/>
      <c r="BG256" s="206"/>
      <c r="BH256" s="206"/>
      <c r="BI256" s="206"/>
      <c r="BJ256" s="206"/>
      <c r="BK256" s="206"/>
      <c r="BL256" s="206"/>
      <c r="BM256" s="206"/>
      <c r="BN256" s="206"/>
      <c r="BO256" s="206"/>
      <c r="BP256" s="206"/>
      <c r="BQ256" s="206"/>
      <c r="BR256" s="252"/>
      <c r="BS256" s="252"/>
      <c r="BT256" s="252"/>
      <c r="BU256" s="252"/>
      <c r="BV256" s="252"/>
      <c r="BW256" s="252"/>
      <c r="BX256" s="252"/>
      <c r="BY256" s="252"/>
      <c r="BZ256" s="252"/>
      <c r="CA256" s="252"/>
      <c r="CB256" s="252"/>
      <c r="CC256" s="252"/>
      <c r="CD256" s="252"/>
      <c r="CE256" s="252"/>
      <c r="CF256" s="252"/>
      <c r="CG256" s="252"/>
      <c r="CH256" s="252"/>
      <c r="CI256" s="252"/>
      <c r="CJ256" s="257"/>
      <c r="CK256" s="257"/>
      <c r="CL256" s="257"/>
      <c r="CM256" s="257"/>
      <c r="CN256" s="257"/>
      <c r="CO256" s="257"/>
      <c r="CP256" s="257"/>
      <c r="CQ256" s="257"/>
      <c r="CR256" s="257"/>
      <c r="CS256" s="257"/>
      <c r="CT256" s="257"/>
      <c r="CU256" s="257"/>
      <c r="CV256" s="257"/>
      <c r="CW256" s="257"/>
      <c r="CX256" s="257"/>
      <c r="CY256" s="257"/>
      <c r="CZ256" s="257"/>
      <c r="DA256" s="257"/>
      <c r="DB256" s="202"/>
      <c r="DC256" s="202"/>
      <c r="DD256" s="202"/>
      <c r="DE256" s="202"/>
      <c r="DF256" s="202"/>
      <c r="DG256" s="202"/>
      <c r="DH256" s="202"/>
      <c r="DI256" s="202"/>
      <c r="DJ256" s="202"/>
      <c r="DK256" s="202"/>
      <c r="DL256" s="202"/>
      <c r="DM256" s="202"/>
      <c r="DN256" s="202"/>
      <c r="DO256" s="202"/>
      <c r="DP256" s="202"/>
      <c r="DQ256" s="202"/>
      <c r="DR256" s="202"/>
      <c r="DS256" s="202"/>
      <c r="DT256" s="196"/>
      <c r="DU256" s="196"/>
      <c r="DV256" s="196"/>
      <c r="DW256" s="196"/>
      <c r="DX256" s="196"/>
      <c r="DY256" s="196"/>
      <c r="DZ256" s="196"/>
      <c r="EA256" s="196"/>
      <c r="EB256" s="176">
        <f t="shared" si="24"/>
        <v>0</v>
      </c>
      <c r="EC256" s="176">
        <f t="shared" si="25"/>
        <v>0</v>
      </c>
      <c r="ED256" s="176">
        <f t="shared" si="26"/>
        <v>0</v>
      </c>
      <c r="EE256" s="176">
        <f t="shared" si="27"/>
        <v>0</v>
      </c>
      <c r="EG256" s="129">
        <f t="shared" si="28"/>
        <v>0</v>
      </c>
      <c r="EI256" s="176">
        <f t="shared" si="29"/>
        <v>0</v>
      </c>
      <c r="EK256" s="176">
        <f t="shared" si="30"/>
        <v>0</v>
      </c>
      <c r="EL256" s="176"/>
      <c r="EM256" s="177"/>
      <c r="EN256" s="178"/>
      <c r="EO256" s="177"/>
      <c r="EP256" s="177"/>
      <c r="EQ256" s="176">
        <f t="shared" si="31"/>
        <v>0</v>
      </c>
      <c r="ER256" s="179">
        <v>23300</v>
      </c>
      <c r="ES256" s="177">
        <v>7.5</v>
      </c>
    </row>
    <row r="257" spans="1:149" x14ac:dyDescent="0.3">
      <c r="A257" s="197">
        <v>252</v>
      </c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247"/>
      <c r="AQ257" s="247"/>
      <c r="AR257" s="247"/>
      <c r="AS257" s="247"/>
      <c r="AT257" s="247"/>
      <c r="AU257" s="247"/>
      <c r="AV257" s="247"/>
      <c r="AW257" s="247"/>
      <c r="AX257" s="247"/>
      <c r="AY257" s="247"/>
      <c r="AZ257" s="247"/>
      <c r="BA257" s="247"/>
      <c r="BB257" s="247"/>
      <c r="BC257" s="247"/>
      <c r="BD257" s="206"/>
      <c r="BE257" s="206"/>
      <c r="BF257" s="206"/>
      <c r="BG257" s="206"/>
      <c r="BH257" s="206"/>
      <c r="BI257" s="206"/>
      <c r="BJ257" s="206"/>
      <c r="BK257" s="206"/>
      <c r="BL257" s="206"/>
      <c r="BM257" s="206"/>
      <c r="BN257" s="206"/>
      <c r="BO257" s="206"/>
      <c r="BP257" s="206"/>
      <c r="BQ257" s="206"/>
      <c r="BR257" s="252"/>
      <c r="BS257" s="252"/>
      <c r="BT257" s="252"/>
      <c r="BU257" s="252"/>
      <c r="BV257" s="252"/>
      <c r="BW257" s="252"/>
      <c r="BX257" s="252"/>
      <c r="BY257" s="252"/>
      <c r="BZ257" s="252"/>
      <c r="CA257" s="252"/>
      <c r="CB257" s="252"/>
      <c r="CC257" s="252"/>
      <c r="CD257" s="252"/>
      <c r="CE257" s="252"/>
      <c r="CF257" s="252"/>
      <c r="CG257" s="252"/>
      <c r="CH257" s="252"/>
      <c r="CI257" s="252"/>
      <c r="CJ257" s="257"/>
      <c r="CK257" s="257"/>
      <c r="CL257" s="257"/>
      <c r="CM257" s="257"/>
      <c r="CN257" s="257"/>
      <c r="CO257" s="257"/>
      <c r="CP257" s="257"/>
      <c r="CQ257" s="257"/>
      <c r="CR257" s="257"/>
      <c r="CS257" s="257"/>
      <c r="CT257" s="257"/>
      <c r="CU257" s="257"/>
      <c r="CV257" s="257"/>
      <c r="CW257" s="257"/>
      <c r="CX257" s="257"/>
      <c r="CY257" s="257"/>
      <c r="CZ257" s="257"/>
      <c r="DA257" s="257"/>
      <c r="DB257" s="202"/>
      <c r="DC257" s="202"/>
      <c r="DD257" s="202"/>
      <c r="DE257" s="202"/>
      <c r="DF257" s="202"/>
      <c r="DG257" s="202"/>
      <c r="DH257" s="202"/>
      <c r="DI257" s="202"/>
      <c r="DJ257" s="202"/>
      <c r="DK257" s="202"/>
      <c r="DL257" s="202"/>
      <c r="DM257" s="202"/>
      <c r="DN257" s="202"/>
      <c r="DO257" s="202"/>
      <c r="DP257" s="202"/>
      <c r="DQ257" s="202"/>
      <c r="DR257" s="202"/>
      <c r="DS257" s="202"/>
      <c r="DT257" s="196"/>
      <c r="DU257" s="196"/>
      <c r="DV257" s="196"/>
      <c r="DW257" s="196"/>
      <c r="DX257" s="196"/>
      <c r="DY257" s="196"/>
      <c r="DZ257" s="196"/>
      <c r="EA257" s="196"/>
      <c r="EB257" s="176">
        <f t="shared" si="24"/>
        <v>0</v>
      </c>
      <c r="EC257" s="176">
        <f t="shared" si="25"/>
        <v>0</v>
      </c>
      <c r="ED257" s="176">
        <f t="shared" si="26"/>
        <v>0</v>
      </c>
      <c r="EE257" s="176">
        <f t="shared" si="27"/>
        <v>0</v>
      </c>
      <c r="EG257" s="129">
        <f t="shared" si="28"/>
        <v>0</v>
      </c>
      <c r="EI257" s="176">
        <f t="shared" si="29"/>
        <v>0</v>
      </c>
      <c r="EK257" s="176">
        <f t="shared" si="30"/>
        <v>0</v>
      </c>
      <c r="EL257" s="176"/>
      <c r="EM257" s="177"/>
      <c r="EN257" s="178"/>
      <c r="EO257" s="177"/>
      <c r="EP257" s="177"/>
      <c r="EQ257" s="176">
        <f t="shared" si="31"/>
        <v>0</v>
      </c>
      <c r="ER257" s="179">
        <v>23300</v>
      </c>
      <c r="ES257" s="177">
        <v>7.5</v>
      </c>
    </row>
    <row r="258" spans="1:149" x14ac:dyDescent="0.3">
      <c r="A258" s="197">
        <v>253</v>
      </c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247"/>
      <c r="AQ258" s="247"/>
      <c r="AR258" s="247"/>
      <c r="AS258" s="247"/>
      <c r="AT258" s="247"/>
      <c r="AU258" s="247"/>
      <c r="AV258" s="247"/>
      <c r="AW258" s="247"/>
      <c r="AX258" s="247"/>
      <c r="AY258" s="247"/>
      <c r="AZ258" s="247"/>
      <c r="BA258" s="247"/>
      <c r="BB258" s="247"/>
      <c r="BC258" s="247"/>
      <c r="BD258" s="206"/>
      <c r="BE258" s="206"/>
      <c r="BF258" s="206"/>
      <c r="BG258" s="206"/>
      <c r="BH258" s="206"/>
      <c r="BI258" s="206"/>
      <c r="BJ258" s="206"/>
      <c r="BK258" s="206"/>
      <c r="BL258" s="206"/>
      <c r="BM258" s="206"/>
      <c r="BN258" s="206"/>
      <c r="BO258" s="206"/>
      <c r="BP258" s="206"/>
      <c r="BQ258" s="206"/>
      <c r="BR258" s="252"/>
      <c r="BS258" s="252"/>
      <c r="BT258" s="252"/>
      <c r="BU258" s="252"/>
      <c r="BV258" s="252"/>
      <c r="BW258" s="252"/>
      <c r="BX258" s="252"/>
      <c r="BY258" s="252"/>
      <c r="BZ258" s="252"/>
      <c r="CA258" s="252"/>
      <c r="CB258" s="252"/>
      <c r="CC258" s="252"/>
      <c r="CD258" s="252"/>
      <c r="CE258" s="252"/>
      <c r="CF258" s="252"/>
      <c r="CG258" s="252"/>
      <c r="CH258" s="252"/>
      <c r="CI258" s="252"/>
      <c r="CJ258" s="257"/>
      <c r="CK258" s="257"/>
      <c r="CL258" s="257"/>
      <c r="CM258" s="257"/>
      <c r="CN258" s="257"/>
      <c r="CO258" s="257"/>
      <c r="CP258" s="257"/>
      <c r="CQ258" s="257"/>
      <c r="CR258" s="257"/>
      <c r="CS258" s="257"/>
      <c r="CT258" s="257"/>
      <c r="CU258" s="257"/>
      <c r="CV258" s="257"/>
      <c r="CW258" s="257"/>
      <c r="CX258" s="257"/>
      <c r="CY258" s="257"/>
      <c r="CZ258" s="257"/>
      <c r="DA258" s="257"/>
      <c r="DB258" s="202"/>
      <c r="DC258" s="202"/>
      <c r="DD258" s="202"/>
      <c r="DE258" s="202"/>
      <c r="DF258" s="202"/>
      <c r="DG258" s="202"/>
      <c r="DH258" s="202"/>
      <c r="DI258" s="202"/>
      <c r="DJ258" s="202"/>
      <c r="DK258" s="202"/>
      <c r="DL258" s="202"/>
      <c r="DM258" s="202"/>
      <c r="DN258" s="202"/>
      <c r="DO258" s="202"/>
      <c r="DP258" s="202"/>
      <c r="DQ258" s="202"/>
      <c r="DR258" s="202"/>
      <c r="DS258" s="202"/>
      <c r="DT258" s="196"/>
      <c r="DU258" s="196"/>
      <c r="DV258" s="196"/>
      <c r="DW258" s="196"/>
      <c r="DX258" s="196"/>
      <c r="DY258" s="196"/>
      <c r="DZ258" s="196"/>
      <c r="EA258" s="196"/>
      <c r="EB258" s="176">
        <f t="shared" si="24"/>
        <v>0</v>
      </c>
      <c r="EC258" s="176">
        <f t="shared" si="25"/>
        <v>0</v>
      </c>
      <c r="ED258" s="176">
        <f t="shared" si="26"/>
        <v>0</v>
      </c>
      <c r="EE258" s="176">
        <f t="shared" si="27"/>
        <v>0</v>
      </c>
      <c r="EG258" s="129">
        <f t="shared" si="28"/>
        <v>0</v>
      </c>
      <c r="EI258" s="176">
        <f t="shared" si="29"/>
        <v>0</v>
      </c>
      <c r="EK258" s="176">
        <f t="shared" si="30"/>
        <v>0</v>
      </c>
      <c r="EL258" s="176"/>
      <c r="EM258" s="177"/>
      <c r="EN258" s="178"/>
      <c r="EO258" s="177"/>
      <c r="EP258" s="177"/>
      <c r="EQ258" s="176">
        <f t="shared" si="31"/>
        <v>0</v>
      </c>
      <c r="ER258" s="179">
        <v>23300</v>
      </c>
      <c r="ES258" s="177">
        <v>7.5</v>
      </c>
    </row>
    <row r="259" spans="1:149" x14ac:dyDescent="0.3">
      <c r="A259" s="197">
        <v>254</v>
      </c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247"/>
      <c r="AQ259" s="247"/>
      <c r="AR259" s="247"/>
      <c r="AS259" s="247"/>
      <c r="AT259" s="247"/>
      <c r="AU259" s="247"/>
      <c r="AV259" s="247"/>
      <c r="AW259" s="247"/>
      <c r="AX259" s="247"/>
      <c r="AY259" s="247"/>
      <c r="AZ259" s="247"/>
      <c r="BA259" s="247"/>
      <c r="BB259" s="247"/>
      <c r="BC259" s="247"/>
      <c r="BD259" s="206"/>
      <c r="BE259" s="206"/>
      <c r="BF259" s="206"/>
      <c r="BG259" s="206"/>
      <c r="BH259" s="206"/>
      <c r="BI259" s="206"/>
      <c r="BJ259" s="206"/>
      <c r="BK259" s="206"/>
      <c r="BL259" s="206"/>
      <c r="BM259" s="206"/>
      <c r="BN259" s="206"/>
      <c r="BO259" s="206"/>
      <c r="BP259" s="206"/>
      <c r="BQ259" s="206"/>
      <c r="BR259" s="252"/>
      <c r="BS259" s="252"/>
      <c r="BT259" s="252"/>
      <c r="BU259" s="252"/>
      <c r="BV259" s="252"/>
      <c r="BW259" s="252"/>
      <c r="BX259" s="252"/>
      <c r="BY259" s="252"/>
      <c r="BZ259" s="252"/>
      <c r="CA259" s="252"/>
      <c r="CB259" s="252"/>
      <c r="CC259" s="252"/>
      <c r="CD259" s="252"/>
      <c r="CE259" s="252"/>
      <c r="CF259" s="252"/>
      <c r="CG259" s="252"/>
      <c r="CH259" s="252"/>
      <c r="CI259" s="252"/>
      <c r="CJ259" s="257"/>
      <c r="CK259" s="257"/>
      <c r="CL259" s="257"/>
      <c r="CM259" s="257"/>
      <c r="CN259" s="257"/>
      <c r="CO259" s="257"/>
      <c r="CP259" s="257"/>
      <c r="CQ259" s="257"/>
      <c r="CR259" s="257"/>
      <c r="CS259" s="257"/>
      <c r="CT259" s="257"/>
      <c r="CU259" s="257"/>
      <c r="CV259" s="257"/>
      <c r="CW259" s="257"/>
      <c r="CX259" s="257"/>
      <c r="CY259" s="257"/>
      <c r="CZ259" s="257"/>
      <c r="DA259" s="257"/>
      <c r="DB259" s="202"/>
      <c r="DC259" s="202"/>
      <c r="DD259" s="202"/>
      <c r="DE259" s="202"/>
      <c r="DF259" s="202"/>
      <c r="DG259" s="202"/>
      <c r="DH259" s="202"/>
      <c r="DI259" s="202"/>
      <c r="DJ259" s="202"/>
      <c r="DK259" s="202"/>
      <c r="DL259" s="202"/>
      <c r="DM259" s="202"/>
      <c r="DN259" s="202"/>
      <c r="DO259" s="202"/>
      <c r="DP259" s="202"/>
      <c r="DQ259" s="202"/>
      <c r="DR259" s="202"/>
      <c r="DS259" s="202"/>
      <c r="DT259" s="196"/>
      <c r="DU259" s="196"/>
      <c r="DV259" s="196"/>
      <c r="DW259" s="196"/>
      <c r="DX259" s="196"/>
      <c r="DY259" s="196"/>
      <c r="DZ259" s="196"/>
      <c r="EA259" s="196"/>
      <c r="EB259" s="176">
        <f t="shared" si="24"/>
        <v>0</v>
      </c>
      <c r="EC259" s="176">
        <f t="shared" si="25"/>
        <v>0</v>
      </c>
      <c r="ED259" s="176">
        <f t="shared" si="26"/>
        <v>0</v>
      </c>
      <c r="EE259" s="176">
        <f t="shared" si="27"/>
        <v>0</v>
      </c>
      <c r="EG259" s="129">
        <f t="shared" si="28"/>
        <v>0</v>
      </c>
      <c r="EI259" s="176">
        <f t="shared" si="29"/>
        <v>0</v>
      </c>
      <c r="EK259" s="176">
        <f t="shared" si="30"/>
        <v>0</v>
      </c>
      <c r="EL259" s="176"/>
      <c r="EM259" s="177"/>
      <c r="EN259" s="178"/>
      <c r="EO259" s="177"/>
      <c r="EP259" s="177"/>
      <c r="EQ259" s="176">
        <f t="shared" si="31"/>
        <v>0</v>
      </c>
      <c r="ER259" s="179">
        <v>23300</v>
      </c>
      <c r="ES259" s="177">
        <v>7.5</v>
      </c>
    </row>
    <row r="260" spans="1:149" x14ac:dyDescent="0.3">
      <c r="A260" s="197">
        <v>255</v>
      </c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247"/>
      <c r="AQ260" s="247"/>
      <c r="AR260" s="247"/>
      <c r="AS260" s="247"/>
      <c r="AT260" s="247"/>
      <c r="AU260" s="247"/>
      <c r="AV260" s="247"/>
      <c r="AW260" s="247"/>
      <c r="AX260" s="247"/>
      <c r="AY260" s="247"/>
      <c r="AZ260" s="247"/>
      <c r="BA260" s="247"/>
      <c r="BB260" s="247"/>
      <c r="BC260" s="247"/>
      <c r="BD260" s="206"/>
      <c r="BE260" s="206"/>
      <c r="BF260" s="206"/>
      <c r="BG260" s="206"/>
      <c r="BH260" s="206"/>
      <c r="BI260" s="206"/>
      <c r="BJ260" s="206"/>
      <c r="BK260" s="206"/>
      <c r="BL260" s="206"/>
      <c r="BM260" s="206"/>
      <c r="BN260" s="206"/>
      <c r="BO260" s="206"/>
      <c r="BP260" s="206"/>
      <c r="BQ260" s="206"/>
      <c r="BR260" s="252"/>
      <c r="BS260" s="252"/>
      <c r="BT260" s="252"/>
      <c r="BU260" s="252"/>
      <c r="BV260" s="252"/>
      <c r="BW260" s="252"/>
      <c r="BX260" s="252"/>
      <c r="BY260" s="252"/>
      <c r="BZ260" s="252"/>
      <c r="CA260" s="252"/>
      <c r="CB260" s="252"/>
      <c r="CC260" s="252"/>
      <c r="CD260" s="252"/>
      <c r="CE260" s="252"/>
      <c r="CF260" s="252"/>
      <c r="CG260" s="252"/>
      <c r="CH260" s="252"/>
      <c r="CI260" s="252"/>
      <c r="CJ260" s="257"/>
      <c r="CK260" s="257"/>
      <c r="CL260" s="257"/>
      <c r="CM260" s="257"/>
      <c r="CN260" s="257"/>
      <c r="CO260" s="257"/>
      <c r="CP260" s="257"/>
      <c r="CQ260" s="257"/>
      <c r="CR260" s="257"/>
      <c r="CS260" s="257"/>
      <c r="CT260" s="257"/>
      <c r="CU260" s="257"/>
      <c r="CV260" s="257"/>
      <c r="CW260" s="257"/>
      <c r="CX260" s="257"/>
      <c r="CY260" s="257"/>
      <c r="CZ260" s="257"/>
      <c r="DA260" s="257"/>
      <c r="DB260" s="202"/>
      <c r="DC260" s="202"/>
      <c r="DD260" s="202"/>
      <c r="DE260" s="202"/>
      <c r="DF260" s="202"/>
      <c r="DG260" s="202"/>
      <c r="DH260" s="202"/>
      <c r="DI260" s="202"/>
      <c r="DJ260" s="202"/>
      <c r="DK260" s="202"/>
      <c r="DL260" s="202"/>
      <c r="DM260" s="202"/>
      <c r="DN260" s="202"/>
      <c r="DO260" s="202"/>
      <c r="DP260" s="202"/>
      <c r="DQ260" s="202"/>
      <c r="DR260" s="202"/>
      <c r="DS260" s="202"/>
      <c r="DT260" s="196"/>
      <c r="DU260" s="196"/>
      <c r="DV260" s="196"/>
      <c r="DW260" s="196"/>
      <c r="DX260" s="196"/>
      <c r="DY260" s="196"/>
      <c r="DZ260" s="196"/>
      <c r="EA260" s="196"/>
      <c r="EB260" s="176">
        <f t="shared" si="24"/>
        <v>0</v>
      </c>
      <c r="EC260" s="176">
        <f t="shared" si="25"/>
        <v>0</v>
      </c>
      <c r="ED260" s="176">
        <f t="shared" si="26"/>
        <v>0</v>
      </c>
      <c r="EE260" s="176">
        <f t="shared" si="27"/>
        <v>0</v>
      </c>
      <c r="EG260" s="129">
        <f t="shared" si="28"/>
        <v>0</v>
      </c>
      <c r="EI260" s="176">
        <f t="shared" si="29"/>
        <v>0</v>
      </c>
      <c r="EK260" s="176">
        <f t="shared" si="30"/>
        <v>0</v>
      </c>
      <c r="EL260" s="176"/>
      <c r="EM260" s="177"/>
      <c r="EN260" s="178"/>
      <c r="EO260" s="177"/>
      <c r="EP260" s="177"/>
      <c r="EQ260" s="176">
        <f t="shared" si="31"/>
        <v>0</v>
      </c>
      <c r="ER260" s="179">
        <v>23300</v>
      </c>
      <c r="ES260" s="177">
        <v>7.5</v>
      </c>
    </row>
    <row r="261" spans="1:149" x14ac:dyDescent="0.3">
      <c r="A261" s="197">
        <v>256</v>
      </c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247"/>
      <c r="AQ261" s="247"/>
      <c r="AR261" s="247"/>
      <c r="AS261" s="247"/>
      <c r="AT261" s="247"/>
      <c r="AU261" s="247"/>
      <c r="AV261" s="247"/>
      <c r="AW261" s="247"/>
      <c r="AX261" s="247"/>
      <c r="AY261" s="247"/>
      <c r="AZ261" s="247"/>
      <c r="BA261" s="247"/>
      <c r="BB261" s="247"/>
      <c r="BC261" s="247"/>
      <c r="BD261" s="206"/>
      <c r="BE261" s="206"/>
      <c r="BF261" s="206"/>
      <c r="BG261" s="206"/>
      <c r="BH261" s="206"/>
      <c r="BI261" s="206"/>
      <c r="BJ261" s="206"/>
      <c r="BK261" s="206"/>
      <c r="BL261" s="206"/>
      <c r="BM261" s="206"/>
      <c r="BN261" s="206"/>
      <c r="BO261" s="206"/>
      <c r="BP261" s="206"/>
      <c r="BQ261" s="206"/>
      <c r="BR261" s="252"/>
      <c r="BS261" s="252"/>
      <c r="BT261" s="252"/>
      <c r="BU261" s="252"/>
      <c r="BV261" s="252"/>
      <c r="BW261" s="252"/>
      <c r="BX261" s="252"/>
      <c r="BY261" s="252"/>
      <c r="BZ261" s="252"/>
      <c r="CA261" s="252"/>
      <c r="CB261" s="252"/>
      <c r="CC261" s="252"/>
      <c r="CD261" s="252"/>
      <c r="CE261" s="252"/>
      <c r="CF261" s="252"/>
      <c r="CG261" s="252"/>
      <c r="CH261" s="252"/>
      <c r="CI261" s="252"/>
      <c r="CJ261" s="257"/>
      <c r="CK261" s="257"/>
      <c r="CL261" s="257"/>
      <c r="CM261" s="257"/>
      <c r="CN261" s="257"/>
      <c r="CO261" s="257"/>
      <c r="CP261" s="257"/>
      <c r="CQ261" s="257"/>
      <c r="CR261" s="257"/>
      <c r="CS261" s="257"/>
      <c r="CT261" s="257"/>
      <c r="CU261" s="257"/>
      <c r="CV261" s="257"/>
      <c r="CW261" s="257"/>
      <c r="CX261" s="257"/>
      <c r="CY261" s="257"/>
      <c r="CZ261" s="257"/>
      <c r="DA261" s="257"/>
      <c r="DB261" s="202"/>
      <c r="DC261" s="202"/>
      <c r="DD261" s="202"/>
      <c r="DE261" s="202"/>
      <c r="DF261" s="202"/>
      <c r="DG261" s="202"/>
      <c r="DH261" s="202"/>
      <c r="DI261" s="202"/>
      <c r="DJ261" s="202"/>
      <c r="DK261" s="202"/>
      <c r="DL261" s="202"/>
      <c r="DM261" s="202"/>
      <c r="DN261" s="202"/>
      <c r="DO261" s="202"/>
      <c r="DP261" s="202"/>
      <c r="DQ261" s="202"/>
      <c r="DR261" s="202"/>
      <c r="DS261" s="202"/>
      <c r="DT261" s="196"/>
      <c r="DU261" s="196"/>
      <c r="DV261" s="196"/>
      <c r="DW261" s="196"/>
      <c r="DX261" s="196"/>
      <c r="DY261" s="196"/>
      <c r="DZ261" s="196"/>
      <c r="EA261" s="196"/>
      <c r="EB261" s="176">
        <f t="shared" si="24"/>
        <v>0</v>
      </c>
      <c r="EC261" s="176">
        <f t="shared" si="25"/>
        <v>0</v>
      </c>
      <c r="ED261" s="176">
        <f t="shared" si="26"/>
        <v>0</v>
      </c>
      <c r="EE261" s="176">
        <f t="shared" si="27"/>
        <v>0</v>
      </c>
      <c r="EG261" s="129">
        <f t="shared" si="28"/>
        <v>0</v>
      </c>
      <c r="EI261" s="176">
        <f t="shared" si="29"/>
        <v>0</v>
      </c>
      <c r="EK261" s="176">
        <f t="shared" si="30"/>
        <v>0</v>
      </c>
      <c r="EL261" s="176"/>
      <c r="EM261" s="177"/>
      <c r="EN261" s="178"/>
      <c r="EO261" s="177"/>
      <c r="EP261" s="177"/>
      <c r="EQ261" s="176">
        <f t="shared" si="31"/>
        <v>0</v>
      </c>
      <c r="ER261" s="179">
        <v>23300</v>
      </c>
      <c r="ES261" s="177">
        <v>7.5</v>
      </c>
    </row>
    <row r="262" spans="1:149" x14ac:dyDescent="0.3">
      <c r="A262" s="197">
        <v>257</v>
      </c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247"/>
      <c r="AQ262" s="247"/>
      <c r="AR262" s="247"/>
      <c r="AS262" s="247"/>
      <c r="AT262" s="247"/>
      <c r="AU262" s="247"/>
      <c r="AV262" s="247"/>
      <c r="AW262" s="247"/>
      <c r="AX262" s="247"/>
      <c r="AY262" s="247"/>
      <c r="AZ262" s="247"/>
      <c r="BA262" s="247"/>
      <c r="BB262" s="247"/>
      <c r="BC262" s="247"/>
      <c r="BD262" s="206"/>
      <c r="BE262" s="206"/>
      <c r="BF262" s="206"/>
      <c r="BG262" s="206"/>
      <c r="BH262" s="206"/>
      <c r="BI262" s="206"/>
      <c r="BJ262" s="206"/>
      <c r="BK262" s="206"/>
      <c r="BL262" s="206"/>
      <c r="BM262" s="206"/>
      <c r="BN262" s="206"/>
      <c r="BO262" s="206"/>
      <c r="BP262" s="206"/>
      <c r="BQ262" s="206"/>
      <c r="BR262" s="252"/>
      <c r="BS262" s="252"/>
      <c r="BT262" s="252"/>
      <c r="BU262" s="252"/>
      <c r="BV262" s="252"/>
      <c r="BW262" s="252"/>
      <c r="BX262" s="252"/>
      <c r="BY262" s="252"/>
      <c r="BZ262" s="252"/>
      <c r="CA262" s="252"/>
      <c r="CB262" s="252"/>
      <c r="CC262" s="252"/>
      <c r="CD262" s="252"/>
      <c r="CE262" s="252"/>
      <c r="CF262" s="252"/>
      <c r="CG262" s="252"/>
      <c r="CH262" s="252"/>
      <c r="CI262" s="252"/>
      <c r="CJ262" s="257"/>
      <c r="CK262" s="257"/>
      <c r="CL262" s="257"/>
      <c r="CM262" s="257"/>
      <c r="CN262" s="257"/>
      <c r="CO262" s="257"/>
      <c r="CP262" s="257"/>
      <c r="CQ262" s="257"/>
      <c r="CR262" s="257"/>
      <c r="CS262" s="257"/>
      <c r="CT262" s="257"/>
      <c r="CU262" s="257"/>
      <c r="CV262" s="257"/>
      <c r="CW262" s="257"/>
      <c r="CX262" s="257"/>
      <c r="CY262" s="257"/>
      <c r="CZ262" s="257"/>
      <c r="DA262" s="257"/>
      <c r="DB262" s="202"/>
      <c r="DC262" s="202"/>
      <c r="DD262" s="202"/>
      <c r="DE262" s="202"/>
      <c r="DF262" s="202"/>
      <c r="DG262" s="202"/>
      <c r="DH262" s="202"/>
      <c r="DI262" s="202"/>
      <c r="DJ262" s="202"/>
      <c r="DK262" s="202"/>
      <c r="DL262" s="202"/>
      <c r="DM262" s="202"/>
      <c r="DN262" s="202"/>
      <c r="DO262" s="202"/>
      <c r="DP262" s="202"/>
      <c r="DQ262" s="202"/>
      <c r="DR262" s="202"/>
      <c r="DS262" s="202"/>
      <c r="DT262" s="196"/>
      <c r="DU262" s="196"/>
      <c r="DV262" s="196"/>
      <c r="DW262" s="196"/>
      <c r="DX262" s="196"/>
      <c r="DY262" s="196"/>
      <c r="DZ262" s="196"/>
      <c r="EA262" s="196"/>
      <c r="EB262" s="176">
        <f t="shared" ref="EB262:EB325" si="32">AB262+AC262*K262+AD262*K262+((AF262+AG262+AH262+AJ262+AK262)*K262+AE262+AI262+AL262*K262+AM262*K262)+AP262+AQ262*L262+AR262*L262+((AT262+AU262+AV262+AX262+AY262)*L262+AS262+AW262+AZ262*L262+BA262*L262)+IF(AND(M262&gt;0,MAX(M262,N262/1000)&lt;1),BD262+1*(BE262+BF262)+(1*(BH262+BI262+BJ262+BL262+BM262)+BG262+BK262+BN262+BO262),IF(AND(M262&gt;0,MAX(M262,N262/1000)&gt;1),BD262+MAX(M262,N262/1000)*(BE262+BF262)+(MAX(M262,N262/1000)*(BH262+BI262+BJ262+BL262+BM262)+BG262+BK262+BN262+BO262),IF(AND(K262="",L262="",M262=""),BD262+N262*(BE262+BF262)+((BH262+BI262+BJ262+BL262+BM262)*N262+BG262+BK262+BN262+BO262),0)))</f>
        <v>0</v>
      </c>
      <c r="EC262" s="176">
        <f t="shared" ref="EC262:EC325" si="33">BR262+BS262*K262+BT262*K262+((BV262+BW262+BX262+BZ262+CA262)*K262+BU262+BY262+CB262*K262+CC262*K262)+CJ262+CK262*L262+CL262*L262+((CN262+CO262+CP262+CR262+CS262)*L262+CM262+CQ262+CT262*L262+CU262*L262)+IF(AND(M262&gt;0,MAX(M262,N262/1000)&lt;1),DB262+1*(DC262+DD262)+(1*(DF262+DG262+DH262+DJ262+DK262)+DE262+DI262+DL262+DM262),IF(AND(M262&gt;0,MAX(M262,N262/1000)&gt;1),DB262+MAX(M262,N262/1000)*(DC262+DD262)+(MAX(M262,N262/1000)*(DF262+DG262+DH262+DJ262+DK262)+DE262+DI262+DL262+DM262),IF(AND(K262="",L262="",M262=""),DB262+N262*(DC262+DD262)+((DF262+DG262+DH262+DJ262+DK262)*N262+DE262+DI262+DL262+DM262),0)))</f>
        <v>0</v>
      </c>
      <c r="ED262" s="176">
        <f t="shared" ref="ED262:ED325" si="34">AN262*K262*(1-AO262%)+BB262*L262*(1-BC262%)+BP262*IF(AND(M262&gt;0,M262&lt;1),1,IF(M262&gt;1,MAX(M262,N262/1000),N262))*(1-BQ262%)</f>
        <v>0</v>
      </c>
      <c r="EE262" s="176">
        <f t="shared" ref="EE262:EE325" si="35">(CD262+CE262*K262)*(1-CF262%)+(CG262+CH262*K262)*(1-CI262%)+(CV262+CW262*L262)*(1-CX262%)+(CY262+CZ262*L262)*(1-DA262%)+(DN262+DO262*IF(AND(M262&gt;0,M262&lt;1),1,IF(M262&gt;1,MAX(M262,N262/1000),N262)))*(1-DP262%)+(DQ262+DR262*IF(AND(M262&gt;0,M262&lt;1),1,IF(M262&gt;1,MAX(M262,N262/1000),N262)))*(1-DS262%)</f>
        <v>0</v>
      </c>
      <c r="EG262" s="129">
        <f t="shared" ref="EG262:EG325" si="36">((BR262+BS262*K262+BT262*K262)+(CJ262+CK262*L262*+CL262*L262)+IF(AND(M262&gt;0,MAX(M262,N262/1000)&lt;1),DB262+DC262+DD262,IF(AND(M262&gt;0,MAX(M262,N262/1000)&gt;1),DB262+DC262*M262+DD262*M262,IF(AND(M262&gt;0,MAX(M262,N262/1000)&gt;1),DB262+MAX(M262,N262/1000)*DC262+MAX(M262,N262/1000)*DD262+IF(AND(K262="",L262="",M262=""),DB262+DC262*N262+DD262*N262,0)))))*EF262/365*ES262%</f>
        <v>0</v>
      </c>
      <c r="EI262" s="176">
        <f t="shared" ref="EI262:EI325" si="37">(((BV262+BW262+BX262+BZ262+CA262)*K262+BU262+BY262)*1.08+CJ262+CK262*L262+CL262*L262+((CN262+CO262+CP262+CR262+CS262)*L262+CM262+CQ262)*1.08+IF(AND(M262&gt;0,MAX(M262,N262/1000)&lt;1),DB262+1*(DC262+DD262)+(1*(DF262+DG262+DH262+DJ262+DK262)+DE262+DI262)*1.08,IF(AND(M262&gt;0,MAX(M262,N262/1000)&gt;1),DB262+MAX(M262,N262/1000)*(DC262+DD262)+(MAX(M262,N262/1000)*(DF262+DG262+DH262+DJ262+DK262)+DE262+DI262)*1.08,IF(AND(K262="",L262="",M262=""),DB262+N262*(DC262+DD262)+((DF262+DG262+DH262+DJ262+DK262)*N262+DE262+DI262)*1.08,0))))*EH262/365*ES262%</f>
        <v>0</v>
      </c>
      <c r="EK262" s="176">
        <f t="shared" ref="EK262:EK325" si="38">((CB262*K262+CC262*K262)*1.1+(CT262*L262+CU262*L262)*1.1+(DL262+DM262)*1.1)*EJ262/365*ES262%</f>
        <v>0</v>
      </c>
      <c r="EL262" s="176"/>
      <c r="EM262" s="177"/>
      <c r="EN262" s="178"/>
      <c r="EO262" s="177"/>
      <c r="EP262" s="177"/>
      <c r="EQ262" s="176">
        <f t="shared" ref="EQ262:EQ325" si="39">EC262-EB262-EG262-EI262-EK262-(AN262*K262+BB262*L262+BP262*IF(AND(M262&gt;0,M262&lt;1),1,IF(M262&gt;1,MAX(M262,N262/1000),N262))+CD262+CE262*K262+CV262+CW262*L262+DN262+DO262*IF(AND(M262&gt;0,M262&lt;1),1,IF(M262&gt;1,MAX(M262,N262/1000),N262))+CG262+CH262*K262+CY262+CZ262*L262+DQ262+DR262*IF(AND(M262&gt;0,M262&lt;1),1,IF(M262&gt;1,MAX(M262,N262/1000),N262)))-EL262-EM262*EN262/365*ES262%-EO262*EP262/365*ES262%</f>
        <v>0</v>
      </c>
      <c r="ER262" s="179">
        <v>23300</v>
      </c>
      <c r="ES262" s="177">
        <v>7.5</v>
      </c>
    </row>
    <row r="263" spans="1:149" x14ac:dyDescent="0.3">
      <c r="A263" s="197">
        <v>258</v>
      </c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247"/>
      <c r="AQ263" s="247"/>
      <c r="AR263" s="247"/>
      <c r="AS263" s="247"/>
      <c r="AT263" s="247"/>
      <c r="AU263" s="247"/>
      <c r="AV263" s="247"/>
      <c r="AW263" s="247"/>
      <c r="AX263" s="247"/>
      <c r="AY263" s="247"/>
      <c r="AZ263" s="247"/>
      <c r="BA263" s="247"/>
      <c r="BB263" s="247"/>
      <c r="BC263" s="247"/>
      <c r="BD263" s="206"/>
      <c r="BE263" s="206"/>
      <c r="BF263" s="206"/>
      <c r="BG263" s="206"/>
      <c r="BH263" s="206"/>
      <c r="BI263" s="206"/>
      <c r="BJ263" s="206"/>
      <c r="BK263" s="206"/>
      <c r="BL263" s="206"/>
      <c r="BM263" s="206"/>
      <c r="BN263" s="206"/>
      <c r="BO263" s="206"/>
      <c r="BP263" s="206"/>
      <c r="BQ263" s="206"/>
      <c r="BR263" s="252"/>
      <c r="BS263" s="252"/>
      <c r="BT263" s="252"/>
      <c r="BU263" s="252"/>
      <c r="BV263" s="252"/>
      <c r="BW263" s="252"/>
      <c r="BX263" s="252"/>
      <c r="BY263" s="252"/>
      <c r="BZ263" s="252"/>
      <c r="CA263" s="252"/>
      <c r="CB263" s="252"/>
      <c r="CC263" s="252"/>
      <c r="CD263" s="252"/>
      <c r="CE263" s="252"/>
      <c r="CF263" s="252"/>
      <c r="CG263" s="252"/>
      <c r="CH263" s="252"/>
      <c r="CI263" s="252"/>
      <c r="CJ263" s="257"/>
      <c r="CK263" s="257"/>
      <c r="CL263" s="257"/>
      <c r="CM263" s="257"/>
      <c r="CN263" s="257"/>
      <c r="CO263" s="257"/>
      <c r="CP263" s="257"/>
      <c r="CQ263" s="257"/>
      <c r="CR263" s="257"/>
      <c r="CS263" s="257"/>
      <c r="CT263" s="257"/>
      <c r="CU263" s="257"/>
      <c r="CV263" s="257"/>
      <c r="CW263" s="257"/>
      <c r="CX263" s="257"/>
      <c r="CY263" s="257"/>
      <c r="CZ263" s="257"/>
      <c r="DA263" s="257"/>
      <c r="DB263" s="202"/>
      <c r="DC263" s="202"/>
      <c r="DD263" s="202"/>
      <c r="DE263" s="202"/>
      <c r="DF263" s="202"/>
      <c r="DG263" s="202"/>
      <c r="DH263" s="202"/>
      <c r="DI263" s="202"/>
      <c r="DJ263" s="202"/>
      <c r="DK263" s="202"/>
      <c r="DL263" s="202"/>
      <c r="DM263" s="202"/>
      <c r="DN263" s="202"/>
      <c r="DO263" s="202"/>
      <c r="DP263" s="202"/>
      <c r="DQ263" s="202"/>
      <c r="DR263" s="202"/>
      <c r="DS263" s="202"/>
      <c r="DT263" s="196"/>
      <c r="DU263" s="196"/>
      <c r="DV263" s="196"/>
      <c r="DW263" s="196"/>
      <c r="DX263" s="196"/>
      <c r="DY263" s="196"/>
      <c r="DZ263" s="196"/>
      <c r="EA263" s="196"/>
      <c r="EB263" s="176">
        <f t="shared" si="32"/>
        <v>0</v>
      </c>
      <c r="EC263" s="176">
        <f t="shared" si="33"/>
        <v>0</v>
      </c>
      <c r="ED263" s="176">
        <f t="shared" si="34"/>
        <v>0</v>
      </c>
      <c r="EE263" s="176">
        <f t="shared" si="35"/>
        <v>0</v>
      </c>
      <c r="EG263" s="129">
        <f t="shared" si="36"/>
        <v>0</v>
      </c>
      <c r="EI263" s="176">
        <f t="shared" si="37"/>
        <v>0</v>
      </c>
      <c r="EK263" s="176">
        <f t="shared" si="38"/>
        <v>0</v>
      </c>
      <c r="EL263" s="176"/>
      <c r="EM263" s="177"/>
      <c r="EN263" s="178"/>
      <c r="EO263" s="177"/>
      <c r="EP263" s="177"/>
      <c r="EQ263" s="176">
        <f t="shared" si="39"/>
        <v>0</v>
      </c>
      <c r="ER263" s="179">
        <v>23300</v>
      </c>
      <c r="ES263" s="177">
        <v>7.5</v>
      </c>
    </row>
    <row r="264" spans="1:149" x14ac:dyDescent="0.3">
      <c r="A264" s="197">
        <v>259</v>
      </c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247"/>
      <c r="AQ264" s="247"/>
      <c r="AR264" s="247"/>
      <c r="AS264" s="247"/>
      <c r="AT264" s="247"/>
      <c r="AU264" s="247"/>
      <c r="AV264" s="247"/>
      <c r="AW264" s="247"/>
      <c r="AX264" s="247"/>
      <c r="AY264" s="247"/>
      <c r="AZ264" s="247"/>
      <c r="BA264" s="247"/>
      <c r="BB264" s="247"/>
      <c r="BC264" s="247"/>
      <c r="BD264" s="206"/>
      <c r="BE264" s="206"/>
      <c r="BF264" s="206"/>
      <c r="BG264" s="206"/>
      <c r="BH264" s="206"/>
      <c r="BI264" s="206"/>
      <c r="BJ264" s="206"/>
      <c r="BK264" s="206"/>
      <c r="BL264" s="206"/>
      <c r="BM264" s="206"/>
      <c r="BN264" s="206"/>
      <c r="BO264" s="206"/>
      <c r="BP264" s="206"/>
      <c r="BQ264" s="206"/>
      <c r="BR264" s="252"/>
      <c r="BS264" s="252"/>
      <c r="BT264" s="252"/>
      <c r="BU264" s="252"/>
      <c r="BV264" s="252"/>
      <c r="BW264" s="252"/>
      <c r="BX264" s="252"/>
      <c r="BY264" s="252"/>
      <c r="BZ264" s="252"/>
      <c r="CA264" s="252"/>
      <c r="CB264" s="252"/>
      <c r="CC264" s="252"/>
      <c r="CD264" s="252"/>
      <c r="CE264" s="252"/>
      <c r="CF264" s="252"/>
      <c r="CG264" s="252"/>
      <c r="CH264" s="252"/>
      <c r="CI264" s="252"/>
      <c r="CJ264" s="257"/>
      <c r="CK264" s="257"/>
      <c r="CL264" s="257"/>
      <c r="CM264" s="257"/>
      <c r="CN264" s="257"/>
      <c r="CO264" s="257"/>
      <c r="CP264" s="257"/>
      <c r="CQ264" s="257"/>
      <c r="CR264" s="257"/>
      <c r="CS264" s="257"/>
      <c r="CT264" s="257"/>
      <c r="CU264" s="257"/>
      <c r="CV264" s="257"/>
      <c r="CW264" s="257"/>
      <c r="CX264" s="257"/>
      <c r="CY264" s="257"/>
      <c r="CZ264" s="257"/>
      <c r="DA264" s="257"/>
      <c r="DB264" s="202"/>
      <c r="DC264" s="202"/>
      <c r="DD264" s="202"/>
      <c r="DE264" s="202"/>
      <c r="DF264" s="202"/>
      <c r="DG264" s="202"/>
      <c r="DH264" s="202"/>
      <c r="DI264" s="202"/>
      <c r="DJ264" s="202"/>
      <c r="DK264" s="202"/>
      <c r="DL264" s="202"/>
      <c r="DM264" s="202"/>
      <c r="DN264" s="202"/>
      <c r="DO264" s="202"/>
      <c r="DP264" s="202"/>
      <c r="DQ264" s="202"/>
      <c r="DR264" s="202"/>
      <c r="DS264" s="202"/>
      <c r="DT264" s="196"/>
      <c r="DU264" s="196"/>
      <c r="DV264" s="196"/>
      <c r="DW264" s="196"/>
      <c r="DX264" s="196"/>
      <c r="DY264" s="196"/>
      <c r="DZ264" s="196"/>
      <c r="EA264" s="196"/>
      <c r="EB264" s="176">
        <f t="shared" si="32"/>
        <v>0</v>
      </c>
      <c r="EC264" s="176">
        <f t="shared" si="33"/>
        <v>0</v>
      </c>
      <c r="ED264" s="176">
        <f t="shared" si="34"/>
        <v>0</v>
      </c>
      <c r="EE264" s="176">
        <f t="shared" si="35"/>
        <v>0</v>
      </c>
      <c r="EG264" s="129">
        <f t="shared" si="36"/>
        <v>0</v>
      </c>
      <c r="EI264" s="176">
        <f t="shared" si="37"/>
        <v>0</v>
      </c>
      <c r="EK264" s="176">
        <f t="shared" si="38"/>
        <v>0</v>
      </c>
      <c r="EL264" s="176"/>
      <c r="EM264" s="177"/>
      <c r="EN264" s="178"/>
      <c r="EO264" s="177"/>
      <c r="EP264" s="177"/>
      <c r="EQ264" s="176">
        <f t="shared" si="39"/>
        <v>0</v>
      </c>
      <c r="ER264" s="179">
        <v>23300</v>
      </c>
      <c r="ES264" s="177">
        <v>7.5</v>
      </c>
    </row>
    <row r="265" spans="1:149" x14ac:dyDescent="0.3">
      <c r="A265" s="197">
        <v>260</v>
      </c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247"/>
      <c r="AQ265" s="247"/>
      <c r="AR265" s="247"/>
      <c r="AS265" s="247"/>
      <c r="AT265" s="247"/>
      <c r="AU265" s="247"/>
      <c r="AV265" s="247"/>
      <c r="AW265" s="247"/>
      <c r="AX265" s="247"/>
      <c r="AY265" s="247"/>
      <c r="AZ265" s="247"/>
      <c r="BA265" s="247"/>
      <c r="BB265" s="247"/>
      <c r="BC265" s="247"/>
      <c r="BD265" s="206"/>
      <c r="BE265" s="206"/>
      <c r="BF265" s="206"/>
      <c r="BG265" s="206"/>
      <c r="BH265" s="206"/>
      <c r="BI265" s="206"/>
      <c r="BJ265" s="206"/>
      <c r="BK265" s="206"/>
      <c r="BL265" s="206"/>
      <c r="BM265" s="206"/>
      <c r="BN265" s="206"/>
      <c r="BO265" s="206"/>
      <c r="BP265" s="206"/>
      <c r="BQ265" s="206"/>
      <c r="BR265" s="252"/>
      <c r="BS265" s="252"/>
      <c r="BT265" s="252"/>
      <c r="BU265" s="252"/>
      <c r="BV265" s="252"/>
      <c r="BW265" s="252"/>
      <c r="BX265" s="252"/>
      <c r="BY265" s="252"/>
      <c r="BZ265" s="252"/>
      <c r="CA265" s="252"/>
      <c r="CB265" s="252"/>
      <c r="CC265" s="252"/>
      <c r="CD265" s="252"/>
      <c r="CE265" s="252"/>
      <c r="CF265" s="252"/>
      <c r="CG265" s="252"/>
      <c r="CH265" s="252"/>
      <c r="CI265" s="252"/>
      <c r="CJ265" s="257"/>
      <c r="CK265" s="257"/>
      <c r="CL265" s="257"/>
      <c r="CM265" s="257"/>
      <c r="CN265" s="257"/>
      <c r="CO265" s="257"/>
      <c r="CP265" s="257"/>
      <c r="CQ265" s="257"/>
      <c r="CR265" s="257"/>
      <c r="CS265" s="257"/>
      <c r="CT265" s="257"/>
      <c r="CU265" s="257"/>
      <c r="CV265" s="257"/>
      <c r="CW265" s="257"/>
      <c r="CX265" s="257"/>
      <c r="CY265" s="257"/>
      <c r="CZ265" s="257"/>
      <c r="DA265" s="257"/>
      <c r="DB265" s="202"/>
      <c r="DC265" s="202"/>
      <c r="DD265" s="202"/>
      <c r="DE265" s="202"/>
      <c r="DF265" s="202"/>
      <c r="DG265" s="202"/>
      <c r="DH265" s="202"/>
      <c r="DI265" s="202"/>
      <c r="DJ265" s="202"/>
      <c r="DK265" s="202"/>
      <c r="DL265" s="202"/>
      <c r="DM265" s="202"/>
      <c r="DN265" s="202"/>
      <c r="DO265" s="202"/>
      <c r="DP265" s="202"/>
      <c r="DQ265" s="202"/>
      <c r="DR265" s="202"/>
      <c r="DS265" s="202"/>
      <c r="DT265" s="196"/>
      <c r="DU265" s="196"/>
      <c r="DV265" s="196"/>
      <c r="DW265" s="196"/>
      <c r="DX265" s="196"/>
      <c r="DY265" s="196"/>
      <c r="DZ265" s="196"/>
      <c r="EA265" s="196"/>
      <c r="EB265" s="176">
        <f t="shared" si="32"/>
        <v>0</v>
      </c>
      <c r="EC265" s="176">
        <f t="shared" si="33"/>
        <v>0</v>
      </c>
      <c r="ED265" s="176">
        <f t="shared" si="34"/>
        <v>0</v>
      </c>
      <c r="EE265" s="176">
        <f t="shared" si="35"/>
        <v>0</v>
      </c>
      <c r="EG265" s="129">
        <f t="shared" si="36"/>
        <v>0</v>
      </c>
      <c r="EI265" s="176">
        <f t="shared" si="37"/>
        <v>0</v>
      </c>
      <c r="EK265" s="176">
        <f t="shared" si="38"/>
        <v>0</v>
      </c>
      <c r="EL265" s="176"/>
      <c r="EM265" s="177"/>
      <c r="EN265" s="178"/>
      <c r="EO265" s="177"/>
      <c r="EP265" s="177"/>
      <c r="EQ265" s="176">
        <f t="shared" si="39"/>
        <v>0</v>
      </c>
      <c r="ER265" s="179">
        <v>23300</v>
      </c>
      <c r="ES265" s="177">
        <v>7.5</v>
      </c>
    </row>
    <row r="266" spans="1:149" x14ac:dyDescent="0.3">
      <c r="A266" s="197">
        <v>261</v>
      </c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247"/>
      <c r="AQ266" s="247"/>
      <c r="AR266" s="247"/>
      <c r="AS266" s="247"/>
      <c r="AT266" s="247"/>
      <c r="AU266" s="247"/>
      <c r="AV266" s="247"/>
      <c r="AW266" s="247"/>
      <c r="AX266" s="247"/>
      <c r="AY266" s="247"/>
      <c r="AZ266" s="247"/>
      <c r="BA266" s="247"/>
      <c r="BB266" s="247"/>
      <c r="BC266" s="247"/>
      <c r="BD266" s="206"/>
      <c r="BE266" s="206"/>
      <c r="BF266" s="206"/>
      <c r="BG266" s="206"/>
      <c r="BH266" s="206"/>
      <c r="BI266" s="206"/>
      <c r="BJ266" s="206"/>
      <c r="BK266" s="206"/>
      <c r="BL266" s="206"/>
      <c r="BM266" s="206"/>
      <c r="BN266" s="206"/>
      <c r="BO266" s="206"/>
      <c r="BP266" s="206"/>
      <c r="BQ266" s="206"/>
      <c r="BR266" s="252"/>
      <c r="BS266" s="252"/>
      <c r="BT266" s="252"/>
      <c r="BU266" s="252"/>
      <c r="BV266" s="252"/>
      <c r="BW266" s="252"/>
      <c r="BX266" s="252"/>
      <c r="BY266" s="252"/>
      <c r="BZ266" s="252"/>
      <c r="CA266" s="252"/>
      <c r="CB266" s="252"/>
      <c r="CC266" s="252"/>
      <c r="CD266" s="252"/>
      <c r="CE266" s="252"/>
      <c r="CF266" s="252"/>
      <c r="CG266" s="252"/>
      <c r="CH266" s="252"/>
      <c r="CI266" s="252"/>
      <c r="CJ266" s="257"/>
      <c r="CK266" s="257"/>
      <c r="CL266" s="257"/>
      <c r="CM266" s="257"/>
      <c r="CN266" s="257"/>
      <c r="CO266" s="257"/>
      <c r="CP266" s="257"/>
      <c r="CQ266" s="257"/>
      <c r="CR266" s="257"/>
      <c r="CS266" s="257"/>
      <c r="CT266" s="257"/>
      <c r="CU266" s="257"/>
      <c r="CV266" s="257"/>
      <c r="CW266" s="257"/>
      <c r="CX266" s="257"/>
      <c r="CY266" s="257"/>
      <c r="CZ266" s="257"/>
      <c r="DA266" s="257"/>
      <c r="DB266" s="202"/>
      <c r="DC266" s="202"/>
      <c r="DD266" s="202"/>
      <c r="DE266" s="202"/>
      <c r="DF266" s="202"/>
      <c r="DG266" s="202"/>
      <c r="DH266" s="202"/>
      <c r="DI266" s="202"/>
      <c r="DJ266" s="202"/>
      <c r="DK266" s="202"/>
      <c r="DL266" s="202"/>
      <c r="DM266" s="202"/>
      <c r="DN266" s="202"/>
      <c r="DO266" s="202"/>
      <c r="DP266" s="202"/>
      <c r="DQ266" s="202"/>
      <c r="DR266" s="202"/>
      <c r="DS266" s="202"/>
      <c r="DT266" s="196"/>
      <c r="DU266" s="196"/>
      <c r="DV266" s="196"/>
      <c r="DW266" s="196"/>
      <c r="DX266" s="196"/>
      <c r="DY266" s="196"/>
      <c r="DZ266" s="196"/>
      <c r="EA266" s="196"/>
      <c r="EB266" s="176">
        <f t="shared" si="32"/>
        <v>0</v>
      </c>
      <c r="EC266" s="176">
        <f t="shared" si="33"/>
        <v>0</v>
      </c>
      <c r="ED266" s="176">
        <f t="shared" si="34"/>
        <v>0</v>
      </c>
      <c r="EE266" s="176">
        <f t="shared" si="35"/>
        <v>0</v>
      </c>
      <c r="EG266" s="129">
        <f t="shared" si="36"/>
        <v>0</v>
      </c>
      <c r="EI266" s="176">
        <f t="shared" si="37"/>
        <v>0</v>
      </c>
      <c r="EK266" s="176">
        <f t="shared" si="38"/>
        <v>0</v>
      </c>
      <c r="EL266" s="176"/>
      <c r="EM266" s="177"/>
      <c r="EN266" s="178"/>
      <c r="EO266" s="177"/>
      <c r="EP266" s="177"/>
      <c r="EQ266" s="176">
        <f t="shared" si="39"/>
        <v>0</v>
      </c>
      <c r="ER266" s="179">
        <v>23300</v>
      </c>
      <c r="ES266" s="177">
        <v>7.5</v>
      </c>
    </row>
    <row r="267" spans="1:149" x14ac:dyDescent="0.3">
      <c r="A267" s="197">
        <v>262</v>
      </c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247"/>
      <c r="AQ267" s="247"/>
      <c r="AR267" s="247"/>
      <c r="AS267" s="247"/>
      <c r="AT267" s="247"/>
      <c r="AU267" s="247"/>
      <c r="AV267" s="247"/>
      <c r="AW267" s="247"/>
      <c r="AX267" s="247"/>
      <c r="AY267" s="247"/>
      <c r="AZ267" s="247"/>
      <c r="BA267" s="247"/>
      <c r="BB267" s="247"/>
      <c r="BC267" s="247"/>
      <c r="BD267" s="206"/>
      <c r="BE267" s="206"/>
      <c r="BF267" s="206"/>
      <c r="BG267" s="206"/>
      <c r="BH267" s="206"/>
      <c r="BI267" s="206"/>
      <c r="BJ267" s="206"/>
      <c r="BK267" s="206"/>
      <c r="BL267" s="206"/>
      <c r="BM267" s="206"/>
      <c r="BN267" s="206"/>
      <c r="BO267" s="206"/>
      <c r="BP267" s="206"/>
      <c r="BQ267" s="206"/>
      <c r="BR267" s="252"/>
      <c r="BS267" s="252"/>
      <c r="BT267" s="252"/>
      <c r="BU267" s="252"/>
      <c r="BV267" s="252"/>
      <c r="BW267" s="252"/>
      <c r="BX267" s="252"/>
      <c r="BY267" s="252"/>
      <c r="BZ267" s="252"/>
      <c r="CA267" s="252"/>
      <c r="CB267" s="252"/>
      <c r="CC267" s="252"/>
      <c r="CD267" s="252"/>
      <c r="CE267" s="252"/>
      <c r="CF267" s="252"/>
      <c r="CG267" s="252"/>
      <c r="CH267" s="252"/>
      <c r="CI267" s="252"/>
      <c r="CJ267" s="257"/>
      <c r="CK267" s="257"/>
      <c r="CL267" s="257"/>
      <c r="CM267" s="257"/>
      <c r="CN267" s="257"/>
      <c r="CO267" s="257"/>
      <c r="CP267" s="257"/>
      <c r="CQ267" s="257"/>
      <c r="CR267" s="257"/>
      <c r="CS267" s="257"/>
      <c r="CT267" s="257"/>
      <c r="CU267" s="257"/>
      <c r="CV267" s="257"/>
      <c r="CW267" s="257"/>
      <c r="CX267" s="257"/>
      <c r="CY267" s="257"/>
      <c r="CZ267" s="257"/>
      <c r="DA267" s="257"/>
      <c r="DB267" s="202"/>
      <c r="DC267" s="202"/>
      <c r="DD267" s="202"/>
      <c r="DE267" s="202"/>
      <c r="DF267" s="202"/>
      <c r="DG267" s="202"/>
      <c r="DH267" s="202"/>
      <c r="DI267" s="202"/>
      <c r="DJ267" s="202"/>
      <c r="DK267" s="202"/>
      <c r="DL267" s="202"/>
      <c r="DM267" s="202"/>
      <c r="DN267" s="202"/>
      <c r="DO267" s="202"/>
      <c r="DP267" s="202"/>
      <c r="DQ267" s="202"/>
      <c r="DR267" s="202"/>
      <c r="DS267" s="202"/>
      <c r="DT267" s="196"/>
      <c r="DU267" s="196"/>
      <c r="DV267" s="196"/>
      <c r="DW267" s="196"/>
      <c r="DX267" s="196"/>
      <c r="DY267" s="196"/>
      <c r="DZ267" s="196"/>
      <c r="EA267" s="196"/>
      <c r="EB267" s="176">
        <f t="shared" si="32"/>
        <v>0</v>
      </c>
      <c r="EC267" s="176">
        <f t="shared" si="33"/>
        <v>0</v>
      </c>
      <c r="ED267" s="176">
        <f t="shared" si="34"/>
        <v>0</v>
      </c>
      <c r="EE267" s="176">
        <f t="shared" si="35"/>
        <v>0</v>
      </c>
      <c r="EG267" s="129">
        <f t="shared" si="36"/>
        <v>0</v>
      </c>
      <c r="EI267" s="176">
        <f t="shared" si="37"/>
        <v>0</v>
      </c>
      <c r="EK267" s="176">
        <f t="shared" si="38"/>
        <v>0</v>
      </c>
      <c r="EL267" s="176"/>
      <c r="EM267" s="177"/>
      <c r="EN267" s="178"/>
      <c r="EO267" s="177"/>
      <c r="EP267" s="177"/>
      <c r="EQ267" s="176">
        <f t="shared" si="39"/>
        <v>0</v>
      </c>
      <c r="ER267" s="179">
        <v>23300</v>
      </c>
      <c r="ES267" s="177">
        <v>7.5</v>
      </c>
    </row>
    <row r="268" spans="1:149" x14ac:dyDescent="0.3">
      <c r="A268" s="197">
        <v>263</v>
      </c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247"/>
      <c r="AQ268" s="247"/>
      <c r="AR268" s="247"/>
      <c r="AS268" s="247"/>
      <c r="AT268" s="247"/>
      <c r="AU268" s="247"/>
      <c r="AV268" s="247"/>
      <c r="AW268" s="247"/>
      <c r="AX268" s="247"/>
      <c r="AY268" s="247"/>
      <c r="AZ268" s="247"/>
      <c r="BA268" s="247"/>
      <c r="BB268" s="247"/>
      <c r="BC268" s="247"/>
      <c r="BD268" s="206"/>
      <c r="BE268" s="206"/>
      <c r="BF268" s="206"/>
      <c r="BG268" s="206"/>
      <c r="BH268" s="206"/>
      <c r="BI268" s="206"/>
      <c r="BJ268" s="206"/>
      <c r="BK268" s="206"/>
      <c r="BL268" s="206"/>
      <c r="BM268" s="206"/>
      <c r="BN268" s="206"/>
      <c r="BO268" s="206"/>
      <c r="BP268" s="206"/>
      <c r="BQ268" s="206"/>
      <c r="BR268" s="252"/>
      <c r="BS268" s="252"/>
      <c r="BT268" s="252"/>
      <c r="BU268" s="252"/>
      <c r="BV268" s="252"/>
      <c r="BW268" s="252"/>
      <c r="BX268" s="252"/>
      <c r="BY268" s="252"/>
      <c r="BZ268" s="252"/>
      <c r="CA268" s="252"/>
      <c r="CB268" s="252"/>
      <c r="CC268" s="252"/>
      <c r="CD268" s="252"/>
      <c r="CE268" s="252"/>
      <c r="CF268" s="252"/>
      <c r="CG268" s="252"/>
      <c r="CH268" s="252"/>
      <c r="CI268" s="252"/>
      <c r="CJ268" s="257"/>
      <c r="CK268" s="257"/>
      <c r="CL268" s="257"/>
      <c r="CM268" s="257"/>
      <c r="CN268" s="257"/>
      <c r="CO268" s="257"/>
      <c r="CP268" s="257"/>
      <c r="CQ268" s="257"/>
      <c r="CR268" s="257"/>
      <c r="CS268" s="257"/>
      <c r="CT268" s="257"/>
      <c r="CU268" s="257"/>
      <c r="CV268" s="257"/>
      <c r="CW268" s="257"/>
      <c r="CX268" s="257"/>
      <c r="CY268" s="257"/>
      <c r="CZ268" s="257"/>
      <c r="DA268" s="257"/>
      <c r="DB268" s="202"/>
      <c r="DC268" s="202"/>
      <c r="DD268" s="202"/>
      <c r="DE268" s="202"/>
      <c r="DF268" s="202"/>
      <c r="DG268" s="202"/>
      <c r="DH268" s="202"/>
      <c r="DI268" s="202"/>
      <c r="DJ268" s="202"/>
      <c r="DK268" s="202"/>
      <c r="DL268" s="202"/>
      <c r="DM268" s="202"/>
      <c r="DN268" s="202"/>
      <c r="DO268" s="202"/>
      <c r="DP268" s="202"/>
      <c r="DQ268" s="202"/>
      <c r="DR268" s="202"/>
      <c r="DS268" s="202"/>
      <c r="DT268" s="196"/>
      <c r="DU268" s="196"/>
      <c r="DV268" s="196"/>
      <c r="DW268" s="196"/>
      <c r="DX268" s="196"/>
      <c r="DY268" s="196"/>
      <c r="DZ268" s="196"/>
      <c r="EA268" s="196"/>
      <c r="EB268" s="176">
        <f t="shared" si="32"/>
        <v>0</v>
      </c>
      <c r="EC268" s="176">
        <f t="shared" si="33"/>
        <v>0</v>
      </c>
      <c r="ED268" s="176">
        <f t="shared" si="34"/>
        <v>0</v>
      </c>
      <c r="EE268" s="176">
        <f t="shared" si="35"/>
        <v>0</v>
      </c>
      <c r="EG268" s="129">
        <f t="shared" si="36"/>
        <v>0</v>
      </c>
      <c r="EI268" s="176">
        <f t="shared" si="37"/>
        <v>0</v>
      </c>
      <c r="EK268" s="176">
        <f t="shared" si="38"/>
        <v>0</v>
      </c>
      <c r="EL268" s="176"/>
      <c r="EM268" s="177"/>
      <c r="EN268" s="178"/>
      <c r="EO268" s="177"/>
      <c r="EP268" s="177"/>
      <c r="EQ268" s="176">
        <f t="shared" si="39"/>
        <v>0</v>
      </c>
      <c r="ER268" s="179">
        <v>23300</v>
      </c>
      <c r="ES268" s="177">
        <v>7.5</v>
      </c>
    </row>
    <row r="269" spans="1:149" x14ac:dyDescent="0.3">
      <c r="A269" s="197">
        <v>264</v>
      </c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247"/>
      <c r="AQ269" s="247"/>
      <c r="AR269" s="247"/>
      <c r="AS269" s="247"/>
      <c r="AT269" s="247"/>
      <c r="AU269" s="247"/>
      <c r="AV269" s="247"/>
      <c r="AW269" s="247"/>
      <c r="AX269" s="247"/>
      <c r="AY269" s="247"/>
      <c r="AZ269" s="247"/>
      <c r="BA269" s="247"/>
      <c r="BB269" s="247"/>
      <c r="BC269" s="247"/>
      <c r="BD269" s="206"/>
      <c r="BE269" s="206"/>
      <c r="BF269" s="206"/>
      <c r="BG269" s="206"/>
      <c r="BH269" s="206"/>
      <c r="BI269" s="206"/>
      <c r="BJ269" s="206"/>
      <c r="BK269" s="206"/>
      <c r="BL269" s="206"/>
      <c r="BM269" s="206"/>
      <c r="BN269" s="206"/>
      <c r="BO269" s="206"/>
      <c r="BP269" s="206"/>
      <c r="BQ269" s="206"/>
      <c r="BR269" s="252"/>
      <c r="BS269" s="252"/>
      <c r="BT269" s="252"/>
      <c r="BU269" s="252"/>
      <c r="BV269" s="252"/>
      <c r="BW269" s="252"/>
      <c r="BX269" s="252"/>
      <c r="BY269" s="252"/>
      <c r="BZ269" s="252"/>
      <c r="CA269" s="252"/>
      <c r="CB269" s="252"/>
      <c r="CC269" s="252"/>
      <c r="CD269" s="252"/>
      <c r="CE269" s="252"/>
      <c r="CF269" s="252"/>
      <c r="CG269" s="252"/>
      <c r="CH269" s="252"/>
      <c r="CI269" s="252"/>
      <c r="CJ269" s="257"/>
      <c r="CK269" s="257"/>
      <c r="CL269" s="257"/>
      <c r="CM269" s="257"/>
      <c r="CN269" s="257"/>
      <c r="CO269" s="257"/>
      <c r="CP269" s="257"/>
      <c r="CQ269" s="257"/>
      <c r="CR269" s="257"/>
      <c r="CS269" s="257"/>
      <c r="CT269" s="257"/>
      <c r="CU269" s="257"/>
      <c r="CV269" s="257"/>
      <c r="CW269" s="257"/>
      <c r="CX269" s="257"/>
      <c r="CY269" s="257"/>
      <c r="CZ269" s="257"/>
      <c r="DA269" s="257"/>
      <c r="DB269" s="202"/>
      <c r="DC269" s="202"/>
      <c r="DD269" s="202"/>
      <c r="DE269" s="202"/>
      <c r="DF269" s="202"/>
      <c r="DG269" s="202"/>
      <c r="DH269" s="202"/>
      <c r="DI269" s="202"/>
      <c r="DJ269" s="202"/>
      <c r="DK269" s="202"/>
      <c r="DL269" s="202"/>
      <c r="DM269" s="202"/>
      <c r="DN269" s="202"/>
      <c r="DO269" s="202"/>
      <c r="DP269" s="202"/>
      <c r="DQ269" s="202"/>
      <c r="DR269" s="202"/>
      <c r="DS269" s="202"/>
      <c r="DT269" s="196"/>
      <c r="DU269" s="196"/>
      <c r="DV269" s="196"/>
      <c r="DW269" s="196"/>
      <c r="DX269" s="196"/>
      <c r="DY269" s="196"/>
      <c r="DZ269" s="196"/>
      <c r="EA269" s="196"/>
      <c r="EB269" s="176">
        <f t="shared" si="32"/>
        <v>0</v>
      </c>
      <c r="EC269" s="176">
        <f t="shared" si="33"/>
        <v>0</v>
      </c>
      <c r="ED269" s="176">
        <f t="shared" si="34"/>
        <v>0</v>
      </c>
      <c r="EE269" s="176">
        <f t="shared" si="35"/>
        <v>0</v>
      </c>
      <c r="EG269" s="129">
        <f t="shared" si="36"/>
        <v>0</v>
      </c>
      <c r="EI269" s="176">
        <f t="shared" si="37"/>
        <v>0</v>
      </c>
      <c r="EK269" s="176">
        <f t="shared" si="38"/>
        <v>0</v>
      </c>
      <c r="EL269" s="176"/>
      <c r="EM269" s="177"/>
      <c r="EN269" s="178"/>
      <c r="EO269" s="177"/>
      <c r="EP269" s="177"/>
      <c r="EQ269" s="176">
        <f t="shared" si="39"/>
        <v>0</v>
      </c>
      <c r="ER269" s="179">
        <v>23300</v>
      </c>
      <c r="ES269" s="177">
        <v>7.5</v>
      </c>
    </row>
    <row r="270" spans="1:149" x14ac:dyDescent="0.3">
      <c r="A270" s="197">
        <v>265</v>
      </c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247"/>
      <c r="AQ270" s="247"/>
      <c r="AR270" s="247"/>
      <c r="AS270" s="247"/>
      <c r="AT270" s="247"/>
      <c r="AU270" s="247"/>
      <c r="AV270" s="247"/>
      <c r="AW270" s="247"/>
      <c r="AX270" s="247"/>
      <c r="AY270" s="247"/>
      <c r="AZ270" s="247"/>
      <c r="BA270" s="247"/>
      <c r="BB270" s="247"/>
      <c r="BC270" s="247"/>
      <c r="BD270" s="206"/>
      <c r="BE270" s="206"/>
      <c r="BF270" s="206"/>
      <c r="BG270" s="206"/>
      <c r="BH270" s="206"/>
      <c r="BI270" s="206"/>
      <c r="BJ270" s="206"/>
      <c r="BK270" s="206"/>
      <c r="BL270" s="206"/>
      <c r="BM270" s="206"/>
      <c r="BN270" s="206"/>
      <c r="BO270" s="206"/>
      <c r="BP270" s="206"/>
      <c r="BQ270" s="206"/>
      <c r="BR270" s="252"/>
      <c r="BS270" s="252"/>
      <c r="BT270" s="252"/>
      <c r="BU270" s="252"/>
      <c r="BV270" s="252"/>
      <c r="BW270" s="252"/>
      <c r="BX270" s="252"/>
      <c r="BY270" s="252"/>
      <c r="BZ270" s="252"/>
      <c r="CA270" s="252"/>
      <c r="CB270" s="252"/>
      <c r="CC270" s="252"/>
      <c r="CD270" s="252"/>
      <c r="CE270" s="252"/>
      <c r="CF270" s="252"/>
      <c r="CG270" s="252"/>
      <c r="CH270" s="252"/>
      <c r="CI270" s="252"/>
      <c r="CJ270" s="257"/>
      <c r="CK270" s="257"/>
      <c r="CL270" s="257"/>
      <c r="CM270" s="257"/>
      <c r="CN270" s="257"/>
      <c r="CO270" s="257"/>
      <c r="CP270" s="257"/>
      <c r="CQ270" s="257"/>
      <c r="CR270" s="257"/>
      <c r="CS270" s="257"/>
      <c r="CT270" s="257"/>
      <c r="CU270" s="257"/>
      <c r="CV270" s="257"/>
      <c r="CW270" s="257"/>
      <c r="CX270" s="257"/>
      <c r="CY270" s="257"/>
      <c r="CZ270" s="257"/>
      <c r="DA270" s="257"/>
      <c r="DB270" s="202"/>
      <c r="DC270" s="202"/>
      <c r="DD270" s="202"/>
      <c r="DE270" s="202"/>
      <c r="DF270" s="202"/>
      <c r="DG270" s="202"/>
      <c r="DH270" s="202"/>
      <c r="DI270" s="202"/>
      <c r="DJ270" s="202"/>
      <c r="DK270" s="202"/>
      <c r="DL270" s="202"/>
      <c r="DM270" s="202"/>
      <c r="DN270" s="202"/>
      <c r="DO270" s="202"/>
      <c r="DP270" s="202"/>
      <c r="DQ270" s="202"/>
      <c r="DR270" s="202"/>
      <c r="DS270" s="202"/>
      <c r="DT270" s="196"/>
      <c r="DU270" s="196"/>
      <c r="DV270" s="196"/>
      <c r="DW270" s="196"/>
      <c r="DX270" s="196"/>
      <c r="DY270" s="196"/>
      <c r="DZ270" s="196"/>
      <c r="EA270" s="196"/>
      <c r="EB270" s="176">
        <f t="shared" si="32"/>
        <v>0</v>
      </c>
      <c r="EC270" s="176">
        <f t="shared" si="33"/>
        <v>0</v>
      </c>
      <c r="ED270" s="176">
        <f t="shared" si="34"/>
        <v>0</v>
      </c>
      <c r="EE270" s="176">
        <f t="shared" si="35"/>
        <v>0</v>
      </c>
      <c r="EG270" s="129">
        <f t="shared" si="36"/>
        <v>0</v>
      </c>
      <c r="EI270" s="176">
        <f t="shared" si="37"/>
        <v>0</v>
      </c>
      <c r="EK270" s="176">
        <f t="shared" si="38"/>
        <v>0</v>
      </c>
      <c r="EL270" s="176"/>
      <c r="EM270" s="177"/>
      <c r="EN270" s="178"/>
      <c r="EO270" s="177"/>
      <c r="EP270" s="177"/>
      <c r="EQ270" s="176">
        <f t="shared" si="39"/>
        <v>0</v>
      </c>
      <c r="ER270" s="179">
        <v>23300</v>
      </c>
      <c r="ES270" s="177">
        <v>7.5</v>
      </c>
    </row>
    <row r="271" spans="1:149" x14ac:dyDescent="0.3">
      <c r="A271" s="197">
        <v>266</v>
      </c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247"/>
      <c r="AQ271" s="247"/>
      <c r="AR271" s="247"/>
      <c r="AS271" s="247"/>
      <c r="AT271" s="247"/>
      <c r="AU271" s="247"/>
      <c r="AV271" s="247"/>
      <c r="AW271" s="247"/>
      <c r="AX271" s="247"/>
      <c r="AY271" s="247"/>
      <c r="AZ271" s="247"/>
      <c r="BA271" s="247"/>
      <c r="BB271" s="247"/>
      <c r="BC271" s="247"/>
      <c r="BD271" s="206"/>
      <c r="BE271" s="206"/>
      <c r="BF271" s="206"/>
      <c r="BG271" s="206"/>
      <c r="BH271" s="206"/>
      <c r="BI271" s="206"/>
      <c r="BJ271" s="206"/>
      <c r="BK271" s="206"/>
      <c r="BL271" s="206"/>
      <c r="BM271" s="206"/>
      <c r="BN271" s="206"/>
      <c r="BO271" s="206"/>
      <c r="BP271" s="206"/>
      <c r="BQ271" s="206"/>
      <c r="BR271" s="252"/>
      <c r="BS271" s="252"/>
      <c r="BT271" s="252"/>
      <c r="BU271" s="252"/>
      <c r="BV271" s="252"/>
      <c r="BW271" s="252"/>
      <c r="BX271" s="252"/>
      <c r="BY271" s="252"/>
      <c r="BZ271" s="252"/>
      <c r="CA271" s="252"/>
      <c r="CB271" s="252"/>
      <c r="CC271" s="252"/>
      <c r="CD271" s="252"/>
      <c r="CE271" s="252"/>
      <c r="CF271" s="252"/>
      <c r="CG271" s="252"/>
      <c r="CH271" s="252"/>
      <c r="CI271" s="252"/>
      <c r="CJ271" s="257"/>
      <c r="CK271" s="257"/>
      <c r="CL271" s="257"/>
      <c r="CM271" s="257"/>
      <c r="CN271" s="257"/>
      <c r="CO271" s="257"/>
      <c r="CP271" s="257"/>
      <c r="CQ271" s="257"/>
      <c r="CR271" s="257"/>
      <c r="CS271" s="257"/>
      <c r="CT271" s="257"/>
      <c r="CU271" s="257"/>
      <c r="CV271" s="257"/>
      <c r="CW271" s="257"/>
      <c r="CX271" s="257"/>
      <c r="CY271" s="257"/>
      <c r="CZ271" s="257"/>
      <c r="DA271" s="257"/>
      <c r="DB271" s="202"/>
      <c r="DC271" s="202"/>
      <c r="DD271" s="202"/>
      <c r="DE271" s="202"/>
      <c r="DF271" s="202"/>
      <c r="DG271" s="202"/>
      <c r="DH271" s="202"/>
      <c r="DI271" s="202"/>
      <c r="DJ271" s="202"/>
      <c r="DK271" s="202"/>
      <c r="DL271" s="202"/>
      <c r="DM271" s="202"/>
      <c r="DN271" s="202"/>
      <c r="DO271" s="202"/>
      <c r="DP271" s="202"/>
      <c r="DQ271" s="202"/>
      <c r="DR271" s="202"/>
      <c r="DS271" s="202"/>
      <c r="DT271" s="196"/>
      <c r="DU271" s="196"/>
      <c r="DV271" s="196"/>
      <c r="DW271" s="196"/>
      <c r="DX271" s="196"/>
      <c r="DY271" s="196"/>
      <c r="DZ271" s="196"/>
      <c r="EA271" s="196"/>
      <c r="EB271" s="176">
        <f t="shared" si="32"/>
        <v>0</v>
      </c>
      <c r="EC271" s="176">
        <f t="shared" si="33"/>
        <v>0</v>
      </c>
      <c r="ED271" s="176">
        <f t="shared" si="34"/>
        <v>0</v>
      </c>
      <c r="EE271" s="176">
        <f t="shared" si="35"/>
        <v>0</v>
      </c>
      <c r="EG271" s="129">
        <f t="shared" si="36"/>
        <v>0</v>
      </c>
      <c r="EI271" s="176">
        <f t="shared" si="37"/>
        <v>0</v>
      </c>
      <c r="EK271" s="176">
        <f t="shared" si="38"/>
        <v>0</v>
      </c>
      <c r="EL271" s="176"/>
      <c r="EM271" s="177"/>
      <c r="EN271" s="178"/>
      <c r="EO271" s="177"/>
      <c r="EP271" s="177"/>
      <c r="EQ271" s="176">
        <f t="shared" si="39"/>
        <v>0</v>
      </c>
      <c r="ER271" s="179">
        <v>23300</v>
      </c>
      <c r="ES271" s="177">
        <v>7.5</v>
      </c>
    </row>
    <row r="272" spans="1:149" x14ac:dyDescent="0.3">
      <c r="A272" s="197">
        <v>267</v>
      </c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247"/>
      <c r="AQ272" s="247"/>
      <c r="AR272" s="247"/>
      <c r="AS272" s="247"/>
      <c r="AT272" s="247"/>
      <c r="AU272" s="247"/>
      <c r="AV272" s="247"/>
      <c r="AW272" s="247"/>
      <c r="AX272" s="247"/>
      <c r="AY272" s="247"/>
      <c r="AZ272" s="247"/>
      <c r="BA272" s="247"/>
      <c r="BB272" s="247"/>
      <c r="BC272" s="247"/>
      <c r="BD272" s="206"/>
      <c r="BE272" s="206"/>
      <c r="BF272" s="206"/>
      <c r="BG272" s="206"/>
      <c r="BH272" s="206"/>
      <c r="BI272" s="206"/>
      <c r="BJ272" s="206"/>
      <c r="BK272" s="206"/>
      <c r="BL272" s="206"/>
      <c r="BM272" s="206"/>
      <c r="BN272" s="206"/>
      <c r="BO272" s="206"/>
      <c r="BP272" s="206"/>
      <c r="BQ272" s="206"/>
      <c r="BR272" s="252"/>
      <c r="BS272" s="252"/>
      <c r="BT272" s="252"/>
      <c r="BU272" s="252"/>
      <c r="BV272" s="252"/>
      <c r="BW272" s="252"/>
      <c r="BX272" s="252"/>
      <c r="BY272" s="252"/>
      <c r="BZ272" s="252"/>
      <c r="CA272" s="252"/>
      <c r="CB272" s="252"/>
      <c r="CC272" s="252"/>
      <c r="CD272" s="252"/>
      <c r="CE272" s="252"/>
      <c r="CF272" s="252"/>
      <c r="CG272" s="252"/>
      <c r="CH272" s="252"/>
      <c r="CI272" s="252"/>
      <c r="CJ272" s="257"/>
      <c r="CK272" s="257"/>
      <c r="CL272" s="257"/>
      <c r="CM272" s="257"/>
      <c r="CN272" s="257"/>
      <c r="CO272" s="257"/>
      <c r="CP272" s="257"/>
      <c r="CQ272" s="257"/>
      <c r="CR272" s="257"/>
      <c r="CS272" s="257"/>
      <c r="CT272" s="257"/>
      <c r="CU272" s="257"/>
      <c r="CV272" s="257"/>
      <c r="CW272" s="257"/>
      <c r="CX272" s="257"/>
      <c r="CY272" s="257"/>
      <c r="CZ272" s="257"/>
      <c r="DA272" s="257"/>
      <c r="DB272" s="202"/>
      <c r="DC272" s="202"/>
      <c r="DD272" s="202"/>
      <c r="DE272" s="202"/>
      <c r="DF272" s="202"/>
      <c r="DG272" s="202"/>
      <c r="DH272" s="202"/>
      <c r="DI272" s="202"/>
      <c r="DJ272" s="202"/>
      <c r="DK272" s="202"/>
      <c r="DL272" s="202"/>
      <c r="DM272" s="202"/>
      <c r="DN272" s="202"/>
      <c r="DO272" s="202"/>
      <c r="DP272" s="202"/>
      <c r="DQ272" s="202"/>
      <c r="DR272" s="202"/>
      <c r="DS272" s="202"/>
      <c r="DT272" s="196"/>
      <c r="DU272" s="196"/>
      <c r="DV272" s="196"/>
      <c r="DW272" s="196"/>
      <c r="DX272" s="196"/>
      <c r="DY272" s="196"/>
      <c r="DZ272" s="196"/>
      <c r="EA272" s="196"/>
      <c r="EB272" s="176">
        <f t="shared" si="32"/>
        <v>0</v>
      </c>
      <c r="EC272" s="176">
        <f t="shared" si="33"/>
        <v>0</v>
      </c>
      <c r="ED272" s="176">
        <f t="shared" si="34"/>
        <v>0</v>
      </c>
      <c r="EE272" s="176">
        <f t="shared" si="35"/>
        <v>0</v>
      </c>
      <c r="EG272" s="129">
        <f t="shared" si="36"/>
        <v>0</v>
      </c>
      <c r="EI272" s="176">
        <f t="shared" si="37"/>
        <v>0</v>
      </c>
      <c r="EK272" s="176">
        <f t="shared" si="38"/>
        <v>0</v>
      </c>
      <c r="EL272" s="176"/>
      <c r="EM272" s="177"/>
      <c r="EN272" s="178"/>
      <c r="EO272" s="177"/>
      <c r="EP272" s="177"/>
      <c r="EQ272" s="176">
        <f t="shared" si="39"/>
        <v>0</v>
      </c>
      <c r="ER272" s="179">
        <v>23300</v>
      </c>
      <c r="ES272" s="177">
        <v>7.5</v>
      </c>
    </row>
    <row r="273" spans="1:149" x14ac:dyDescent="0.3">
      <c r="A273" s="197">
        <v>268</v>
      </c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247"/>
      <c r="AQ273" s="247"/>
      <c r="AR273" s="247"/>
      <c r="AS273" s="247"/>
      <c r="AT273" s="247"/>
      <c r="AU273" s="247"/>
      <c r="AV273" s="247"/>
      <c r="AW273" s="247"/>
      <c r="AX273" s="247"/>
      <c r="AY273" s="247"/>
      <c r="AZ273" s="247"/>
      <c r="BA273" s="247"/>
      <c r="BB273" s="247"/>
      <c r="BC273" s="247"/>
      <c r="BD273" s="206"/>
      <c r="BE273" s="206"/>
      <c r="BF273" s="206"/>
      <c r="BG273" s="206"/>
      <c r="BH273" s="206"/>
      <c r="BI273" s="206"/>
      <c r="BJ273" s="206"/>
      <c r="BK273" s="206"/>
      <c r="BL273" s="206"/>
      <c r="BM273" s="206"/>
      <c r="BN273" s="206"/>
      <c r="BO273" s="206"/>
      <c r="BP273" s="206"/>
      <c r="BQ273" s="206"/>
      <c r="BR273" s="252"/>
      <c r="BS273" s="252"/>
      <c r="BT273" s="252"/>
      <c r="BU273" s="252"/>
      <c r="BV273" s="252"/>
      <c r="BW273" s="252"/>
      <c r="BX273" s="252"/>
      <c r="BY273" s="252"/>
      <c r="BZ273" s="252"/>
      <c r="CA273" s="252"/>
      <c r="CB273" s="252"/>
      <c r="CC273" s="252"/>
      <c r="CD273" s="252"/>
      <c r="CE273" s="252"/>
      <c r="CF273" s="252"/>
      <c r="CG273" s="252"/>
      <c r="CH273" s="252"/>
      <c r="CI273" s="252"/>
      <c r="CJ273" s="257"/>
      <c r="CK273" s="257"/>
      <c r="CL273" s="257"/>
      <c r="CM273" s="257"/>
      <c r="CN273" s="257"/>
      <c r="CO273" s="257"/>
      <c r="CP273" s="257"/>
      <c r="CQ273" s="257"/>
      <c r="CR273" s="257"/>
      <c r="CS273" s="257"/>
      <c r="CT273" s="257"/>
      <c r="CU273" s="257"/>
      <c r="CV273" s="257"/>
      <c r="CW273" s="257"/>
      <c r="CX273" s="257"/>
      <c r="CY273" s="257"/>
      <c r="CZ273" s="257"/>
      <c r="DA273" s="257"/>
      <c r="DB273" s="202"/>
      <c r="DC273" s="202"/>
      <c r="DD273" s="202"/>
      <c r="DE273" s="202"/>
      <c r="DF273" s="202"/>
      <c r="DG273" s="202"/>
      <c r="DH273" s="202"/>
      <c r="DI273" s="202"/>
      <c r="DJ273" s="202"/>
      <c r="DK273" s="202"/>
      <c r="DL273" s="202"/>
      <c r="DM273" s="202"/>
      <c r="DN273" s="202"/>
      <c r="DO273" s="202"/>
      <c r="DP273" s="202"/>
      <c r="DQ273" s="202"/>
      <c r="DR273" s="202"/>
      <c r="DS273" s="202"/>
      <c r="DT273" s="196"/>
      <c r="DU273" s="196"/>
      <c r="DV273" s="196"/>
      <c r="DW273" s="196"/>
      <c r="DX273" s="196"/>
      <c r="DY273" s="196"/>
      <c r="DZ273" s="196"/>
      <c r="EA273" s="196"/>
      <c r="EB273" s="176">
        <f t="shared" si="32"/>
        <v>0</v>
      </c>
      <c r="EC273" s="176">
        <f t="shared" si="33"/>
        <v>0</v>
      </c>
      <c r="ED273" s="176">
        <f t="shared" si="34"/>
        <v>0</v>
      </c>
      <c r="EE273" s="176">
        <f t="shared" si="35"/>
        <v>0</v>
      </c>
      <c r="EG273" s="129">
        <f t="shared" si="36"/>
        <v>0</v>
      </c>
      <c r="EI273" s="176">
        <f t="shared" si="37"/>
        <v>0</v>
      </c>
      <c r="EK273" s="176">
        <f t="shared" si="38"/>
        <v>0</v>
      </c>
      <c r="EL273" s="176"/>
      <c r="EM273" s="177"/>
      <c r="EN273" s="178"/>
      <c r="EO273" s="177"/>
      <c r="EP273" s="177"/>
      <c r="EQ273" s="176">
        <f t="shared" si="39"/>
        <v>0</v>
      </c>
      <c r="ER273" s="179">
        <v>23300</v>
      </c>
      <c r="ES273" s="177">
        <v>7.5</v>
      </c>
    </row>
    <row r="274" spans="1:149" x14ac:dyDescent="0.3">
      <c r="A274" s="197">
        <v>269</v>
      </c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247"/>
      <c r="AQ274" s="247"/>
      <c r="AR274" s="247"/>
      <c r="AS274" s="247"/>
      <c r="AT274" s="247"/>
      <c r="AU274" s="247"/>
      <c r="AV274" s="247"/>
      <c r="AW274" s="247"/>
      <c r="AX274" s="247"/>
      <c r="AY274" s="247"/>
      <c r="AZ274" s="247"/>
      <c r="BA274" s="247"/>
      <c r="BB274" s="247"/>
      <c r="BC274" s="247"/>
      <c r="BD274" s="206"/>
      <c r="BE274" s="206"/>
      <c r="BF274" s="206"/>
      <c r="BG274" s="206"/>
      <c r="BH274" s="206"/>
      <c r="BI274" s="206"/>
      <c r="BJ274" s="206"/>
      <c r="BK274" s="206"/>
      <c r="BL274" s="206"/>
      <c r="BM274" s="206"/>
      <c r="BN274" s="206"/>
      <c r="BO274" s="206"/>
      <c r="BP274" s="206"/>
      <c r="BQ274" s="206"/>
      <c r="BR274" s="252"/>
      <c r="BS274" s="252"/>
      <c r="BT274" s="252"/>
      <c r="BU274" s="252"/>
      <c r="BV274" s="252"/>
      <c r="BW274" s="252"/>
      <c r="BX274" s="252"/>
      <c r="BY274" s="252"/>
      <c r="BZ274" s="252"/>
      <c r="CA274" s="252"/>
      <c r="CB274" s="252"/>
      <c r="CC274" s="252"/>
      <c r="CD274" s="252"/>
      <c r="CE274" s="252"/>
      <c r="CF274" s="252"/>
      <c r="CG274" s="252"/>
      <c r="CH274" s="252"/>
      <c r="CI274" s="252"/>
      <c r="CJ274" s="257"/>
      <c r="CK274" s="257"/>
      <c r="CL274" s="257"/>
      <c r="CM274" s="257"/>
      <c r="CN274" s="257"/>
      <c r="CO274" s="257"/>
      <c r="CP274" s="257"/>
      <c r="CQ274" s="257"/>
      <c r="CR274" s="257"/>
      <c r="CS274" s="257"/>
      <c r="CT274" s="257"/>
      <c r="CU274" s="257"/>
      <c r="CV274" s="257"/>
      <c r="CW274" s="257"/>
      <c r="CX274" s="257"/>
      <c r="CY274" s="257"/>
      <c r="CZ274" s="257"/>
      <c r="DA274" s="257"/>
      <c r="DB274" s="202"/>
      <c r="DC274" s="202"/>
      <c r="DD274" s="202"/>
      <c r="DE274" s="202"/>
      <c r="DF274" s="202"/>
      <c r="DG274" s="202"/>
      <c r="DH274" s="202"/>
      <c r="DI274" s="202"/>
      <c r="DJ274" s="202"/>
      <c r="DK274" s="202"/>
      <c r="DL274" s="202"/>
      <c r="DM274" s="202"/>
      <c r="DN274" s="202"/>
      <c r="DO274" s="202"/>
      <c r="DP274" s="202"/>
      <c r="DQ274" s="202"/>
      <c r="DR274" s="202"/>
      <c r="DS274" s="202"/>
      <c r="DT274" s="196"/>
      <c r="DU274" s="196"/>
      <c r="DV274" s="196"/>
      <c r="DW274" s="196"/>
      <c r="DX274" s="196"/>
      <c r="DY274" s="196"/>
      <c r="DZ274" s="196"/>
      <c r="EA274" s="196"/>
      <c r="EB274" s="176">
        <f t="shared" si="32"/>
        <v>0</v>
      </c>
      <c r="EC274" s="176">
        <f t="shared" si="33"/>
        <v>0</v>
      </c>
      <c r="ED274" s="176">
        <f t="shared" si="34"/>
        <v>0</v>
      </c>
      <c r="EE274" s="176">
        <f t="shared" si="35"/>
        <v>0</v>
      </c>
      <c r="EG274" s="129">
        <f t="shared" si="36"/>
        <v>0</v>
      </c>
      <c r="EI274" s="176">
        <f t="shared" si="37"/>
        <v>0</v>
      </c>
      <c r="EK274" s="176">
        <f t="shared" si="38"/>
        <v>0</v>
      </c>
      <c r="EL274" s="176"/>
      <c r="EM274" s="177"/>
      <c r="EN274" s="178"/>
      <c r="EO274" s="177"/>
      <c r="EP274" s="177"/>
      <c r="EQ274" s="176">
        <f t="shared" si="39"/>
        <v>0</v>
      </c>
      <c r="ER274" s="179">
        <v>23300</v>
      </c>
      <c r="ES274" s="177">
        <v>7.5</v>
      </c>
    </row>
    <row r="275" spans="1:149" x14ac:dyDescent="0.3">
      <c r="A275" s="197">
        <v>270</v>
      </c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247"/>
      <c r="AQ275" s="247"/>
      <c r="AR275" s="247"/>
      <c r="AS275" s="247"/>
      <c r="AT275" s="247"/>
      <c r="AU275" s="247"/>
      <c r="AV275" s="247"/>
      <c r="AW275" s="247"/>
      <c r="AX275" s="247"/>
      <c r="AY275" s="247"/>
      <c r="AZ275" s="247"/>
      <c r="BA275" s="247"/>
      <c r="BB275" s="247"/>
      <c r="BC275" s="247"/>
      <c r="BD275" s="206"/>
      <c r="BE275" s="206"/>
      <c r="BF275" s="206"/>
      <c r="BG275" s="206"/>
      <c r="BH275" s="206"/>
      <c r="BI275" s="206"/>
      <c r="BJ275" s="206"/>
      <c r="BK275" s="206"/>
      <c r="BL275" s="206"/>
      <c r="BM275" s="206"/>
      <c r="BN275" s="206"/>
      <c r="BO275" s="206"/>
      <c r="BP275" s="206"/>
      <c r="BQ275" s="206"/>
      <c r="BR275" s="252"/>
      <c r="BS275" s="252"/>
      <c r="BT275" s="252"/>
      <c r="BU275" s="252"/>
      <c r="BV275" s="252"/>
      <c r="BW275" s="252"/>
      <c r="BX275" s="252"/>
      <c r="BY275" s="252"/>
      <c r="BZ275" s="252"/>
      <c r="CA275" s="252"/>
      <c r="CB275" s="252"/>
      <c r="CC275" s="252"/>
      <c r="CD275" s="252"/>
      <c r="CE275" s="252"/>
      <c r="CF275" s="252"/>
      <c r="CG275" s="252"/>
      <c r="CH275" s="252"/>
      <c r="CI275" s="252"/>
      <c r="CJ275" s="257"/>
      <c r="CK275" s="257"/>
      <c r="CL275" s="257"/>
      <c r="CM275" s="257"/>
      <c r="CN275" s="257"/>
      <c r="CO275" s="257"/>
      <c r="CP275" s="257"/>
      <c r="CQ275" s="257"/>
      <c r="CR275" s="257"/>
      <c r="CS275" s="257"/>
      <c r="CT275" s="257"/>
      <c r="CU275" s="257"/>
      <c r="CV275" s="257"/>
      <c r="CW275" s="257"/>
      <c r="CX275" s="257"/>
      <c r="CY275" s="257"/>
      <c r="CZ275" s="257"/>
      <c r="DA275" s="257"/>
      <c r="DB275" s="202"/>
      <c r="DC275" s="202"/>
      <c r="DD275" s="202"/>
      <c r="DE275" s="202"/>
      <c r="DF275" s="202"/>
      <c r="DG275" s="202"/>
      <c r="DH275" s="202"/>
      <c r="DI275" s="202"/>
      <c r="DJ275" s="202"/>
      <c r="DK275" s="202"/>
      <c r="DL275" s="202"/>
      <c r="DM275" s="202"/>
      <c r="DN275" s="202"/>
      <c r="DO275" s="202"/>
      <c r="DP275" s="202"/>
      <c r="DQ275" s="202"/>
      <c r="DR275" s="202"/>
      <c r="DS275" s="202"/>
      <c r="DT275" s="196"/>
      <c r="DU275" s="196"/>
      <c r="DV275" s="196"/>
      <c r="DW275" s="196"/>
      <c r="DX275" s="196"/>
      <c r="DY275" s="196"/>
      <c r="DZ275" s="196"/>
      <c r="EA275" s="196"/>
      <c r="EB275" s="176">
        <f t="shared" si="32"/>
        <v>0</v>
      </c>
      <c r="EC275" s="176">
        <f t="shared" si="33"/>
        <v>0</v>
      </c>
      <c r="ED275" s="176">
        <f t="shared" si="34"/>
        <v>0</v>
      </c>
      <c r="EE275" s="176">
        <f t="shared" si="35"/>
        <v>0</v>
      </c>
      <c r="EG275" s="129">
        <f t="shared" si="36"/>
        <v>0</v>
      </c>
      <c r="EI275" s="176">
        <f t="shared" si="37"/>
        <v>0</v>
      </c>
      <c r="EK275" s="176">
        <f t="shared" si="38"/>
        <v>0</v>
      </c>
      <c r="EL275" s="176"/>
      <c r="EM275" s="177"/>
      <c r="EN275" s="178"/>
      <c r="EO275" s="177"/>
      <c r="EP275" s="177"/>
      <c r="EQ275" s="176">
        <f t="shared" si="39"/>
        <v>0</v>
      </c>
      <c r="ER275" s="179">
        <v>23300</v>
      </c>
      <c r="ES275" s="177">
        <v>7.5</v>
      </c>
    </row>
    <row r="276" spans="1:149" x14ac:dyDescent="0.3">
      <c r="A276" s="197">
        <v>271</v>
      </c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247"/>
      <c r="AQ276" s="247"/>
      <c r="AR276" s="247"/>
      <c r="AS276" s="247"/>
      <c r="AT276" s="247"/>
      <c r="AU276" s="247"/>
      <c r="AV276" s="247"/>
      <c r="AW276" s="247"/>
      <c r="AX276" s="247"/>
      <c r="AY276" s="247"/>
      <c r="AZ276" s="247"/>
      <c r="BA276" s="247"/>
      <c r="BB276" s="247"/>
      <c r="BC276" s="247"/>
      <c r="BD276" s="206"/>
      <c r="BE276" s="206"/>
      <c r="BF276" s="206"/>
      <c r="BG276" s="206"/>
      <c r="BH276" s="206"/>
      <c r="BI276" s="206"/>
      <c r="BJ276" s="206"/>
      <c r="BK276" s="206"/>
      <c r="BL276" s="206"/>
      <c r="BM276" s="206"/>
      <c r="BN276" s="206"/>
      <c r="BO276" s="206"/>
      <c r="BP276" s="206"/>
      <c r="BQ276" s="206"/>
      <c r="BR276" s="252"/>
      <c r="BS276" s="252"/>
      <c r="BT276" s="252"/>
      <c r="BU276" s="252"/>
      <c r="BV276" s="252"/>
      <c r="BW276" s="252"/>
      <c r="BX276" s="252"/>
      <c r="BY276" s="252"/>
      <c r="BZ276" s="252"/>
      <c r="CA276" s="252"/>
      <c r="CB276" s="252"/>
      <c r="CC276" s="252"/>
      <c r="CD276" s="252"/>
      <c r="CE276" s="252"/>
      <c r="CF276" s="252"/>
      <c r="CG276" s="252"/>
      <c r="CH276" s="252"/>
      <c r="CI276" s="252"/>
      <c r="CJ276" s="257"/>
      <c r="CK276" s="257"/>
      <c r="CL276" s="257"/>
      <c r="CM276" s="257"/>
      <c r="CN276" s="257"/>
      <c r="CO276" s="257"/>
      <c r="CP276" s="257"/>
      <c r="CQ276" s="257"/>
      <c r="CR276" s="257"/>
      <c r="CS276" s="257"/>
      <c r="CT276" s="257"/>
      <c r="CU276" s="257"/>
      <c r="CV276" s="257"/>
      <c r="CW276" s="257"/>
      <c r="CX276" s="257"/>
      <c r="CY276" s="257"/>
      <c r="CZ276" s="257"/>
      <c r="DA276" s="257"/>
      <c r="DB276" s="202"/>
      <c r="DC276" s="202"/>
      <c r="DD276" s="202"/>
      <c r="DE276" s="202"/>
      <c r="DF276" s="202"/>
      <c r="DG276" s="202"/>
      <c r="DH276" s="202"/>
      <c r="DI276" s="202"/>
      <c r="DJ276" s="202"/>
      <c r="DK276" s="202"/>
      <c r="DL276" s="202"/>
      <c r="DM276" s="202"/>
      <c r="DN276" s="202"/>
      <c r="DO276" s="202"/>
      <c r="DP276" s="202"/>
      <c r="DQ276" s="202"/>
      <c r="DR276" s="202"/>
      <c r="DS276" s="202"/>
      <c r="DT276" s="196"/>
      <c r="DU276" s="196"/>
      <c r="DV276" s="196"/>
      <c r="DW276" s="196"/>
      <c r="DX276" s="196"/>
      <c r="DY276" s="196"/>
      <c r="DZ276" s="196"/>
      <c r="EA276" s="196"/>
      <c r="EB276" s="176">
        <f t="shared" si="32"/>
        <v>0</v>
      </c>
      <c r="EC276" s="176">
        <f t="shared" si="33"/>
        <v>0</v>
      </c>
      <c r="ED276" s="176">
        <f t="shared" si="34"/>
        <v>0</v>
      </c>
      <c r="EE276" s="176">
        <f t="shared" si="35"/>
        <v>0</v>
      </c>
      <c r="EG276" s="129">
        <f t="shared" si="36"/>
        <v>0</v>
      </c>
      <c r="EI276" s="176">
        <f t="shared" si="37"/>
        <v>0</v>
      </c>
      <c r="EK276" s="176">
        <f t="shared" si="38"/>
        <v>0</v>
      </c>
      <c r="EL276" s="176"/>
      <c r="EM276" s="177"/>
      <c r="EN276" s="178"/>
      <c r="EO276" s="177"/>
      <c r="EP276" s="177"/>
      <c r="EQ276" s="176">
        <f t="shared" si="39"/>
        <v>0</v>
      </c>
      <c r="ER276" s="179">
        <v>23300</v>
      </c>
      <c r="ES276" s="177">
        <v>7.5</v>
      </c>
    </row>
    <row r="277" spans="1:149" x14ac:dyDescent="0.3">
      <c r="A277" s="197">
        <v>272</v>
      </c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247"/>
      <c r="AQ277" s="247"/>
      <c r="AR277" s="247"/>
      <c r="AS277" s="247"/>
      <c r="AT277" s="247"/>
      <c r="AU277" s="247"/>
      <c r="AV277" s="247"/>
      <c r="AW277" s="247"/>
      <c r="AX277" s="247"/>
      <c r="AY277" s="247"/>
      <c r="AZ277" s="247"/>
      <c r="BA277" s="247"/>
      <c r="BB277" s="247"/>
      <c r="BC277" s="247"/>
      <c r="BD277" s="206"/>
      <c r="BE277" s="206"/>
      <c r="BF277" s="206"/>
      <c r="BG277" s="206"/>
      <c r="BH277" s="206"/>
      <c r="BI277" s="206"/>
      <c r="BJ277" s="206"/>
      <c r="BK277" s="206"/>
      <c r="BL277" s="206"/>
      <c r="BM277" s="206"/>
      <c r="BN277" s="206"/>
      <c r="BO277" s="206"/>
      <c r="BP277" s="206"/>
      <c r="BQ277" s="206"/>
      <c r="BR277" s="252"/>
      <c r="BS277" s="252"/>
      <c r="BT277" s="252"/>
      <c r="BU277" s="252"/>
      <c r="BV277" s="252"/>
      <c r="BW277" s="252"/>
      <c r="BX277" s="252"/>
      <c r="BY277" s="252"/>
      <c r="BZ277" s="252"/>
      <c r="CA277" s="252"/>
      <c r="CB277" s="252"/>
      <c r="CC277" s="252"/>
      <c r="CD277" s="252"/>
      <c r="CE277" s="252"/>
      <c r="CF277" s="252"/>
      <c r="CG277" s="252"/>
      <c r="CH277" s="252"/>
      <c r="CI277" s="252"/>
      <c r="CJ277" s="257"/>
      <c r="CK277" s="257"/>
      <c r="CL277" s="257"/>
      <c r="CM277" s="257"/>
      <c r="CN277" s="257"/>
      <c r="CO277" s="257"/>
      <c r="CP277" s="257"/>
      <c r="CQ277" s="257"/>
      <c r="CR277" s="257"/>
      <c r="CS277" s="257"/>
      <c r="CT277" s="257"/>
      <c r="CU277" s="257"/>
      <c r="CV277" s="257"/>
      <c r="CW277" s="257"/>
      <c r="CX277" s="257"/>
      <c r="CY277" s="257"/>
      <c r="CZ277" s="257"/>
      <c r="DA277" s="257"/>
      <c r="DB277" s="202"/>
      <c r="DC277" s="202"/>
      <c r="DD277" s="202"/>
      <c r="DE277" s="202"/>
      <c r="DF277" s="202"/>
      <c r="DG277" s="202"/>
      <c r="DH277" s="202"/>
      <c r="DI277" s="202"/>
      <c r="DJ277" s="202"/>
      <c r="DK277" s="202"/>
      <c r="DL277" s="202"/>
      <c r="DM277" s="202"/>
      <c r="DN277" s="202"/>
      <c r="DO277" s="202"/>
      <c r="DP277" s="202"/>
      <c r="DQ277" s="202"/>
      <c r="DR277" s="202"/>
      <c r="DS277" s="202"/>
      <c r="DT277" s="196"/>
      <c r="DU277" s="196"/>
      <c r="DV277" s="196"/>
      <c r="DW277" s="196"/>
      <c r="DX277" s="196"/>
      <c r="DY277" s="196"/>
      <c r="DZ277" s="196"/>
      <c r="EA277" s="196"/>
      <c r="EB277" s="176">
        <f t="shared" si="32"/>
        <v>0</v>
      </c>
      <c r="EC277" s="176">
        <f t="shared" si="33"/>
        <v>0</v>
      </c>
      <c r="ED277" s="176">
        <f t="shared" si="34"/>
        <v>0</v>
      </c>
      <c r="EE277" s="176">
        <f t="shared" si="35"/>
        <v>0</v>
      </c>
      <c r="EG277" s="129">
        <f t="shared" si="36"/>
        <v>0</v>
      </c>
      <c r="EI277" s="176">
        <f t="shared" si="37"/>
        <v>0</v>
      </c>
      <c r="EK277" s="176">
        <f t="shared" si="38"/>
        <v>0</v>
      </c>
      <c r="EL277" s="176"/>
      <c r="EM277" s="177"/>
      <c r="EN277" s="178"/>
      <c r="EO277" s="177"/>
      <c r="EP277" s="177"/>
      <c r="EQ277" s="176">
        <f t="shared" si="39"/>
        <v>0</v>
      </c>
      <c r="ER277" s="179">
        <v>23300</v>
      </c>
      <c r="ES277" s="177">
        <v>7.5</v>
      </c>
    </row>
    <row r="278" spans="1:149" x14ac:dyDescent="0.3">
      <c r="A278" s="197">
        <v>273</v>
      </c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247"/>
      <c r="AQ278" s="247"/>
      <c r="AR278" s="247"/>
      <c r="AS278" s="247"/>
      <c r="AT278" s="247"/>
      <c r="AU278" s="247"/>
      <c r="AV278" s="247"/>
      <c r="AW278" s="247"/>
      <c r="AX278" s="247"/>
      <c r="AY278" s="247"/>
      <c r="AZ278" s="247"/>
      <c r="BA278" s="247"/>
      <c r="BB278" s="247"/>
      <c r="BC278" s="247"/>
      <c r="BD278" s="206"/>
      <c r="BE278" s="206"/>
      <c r="BF278" s="206"/>
      <c r="BG278" s="206"/>
      <c r="BH278" s="206"/>
      <c r="BI278" s="206"/>
      <c r="BJ278" s="206"/>
      <c r="BK278" s="206"/>
      <c r="BL278" s="206"/>
      <c r="BM278" s="206"/>
      <c r="BN278" s="206"/>
      <c r="BO278" s="206"/>
      <c r="BP278" s="206"/>
      <c r="BQ278" s="206"/>
      <c r="BR278" s="252"/>
      <c r="BS278" s="252"/>
      <c r="BT278" s="252"/>
      <c r="BU278" s="252"/>
      <c r="BV278" s="252"/>
      <c r="BW278" s="252"/>
      <c r="BX278" s="252"/>
      <c r="BY278" s="252"/>
      <c r="BZ278" s="252"/>
      <c r="CA278" s="252"/>
      <c r="CB278" s="252"/>
      <c r="CC278" s="252"/>
      <c r="CD278" s="252"/>
      <c r="CE278" s="252"/>
      <c r="CF278" s="252"/>
      <c r="CG278" s="252"/>
      <c r="CH278" s="252"/>
      <c r="CI278" s="252"/>
      <c r="CJ278" s="257"/>
      <c r="CK278" s="257"/>
      <c r="CL278" s="257"/>
      <c r="CM278" s="257"/>
      <c r="CN278" s="257"/>
      <c r="CO278" s="257"/>
      <c r="CP278" s="257"/>
      <c r="CQ278" s="257"/>
      <c r="CR278" s="257"/>
      <c r="CS278" s="257"/>
      <c r="CT278" s="257"/>
      <c r="CU278" s="257"/>
      <c r="CV278" s="257"/>
      <c r="CW278" s="257"/>
      <c r="CX278" s="257"/>
      <c r="CY278" s="257"/>
      <c r="CZ278" s="257"/>
      <c r="DA278" s="257"/>
      <c r="DB278" s="202"/>
      <c r="DC278" s="202"/>
      <c r="DD278" s="202"/>
      <c r="DE278" s="202"/>
      <c r="DF278" s="202"/>
      <c r="DG278" s="202"/>
      <c r="DH278" s="202"/>
      <c r="DI278" s="202"/>
      <c r="DJ278" s="202"/>
      <c r="DK278" s="202"/>
      <c r="DL278" s="202"/>
      <c r="DM278" s="202"/>
      <c r="DN278" s="202"/>
      <c r="DO278" s="202"/>
      <c r="DP278" s="202"/>
      <c r="DQ278" s="202"/>
      <c r="DR278" s="202"/>
      <c r="DS278" s="202"/>
      <c r="DT278" s="196"/>
      <c r="DU278" s="196"/>
      <c r="DV278" s="196"/>
      <c r="DW278" s="196"/>
      <c r="DX278" s="196"/>
      <c r="DY278" s="196"/>
      <c r="DZ278" s="196"/>
      <c r="EA278" s="196"/>
      <c r="EB278" s="176">
        <f t="shared" si="32"/>
        <v>0</v>
      </c>
      <c r="EC278" s="176">
        <f t="shared" si="33"/>
        <v>0</v>
      </c>
      <c r="ED278" s="176">
        <f t="shared" si="34"/>
        <v>0</v>
      </c>
      <c r="EE278" s="176">
        <f t="shared" si="35"/>
        <v>0</v>
      </c>
      <c r="EG278" s="129">
        <f t="shared" si="36"/>
        <v>0</v>
      </c>
      <c r="EI278" s="176">
        <f t="shared" si="37"/>
        <v>0</v>
      </c>
      <c r="EK278" s="176">
        <f t="shared" si="38"/>
        <v>0</v>
      </c>
      <c r="EL278" s="176"/>
      <c r="EM278" s="177"/>
      <c r="EN278" s="178"/>
      <c r="EO278" s="177"/>
      <c r="EP278" s="177"/>
      <c r="EQ278" s="176">
        <f t="shared" si="39"/>
        <v>0</v>
      </c>
      <c r="ER278" s="179">
        <v>23300</v>
      </c>
      <c r="ES278" s="177">
        <v>7.5</v>
      </c>
    </row>
    <row r="279" spans="1:149" x14ac:dyDescent="0.3">
      <c r="A279" s="197">
        <v>274</v>
      </c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247"/>
      <c r="AQ279" s="247"/>
      <c r="AR279" s="247"/>
      <c r="AS279" s="247"/>
      <c r="AT279" s="247"/>
      <c r="AU279" s="247"/>
      <c r="AV279" s="247"/>
      <c r="AW279" s="247"/>
      <c r="AX279" s="247"/>
      <c r="AY279" s="247"/>
      <c r="AZ279" s="247"/>
      <c r="BA279" s="247"/>
      <c r="BB279" s="247"/>
      <c r="BC279" s="247"/>
      <c r="BD279" s="206"/>
      <c r="BE279" s="206"/>
      <c r="BF279" s="206"/>
      <c r="BG279" s="206"/>
      <c r="BH279" s="206"/>
      <c r="BI279" s="206"/>
      <c r="BJ279" s="206"/>
      <c r="BK279" s="206"/>
      <c r="BL279" s="206"/>
      <c r="BM279" s="206"/>
      <c r="BN279" s="206"/>
      <c r="BO279" s="206"/>
      <c r="BP279" s="206"/>
      <c r="BQ279" s="206"/>
      <c r="BR279" s="252"/>
      <c r="BS279" s="252"/>
      <c r="BT279" s="252"/>
      <c r="BU279" s="252"/>
      <c r="BV279" s="252"/>
      <c r="BW279" s="252"/>
      <c r="BX279" s="252"/>
      <c r="BY279" s="252"/>
      <c r="BZ279" s="252"/>
      <c r="CA279" s="252"/>
      <c r="CB279" s="252"/>
      <c r="CC279" s="252"/>
      <c r="CD279" s="252"/>
      <c r="CE279" s="252"/>
      <c r="CF279" s="252"/>
      <c r="CG279" s="252"/>
      <c r="CH279" s="252"/>
      <c r="CI279" s="252"/>
      <c r="CJ279" s="257"/>
      <c r="CK279" s="257"/>
      <c r="CL279" s="257"/>
      <c r="CM279" s="257"/>
      <c r="CN279" s="257"/>
      <c r="CO279" s="257"/>
      <c r="CP279" s="257"/>
      <c r="CQ279" s="257"/>
      <c r="CR279" s="257"/>
      <c r="CS279" s="257"/>
      <c r="CT279" s="257"/>
      <c r="CU279" s="257"/>
      <c r="CV279" s="257"/>
      <c r="CW279" s="257"/>
      <c r="CX279" s="257"/>
      <c r="CY279" s="257"/>
      <c r="CZ279" s="257"/>
      <c r="DA279" s="257"/>
      <c r="DB279" s="202"/>
      <c r="DC279" s="202"/>
      <c r="DD279" s="202"/>
      <c r="DE279" s="202"/>
      <c r="DF279" s="202"/>
      <c r="DG279" s="202"/>
      <c r="DH279" s="202"/>
      <c r="DI279" s="202"/>
      <c r="DJ279" s="202"/>
      <c r="DK279" s="202"/>
      <c r="DL279" s="202"/>
      <c r="DM279" s="202"/>
      <c r="DN279" s="202"/>
      <c r="DO279" s="202"/>
      <c r="DP279" s="202"/>
      <c r="DQ279" s="202"/>
      <c r="DR279" s="202"/>
      <c r="DS279" s="202"/>
      <c r="DT279" s="196"/>
      <c r="DU279" s="196"/>
      <c r="DV279" s="196"/>
      <c r="DW279" s="196"/>
      <c r="DX279" s="196"/>
      <c r="DY279" s="196"/>
      <c r="DZ279" s="196"/>
      <c r="EA279" s="196"/>
      <c r="EB279" s="176">
        <f t="shared" si="32"/>
        <v>0</v>
      </c>
      <c r="EC279" s="176">
        <f t="shared" si="33"/>
        <v>0</v>
      </c>
      <c r="ED279" s="176">
        <f t="shared" si="34"/>
        <v>0</v>
      </c>
      <c r="EE279" s="176">
        <f t="shared" si="35"/>
        <v>0</v>
      </c>
      <c r="EG279" s="129">
        <f t="shared" si="36"/>
        <v>0</v>
      </c>
      <c r="EI279" s="176">
        <f t="shared" si="37"/>
        <v>0</v>
      </c>
      <c r="EK279" s="176">
        <f t="shared" si="38"/>
        <v>0</v>
      </c>
      <c r="EL279" s="176"/>
      <c r="EM279" s="177"/>
      <c r="EN279" s="178"/>
      <c r="EO279" s="177"/>
      <c r="EP279" s="177"/>
      <c r="EQ279" s="176">
        <f t="shared" si="39"/>
        <v>0</v>
      </c>
      <c r="ER279" s="179">
        <v>23300</v>
      </c>
      <c r="ES279" s="177">
        <v>7.5</v>
      </c>
    </row>
    <row r="280" spans="1:149" x14ac:dyDescent="0.3">
      <c r="A280" s="197">
        <v>275</v>
      </c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247"/>
      <c r="AQ280" s="247"/>
      <c r="AR280" s="247"/>
      <c r="AS280" s="247"/>
      <c r="AT280" s="247"/>
      <c r="AU280" s="247"/>
      <c r="AV280" s="247"/>
      <c r="AW280" s="247"/>
      <c r="AX280" s="247"/>
      <c r="AY280" s="247"/>
      <c r="AZ280" s="247"/>
      <c r="BA280" s="247"/>
      <c r="BB280" s="247"/>
      <c r="BC280" s="247"/>
      <c r="BD280" s="206"/>
      <c r="BE280" s="206"/>
      <c r="BF280" s="206"/>
      <c r="BG280" s="206"/>
      <c r="BH280" s="206"/>
      <c r="BI280" s="206"/>
      <c r="BJ280" s="206"/>
      <c r="BK280" s="206"/>
      <c r="BL280" s="206"/>
      <c r="BM280" s="206"/>
      <c r="BN280" s="206"/>
      <c r="BO280" s="206"/>
      <c r="BP280" s="206"/>
      <c r="BQ280" s="206"/>
      <c r="BR280" s="252"/>
      <c r="BS280" s="252"/>
      <c r="BT280" s="252"/>
      <c r="BU280" s="252"/>
      <c r="BV280" s="252"/>
      <c r="BW280" s="252"/>
      <c r="BX280" s="252"/>
      <c r="BY280" s="252"/>
      <c r="BZ280" s="252"/>
      <c r="CA280" s="252"/>
      <c r="CB280" s="252"/>
      <c r="CC280" s="252"/>
      <c r="CD280" s="252"/>
      <c r="CE280" s="252"/>
      <c r="CF280" s="252"/>
      <c r="CG280" s="252"/>
      <c r="CH280" s="252"/>
      <c r="CI280" s="252"/>
      <c r="CJ280" s="257"/>
      <c r="CK280" s="257"/>
      <c r="CL280" s="257"/>
      <c r="CM280" s="257"/>
      <c r="CN280" s="257"/>
      <c r="CO280" s="257"/>
      <c r="CP280" s="257"/>
      <c r="CQ280" s="257"/>
      <c r="CR280" s="257"/>
      <c r="CS280" s="257"/>
      <c r="CT280" s="257"/>
      <c r="CU280" s="257"/>
      <c r="CV280" s="257"/>
      <c r="CW280" s="257"/>
      <c r="CX280" s="257"/>
      <c r="CY280" s="257"/>
      <c r="CZ280" s="257"/>
      <c r="DA280" s="257"/>
      <c r="DB280" s="202"/>
      <c r="DC280" s="202"/>
      <c r="DD280" s="202"/>
      <c r="DE280" s="202"/>
      <c r="DF280" s="202"/>
      <c r="DG280" s="202"/>
      <c r="DH280" s="202"/>
      <c r="DI280" s="202"/>
      <c r="DJ280" s="202"/>
      <c r="DK280" s="202"/>
      <c r="DL280" s="202"/>
      <c r="DM280" s="202"/>
      <c r="DN280" s="202"/>
      <c r="DO280" s="202"/>
      <c r="DP280" s="202"/>
      <c r="DQ280" s="202"/>
      <c r="DR280" s="202"/>
      <c r="DS280" s="202"/>
      <c r="DT280" s="196"/>
      <c r="DU280" s="196"/>
      <c r="DV280" s="196"/>
      <c r="DW280" s="196"/>
      <c r="DX280" s="196"/>
      <c r="DY280" s="196"/>
      <c r="DZ280" s="196"/>
      <c r="EA280" s="196"/>
      <c r="EB280" s="176">
        <f t="shared" si="32"/>
        <v>0</v>
      </c>
      <c r="EC280" s="176">
        <f t="shared" si="33"/>
        <v>0</v>
      </c>
      <c r="ED280" s="176">
        <f t="shared" si="34"/>
        <v>0</v>
      </c>
      <c r="EE280" s="176">
        <f t="shared" si="35"/>
        <v>0</v>
      </c>
      <c r="EG280" s="129">
        <f t="shared" si="36"/>
        <v>0</v>
      </c>
      <c r="EI280" s="176">
        <f t="shared" si="37"/>
        <v>0</v>
      </c>
      <c r="EK280" s="176">
        <f t="shared" si="38"/>
        <v>0</v>
      </c>
      <c r="EL280" s="176"/>
      <c r="EM280" s="177"/>
      <c r="EN280" s="178"/>
      <c r="EO280" s="177"/>
      <c r="EP280" s="177"/>
      <c r="EQ280" s="176">
        <f t="shared" si="39"/>
        <v>0</v>
      </c>
      <c r="ER280" s="179">
        <v>23300</v>
      </c>
      <c r="ES280" s="177">
        <v>7.5</v>
      </c>
    </row>
    <row r="281" spans="1:149" x14ac:dyDescent="0.3">
      <c r="A281" s="197">
        <v>276</v>
      </c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247"/>
      <c r="AQ281" s="247"/>
      <c r="AR281" s="247"/>
      <c r="AS281" s="247"/>
      <c r="AT281" s="247"/>
      <c r="AU281" s="247"/>
      <c r="AV281" s="247"/>
      <c r="AW281" s="247"/>
      <c r="AX281" s="247"/>
      <c r="AY281" s="247"/>
      <c r="AZ281" s="247"/>
      <c r="BA281" s="247"/>
      <c r="BB281" s="247"/>
      <c r="BC281" s="247"/>
      <c r="BD281" s="206"/>
      <c r="BE281" s="206"/>
      <c r="BF281" s="206"/>
      <c r="BG281" s="206"/>
      <c r="BH281" s="206"/>
      <c r="BI281" s="206"/>
      <c r="BJ281" s="206"/>
      <c r="BK281" s="206"/>
      <c r="BL281" s="206"/>
      <c r="BM281" s="206"/>
      <c r="BN281" s="206"/>
      <c r="BO281" s="206"/>
      <c r="BP281" s="206"/>
      <c r="BQ281" s="206"/>
      <c r="BR281" s="252"/>
      <c r="BS281" s="252"/>
      <c r="BT281" s="252"/>
      <c r="BU281" s="252"/>
      <c r="BV281" s="252"/>
      <c r="BW281" s="252"/>
      <c r="BX281" s="252"/>
      <c r="BY281" s="252"/>
      <c r="BZ281" s="252"/>
      <c r="CA281" s="252"/>
      <c r="CB281" s="252"/>
      <c r="CC281" s="252"/>
      <c r="CD281" s="252"/>
      <c r="CE281" s="252"/>
      <c r="CF281" s="252"/>
      <c r="CG281" s="252"/>
      <c r="CH281" s="252"/>
      <c r="CI281" s="252"/>
      <c r="CJ281" s="257"/>
      <c r="CK281" s="257"/>
      <c r="CL281" s="257"/>
      <c r="CM281" s="257"/>
      <c r="CN281" s="257"/>
      <c r="CO281" s="257"/>
      <c r="CP281" s="257"/>
      <c r="CQ281" s="257"/>
      <c r="CR281" s="257"/>
      <c r="CS281" s="257"/>
      <c r="CT281" s="257"/>
      <c r="CU281" s="257"/>
      <c r="CV281" s="257"/>
      <c r="CW281" s="257"/>
      <c r="CX281" s="257"/>
      <c r="CY281" s="257"/>
      <c r="CZ281" s="257"/>
      <c r="DA281" s="257"/>
      <c r="DB281" s="202"/>
      <c r="DC281" s="202"/>
      <c r="DD281" s="202"/>
      <c r="DE281" s="202"/>
      <c r="DF281" s="202"/>
      <c r="DG281" s="202"/>
      <c r="DH281" s="202"/>
      <c r="DI281" s="202"/>
      <c r="DJ281" s="202"/>
      <c r="DK281" s="202"/>
      <c r="DL281" s="202"/>
      <c r="DM281" s="202"/>
      <c r="DN281" s="202"/>
      <c r="DO281" s="202"/>
      <c r="DP281" s="202"/>
      <c r="DQ281" s="202"/>
      <c r="DR281" s="202"/>
      <c r="DS281" s="202"/>
      <c r="DT281" s="196"/>
      <c r="DU281" s="196"/>
      <c r="DV281" s="196"/>
      <c r="DW281" s="196"/>
      <c r="DX281" s="196"/>
      <c r="DY281" s="196"/>
      <c r="DZ281" s="196"/>
      <c r="EA281" s="196"/>
      <c r="EB281" s="176">
        <f t="shared" si="32"/>
        <v>0</v>
      </c>
      <c r="EC281" s="176">
        <f t="shared" si="33"/>
        <v>0</v>
      </c>
      <c r="ED281" s="176">
        <f t="shared" si="34"/>
        <v>0</v>
      </c>
      <c r="EE281" s="176">
        <f t="shared" si="35"/>
        <v>0</v>
      </c>
      <c r="EG281" s="129">
        <f t="shared" si="36"/>
        <v>0</v>
      </c>
      <c r="EI281" s="176">
        <f t="shared" si="37"/>
        <v>0</v>
      </c>
      <c r="EK281" s="176">
        <f t="shared" si="38"/>
        <v>0</v>
      </c>
      <c r="EL281" s="176"/>
      <c r="EM281" s="177"/>
      <c r="EN281" s="178"/>
      <c r="EO281" s="177"/>
      <c r="EP281" s="177"/>
      <c r="EQ281" s="176">
        <f t="shared" si="39"/>
        <v>0</v>
      </c>
      <c r="ER281" s="179">
        <v>23300</v>
      </c>
      <c r="ES281" s="177">
        <v>7.5</v>
      </c>
    </row>
    <row r="282" spans="1:149" x14ac:dyDescent="0.3">
      <c r="A282" s="197">
        <v>277</v>
      </c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247"/>
      <c r="AQ282" s="247"/>
      <c r="AR282" s="247"/>
      <c r="AS282" s="247"/>
      <c r="AT282" s="247"/>
      <c r="AU282" s="247"/>
      <c r="AV282" s="247"/>
      <c r="AW282" s="247"/>
      <c r="AX282" s="247"/>
      <c r="AY282" s="247"/>
      <c r="AZ282" s="247"/>
      <c r="BA282" s="247"/>
      <c r="BB282" s="247"/>
      <c r="BC282" s="247"/>
      <c r="BD282" s="206"/>
      <c r="BE282" s="206"/>
      <c r="BF282" s="206"/>
      <c r="BG282" s="206"/>
      <c r="BH282" s="206"/>
      <c r="BI282" s="206"/>
      <c r="BJ282" s="206"/>
      <c r="BK282" s="206"/>
      <c r="BL282" s="206"/>
      <c r="BM282" s="206"/>
      <c r="BN282" s="206"/>
      <c r="BO282" s="206"/>
      <c r="BP282" s="206"/>
      <c r="BQ282" s="206"/>
      <c r="BR282" s="252"/>
      <c r="BS282" s="252"/>
      <c r="BT282" s="252"/>
      <c r="BU282" s="252"/>
      <c r="BV282" s="252"/>
      <c r="BW282" s="252"/>
      <c r="BX282" s="252"/>
      <c r="BY282" s="252"/>
      <c r="BZ282" s="252"/>
      <c r="CA282" s="252"/>
      <c r="CB282" s="252"/>
      <c r="CC282" s="252"/>
      <c r="CD282" s="252"/>
      <c r="CE282" s="252"/>
      <c r="CF282" s="252"/>
      <c r="CG282" s="252"/>
      <c r="CH282" s="252"/>
      <c r="CI282" s="252"/>
      <c r="CJ282" s="257"/>
      <c r="CK282" s="257"/>
      <c r="CL282" s="257"/>
      <c r="CM282" s="257"/>
      <c r="CN282" s="257"/>
      <c r="CO282" s="257"/>
      <c r="CP282" s="257"/>
      <c r="CQ282" s="257"/>
      <c r="CR282" s="257"/>
      <c r="CS282" s="257"/>
      <c r="CT282" s="257"/>
      <c r="CU282" s="257"/>
      <c r="CV282" s="257"/>
      <c r="CW282" s="257"/>
      <c r="CX282" s="257"/>
      <c r="CY282" s="257"/>
      <c r="CZ282" s="257"/>
      <c r="DA282" s="257"/>
      <c r="DB282" s="202"/>
      <c r="DC282" s="202"/>
      <c r="DD282" s="202"/>
      <c r="DE282" s="202"/>
      <c r="DF282" s="202"/>
      <c r="DG282" s="202"/>
      <c r="DH282" s="202"/>
      <c r="DI282" s="202"/>
      <c r="DJ282" s="202"/>
      <c r="DK282" s="202"/>
      <c r="DL282" s="202"/>
      <c r="DM282" s="202"/>
      <c r="DN282" s="202"/>
      <c r="DO282" s="202"/>
      <c r="DP282" s="202"/>
      <c r="DQ282" s="202"/>
      <c r="DR282" s="202"/>
      <c r="DS282" s="202"/>
      <c r="DT282" s="196"/>
      <c r="DU282" s="196"/>
      <c r="DV282" s="196"/>
      <c r="DW282" s="196"/>
      <c r="DX282" s="196"/>
      <c r="DY282" s="196"/>
      <c r="DZ282" s="196"/>
      <c r="EA282" s="196"/>
      <c r="EB282" s="176">
        <f t="shared" si="32"/>
        <v>0</v>
      </c>
      <c r="EC282" s="176">
        <f t="shared" si="33"/>
        <v>0</v>
      </c>
      <c r="ED282" s="176">
        <f t="shared" si="34"/>
        <v>0</v>
      </c>
      <c r="EE282" s="176">
        <f t="shared" si="35"/>
        <v>0</v>
      </c>
      <c r="EG282" s="129">
        <f t="shared" si="36"/>
        <v>0</v>
      </c>
      <c r="EI282" s="176">
        <f t="shared" si="37"/>
        <v>0</v>
      </c>
      <c r="EK282" s="176">
        <f t="shared" si="38"/>
        <v>0</v>
      </c>
      <c r="EL282" s="176"/>
      <c r="EM282" s="177"/>
      <c r="EN282" s="178"/>
      <c r="EO282" s="177"/>
      <c r="EP282" s="177"/>
      <c r="EQ282" s="176">
        <f t="shared" si="39"/>
        <v>0</v>
      </c>
      <c r="ER282" s="179">
        <v>23300</v>
      </c>
      <c r="ES282" s="177">
        <v>7.5</v>
      </c>
    </row>
    <row r="283" spans="1:149" x14ac:dyDescent="0.3">
      <c r="A283" s="197">
        <v>278</v>
      </c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247"/>
      <c r="AQ283" s="247"/>
      <c r="AR283" s="247"/>
      <c r="AS283" s="247"/>
      <c r="AT283" s="247"/>
      <c r="AU283" s="247"/>
      <c r="AV283" s="247"/>
      <c r="AW283" s="247"/>
      <c r="AX283" s="247"/>
      <c r="AY283" s="247"/>
      <c r="AZ283" s="247"/>
      <c r="BA283" s="247"/>
      <c r="BB283" s="247"/>
      <c r="BC283" s="247"/>
      <c r="BD283" s="206"/>
      <c r="BE283" s="206"/>
      <c r="BF283" s="206"/>
      <c r="BG283" s="206"/>
      <c r="BH283" s="206"/>
      <c r="BI283" s="206"/>
      <c r="BJ283" s="206"/>
      <c r="BK283" s="206"/>
      <c r="BL283" s="206"/>
      <c r="BM283" s="206"/>
      <c r="BN283" s="206"/>
      <c r="BO283" s="206"/>
      <c r="BP283" s="206"/>
      <c r="BQ283" s="206"/>
      <c r="BR283" s="252"/>
      <c r="BS283" s="252"/>
      <c r="BT283" s="252"/>
      <c r="BU283" s="252"/>
      <c r="BV283" s="252"/>
      <c r="BW283" s="252"/>
      <c r="BX283" s="252"/>
      <c r="BY283" s="252"/>
      <c r="BZ283" s="252"/>
      <c r="CA283" s="252"/>
      <c r="CB283" s="252"/>
      <c r="CC283" s="252"/>
      <c r="CD283" s="252"/>
      <c r="CE283" s="252"/>
      <c r="CF283" s="252"/>
      <c r="CG283" s="252"/>
      <c r="CH283" s="252"/>
      <c r="CI283" s="252"/>
      <c r="CJ283" s="257"/>
      <c r="CK283" s="257"/>
      <c r="CL283" s="257"/>
      <c r="CM283" s="257"/>
      <c r="CN283" s="257"/>
      <c r="CO283" s="257"/>
      <c r="CP283" s="257"/>
      <c r="CQ283" s="257"/>
      <c r="CR283" s="257"/>
      <c r="CS283" s="257"/>
      <c r="CT283" s="257"/>
      <c r="CU283" s="257"/>
      <c r="CV283" s="257"/>
      <c r="CW283" s="257"/>
      <c r="CX283" s="257"/>
      <c r="CY283" s="257"/>
      <c r="CZ283" s="257"/>
      <c r="DA283" s="257"/>
      <c r="DB283" s="202"/>
      <c r="DC283" s="202"/>
      <c r="DD283" s="202"/>
      <c r="DE283" s="202"/>
      <c r="DF283" s="202"/>
      <c r="DG283" s="202"/>
      <c r="DH283" s="202"/>
      <c r="DI283" s="202"/>
      <c r="DJ283" s="202"/>
      <c r="DK283" s="202"/>
      <c r="DL283" s="202"/>
      <c r="DM283" s="202"/>
      <c r="DN283" s="202"/>
      <c r="DO283" s="202"/>
      <c r="DP283" s="202"/>
      <c r="DQ283" s="202"/>
      <c r="DR283" s="202"/>
      <c r="DS283" s="202"/>
      <c r="DT283" s="196"/>
      <c r="DU283" s="196"/>
      <c r="DV283" s="196"/>
      <c r="DW283" s="196"/>
      <c r="DX283" s="196"/>
      <c r="DY283" s="196"/>
      <c r="DZ283" s="196"/>
      <c r="EA283" s="196"/>
      <c r="EB283" s="176">
        <f t="shared" si="32"/>
        <v>0</v>
      </c>
      <c r="EC283" s="176">
        <f t="shared" si="33"/>
        <v>0</v>
      </c>
      <c r="ED283" s="176">
        <f t="shared" si="34"/>
        <v>0</v>
      </c>
      <c r="EE283" s="176">
        <f t="shared" si="35"/>
        <v>0</v>
      </c>
      <c r="EG283" s="129">
        <f t="shared" si="36"/>
        <v>0</v>
      </c>
      <c r="EI283" s="176">
        <f t="shared" si="37"/>
        <v>0</v>
      </c>
      <c r="EK283" s="176">
        <f t="shared" si="38"/>
        <v>0</v>
      </c>
      <c r="EL283" s="176"/>
      <c r="EM283" s="177"/>
      <c r="EN283" s="178"/>
      <c r="EO283" s="177"/>
      <c r="EP283" s="177"/>
      <c r="EQ283" s="176">
        <f t="shared" si="39"/>
        <v>0</v>
      </c>
      <c r="ER283" s="179">
        <v>23300</v>
      </c>
      <c r="ES283" s="177">
        <v>7.5</v>
      </c>
    </row>
    <row r="284" spans="1:149" x14ac:dyDescent="0.3">
      <c r="A284" s="197">
        <v>279</v>
      </c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247"/>
      <c r="AQ284" s="247"/>
      <c r="AR284" s="247"/>
      <c r="AS284" s="247"/>
      <c r="AT284" s="247"/>
      <c r="AU284" s="247"/>
      <c r="AV284" s="247"/>
      <c r="AW284" s="247"/>
      <c r="AX284" s="247"/>
      <c r="AY284" s="247"/>
      <c r="AZ284" s="247"/>
      <c r="BA284" s="247"/>
      <c r="BB284" s="247"/>
      <c r="BC284" s="247"/>
      <c r="BD284" s="206"/>
      <c r="BE284" s="206"/>
      <c r="BF284" s="206"/>
      <c r="BG284" s="206"/>
      <c r="BH284" s="206"/>
      <c r="BI284" s="206"/>
      <c r="BJ284" s="206"/>
      <c r="BK284" s="206"/>
      <c r="BL284" s="206"/>
      <c r="BM284" s="206"/>
      <c r="BN284" s="206"/>
      <c r="BO284" s="206"/>
      <c r="BP284" s="206"/>
      <c r="BQ284" s="206"/>
      <c r="BR284" s="252"/>
      <c r="BS284" s="252"/>
      <c r="BT284" s="252"/>
      <c r="BU284" s="252"/>
      <c r="BV284" s="252"/>
      <c r="BW284" s="252"/>
      <c r="BX284" s="252"/>
      <c r="BY284" s="252"/>
      <c r="BZ284" s="252"/>
      <c r="CA284" s="252"/>
      <c r="CB284" s="252"/>
      <c r="CC284" s="252"/>
      <c r="CD284" s="252"/>
      <c r="CE284" s="252"/>
      <c r="CF284" s="252"/>
      <c r="CG284" s="252"/>
      <c r="CH284" s="252"/>
      <c r="CI284" s="252"/>
      <c r="CJ284" s="257"/>
      <c r="CK284" s="257"/>
      <c r="CL284" s="257"/>
      <c r="CM284" s="257"/>
      <c r="CN284" s="257"/>
      <c r="CO284" s="257"/>
      <c r="CP284" s="257"/>
      <c r="CQ284" s="257"/>
      <c r="CR284" s="257"/>
      <c r="CS284" s="257"/>
      <c r="CT284" s="257"/>
      <c r="CU284" s="257"/>
      <c r="CV284" s="257"/>
      <c r="CW284" s="257"/>
      <c r="CX284" s="257"/>
      <c r="CY284" s="257"/>
      <c r="CZ284" s="257"/>
      <c r="DA284" s="257"/>
      <c r="DB284" s="202"/>
      <c r="DC284" s="202"/>
      <c r="DD284" s="202"/>
      <c r="DE284" s="202"/>
      <c r="DF284" s="202"/>
      <c r="DG284" s="202"/>
      <c r="DH284" s="202"/>
      <c r="DI284" s="202"/>
      <c r="DJ284" s="202"/>
      <c r="DK284" s="202"/>
      <c r="DL284" s="202"/>
      <c r="DM284" s="202"/>
      <c r="DN284" s="202"/>
      <c r="DO284" s="202"/>
      <c r="DP284" s="202"/>
      <c r="DQ284" s="202"/>
      <c r="DR284" s="202"/>
      <c r="DS284" s="202"/>
      <c r="DT284" s="196"/>
      <c r="DU284" s="196"/>
      <c r="DV284" s="196"/>
      <c r="DW284" s="196"/>
      <c r="DX284" s="196"/>
      <c r="DY284" s="196"/>
      <c r="DZ284" s="196"/>
      <c r="EA284" s="196"/>
      <c r="EB284" s="176">
        <f t="shared" si="32"/>
        <v>0</v>
      </c>
      <c r="EC284" s="176">
        <f t="shared" si="33"/>
        <v>0</v>
      </c>
      <c r="ED284" s="176">
        <f t="shared" si="34"/>
        <v>0</v>
      </c>
      <c r="EE284" s="176">
        <f t="shared" si="35"/>
        <v>0</v>
      </c>
      <c r="EG284" s="129">
        <f t="shared" si="36"/>
        <v>0</v>
      </c>
      <c r="EI284" s="176">
        <f t="shared" si="37"/>
        <v>0</v>
      </c>
      <c r="EK284" s="176">
        <f t="shared" si="38"/>
        <v>0</v>
      </c>
      <c r="EL284" s="176"/>
      <c r="EM284" s="177"/>
      <c r="EN284" s="178"/>
      <c r="EO284" s="177"/>
      <c r="EP284" s="177"/>
      <c r="EQ284" s="176">
        <f t="shared" si="39"/>
        <v>0</v>
      </c>
      <c r="ER284" s="179">
        <v>23300</v>
      </c>
      <c r="ES284" s="177">
        <v>7.5</v>
      </c>
    </row>
    <row r="285" spans="1:149" x14ac:dyDescent="0.3">
      <c r="A285" s="197">
        <v>280</v>
      </c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247"/>
      <c r="AQ285" s="247"/>
      <c r="AR285" s="247"/>
      <c r="AS285" s="247"/>
      <c r="AT285" s="247"/>
      <c r="AU285" s="247"/>
      <c r="AV285" s="247"/>
      <c r="AW285" s="247"/>
      <c r="AX285" s="247"/>
      <c r="AY285" s="247"/>
      <c r="AZ285" s="247"/>
      <c r="BA285" s="247"/>
      <c r="BB285" s="247"/>
      <c r="BC285" s="247"/>
      <c r="BD285" s="206"/>
      <c r="BE285" s="206"/>
      <c r="BF285" s="206"/>
      <c r="BG285" s="206"/>
      <c r="BH285" s="206"/>
      <c r="BI285" s="206"/>
      <c r="BJ285" s="206"/>
      <c r="BK285" s="206"/>
      <c r="BL285" s="206"/>
      <c r="BM285" s="206"/>
      <c r="BN285" s="206"/>
      <c r="BO285" s="206"/>
      <c r="BP285" s="206"/>
      <c r="BQ285" s="206"/>
      <c r="BR285" s="252"/>
      <c r="BS285" s="252"/>
      <c r="BT285" s="252"/>
      <c r="BU285" s="252"/>
      <c r="BV285" s="252"/>
      <c r="BW285" s="252"/>
      <c r="BX285" s="252"/>
      <c r="BY285" s="252"/>
      <c r="BZ285" s="252"/>
      <c r="CA285" s="252"/>
      <c r="CB285" s="252"/>
      <c r="CC285" s="252"/>
      <c r="CD285" s="252"/>
      <c r="CE285" s="252"/>
      <c r="CF285" s="252"/>
      <c r="CG285" s="252"/>
      <c r="CH285" s="252"/>
      <c r="CI285" s="252"/>
      <c r="CJ285" s="257"/>
      <c r="CK285" s="257"/>
      <c r="CL285" s="257"/>
      <c r="CM285" s="257"/>
      <c r="CN285" s="257"/>
      <c r="CO285" s="257"/>
      <c r="CP285" s="257"/>
      <c r="CQ285" s="257"/>
      <c r="CR285" s="257"/>
      <c r="CS285" s="257"/>
      <c r="CT285" s="257"/>
      <c r="CU285" s="257"/>
      <c r="CV285" s="257"/>
      <c r="CW285" s="257"/>
      <c r="CX285" s="257"/>
      <c r="CY285" s="257"/>
      <c r="CZ285" s="257"/>
      <c r="DA285" s="257"/>
      <c r="DB285" s="202"/>
      <c r="DC285" s="202"/>
      <c r="DD285" s="202"/>
      <c r="DE285" s="202"/>
      <c r="DF285" s="202"/>
      <c r="DG285" s="202"/>
      <c r="DH285" s="202"/>
      <c r="DI285" s="202"/>
      <c r="DJ285" s="202"/>
      <c r="DK285" s="202"/>
      <c r="DL285" s="202"/>
      <c r="DM285" s="202"/>
      <c r="DN285" s="202"/>
      <c r="DO285" s="202"/>
      <c r="DP285" s="202"/>
      <c r="DQ285" s="202"/>
      <c r="DR285" s="202"/>
      <c r="DS285" s="202"/>
      <c r="DT285" s="196"/>
      <c r="DU285" s="196"/>
      <c r="DV285" s="196"/>
      <c r="DW285" s="196"/>
      <c r="DX285" s="196"/>
      <c r="DY285" s="196"/>
      <c r="DZ285" s="196"/>
      <c r="EA285" s="196"/>
      <c r="EB285" s="176">
        <f t="shared" si="32"/>
        <v>0</v>
      </c>
      <c r="EC285" s="176">
        <f t="shared" si="33"/>
        <v>0</v>
      </c>
      <c r="ED285" s="176">
        <f t="shared" si="34"/>
        <v>0</v>
      </c>
      <c r="EE285" s="176">
        <f t="shared" si="35"/>
        <v>0</v>
      </c>
      <c r="EG285" s="129">
        <f t="shared" si="36"/>
        <v>0</v>
      </c>
      <c r="EI285" s="176">
        <f t="shared" si="37"/>
        <v>0</v>
      </c>
      <c r="EK285" s="176">
        <f t="shared" si="38"/>
        <v>0</v>
      </c>
      <c r="EL285" s="176"/>
      <c r="EM285" s="177"/>
      <c r="EN285" s="178"/>
      <c r="EO285" s="177"/>
      <c r="EP285" s="177"/>
      <c r="EQ285" s="176">
        <f t="shared" si="39"/>
        <v>0</v>
      </c>
      <c r="ER285" s="179">
        <v>23300</v>
      </c>
      <c r="ES285" s="177">
        <v>7.5</v>
      </c>
    </row>
    <row r="286" spans="1:149" x14ac:dyDescent="0.3">
      <c r="A286" s="197">
        <v>281</v>
      </c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247"/>
      <c r="AQ286" s="247"/>
      <c r="AR286" s="247"/>
      <c r="AS286" s="247"/>
      <c r="AT286" s="247"/>
      <c r="AU286" s="247"/>
      <c r="AV286" s="247"/>
      <c r="AW286" s="247"/>
      <c r="AX286" s="247"/>
      <c r="AY286" s="247"/>
      <c r="AZ286" s="247"/>
      <c r="BA286" s="247"/>
      <c r="BB286" s="247"/>
      <c r="BC286" s="247"/>
      <c r="BD286" s="206"/>
      <c r="BE286" s="206"/>
      <c r="BF286" s="206"/>
      <c r="BG286" s="206"/>
      <c r="BH286" s="206"/>
      <c r="BI286" s="206"/>
      <c r="BJ286" s="206"/>
      <c r="BK286" s="206"/>
      <c r="BL286" s="206"/>
      <c r="BM286" s="206"/>
      <c r="BN286" s="206"/>
      <c r="BO286" s="206"/>
      <c r="BP286" s="206"/>
      <c r="BQ286" s="206"/>
      <c r="BR286" s="252"/>
      <c r="BS286" s="252"/>
      <c r="BT286" s="252"/>
      <c r="BU286" s="252"/>
      <c r="BV286" s="252"/>
      <c r="BW286" s="252"/>
      <c r="BX286" s="252"/>
      <c r="BY286" s="252"/>
      <c r="BZ286" s="252"/>
      <c r="CA286" s="252"/>
      <c r="CB286" s="252"/>
      <c r="CC286" s="252"/>
      <c r="CD286" s="252"/>
      <c r="CE286" s="252"/>
      <c r="CF286" s="252"/>
      <c r="CG286" s="252"/>
      <c r="CH286" s="252"/>
      <c r="CI286" s="252"/>
      <c r="CJ286" s="257"/>
      <c r="CK286" s="257"/>
      <c r="CL286" s="257"/>
      <c r="CM286" s="257"/>
      <c r="CN286" s="257"/>
      <c r="CO286" s="257"/>
      <c r="CP286" s="257"/>
      <c r="CQ286" s="257"/>
      <c r="CR286" s="257"/>
      <c r="CS286" s="257"/>
      <c r="CT286" s="257"/>
      <c r="CU286" s="257"/>
      <c r="CV286" s="257"/>
      <c r="CW286" s="257"/>
      <c r="CX286" s="257"/>
      <c r="CY286" s="257"/>
      <c r="CZ286" s="257"/>
      <c r="DA286" s="257"/>
      <c r="DB286" s="202"/>
      <c r="DC286" s="202"/>
      <c r="DD286" s="202"/>
      <c r="DE286" s="202"/>
      <c r="DF286" s="202"/>
      <c r="DG286" s="202"/>
      <c r="DH286" s="202"/>
      <c r="DI286" s="202"/>
      <c r="DJ286" s="202"/>
      <c r="DK286" s="202"/>
      <c r="DL286" s="202"/>
      <c r="DM286" s="202"/>
      <c r="DN286" s="202"/>
      <c r="DO286" s="202"/>
      <c r="DP286" s="202"/>
      <c r="DQ286" s="202"/>
      <c r="DR286" s="202"/>
      <c r="DS286" s="202"/>
      <c r="DT286" s="196"/>
      <c r="DU286" s="196"/>
      <c r="DV286" s="196"/>
      <c r="DW286" s="196"/>
      <c r="DX286" s="196"/>
      <c r="DY286" s="196"/>
      <c r="DZ286" s="196"/>
      <c r="EA286" s="196"/>
      <c r="EB286" s="176">
        <f t="shared" si="32"/>
        <v>0</v>
      </c>
      <c r="EC286" s="176">
        <f t="shared" si="33"/>
        <v>0</v>
      </c>
      <c r="ED286" s="176">
        <f t="shared" si="34"/>
        <v>0</v>
      </c>
      <c r="EE286" s="176">
        <f t="shared" si="35"/>
        <v>0</v>
      </c>
      <c r="EG286" s="129">
        <f t="shared" si="36"/>
        <v>0</v>
      </c>
      <c r="EI286" s="176">
        <f t="shared" si="37"/>
        <v>0</v>
      </c>
      <c r="EK286" s="176">
        <f t="shared" si="38"/>
        <v>0</v>
      </c>
      <c r="EL286" s="176"/>
      <c r="EM286" s="177"/>
      <c r="EN286" s="178"/>
      <c r="EO286" s="177"/>
      <c r="EP286" s="177"/>
      <c r="EQ286" s="176">
        <f t="shared" si="39"/>
        <v>0</v>
      </c>
      <c r="ER286" s="179">
        <v>23300</v>
      </c>
      <c r="ES286" s="177">
        <v>7.5</v>
      </c>
    </row>
    <row r="287" spans="1:149" x14ac:dyDescent="0.3">
      <c r="A287" s="197">
        <v>282</v>
      </c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247"/>
      <c r="AQ287" s="247"/>
      <c r="AR287" s="247"/>
      <c r="AS287" s="247"/>
      <c r="AT287" s="247"/>
      <c r="AU287" s="247"/>
      <c r="AV287" s="247"/>
      <c r="AW287" s="247"/>
      <c r="AX287" s="247"/>
      <c r="AY287" s="247"/>
      <c r="AZ287" s="247"/>
      <c r="BA287" s="247"/>
      <c r="BB287" s="247"/>
      <c r="BC287" s="247"/>
      <c r="BD287" s="206"/>
      <c r="BE287" s="206"/>
      <c r="BF287" s="206"/>
      <c r="BG287" s="206"/>
      <c r="BH287" s="206"/>
      <c r="BI287" s="206"/>
      <c r="BJ287" s="206"/>
      <c r="BK287" s="206"/>
      <c r="BL287" s="206"/>
      <c r="BM287" s="206"/>
      <c r="BN287" s="206"/>
      <c r="BO287" s="206"/>
      <c r="BP287" s="206"/>
      <c r="BQ287" s="206"/>
      <c r="BR287" s="252"/>
      <c r="BS287" s="252"/>
      <c r="BT287" s="252"/>
      <c r="BU287" s="252"/>
      <c r="BV287" s="252"/>
      <c r="BW287" s="252"/>
      <c r="BX287" s="252"/>
      <c r="BY287" s="252"/>
      <c r="BZ287" s="252"/>
      <c r="CA287" s="252"/>
      <c r="CB287" s="252"/>
      <c r="CC287" s="252"/>
      <c r="CD287" s="252"/>
      <c r="CE287" s="252"/>
      <c r="CF287" s="252"/>
      <c r="CG287" s="252"/>
      <c r="CH287" s="252"/>
      <c r="CI287" s="252"/>
      <c r="CJ287" s="257"/>
      <c r="CK287" s="257"/>
      <c r="CL287" s="257"/>
      <c r="CM287" s="257"/>
      <c r="CN287" s="257"/>
      <c r="CO287" s="257"/>
      <c r="CP287" s="257"/>
      <c r="CQ287" s="257"/>
      <c r="CR287" s="257"/>
      <c r="CS287" s="257"/>
      <c r="CT287" s="257"/>
      <c r="CU287" s="257"/>
      <c r="CV287" s="257"/>
      <c r="CW287" s="257"/>
      <c r="CX287" s="257"/>
      <c r="CY287" s="257"/>
      <c r="CZ287" s="257"/>
      <c r="DA287" s="257"/>
      <c r="DB287" s="202"/>
      <c r="DC287" s="202"/>
      <c r="DD287" s="202"/>
      <c r="DE287" s="202"/>
      <c r="DF287" s="202"/>
      <c r="DG287" s="202"/>
      <c r="DH287" s="202"/>
      <c r="DI287" s="202"/>
      <c r="DJ287" s="202"/>
      <c r="DK287" s="202"/>
      <c r="DL287" s="202"/>
      <c r="DM287" s="202"/>
      <c r="DN287" s="202"/>
      <c r="DO287" s="202"/>
      <c r="DP287" s="202"/>
      <c r="DQ287" s="202"/>
      <c r="DR287" s="202"/>
      <c r="DS287" s="202"/>
      <c r="DT287" s="196"/>
      <c r="DU287" s="196"/>
      <c r="DV287" s="196"/>
      <c r="DW287" s="196"/>
      <c r="DX287" s="196"/>
      <c r="DY287" s="196"/>
      <c r="DZ287" s="196"/>
      <c r="EA287" s="196"/>
      <c r="EB287" s="176">
        <f t="shared" si="32"/>
        <v>0</v>
      </c>
      <c r="EC287" s="176">
        <f t="shared" si="33"/>
        <v>0</v>
      </c>
      <c r="ED287" s="176">
        <f t="shared" si="34"/>
        <v>0</v>
      </c>
      <c r="EE287" s="176">
        <f t="shared" si="35"/>
        <v>0</v>
      </c>
      <c r="EG287" s="129">
        <f t="shared" si="36"/>
        <v>0</v>
      </c>
      <c r="EI287" s="176">
        <f t="shared" si="37"/>
        <v>0</v>
      </c>
      <c r="EK287" s="176">
        <f t="shared" si="38"/>
        <v>0</v>
      </c>
      <c r="EL287" s="176"/>
      <c r="EM287" s="177"/>
      <c r="EN287" s="178"/>
      <c r="EO287" s="177"/>
      <c r="EP287" s="177"/>
      <c r="EQ287" s="176">
        <f t="shared" si="39"/>
        <v>0</v>
      </c>
      <c r="ER287" s="179">
        <v>23300</v>
      </c>
      <c r="ES287" s="177">
        <v>7.5</v>
      </c>
    </row>
    <row r="288" spans="1:149" x14ac:dyDescent="0.3">
      <c r="A288" s="197">
        <v>283</v>
      </c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247"/>
      <c r="AQ288" s="247"/>
      <c r="AR288" s="247"/>
      <c r="AS288" s="247"/>
      <c r="AT288" s="247"/>
      <c r="AU288" s="247"/>
      <c r="AV288" s="247"/>
      <c r="AW288" s="247"/>
      <c r="AX288" s="247"/>
      <c r="AY288" s="247"/>
      <c r="AZ288" s="247"/>
      <c r="BA288" s="247"/>
      <c r="BB288" s="247"/>
      <c r="BC288" s="247"/>
      <c r="BD288" s="206"/>
      <c r="BE288" s="206"/>
      <c r="BF288" s="206"/>
      <c r="BG288" s="206"/>
      <c r="BH288" s="206"/>
      <c r="BI288" s="206"/>
      <c r="BJ288" s="206"/>
      <c r="BK288" s="206"/>
      <c r="BL288" s="206"/>
      <c r="BM288" s="206"/>
      <c r="BN288" s="206"/>
      <c r="BO288" s="206"/>
      <c r="BP288" s="206"/>
      <c r="BQ288" s="206"/>
      <c r="BR288" s="252"/>
      <c r="BS288" s="252"/>
      <c r="BT288" s="252"/>
      <c r="BU288" s="252"/>
      <c r="BV288" s="252"/>
      <c r="BW288" s="252"/>
      <c r="BX288" s="252"/>
      <c r="BY288" s="252"/>
      <c r="BZ288" s="252"/>
      <c r="CA288" s="252"/>
      <c r="CB288" s="252"/>
      <c r="CC288" s="252"/>
      <c r="CD288" s="252"/>
      <c r="CE288" s="252"/>
      <c r="CF288" s="252"/>
      <c r="CG288" s="252"/>
      <c r="CH288" s="252"/>
      <c r="CI288" s="252"/>
      <c r="CJ288" s="257"/>
      <c r="CK288" s="257"/>
      <c r="CL288" s="257"/>
      <c r="CM288" s="257"/>
      <c r="CN288" s="257"/>
      <c r="CO288" s="257"/>
      <c r="CP288" s="257"/>
      <c r="CQ288" s="257"/>
      <c r="CR288" s="257"/>
      <c r="CS288" s="257"/>
      <c r="CT288" s="257"/>
      <c r="CU288" s="257"/>
      <c r="CV288" s="257"/>
      <c r="CW288" s="257"/>
      <c r="CX288" s="257"/>
      <c r="CY288" s="257"/>
      <c r="CZ288" s="257"/>
      <c r="DA288" s="257"/>
      <c r="DB288" s="202"/>
      <c r="DC288" s="202"/>
      <c r="DD288" s="202"/>
      <c r="DE288" s="202"/>
      <c r="DF288" s="202"/>
      <c r="DG288" s="202"/>
      <c r="DH288" s="202"/>
      <c r="DI288" s="202"/>
      <c r="DJ288" s="202"/>
      <c r="DK288" s="202"/>
      <c r="DL288" s="202"/>
      <c r="DM288" s="202"/>
      <c r="DN288" s="202"/>
      <c r="DO288" s="202"/>
      <c r="DP288" s="202"/>
      <c r="DQ288" s="202"/>
      <c r="DR288" s="202"/>
      <c r="DS288" s="202"/>
      <c r="DT288" s="196"/>
      <c r="DU288" s="196"/>
      <c r="DV288" s="196"/>
      <c r="DW288" s="196"/>
      <c r="DX288" s="196"/>
      <c r="DY288" s="196"/>
      <c r="DZ288" s="196"/>
      <c r="EA288" s="196"/>
      <c r="EB288" s="176">
        <f t="shared" si="32"/>
        <v>0</v>
      </c>
      <c r="EC288" s="176">
        <f t="shared" si="33"/>
        <v>0</v>
      </c>
      <c r="ED288" s="176">
        <f t="shared" si="34"/>
        <v>0</v>
      </c>
      <c r="EE288" s="176">
        <f t="shared" si="35"/>
        <v>0</v>
      </c>
      <c r="EG288" s="129">
        <f t="shared" si="36"/>
        <v>0</v>
      </c>
      <c r="EI288" s="176">
        <f t="shared" si="37"/>
        <v>0</v>
      </c>
      <c r="EK288" s="176">
        <f t="shared" si="38"/>
        <v>0</v>
      </c>
      <c r="EL288" s="176"/>
      <c r="EM288" s="177"/>
      <c r="EN288" s="178"/>
      <c r="EO288" s="177"/>
      <c r="EP288" s="177"/>
      <c r="EQ288" s="176">
        <f t="shared" si="39"/>
        <v>0</v>
      </c>
      <c r="ER288" s="179">
        <v>23300</v>
      </c>
      <c r="ES288" s="177">
        <v>7.5</v>
      </c>
    </row>
    <row r="289" spans="1:149" x14ac:dyDescent="0.3">
      <c r="A289" s="197">
        <v>284</v>
      </c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247"/>
      <c r="AQ289" s="247"/>
      <c r="AR289" s="247"/>
      <c r="AS289" s="247"/>
      <c r="AT289" s="247"/>
      <c r="AU289" s="247"/>
      <c r="AV289" s="247"/>
      <c r="AW289" s="247"/>
      <c r="AX289" s="247"/>
      <c r="AY289" s="247"/>
      <c r="AZ289" s="247"/>
      <c r="BA289" s="247"/>
      <c r="BB289" s="247"/>
      <c r="BC289" s="247"/>
      <c r="BD289" s="206"/>
      <c r="BE289" s="206"/>
      <c r="BF289" s="206"/>
      <c r="BG289" s="206"/>
      <c r="BH289" s="206"/>
      <c r="BI289" s="206"/>
      <c r="BJ289" s="206"/>
      <c r="BK289" s="206"/>
      <c r="BL289" s="206"/>
      <c r="BM289" s="206"/>
      <c r="BN289" s="206"/>
      <c r="BO289" s="206"/>
      <c r="BP289" s="206"/>
      <c r="BQ289" s="206"/>
      <c r="BR289" s="252"/>
      <c r="BS289" s="252"/>
      <c r="BT289" s="252"/>
      <c r="BU289" s="252"/>
      <c r="BV289" s="252"/>
      <c r="BW289" s="252"/>
      <c r="BX289" s="252"/>
      <c r="BY289" s="252"/>
      <c r="BZ289" s="252"/>
      <c r="CA289" s="252"/>
      <c r="CB289" s="252"/>
      <c r="CC289" s="252"/>
      <c r="CD289" s="252"/>
      <c r="CE289" s="252"/>
      <c r="CF289" s="252"/>
      <c r="CG289" s="252"/>
      <c r="CH289" s="252"/>
      <c r="CI289" s="252"/>
      <c r="CJ289" s="257"/>
      <c r="CK289" s="257"/>
      <c r="CL289" s="257"/>
      <c r="CM289" s="257"/>
      <c r="CN289" s="257"/>
      <c r="CO289" s="257"/>
      <c r="CP289" s="257"/>
      <c r="CQ289" s="257"/>
      <c r="CR289" s="257"/>
      <c r="CS289" s="257"/>
      <c r="CT289" s="257"/>
      <c r="CU289" s="257"/>
      <c r="CV289" s="257"/>
      <c r="CW289" s="257"/>
      <c r="CX289" s="257"/>
      <c r="CY289" s="257"/>
      <c r="CZ289" s="257"/>
      <c r="DA289" s="257"/>
      <c r="DB289" s="202"/>
      <c r="DC289" s="202"/>
      <c r="DD289" s="202"/>
      <c r="DE289" s="202"/>
      <c r="DF289" s="202"/>
      <c r="DG289" s="202"/>
      <c r="DH289" s="202"/>
      <c r="DI289" s="202"/>
      <c r="DJ289" s="202"/>
      <c r="DK289" s="202"/>
      <c r="DL289" s="202"/>
      <c r="DM289" s="202"/>
      <c r="DN289" s="202"/>
      <c r="DO289" s="202"/>
      <c r="DP289" s="202"/>
      <c r="DQ289" s="202"/>
      <c r="DR289" s="202"/>
      <c r="DS289" s="202"/>
      <c r="DT289" s="196"/>
      <c r="DU289" s="196"/>
      <c r="DV289" s="196"/>
      <c r="DW289" s="196"/>
      <c r="DX289" s="196"/>
      <c r="DY289" s="196"/>
      <c r="DZ289" s="196"/>
      <c r="EA289" s="196"/>
      <c r="EB289" s="176">
        <f t="shared" si="32"/>
        <v>0</v>
      </c>
      <c r="EC289" s="176">
        <f t="shared" si="33"/>
        <v>0</v>
      </c>
      <c r="ED289" s="176">
        <f t="shared" si="34"/>
        <v>0</v>
      </c>
      <c r="EE289" s="176">
        <f t="shared" si="35"/>
        <v>0</v>
      </c>
      <c r="EG289" s="129">
        <f t="shared" si="36"/>
        <v>0</v>
      </c>
      <c r="EI289" s="176">
        <f t="shared" si="37"/>
        <v>0</v>
      </c>
      <c r="EK289" s="176">
        <f t="shared" si="38"/>
        <v>0</v>
      </c>
      <c r="EL289" s="176"/>
      <c r="EM289" s="177"/>
      <c r="EN289" s="178"/>
      <c r="EO289" s="177"/>
      <c r="EP289" s="177"/>
      <c r="EQ289" s="176">
        <f t="shared" si="39"/>
        <v>0</v>
      </c>
      <c r="ER289" s="179">
        <v>23300</v>
      </c>
      <c r="ES289" s="177">
        <v>7.5</v>
      </c>
    </row>
    <row r="290" spans="1:149" x14ac:dyDescent="0.3">
      <c r="A290" s="197">
        <v>285</v>
      </c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247"/>
      <c r="AQ290" s="247"/>
      <c r="AR290" s="247"/>
      <c r="AS290" s="247"/>
      <c r="AT290" s="247"/>
      <c r="AU290" s="247"/>
      <c r="AV290" s="247"/>
      <c r="AW290" s="247"/>
      <c r="AX290" s="247"/>
      <c r="AY290" s="247"/>
      <c r="AZ290" s="247"/>
      <c r="BA290" s="247"/>
      <c r="BB290" s="247"/>
      <c r="BC290" s="247"/>
      <c r="BD290" s="206"/>
      <c r="BE290" s="206"/>
      <c r="BF290" s="206"/>
      <c r="BG290" s="206"/>
      <c r="BH290" s="206"/>
      <c r="BI290" s="206"/>
      <c r="BJ290" s="206"/>
      <c r="BK290" s="206"/>
      <c r="BL290" s="206"/>
      <c r="BM290" s="206"/>
      <c r="BN290" s="206"/>
      <c r="BO290" s="206"/>
      <c r="BP290" s="206"/>
      <c r="BQ290" s="206"/>
      <c r="BR290" s="252"/>
      <c r="BS290" s="252"/>
      <c r="BT290" s="252"/>
      <c r="BU290" s="252"/>
      <c r="BV290" s="252"/>
      <c r="BW290" s="252"/>
      <c r="BX290" s="252"/>
      <c r="BY290" s="252"/>
      <c r="BZ290" s="252"/>
      <c r="CA290" s="252"/>
      <c r="CB290" s="252"/>
      <c r="CC290" s="252"/>
      <c r="CD290" s="252"/>
      <c r="CE290" s="252"/>
      <c r="CF290" s="252"/>
      <c r="CG290" s="252"/>
      <c r="CH290" s="252"/>
      <c r="CI290" s="252"/>
      <c r="CJ290" s="257"/>
      <c r="CK290" s="257"/>
      <c r="CL290" s="257"/>
      <c r="CM290" s="257"/>
      <c r="CN290" s="257"/>
      <c r="CO290" s="257"/>
      <c r="CP290" s="257"/>
      <c r="CQ290" s="257"/>
      <c r="CR290" s="257"/>
      <c r="CS290" s="257"/>
      <c r="CT290" s="257"/>
      <c r="CU290" s="257"/>
      <c r="CV290" s="257"/>
      <c r="CW290" s="257"/>
      <c r="CX290" s="257"/>
      <c r="CY290" s="257"/>
      <c r="CZ290" s="257"/>
      <c r="DA290" s="257"/>
      <c r="DB290" s="202"/>
      <c r="DC290" s="202"/>
      <c r="DD290" s="202"/>
      <c r="DE290" s="202"/>
      <c r="DF290" s="202"/>
      <c r="DG290" s="202"/>
      <c r="DH290" s="202"/>
      <c r="DI290" s="202"/>
      <c r="DJ290" s="202"/>
      <c r="DK290" s="202"/>
      <c r="DL290" s="202"/>
      <c r="DM290" s="202"/>
      <c r="DN290" s="202"/>
      <c r="DO290" s="202"/>
      <c r="DP290" s="202"/>
      <c r="DQ290" s="202"/>
      <c r="DR290" s="202"/>
      <c r="DS290" s="202"/>
      <c r="DT290" s="196"/>
      <c r="DU290" s="196"/>
      <c r="DV290" s="196"/>
      <c r="DW290" s="196"/>
      <c r="DX290" s="196"/>
      <c r="DY290" s="196"/>
      <c r="DZ290" s="196"/>
      <c r="EA290" s="196"/>
      <c r="EB290" s="176">
        <f t="shared" si="32"/>
        <v>0</v>
      </c>
      <c r="EC290" s="176">
        <f t="shared" si="33"/>
        <v>0</v>
      </c>
      <c r="ED290" s="176">
        <f t="shared" si="34"/>
        <v>0</v>
      </c>
      <c r="EE290" s="176">
        <f t="shared" si="35"/>
        <v>0</v>
      </c>
      <c r="EG290" s="129">
        <f t="shared" si="36"/>
        <v>0</v>
      </c>
      <c r="EI290" s="176">
        <f t="shared" si="37"/>
        <v>0</v>
      </c>
      <c r="EK290" s="176">
        <f t="shared" si="38"/>
        <v>0</v>
      </c>
      <c r="EL290" s="176"/>
      <c r="EM290" s="177"/>
      <c r="EN290" s="178"/>
      <c r="EO290" s="177"/>
      <c r="EP290" s="177"/>
      <c r="EQ290" s="176">
        <f t="shared" si="39"/>
        <v>0</v>
      </c>
      <c r="ER290" s="179">
        <v>23300</v>
      </c>
      <c r="ES290" s="177">
        <v>7.5</v>
      </c>
    </row>
    <row r="291" spans="1:149" x14ac:dyDescent="0.3">
      <c r="A291" s="197">
        <v>286</v>
      </c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247"/>
      <c r="AQ291" s="247"/>
      <c r="AR291" s="247"/>
      <c r="AS291" s="247"/>
      <c r="AT291" s="247"/>
      <c r="AU291" s="247"/>
      <c r="AV291" s="247"/>
      <c r="AW291" s="247"/>
      <c r="AX291" s="247"/>
      <c r="AY291" s="247"/>
      <c r="AZ291" s="247"/>
      <c r="BA291" s="247"/>
      <c r="BB291" s="247"/>
      <c r="BC291" s="247"/>
      <c r="BD291" s="206"/>
      <c r="BE291" s="206"/>
      <c r="BF291" s="206"/>
      <c r="BG291" s="206"/>
      <c r="BH291" s="206"/>
      <c r="BI291" s="206"/>
      <c r="BJ291" s="206"/>
      <c r="BK291" s="206"/>
      <c r="BL291" s="206"/>
      <c r="BM291" s="206"/>
      <c r="BN291" s="206"/>
      <c r="BO291" s="206"/>
      <c r="BP291" s="206"/>
      <c r="BQ291" s="206"/>
      <c r="BR291" s="252"/>
      <c r="BS291" s="252"/>
      <c r="BT291" s="252"/>
      <c r="BU291" s="252"/>
      <c r="BV291" s="252"/>
      <c r="BW291" s="252"/>
      <c r="BX291" s="252"/>
      <c r="BY291" s="252"/>
      <c r="BZ291" s="252"/>
      <c r="CA291" s="252"/>
      <c r="CB291" s="252"/>
      <c r="CC291" s="252"/>
      <c r="CD291" s="252"/>
      <c r="CE291" s="252"/>
      <c r="CF291" s="252"/>
      <c r="CG291" s="252"/>
      <c r="CH291" s="252"/>
      <c r="CI291" s="252"/>
      <c r="CJ291" s="257"/>
      <c r="CK291" s="257"/>
      <c r="CL291" s="257"/>
      <c r="CM291" s="257"/>
      <c r="CN291" s="257"/>
      <c r="CO291" s="257"/>
      <c r="CP291" s="257"/>
      <c r="CQ291" s="257"/>
      <c r="CR291" s="257"/>
      <c r="CS291" s="257"/>
      <c r="CT291" s="257"/>
      <c r="CU291" s="257"/>
      <c r="CV291" s="257"/>
      <c r="CW291" s="257"/>
      <c r="CX291" s="257"/>
      <c r="CY291" s="257"/>
      <c r="CZ291" s="257"/>
      <c r="DA291" s="257"/>
      <c r="DB291" s="202"/>
      <c r="DC291" s="202"/>
      <c r="DD291" s="202"/>
      <c r="DE291" s="202"/>
      <c r="DF291" s="202"/>
      <c r="DG291" s="202"/>
      <c r="DH291" s="202"/>
      <c r="DI291" s="202"/>
      <c r="DJ291" s="202"/>
      <c r="DK291" s="202"/>
      <c r="DL291" s="202"/>
      <c r="DM291" s="202"/>
      <c r="DN291" s="202"/>
      <c r="DO291" s="202"/>
      <c r="DP291" s="202"/>
      <c r="DQ291" s="202"/>
      <c r="DR291" s="202"/>
      <c r="DS291" s="202"/>
      <c r="DT291" s="196"/>
      <c r="DU291" s="196"/>
      <c r="DV291" s="196"/>
      <c r="DW291" s="196"/>
      <c r="DX291" s="196"/>
      <c r="DY291" s="196"/>
      <c r="DZ291" s="196"/>
      <c r="EA291" s="196"/>
      <c r="EB291" s="176">
        <f t="shared" si="32"/>
        <v>0</v>
      </c>
      <c r="EC291" s="176">
        <f t="shared" si="33"/>
        <v>0</v>
      </c>
      <c r="ED291" s="176">
        <f t="shared" si="34"/>
        <v>0</v>
      </c>
      <c r="EE291" s="176">
        <f t="shared" si="35"/>
        <v>0</v>
      </c>
      <c r="EG291" s="129">
        <f t="shared" si="36"/>
        <v>0</v>
      </c>
      <c r="EI291" s="176">
        <f t="shared" si="37"/>
        <v>0</v>
      </c>
      <c r="EK291" s="176">
        <f t="shared" si="38"/>
        <v>0</v>
      </c>
      <c r="EL291" s="176"/>
      <c r="EM291" s="177"/>
      <c r="EN291" s="178"/>
      <c r="EO291" s="177"/>
      <c r="EP291" s="177"/>
      <c r="EQ291" s="176">
        <f t="shared" si="39"/>
        <v>0</v>
      </c>
      <c r="ER291" s="179">
        <v>23300</v>
      </c>
      <c r="ES291" s="177">
        <v>7.5</v>
      </c>
    </row>
    <row r="292" spans="1:149" x14ac:dyDescent="0.3">
      <c r="A292" s="197">
        <v>287</v>
      </c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247"/>
      <c r="AQ292" s="247"/>
      <c r="AR292" s="247"/>
      <c r="AS292" s="247"/>
      <c r="AT292" s="247"/>
      <c r="AU292" s="247"/>
      <c r="AV292" s="247"/>
      <c r="AW292" s="247"/>
      <c r="AX292" s="247"/>
      <c r="AY292" s="247"/>
      <c r="AZ292" s="247"/>
      <c r="BA292" s="247"/>
      <c r="BB292" s="247"/>
      <c r="BC292" s="247"/>
      <c r="BD292" s="206"/>
      <c r="BE292" s="206"/>
      <c r="BF292" s="206"/>
      <c r="BG292" s="206"/>
      <c r="BH292" s="206"/>
      <c r="BI292" s="206"/>
      <c r="BJ292" s="206"/>
      <c r="BK292" s="206"/>
      <c r="BL292" s="206"/>
      <c r="BM292" s="206"/>
      <c r="BN292" s="206"/>
      <c r="BO292" s="206"/>
      <c r="BP292" s="206"/>
      <c r="BQ292" s="206"/>
      <c r="BR292" s="252"/>
      <c r="BS292" s="252"/>
      <c r="BT292" s="252"/>
      <c r="BU292" s="252"/>
      <c r="BV292" s="252"/>
      <c r="BW292" s="252"/>
      <c r="BX292" s="252"/>
      <c r="BY292" s="252"/>
      <c r="BZ292" s="252"/>
      <c r="CA292" s="252"/>
      <c r="CB292" s="252"/>
      <c r="CC292" s="252"/>
      <c r="CD292" s="252"/>
      <c r="CE292" s="252"/>
      <c r="CF292" s="252"/>
      <c r="CG292" s="252"/>
      <c r="CH292" s="252"/>
      <c r="CI292" s="252"/>
      <c r="CJ292" s="257"/>
      <c r="CK292" s="257"/>
      <c r="CL292" s="257"/>
      <c r="CM292" s="257"/>
      <c r="CN292" s="257"/>
      <c r="CO292" s="257"/>
      <c r="CP292" s="257"/>
      <c r="CQ292" s="257"/>
      <c r="CR292" s="257"/>
      <c r="CS292" s="257"/>
      <c r="CT292" s="257"/>
      <c r="CU292" s="257"/>
      <c r="CV292" s="257"/>
      <c r="CW292" s="257"/>
      <c r="CX292" s="257"/>
      <c r="CY292" s="257"/>
      <c r="CZ292" s="257"/>
      <c r="DA292" s="257"/>
      <c r="DB292" s="202"/>
      <c r="DC292" s="202"/>
      <c r="DD292" s="202"/>
      <c r="DE292" s="202"/>
      <c r="DF292" s="202"/>
      <c r="DG292" s="202"/>
      <c r="DH292" s="202"/>
      <c r="DI292" s="202"/>
      <c r="DJ292" s="202"/>
      <c r="DK292" s="202"/>
      <c r="DL292" s="202"/>
      <c r="DM292" s="202"/>
      <c r="DN292" s="202"/>
      <c r="DO292" s="202"/>
      <c r="DP292" s="202"/>
      <c r="DQ292" s="202"/>
      <c r="DR292" s="202"/>
      <c r="DS292" s="202"/>
      <c r="DT292" s="196"/>
      <c r="DU292" s="196"/>
      <c r="DV292" s="196"/>
      <c r="DW292" s="196"/>
      <c r="DX292" s="196"/>
      <c r="DY292" s="196"/>
      <c r="DZ292" s="196"/>
      <c r="EA292" s="196"/>
      <c r="EB292" s="176">
        <f t="shared" si="32"/>
        <v>0</v>
      </c>
      <c r="EC292" s="176">
        <f t="shared" si="33"/>
        <v>0</v>
      </c>
      <c r="ED292" s="176">
        <f t="shared" si="34"/>
        <v>0</v>
      </c>
      <c r="EE292" s="176">
        <f t="shared" si="35"/>
        <v>0</v>
      </c>
      <c r="EG292" s="129">
        <f t="shared" si="36"/>
        <v>0</v>
      </c>
      <c r="EI292" s="176">
        <f t="shared" si="37"/>
        <v>0</v>
      </c>
      <c r="EK292" s="176">
        <f t="shared" si="38"/>
        <v>0</v>
      </c>
      <c r="EL292" s="176"/>
      <c r="EM292" s="177"/>
      <c r="EN292" s="178"/>
      <c r="EO292" s="177"/>
      <c r="EP292" s="177"/>
      <c r="EQ292" s="176">
        <f t="shared" si="39"/>
        <v>0</v>
      </c>
      <c r="ER292" s="179">
        <v>23300</v>
      </c>
      <c r="ES292" s="177">
        <v>7.5</v>
      </c>
    </row>
    <row r="293" spans="1:149" x14ac:dyDescent="0.3">
      <c r="A293" s="197">
        <v>288</v>
      </c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247"/>
      <c r="AQ293" s="247"/>
      <c r="AR293" s="247"/>
      <c r="AS293" s="247"/>
      <c r="AT293" s="247"/>
      <c r="AU293" s="247"/>
      <c r="AV293" s="247"/>
      <c r="AW293" s="247"/>
      <c r="AX293" s="247"/>
      <c r="AY293" s="247"/>
      <c r="AZ293" s="247"/>
      <c r="BA293" s="247"/>
      <c r="BB293" s="247"/>
      <c r="BC293" s="247"/>
      <c r="BD293" s="206"/>
      <c r="BE293" s="206"/>
      <c r="BF293" s="206"/>
      <c r="BG293" s="206"/>
      <c r="BH293" s="206"/>
      <c r="BI293" s="206"/>
      <c r="BJ293" s="206"/>
      <c r="BK293" s="206"/>
      <c r="BL293" s="206"/>
      <c r="BM293" s="206"/>
      <c r="BN293" s="206"/>
      <c r="BO293" s="206"/>
      <c r="BP293" s="206"/>
      <c r="BQ293" s="206"/>
      <c r="BR293" s="252"/>
      <c r="BS293" s="252"/>
      <c r="BT293" s="252"/>
      <c r="BU293" s="252"/>
      <c r="BV293" s="252"/>
      <c r="BW293" s="252"/>
      <c r="BX293" s="252"/>
      <c r="BY293" s="252"/>
      <c r="BZ293" s="252"/>
      <c r="CA293" s="252"/>
      <c r="CB293" s="252"/>
      <c r="CC293" s="252"/>
      <c r="CD293" s="252"/>
      <c r="CE293" s="252"/>
      <c r="CF293" s="252"/>
      <c r="CG293" s="252"/>
      <c r="CH293" s="252"/>
      <c r="CI293" s="252"/>
      <c r="CJ293" s="257"/>
      <c r="CK293" s="257"/>
      <c r="CL293" s="257"/>
      <c r="CM293" s="257"/>
      <c r="CN293" s="257"/>
      <c r="CO293" s="257"/>
      <c r="CP293" s="257"/>
      <c r="CQ293" s="257"/>
      <c r="CR293" s="257"/>
      <c r="CS293" s="257"/>
      <c r="CT293" s="257"/>
      <c r="CU293" s="257"/>
      <c r="CV293" s="257"/>
      <c r="CW293" s="257"/>
      <c r="CX293" s="257"/>
      <c r="CY293" s="257"/>
      <c r="CZ293" s="257"/>
      <c r="DA293" s="257"/>
      <c r="DB293" s="202"/>
      <c r="DC293" s="202"/>
      <c r="DD293" s="202"/>
      <c r="DE293" s="202"/>
      <c r="DF293" s="202"/>
      <c r="DG293" s="202"/>
      <c r="DH293" s="202"/>
      <c r="DI293" s="202"/>
      <c r="DJ293" s="202"/>
      <c r="DK293" s="202"/>
      <c r="DL293" s="202"/>
      <c r="DM293" s="202"/>
      <c r="DN293" s="202"/>
      <c r="DO293" s="202"/>
      <c r="DP293" s="202"/>
      <c r="DQ293" s="202"/>
      <c r="DR293" s="202"/>
      <c r="DS293" s="202"/>
      <c r="DT293" s="196"/>
      <c r="DU293" s="196"/>
      <c r="DV293" s="196"/>
      <c r="DW293" s="196"/>
      <c r="DX293" s="196"/>
      <c r="DY293" s="196"/>
      <c r="DZ293" s="196"/>
      <c r="EA293" s="196"/>
      <c r="EB293" s="176">
        <f t="shared" si="32"/>
        <v>0</v>
      </c>
      <c r="EC293" s="176">
        <f t="shared" si="33"/>
        <v>0</v>
      </c>
      <c r="ED293" s="176">
        <f t="shared" si="34"/>
        <v>0</v>
      </c>
      <c r="EE293" s="176">
        <f t="shared" si="35"/>
        <v>0</v>
      </c>
      <c r="EG293" s="129">
        <f t="shared" si="36"/>
        <v>0</v>
      </c>
      <c r="EI293" s="176">
        <f t="shared" si="37"/>
        <v>0</v>
      </c>
      <c r="EK293" s="176">
        <f t="shared" si="38"/>
        <v>0</v>
      </c>
      <c r="EL293" s="176"/>
      <c r="EM293" s="177"/>
      <c r="EN293" s="178"/>
      <c r="EO293" s="177"/>
      <c r="EP293" s="177"/>
      <c r="EQ293" s="176">
        <f t="shared" si="39"/>
        <v>0</v>
      </c>
      <c r="ER293" s="179">
        <v>23300</v>
      </c>
      <c r="ES293" s="177">
        <v>7.5</v>
      </c>
    </row>
    <row r="294" spans="1:149" x14ac:dyDescent="0.3">
      <c r="A294" s="197">
        <v>289</v>
      </c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247"/>
      <c r="AQ294" s="247"/>
      <c r="AR294" s="247"/>
      <c r="AS294" s="247"/>
      <c r="AT294" s="247"/>
      <c r="AU294" s="247"/>
      <c r="AV294" s="247"/>
      <c r="AW294" s="247"/>
      <c r="AX294" s="247"/>
      <c r="AY294" s="247"/>
      <c r="AZ294" s="247"/>
      <c r="BA294" s="247"/>
      <c r="BB294" s="247"/>
      <c r="BC294" s="247"/>
      <c r="BD294" s="206"/>
      <c r="BE294" s="206"/>
      <c r="BF294" s="206"/>
      <c r="BG294" s="206"/>
      <c r="BH294" s="206"/>
      <c r="BI294" s="206"/>
      <c r="BJ294" s="206"/>
      <c r="BK294" s="206"/>
      <c r="BL294" s="206"/>
      <c r="BM294" s="206"/>
      <c r="BN294" s="206"/>
      <c r="BO294" s="206"/>
      <c r="BP294" s="206"/>
      <c r="BQ294" s="206"/>
      <c r="BR294" s="252"/>
      <c r="BS294" s="252"/>
      <c r="BT294" s="252"/>
      <c r="BU294" s="252"/>
      <c r="BV294" s="252"/>
      <c r="BW294" s="252"/>
      <c r="BX294" s="252"/>
      <c r="BY294" s="252"/>
      <c r="BZ294" s="252"/>
      <c r="CA294" s="252"/>
      <c r="CB294" s="252"/>
      <c r="CC294" s="252"/>
      <c r="CD294" s="252"/>
      <c r="CE294" s="252"/>
      <c r="CF294" s="252"/>
      <c r="CG294" s="252"/>
      <c r="CH294" s="252"/>
      <c r="CI294" s="252"/>
      <c r="CJ294" s="257"/>
      <c r="CK294" s="257"/>
      <c r="CL294" s="257"/>
      <c r="CM294" s="257"/>
      <c r="CN294" s="257"/>
      <c r="CO294" s="257"/>
      <c r="CP294" s="257"/>
      <c r="CQ294" s="257"/>
      <c r="CR294" s="257"/>
      <c r="CS294" s="257"/>
      <c r="CT294" s="257"/>
      <c r="CU294" s="257"/>
      <c r="CV294" s="257"/>
      <c r="CW294" s="257"/>
      <c r="CX294" s="257"/>
      <c r="CY294" s="257"/>
      <c r="CZ294" s="257"/>
      <c r="DA294" s="257"/>
      <c r="DB294" s="202"/>
      <c r="DC294" s="202"/>
      <c r="DD294" s="202"/>
      <c r="DE294" s="202"/>
      <c r="DF294" s="202"/>
      <c r="DG294" s="202"/>
      <c r="DH294" s="202"/>
      <c r="DI294" s="202"/>
      <c r="DJ294" s="202"/>
      <c r="DK294" s="202"/>
      <c r="DL294" s="202"/>
      <c r="DM294" s="202"/>
      <c r="DN294" s="202"/>
      <c r="DO294" s="202"/>
      <c r="DP294" s="202"/>
      <c r="DQ294" s="202"/>
      <c r="DR294" s="202"/>
      <c r="DS294" s="202"/>
      <c r="DT294" s="196"/>
      <c r="DU294" s="196"/>
      <c r="DV294" s="196"/>
      <c r="DW294" s="196"/>
      <c r="DX294" s="196"/>
      <c r="DY294" s="196"/>
      <c r="DZ294" s="196"/>
      <c r="EA294" s="196"/>
      <c r="EB294" s="176">
        <f t="shared" si="32"/>
        <v>0</v>
      </c>
      <c r="EC294" s="176">
        <f t="shared" si="33"/>
        <v>0</v>
      </c>
      <c r="ED294" s="176">
        <f t="shared" si="34"/>
        <v>0</v>
      </c>
      <c r="EE294" s="176">
        <f t="shared" si="35"/>
        <v>0</v>
      </c>
      <c r="EG294" s="129">
        <f t="shared" si="36"/>
        <v>0</v>
      </c>
      <c r="EI294" s="176">
        <f t="shared" si="37"/>
        <v>0</v>
      </c>
      <c r="EK294" s="176">
        <f t="shared" si="38"/>
        <v>0</v>
      </c>
      <c r="EL294" s="176"/>
      <c r="EM294" s="177"/>
      <c r="EN294" s="178"/>
      <c r="EO294" s="177"/>
      <c r="EP294" s="177"/>
      <c r="EQ294" s="176">
        <f t="shared" si="39"/>
        <v>0</v>
      </c>
      <c r="ER294" s="179">
        <v>23300</v>
      </c>
      <c r="ES294" s="177">
        <v>7.5</v>
      </c>
    </row>
    <row r="295" spans="1:149" x14ac:dyDescent="0.3">
      <c r="A295" s="197">
        <v>290</v>
      </c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247"/>
      <c r="AQ295" s="247"/>
      <c r="AR295" s="247"/>
      <c r="AS295" s="247"/>
      <c r="AT295" s="247"/>
      <c r="AU295" s="247"/>
      <c r="AV295" s="247"/>
      <c r="AW295" s="247"/>
      <c r="AX295" s="247"/>
      <c r="AY295" s="247"/>
      <c r="AZ295" s="247"/>
      <c r="BA295" s="247"/>
      <c r="BB295" s="247"/>
      <c r="BC295" s="247"/>
      <c r="BD295" s="206"/>
      <c r="BE295" s="206"/>
      <c r="BF295" s="206"/>
      <c r="BG295" s="206"/>
      <c r="BH295" s="206"/>
      <c r="BI295" s="206"/>
      <c r="BJ295" s="206"/>
      <c r="BK295" s="206"/>
      <c r="BL295" s="206"/>
      <c r="BM295" s="206"/>
      <c r="BN295" s="206"/>
      <c r="BO295" s="206"/>
      <c r="BP295" s="206"/>
      <c r="BQ295" s="206"/>
      <c r="BR295" s="252"/>
      <c r="BS295" s="252"/>
      <c r="BT295" s="252"/>
      <c r="BU295" s="252"/>
      <c r="BV295" s="252"/>
      <c r="BW295" s="252"/>
      <c r="BX295" s="252"/>
      <c r="BY295" s="252"/>
      <c r="BZ295" s="252"/>
      <c r="CA295" s="252"/>
      <c r="CB295" s="252"/>
      <c r="CC295" s="252"/>
      <c r="CD295" s="252"/>
      <c r="CE295" s="252"/>
      <c r="CF295" s="252"/>
      <c r="CG295" s="252"/>
      <c r="CH295" s="252"/>
      <c r="CI295" s="252"/>
      <c r="CJ295" s="257"/>
      <c r="CK295" s="257"/>
      <c r="CL295" s="257"/>
      <c r="CM295" s="257"/>
      <c r="CN295" s="257"/>
      <c r="CO295" s="257"/>
      <c r="CP295" s="257"/>
      <c r="CQ295" s="257"/>
      <c r="CR295" s="257"/>
      <c r="CS295" s="257"/>
      <c r="CT295" s="257"/>
      <c r="CU295" s="257"/>
      <c r="CV295" s="257"/>
      <c r="CW295" s="257"/>
      <c r="CX295" s="257"/>
      <c r="CY295" s="257"/>
      <c r="CZ295" s="257"/>
      <c r="DA295" s="257"/>
      <c r="DB295" s="202"/>
      <c r="DC295" s="202"/>
      <c r="DD295" s="202"/>
      <c r="DE295" s="202"/>
      <c r="DF295" s="202"/>
      <c r="DG295" s="202"/>
      <c r="DH295" s="202"/>
      <c r="DI295" s="202"/>
      <c r="DJ295" s="202"/>
      <c r="DK295" s="202"/>
      <c r="DL295" s="202"/>
      <c r="DM295" s="202"/>
      <c r="DN295" s="202"/>
      <c r="DO295" s="202"/>
      <c r="DP295" s="202"/>
      <c r="DQ295" s="202"/>
      <c r="DR295" s="202"/>
      <c r="DS295" s="202"/>
      <c r="DT295" s="196"/>
      <c r="DU295" s="196"/>
      <c r="DV295" s="196"/>
      <c r="DW295" s="196"/>
      <c r="DX295" s="196"/>
      <c r="DY295" s="196"/>
      <c r="DZ295" s="196"/>
      <c r="EA295" s="196"/>
      <c r="EB295" s="176">
        <f t="shared" si="32"/>
        <v>0</v>
      </c>
      <c r="EC295" s="176">
        <f t="shared" si="33"/>
        <v>0</v>
      </c>
      <c r="ED295" s="176">
        <f t="shared" si="34"/>
        <v>0</v>
      </c>
      <c r="EE295" s="176">
        <f t="shared" si="35"/>
        <v>0</v>
      </c>
      <c r="EG295" s="129">
        <f t="shared" si="36"/>
        <v>0</v>
      </c>
      <c r="EI295" s="176">
        <f t="shared" si="37"/>
        <v>0</v>
      </c>
      <c r="EK295" s="176">
        <f t="shared" si="38"/>
        <v>0</v>
      </c>
      <c r="EL295" s="176"/>
      <c r="EM295" s="177"/>
      <c r="EN295" s="178"/>
      <c r="EO295" s="177"/>
      <c r="EP295" s="177"/>
      <c r="EQ295" s="176">
        <f t="shared" si="39"/>
        <v>0</v>
      </c>
      <c r="ER295" s="179">
        <v>23300</v>
      </c>
      <c r="ES295" s="177">
        <v>7.5</v>
      </c>
    </row>
    <row r="296" spans="1:149" x14ac:dyDescent="0.3">
      <c r="A296" s="197">
        <v>291</v>
      </c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247"/>
      <c r="AQ296" s="247"/>
      <c r="AR296" s="247"/>
      <c r="AS296" s="247"/>
      <c r="AT296" s="247"/>
      <c r="AU296" s="247"/>
      <c r="AV296" s="247"/>
      <c r="AW296" s="247"/>
      <c r="AX296" s="247"/>
      <c r="AY296" s="247"/>
      <c r="AZ296" s="247"/>
      <c r="BA296" s="247"/>
      <c r="BB296" s="247"/>
      <c r="BC296" s="247"/>
      <c r="BD296" s="206"/>
      <c r="BE296" s="206"/>
      <c r="BF296" s="206"/>
      <c r="BG296" s="206"/>
      <c r="BH296" s="206"/>
      <c r="BI296" s="206"/>
      <c r="BJ296" s="206"/>
      <c r="BK296" s="206"/>
      <c r="BL296" s="206"/>
      <c r="BM296" s="206"/>
      <c r="BN296" s="206"/>
      <c r="BO296" s="206"/>
      <c r="BP296" s="206"/>
      <c r="BQ296" s="206"/>
      <c r="BR296" s="252"/>
      <c r="BS296" s="252"/>
      <c r="BT296" s="252"/>
      <c r="BU296" s="252"/>
      <c r="BV296" s="252"/>
      <c r="BW296" s="252"/>
      <c r="BX296" s="252"/>
      <c r="BY296" s="252"/>
      <c r="BZ296" s="252"/>
      <c r="CA296" s="252"/>
      <c r="CB296" s="252"/>
      <c r="CC296" s="252"/>
      <c r="CD296" s="252"/>
      <c r="CE296" s="252"/>
      <c r="CF296" s="252"/>
      <c r="CG296" s="252"/>
      <c r="CH296" s="252"/>
      <c r="CI296" s="252"/>
      <c r="CJ296" s="257"/>
      <c r="CK296" s="257"/>
      <c r="CL296" s="257"/>
      <c r="CM296" s="257"/>
      <c r="CN296" s="257"/>
      <c r="CO296" s="257"/>
      <c r="CP296" s="257"/>
      <c r="CQ296" s="257"/>
      <c r="CR296" s="257"/>
      <c r="CS296" s="257"/>
      <c r="CT296" s="257"/>
      <c r="CU296" s="257"/>
      <c r="CV296" s="257"/>
      <c r="CW296" s="257"/>
      <c r="CX296" s="257"/>
      <c r="CY296" s="257"/>
      <c r="CZ296" s="257"/>
      <c r="DA296" s="257"/>
      <c r="DB296" s="202"/>
      <c r="DC296" s="202"/>
      <c r="DD296" s="202"/>
      <c r="DE296" s="202"/>
      <c r="DF296" s="202"/>
      <c r="DG296" s="202"/>
      <c r="DH296" s="202"/>
      <c r="DI296" s="202"/>
      <c r="DJ296" s="202"/>
      <c r="DK296" s="202"/>
      <c r="DL296" s="202"/>
      <c r="DM296" s="202"/>
      <c r="DN296" s="202"/>
      <c r="DO296" s="202"/>
      <c r="DP296" s="202"/>
      <c r="DQ296" s="202"/>
      <c r="DR296" s="202"/>
      <c r="DS296" s="202"/>
      <c r="DT296" s="196"/>
      <c r="DU296" s="196"/>
      <c r="DV296" s="196"/>
      <c r="DW296" s="196"/>
      <c r="DX296" s="196"/>
      <c r="DY296" s="196"/>
      <c r="DZ296" s="196"/>
      <c r="EA296" s="196"/>
      <c r="EB296" s="176">
        <f t="shared" si="32"/>
        <v>0</v>
      </c>
      <c r="EC296" s="176">
        <f t="shared" si="33"/>
        <v>0</v>
      </c>
      <c r="ED296" s="176">
        <f t="shared" si="34"/>
        <v>0</v>
      </c>
      <c r="EE296" s="176">
        <f t="shared" si="35"/>
        <v>0</v>
      </c>
      <c r="EG296" s="129">
        <f t="shared" si="36"/>
        <v>0</v>
      </c>
      <c r="EI296" s="176">
        <f t="shared" si="37"/>
        <v>0</v>
      </c>
      <c r="EK296" s="176">
        <f t="shared" si="38"/>
        <v>0</v>
      </c>
      <c r="EL296" s="176"/>
      <c r="EM296" s="177"/>
      <c r="EN296" s="178"/>
      <c r="EO296" s="177"/>
      <c r="EP296" s="177"/>
      <c r="EQ296" s="176">
        <f t="shared" si="39"/>
        <v>0</v>
      </c>
      <c r="ER296" s="179">
        <v>23300</v>
      </c>
      <c r="ES296" s="177">
        <v>7.5</v>
      </c>
    </row>
    <row r="297" spans="1:149" x14ac:dyDescent="0.3">
      <c r="A297" s="197">
        <v>292</v>
      </c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247"/>
      <c r="AQ297" s="247"/>
      <c r="AR297" s="247"/>
      <c r="AS297" s="247"/>
      <c r="AT297" s="247"/>
      <c r="AU297" s="247"/>
      <c r="AV297" s="247"/>
      <c r="AW297" s="247"/>
      <c r="AX297" s="247"/>
      <c r="AY297" s="247"/>
      <c r="AZ297" s="247"/>
      <c r="BA297" s="247"/>
      <c r="BB297" s="247"/>
      <c r="BC297" s="247"/>
      <c r="BD297" s="206"/>
      <c r="BE297" s="206"/>
      <c r="BF297" s="206"/>
      <c r="BG297" s="206"/>
      <c r="BH297" s="206"/>
      <c r="BI297" s="206"/>
      <c r="BJ297" s="206"/>
      <c r="BK297" s="206"/>
      <c r="BL297" s="206"/>
      <c r="BM297" s="206"/>
      <c r="BN297" s="206"/>
      <c r="BO297" s="206"/>
      <c r="BP297" s="206"/>
      <c r="BQ297" s="206"/>
      <c r="BR297" s="252"/>
      <c r="BS297" s="252"/>
      <c r="BT297" s="252"/>
      <c r="BU297" s="252"/>
      <c r="BV297" s="252"/>
      <c r="BW297" s="252"/>
      <c r="BX297" s="252"/>
      <c r="BY297" s="252"/>
      <c r="BZ297" s="252"/>
      <c r="CA297" s="252"/>
      <c r="CB297" s="252"/>
      <c r="CC297" s="252"/>
      <c r="CD297" s="252"/>
      <c r="CE297" s="252"/>
      <c r="CF297" s="252"/>
      <c r="CG297" s="252"/>
      <c r="CH297" s="252"/>
      <c r="CI297" s="252"/>
      <c r="CJ297" s="257"/>
      <c r="CK297" s="257"/>
      <c r="CL297" s="257"/>
      <c r="CM297" s="257"/>
      <c r="CN297" s="257"/>
      <c r="CO297" s="257"/>
      <c r="CP297" s="257"/>
      <c r="CQ297" s="257"/>
      <c r="CR297" s="257"/>
      <c r="CS297" s="257"/>
      <c r="CT297" s="257"/>
      <c r="CU297" s="257"/>
      <c r="CV297" s="257"/>
      <c r="CW297" s="257"/>
      <c r="CX297" s="257"/>
      <c r="CY297" s="257"/>
      <c r="CZ297" s="257"/>
      <c r="DA297" s="257"/>
      <c r="DB297" s="202"/>
      <c r="DC297" s="202"/>
      <c r="DD297" s="202"/>
      <c r="DE297" s="202"/>
      <c r="DF297" s="202"/>
      <c r="DG297" s="202"/>
      <c r="DH297" s="202"/>
      <c r="DI297" s="202"/>
      <c r="DJ297" s="202"/>
      <c r="DK297" s="202"/>
      <c r="DL297" s="202"/>
      <c r="DM297" s="202"/>
      <c r="DN297" s="202"/>
      <c r="DO297" s="202"/>
      <c r="DP297" s="202"/>
      <c r="DQ297" s="202"/>
      <c r="DR297" s="202"/>
      <c r="DS297" s="202"/>
      <c r="DT297" s="196"/>
      <c r="DU297" s="196"/>
      <c r="DV297" s="196"/>
      <c r="DW297" s="196"/>
      <c r="DX297" s="196"/>
      <c r="DY297" s="196"/>
      <c r="DZ297" s="196"/>
      <c r="EA297" s="196"/>
      <c r="EB297" s="176">
        <f t="shared" si="32"/>
        <v>0</v>
      </c>
      <c r="EC297" s="176">
        <f t="shared" si="33"/>
        <v>0</v>
      </c>
      <c r="ED297" s="176">
        <f t="shared" si="34"/>
        <v>0</v>
      </c>
      <c r="EE297" s="176">
        <f t="shared" si="35"/>
        <v>0</v>
      </c>
      <c r="EG297" s="129">
        <f t="shared" si="36"/>
        <v>0</v>
      </c>
      <c r="EI297" s="176">
        <f t="shared" si="37"/>
        <v>0</v>
      </c>
      <c r="EK297" s="176">
        <f t="shared" si="38"/>
        <v>0</v>
      </c>
      <c r="EL297" s="176"/>
      <c r="EM297" s="177"/>
      <c r="EN297" s="178"/>
      <c r="EO297" s="177"/>
      <c r="EP297" s="177"/>
      <c r="EQ297" s="176">
        <f t="shared" si="39"/>
        <v>0</v>
      </c>
      <c r="ER297" s="179">
        <v>23300</v>
      </c>
      <c r="ES297" s="177">
        <v>7.5</v>
      </c>
    </row>
    <row r="298" spans="1:149" x14ac:dyDescent="0.3">
      <c r="A298" s="197">
        <v>293</v>
      </c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247"/>
      <c r="AQ298" s="247"/>
      <c r="AR298" s="247"/>
      <c r="AS298" s="247"/>
      <c r="AT298" s="247"/>
      <c r="AU298" s="247"/>
      <c r="AV298" s="247"/>
      <c r="AW298" s="247"/>
      <c r="AX298" s="247"/>
      <c r="AY298" s="247"/>
      <c r="AZ298" s="247"/>
      <c r="BA298" s="247"/>
      <c r="BB298" s="247"/>
      <c r="BC298" s="247"/>
      <c r="BD298" s="206"/>
      <c r="BE298" s="206"/>
      <c r="BF298" s="206"/>
      <c r="BG298" s="206"/>
      <c r="BH298" s="206"/>
      <c r="BI298" s="206"/>
      <c r="BJ298" s="206"/>
      <c r="BK298" s="206"/>
      <c r="BL298" s="206"/>
      <c r="BM298" s="206"/>
      <c r="BN298" s="206"/>
      <c r="BO298" s="206"/>
      <c r="BP298" s="206"/>
      <c r="BQ298" s="206"/>
      <c r="BR298" s="252"/>
      <c r="BS298" s="252"/>
      <c r="BT298" s="252"/>
      <c r="BU298" s="252"/>
      <c r="BV298" s="252"/>
      <c r="BW298" s="252"/>
      <c r="BX298" s="252"/>
      <c r="BY298" s="252"/>
      <c r="BZ298" s="252"/>
      <c r="CA298" s="252"/>
      <c r="CB298" s="252"/>
      <c r="CC298" s="252"/>
      <c r="CD298" s="252"/>
      <c r="CE298" s="252"/>
      <c r="CF298" s="252"/>
      <c r="CG298" s="252"/>
      <c r="CH298" s="252"/>
      <c r="CI298" s="252"/>
      <c r="CJ298" s="257"/>
      <c r="CK298" s="257"/>
      <c r="CL298" s="257"/>
      <c r="CM298" s="257"/>
      <c r="CN298" s="257"/>
      <c r="CO298" s="257"/>
      <c r="CP298" s="257"/>
      <c r="CQ298" s="257"/>
      <c r="CR298" s="257"/>
      <c r="CS298" s="257"/>
      <c r="CT298" s="257"/>
      <c r="CU298" s="257"/>
      <c r="CV298" s="257"/>
      <c r="CW298" s="257"/>
      <c r="CX298" s="257"/>
      <c r="CY298" s="257"/>
      <c r="CZ298" s="257"/>
      <c r="DA298" s="257"/>
      <c r="DB298" s="202"/>
      <c r="DC298" s="202"/>
      <c r="DD298" s="202"/>
      <c r="DE298" s="202"/>
      <c r="DF298" s="202"/>
      <c r="DG298" s="202"/>
      <c r="DH298" s="202"/>
      <c r="DI298" s="202"/>
      <c r="DJ298" s="202"/>
      <c r="DK298" s="202"/>
      <c r="DL298" s="202"/>
      <c r="DM298" s="202"/>
      <c r="DN298" s="202"/>
      <c r="DO298" s="202"/>
      <c r="DP298" s="202"/>
      <c r="DQ298" s="202"/>
      <c r="DR298" s="202"/>
      <c r="DS298" s="202"/>
      <c r="DT298" s="196"/>
      <c r="DU298" s="196"/>
      <c r="DV298" s="196"/>
      <c r="DW298" s="196"/>
      <c r="DX298" s="196"/>
      <c r="DY298" s="196"/>
      <c r="DZ298" s="196"/>
      <c r="EA298" s="196"/>
      <c r="EB298" s="176">
        <f t="shared" si="32"/>
        <v>0</v>
      </c>
      <c r="EC298" s="176">
        <f t="shared" si="33"/>
        <v>0</v>
      </c>
      <c r="ED298" s="176">
        <f t="shared" si="34"/>
        <v>0</v>
      </c>
      <c r="EE298" s="176">
        <f t="shared" si="35"/>
        <v>0</v>
      </c>
      <c r="EG298" s="129">
        <f t="shared" si="36"/>
        <v>0</v>
      </c>
      <c r="EI298" s="176">
        <f t="shared" si="37"/>
        <v>0</v>
      </c>
      <c r="EK298" s="176">
        <f t="shared" si="38"/>
        <v>0</v>
      </c>
      <c r="EL298" s="176"/>
      <c r="EM298" s="177"/>
      <c r="EN298" s="178"/>
      <c r="EO298" s="177"/>
      <c r="EP298" s="177"/>
      <c r="EQ298" s="176">
        <f t="shared" si="39"/>
        <v>0</v>
      </c>
      <c r="ER298" s="179">
        <v>23300</v>
      </c>
      <c r="ES298" s="177">
        <v>7.5</v>
      </c>
    </row>
    <row r="299" spans="1:149" x14ac:dyDescent="0.3">
      <c r="A299" s="197">
        <v>294</v>
      </c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247"/>
      <c r="AQ299" s="247"/>
      <c r="AR299" s="247"/>
      <c r="AS299" s="247"/>
      <c r="AT299" s="247"/>
      <c r="AU299" s="247"/>
      <c r="AV299" s="247"/>
      <c r="AW299" s="247"/>
      <c r="AX299" s="247"/>
      <c r="AY299" s="247"/>
      <c r="AZ299" s="247"/>
      <c r="BA299" s="247"/>
      <c r="BB299" s="247"/>
      <c r="BC299" s="247"/>
      <c r="BD299" s="206"/>
      <c r="BE299" s="206"/>
      <c r="BF299" s="206"/>
      <c r="BG299" s="206"/>
      <c r="BH299" s="206"/>
      <c r="BI299" s="206"/>
      <c r="BJ299" s="206"/>
      <c r="BK299" s="206"/>
      <c r="BL299" s="206"/>
      <c r="BM299" s="206"/>
      <c r="BN299" s="206"/>
      <c r="BO299" s="206"/>
      <c r="BP299" s="206"/>
      <c r="BQ299" s="206"/>
      <c r="BR299" s="252"/>
      <c r="BS299" s="252"/>
      <c r="BT299" s="252"/>
      <c r="BU299" s="252"/>
      <c r="BV299" s="252"/>
      <c r="BW299" s="252"/>
      <c r="BX299" s="252"/>
      <c r="BY299" s="252"/>
      <c r="BZ299" s="252"/>
      <c r="CA299" s="252"/>
      <c r="CB299" s="252"/>
      <c r="CC299" s="252"/>
      <c r="CD299" s="252"/>
      <c r="CE299" s="252"/>
      <c r="CF299" s="252"/>
      <c r="CG299" s="252"/>
      <c r="CH299" s="252"/>
      <c r="CI299" s="252"/>
      <c r="CJ299" s="257"/>
      <c r="CK299" s="257"/>
      <c r="CL299" s="257"/>
      <c r="CM299" s="257"/>
      <c r="CN299" s="257"/>
      <c r="CO299" s="257"/>
      <c r="CP299" s="257"/>
      <c r="CQ299" s="257"/>
      <c r="CR299" s="257"/>
      <c r="CS299" s="257"/>
      <c r="CT299" s="257"/>
      <c r="CU299" s="257"/>
      <c r="CV299" s="257"/>
      <c r="CW299" s="257"/>
      <c r="CX299" s="257"/>
      <c r="CY299" s="257"/>
      <c r="CZ299" s="257"/>
      <c r="DA299" s="257"/>
      <c r="DB299" s="202"/>
      <c r="DC299" s="202"/>
      <c r="DD299" s="202"/>
      <c r="DE299" s="202"/>
      <c r="DF299" s="202"/>
      <c r="DG299" s="202"/>
      <c r="DH299" s="202"/>
      <c r="DI299" s="202"/>
      <c r="DJ299" s="202"/>
      <c r="DK299" s="202"/>
      <c r="DL299" s="202"/>
      <c r="DM299" s="202"/>
      <c r="DN299" s="202"/>
      <c r="DO299" s="202"/>
      <c r="DP299" s="202"/>
      <c r="DQ299" s="202"/>
      <c r="DR299" s="202"/>
      <c r="DS299" s="202"/>
      <c r="DT299" s="196"/>
      <c r="DU299" s="196"/>
      <c r="DV299" s="196"/>
      <c r="DW299" s="196"/>
      <c r="DX299" s="196"/>
      <c r="DY299" s="196"/>
      <c r="DZ299" s="196"/>
      <c r="EA299" s="196"/>
      <c r="EB299" s="176">
        <f t="shared" si="32"/>
        <v>0</v>
      </c>
      <c r="EC299" s="176">
        <f t="shared" si="33"/>
        <v>0</v>
      </c>
      <c r="ED299" s="176">
        <f t="shared" si="34"/>
        <v>0</v>
      </c>
      <c r="EE299" s="176">
        <f t="shared" si="35"/>
        <v>0</v>
      </c>
      <c r="EG299" s="129">
        <f t="shared" si="36"/>
        <v>0</v>
      </c>
      <c r="EI299" s="176">
        <f t="shared" si="37"/>
        <v>0</v>
      </c>
      <c r="EK299" s="176">
        <f t="shared" si="38"/>
        <v>0</v>
      </c>
      <c r="EL299" s="176"/>
      <c r="EM299" s="177"/>
      <c r="EN299" s="178"/>
      <c r="EO299" s="177"/>
      <c r="EP299" s="177"/>
      <c r="EQ299" s="176">
        <f t="shared" si="39"/>
        <v>0</v>
      </c>
      <c r="ER299" s="179">
        <v>23300</v>
      </c>
      <c r="ES299" s="177">
        <v>7.5</v>
      </c>
    </row>
    <row r="300" spans="1:149" x14ac:dyDescent="0.3">
      <c r="A300" s="197">
        <v>295</v>
      </c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247"/>
      <c r="AQ300" s="247"/>
      <c r="AR300" s="247"/>
      <c r="AS300" s="247"/>
      <c r="AT300" s="247"/>
      <c r="AU300" s="247"/>
      <c r="AV300" s="247"/>
      <c r="AW300" s="247"/>
      <c r="AX300" s="247"/>
      <c r="AY300" s="247"/>
      <c r="AZ300" s="247"/>
      <c r="BA300" s="247"/>
      <c r="BB300" s="247"/>
      <c r="BC300" s="247"/>
      <c r="BD300" s="206"/>
      <c r="BE300" s="206"/>
      <c r="BF300" s="206"/>
      <c r="BG300" s="206"/>
      <c r="BH300" s="206"/>
      <c r="BI300" s="206"/>
      <c r="BJ300" s="206"/>
      <c r="BK300" s="206"/>
      <c r="BL300" s="206"/>
      <c r="BM300" s="206"/>
      <c r="BN300" s="206"/>
      <c r="BO300" s="206"/>
      <c r="BP300" s="206"/>
      <c r="BQ300" s="206"/>
      <c r="BR300" s="252"/>
      <c r="BS300" s="252"/>
      <c r="BT300" s="252"/>
      <c r="BU300" s="252"/>
      <c r="BV300" s="252"/>
      <c r="BW300" s="252"/>
      <c r="BX300" s="252"/>
      <c r="BY300" s="252"/>
      <c r="BZ300" s="252"/>
      <c r="CA300" s="252"/>
      <c r="CB300" s="252"/>
      <c r="CC300" s="252"/>
      <c r="CD300" s="252"/>
      <c r="CE300" s="252"/>
      <c r="CF300" s="252"/>
      <c r="CG300" s="252"/>
      <c r="CH300" s="252"/>
      <c r="CI300" s="252"/>
      <c r="CJ300" s="257"/>
      <c r="CK300" s="257"/>
      <c r="CL300" s="257"/>
      <c r="CM300" s="257"/>
      <c r="CN300" s="257"/>
      <c r="CO300" s="257"/>
      <c r="CP300" s="257"/>
      <c r="CQ300" s="257"/>
      <c r="CR300" s="257"/>
      <c r="CS300" s="257"/>
      <c r="CT300" s="257"/>
      <c r="CU300" s="257"/>
      <c r="CV300" s="257"/>
      <c r="CW300" s="257"/>
      <c r="CX300" s="257"/>
      <c r="CY300" s="257"/>
      <c r="CZ300" s="257"/>
      <c r="DA300" s="257"/>
      <c r="DB300" s="202"/>
      <c r="DC300" s="202"/>
      <c r="DD300" s="202"/>
      <c r="DE300" s="202"/>
      <c r="DF300" s="202"/>
      <c r="DG300" s="202"/>
      <c r="DH300" s="202"/>
      <c r="DI300" s="202"/>
      <c r="DJ300" s="202"/>
      <c r="DK300" s="202"/>
      <c r="DL300" s="202"/>
      <c r="DM300" s="202"/>
      <c r="DN300" s="202"/>
      <c r="DO300" s="202"/>
      <c r="DP300" s="202"/>
      <c r="DQ300" s="202"/>
      <c r="DR300" s="202"/>
      <c r="DS300" s="202"/>
      <c r="DT300" s="196"/>
      <c r="DU300" s="196"/>
      <c r="DV300" s="196"/>
      <c r="DW300" s="196"/>
      <c r="DX300" s="196"/>
      <c r="DY300" s="196"/>
      <c r="DZ300" s="196"/>
      <c r="EA300" s="196"/>
      <c r="EB300" s="176">
        <f t="shared" si="32"/>
        <v>0</v>
      </c>
      <c r="EC300" s="176">
        <f t="shared" si="33"/>
        <v>0</v>
      </c>
      <c r="ED300" s="176">
        <f t="shared" si="34"/>
        <v>0</v>
      </c>
      <c r="EE300" s="176">
        <f t="shared" si="35"/>
        <v>0</v>
      </c>
      <c r="EG300" s="129">
        <f t="shared" si="36"/>
        <v>0</v>
      </c>
      <c r="EI300" s="176">
        <f t="shared" si="37"/>
        <v>0</v>
      </c>
      <c r="EK300" s="176">
        <f t="shared" si="38"/>
        <v>0</v>
      </c>
      <c r="EL300" s="176"/>
      <c r="EM300" s="177"/>
      <c r="EN300" s="178"/>
      <c r="EO300" s="177"/>
      <c r="EP300" s="177"/>
      <c r="EQ300" s="176">
        <f t="shared" si="39"/>
        <v>0</v>
      </c>
      <c r="ER300" s="179">
        <v>23300</v>
      </c>
      <c r="ES300" s="177">
        <v>7.5</v>
      </c>
    </row>
    <row r="301" spans="1:149" x14ac:dyDescent="0.3">
      <c r="A301" s="197">
        <v>296</v>
      </c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247"/>
      <c r="AQ301" s="247"/>
      <c r="AR301" s="247"/>
      <c r="AS301" s="247"/>
      <c r="AT301" s="247"/>
      <c r="AU301" s="247"/>
      <c r="AV301" s="247"/>
      <c r="AW301" s="247"/>
      <c r="AX301" s="247"/>
      <c r="AY301" s="247"/>
      <c r="AZ301" s="247"/>
      <c r="BA301" s="247"/>
      <c r="BB301" s="247"/>
      <c r="BC301" s="247"/>
      <c r="BD301" s="206"/>
      <c r="BE301" s="206"/>
      <c r="BF301" s="206"/>
      <c r="BG301" s="206"/>
      <c r="BH301" s="206"/>
      <c r="BI301" s="206"/>
      <c r="BJ301" s="206"/>
      <c r="BK301" s="206"/>
      <c r="BL301" s="206"/>
      <c r="BM301" s="206"/>
      <c r="BN301" s="206"/>
      <c r="BO301" s="206"/>
      <c r="BP301" s="206"/>
      <c r="BQ301" s="206"/>
      <c r="BR301" s="252"/>
      <c r="BS301" s="252"/>
      <c r="BT301" s="252"/>
      <c r="BU301" s="252"/>
      <c r="BV301" s="252"/>
      <c r="BW301" s="252"/>
      <c r="BX301" s="252"/>
      <c r="BY301" s="252"/>
      <c r="BZ301" s="252"/>
      <c r="CA301" s="252"/>
      <c r="CB301" s="252"/>
      <c r="CC301" s="252"/>
      <c r="CD301" s="252"/>
      <c r="CE301" s="252"/>
      <c r="CF301" s="252"/>
      <c r="CG301" s="252"/>
      <c r="CH301" s="252"/>
      <c r="CI301" s="252"/>
      <c r="CJ301" s="257"/>
      <c r="CK301" s="257"/>
      <c r="CL301" s="257"/>
      <c r="CM301" s="257"/>
      <c r="CN301" s="257"/>
      <c r="CO301" s="257"/>
      <c r="CP301" s="257"/>
      <c r="CQ301" s="257"/>
      <c r="CR301" s="257"/>
      <c r="CS301" s="257"/>
      <c r="CT301" s="257"/>
      <c r="CU301" s="257"/>
      <c r="CV301" s="257"/>
      <c r="CW301" s="257"/>
      <c r="CX301" s="257"/>
      <c r="CY301" s="257"/>
      <c r="CZ301" s="257"/>
      <c r="DA301" s="257"/>
      <c r="DB301" s="202"/>
      <c r="DC301" s="202"/>
      <c r="DD301" s="202"/>
      <c r="DE301" s="202"/>
      <c r="DF301" s="202"/>
      <c r="DG301" s="202"/>
      <c r="DH301" s="202"/>
      <c r="DI301" s="202"/>
      <c r="DJ301" s="202"/>
      <c r="DK301" s="202"/>
      <c r="DL301" s="202"/>
      <c r="DM301" s="202"/>
      <c r="DN301" s="202"/>
      <c r="DO301" s="202"/>
      <c r="DP301" s="202"/>
      <c r="DQ301" s="202"/>
      <c r="DR301" s="202"/>
      <c r="DS301" s="202"/>
      <c r="DT301" s="196"/>
      <c r="DU301" s="196"/>
      <c r="DV301" s="196"/>
      <c r="DW301" s="196"/>
      <c r="DX301" s="196"/>
      <c r="DY301" s="196"/>
      <c r="DZ301" s="196"/>
      <c r="EA301" s="196"/>
      <c r="EB301" s="176">
        <f t="shared" si="32"/>
        <v>0</v>
      </c>
      <c r="EC301" s="176">
        <f t="shared" si="33"/>
        <v>0</v>
      </c>
      <c r="ED301" s="176">
        <f t="shared" si="34"/>
        <v>0</v>
      </c>
      <c r="EE301" s="176">
        <f t="shared" si="35"/>
        <v>0</v>
      </c>
      <c r="EG301" s="129">
        <f t="shared" si="36"/>
        <v>0</v>
      </c>
      <c r="EI301" s="176">
        <f t="shared" si="37"/>
        <v>0</v>
      </c>
      <c r="EK301" s="176">
        <f t="shared" si="38"/>
        <v>0</v>
      </c>
      <c r="EL301" s="176"/>
      <c r="EM301" s="177"/>
      <c r="EN301" s="178"/>
      <c r="EO301" s="177"/>
      <c r="EP301" s="177"/>
      <c r="EQ301" s="176">
        <f t="shared" si="39"/>
        <v>0</v>
      </c>
      <c r="ER301" s="179">
        <v>23300</v>
      </c>
      <c r="ES301" s="177">
        <v>7.5</v>
      </c>
    </row>
    <row r="302" spans="1:149" x14ac:dyDescent="0.3">
      <c r="A302" s="197">
        <v>297</v>
      </c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247"/>
      <c r="AQ302" s="247"/>
      <c r="AR302" s="247"/>
      <c r="AS302" s="247"/>
      <c r="AT302" s="247"/>
      <c r="AU302" s="247"/>
      <c r="AV302" s="247"/>
      <c r="AW302" s="247"/>
      <c r="AX302" s="247"/>
      <c r="AY302" s="247"/>
      <c r="AZ302" s="247"/>
      <c r="BA302" s="247"/>
      <c r="BB302" s="247"/>
      <c r="BC302" s="247"/>
      <c r="BD302" s="206"/>
      <c r="BE302" s="206"/>
      <c r="BF302" s="206"/>
      <c r="BG302" s="206"/>
      <c r="BH302" s="206"/>
      <c r="BI302" s="206"/>
      <c r="BJ302" s="206"/>
      <c r="BK302" s="206"/>
      <c r="BL302" s="206"/>
      <c r="BM302" s="206"/>
      <c r="BN302" s="206"/>
      <c r="BO302" s="206"/>
      <c r="BP302" s="206"/>
      <c r="BQ302" s="206"/>
      <c r="BR302" s="252"/>
      <c r="BS302" s="252"/>
      <c r="BT302" s="252"/>
      <c r="BU302" s="252"/>
      <c r="BV302" s="252"/>
      <c r="BW302" s="252"/>
      <c r="BX302" s="252"/>
      <c r="BY302" s="252"/>
      <c r="BZ302" s="252"/>
      <c r="CA302" s="252"/>
      <c r="CB302" s="252"/>
      <c r="CC302" s="252"/>
      <c r="CD302" s="252"/>
      <c r="CE302" s="252"/>
      <c r="CF302" s="252"/>
      <c r="CG302" s="252"/>
      <c r="CH302" s="252"/>
      <c r="CI302" s="252"/>
      <c r="CJ302" s="257"/>
      <c r="CK302" s="257"/>
      <c r="CL302" s="257"/>
      <c r="CM302" s="257"/>
      <c r="CN302" s="257"/>
      <c r="CO302" s="257"/>
      <c r="CP302" s="257"/>
      <c r="CQ302" s="257"/>
      <c r="CR302" s="257"/>
      <c r="CS302" s="257"/>
      <c r="CT302" s="257"/>
      <c r="CU302" s="257"/>
      <c r="CV302" s="257"/>
      <c r="CW302" s="257"/>
      <c r="CX302" s="257"/>
      <c r="CY302" s="257"/>
      <c r="CZ302" s="257"/>
      <c r="DA302" s="257"/>
      <c r="DB302" s="202"/>
      <c r="DC302" s="202"/>
      <c r="DD302" s="202"/>
      <c r="DE302" s="202"/>
      <c r="DF302" s="202"/>
      <c r="DG302" s="202"/>
      <c r="DH302" s="202"/>
      <c r="DI302" s="202"/>
      <c r="DJ302" s="202"/>
      <c r="DK302" s="202"/>
      <c r="DL302" s="202"/>
      <c r="DM302" s="202"/>
      <c r="DN302" s="202"/>
      <c r="DO302" s="202"/>
      <c r="DP302" s="202"/>
      <c r="DQ302" s="202"/>
      <c r="DR302" s="202"/>
      <c r="DS302" s="202"/>
      <c r="DT302" s="196"/>
      <c r="DU302" s="196"/>
      <c r="DV302" s="196"/>
      <c r="DW302" s="196"/>
      <c r="DX302" s="196"/>
      <c r="DY302" s="196"/>
      <c r="DZ302" s="196"/>
      <c r="EA302" s="196"/>
      <c r="EB302" s="176">
        <f t="shared" si="32"/>
        <v>0</v>
      </c>
      <c r="EC302" s="176">
        <f t="shared" si="33"/>
        <v>0</v>
      </c>
      <c r="ED302" s="176">
        <f t="shared" si="34"/>
        <v>0</v>
      </c>
      <c r="EE302" s="176">
        <f t="shared" si="35"/>
        <v>0</v>
      </c>
      <c r="EG302" s="129">
        <f t="shared" si="36"/>
        <v>0</v>
      </c>
      <c r="EI302" s="176">
        <f t="shared" si="37"/>
        <v>0</v>
      </c>
      <c r="EK302" s="176">
        <f t="shared" si="38"/>
        <v>0</v>
      </c>
      <c r="EL302" s="176"/>
      <c r="EM302" s="177"/>
      <c r="EN302" s="178"/>
      <c r="EO302" s="177"/>
      <c r="EP302" s="177"/>
      <c r="EQ302" s="176">
        <f t="shared" si="39"/>
        <v>0</v>
      </c>
      <c r="ER302" s="179">
        <v>23300</v>
      </c>
      <c r="ES302" s="177">
        <v>7.5</v>
      </c>
    </row>
    <row r="303" spans="1:149" x14ac:dyDescent="0.3">
      <c r="A303" s="197">
        <v>298</v>
      </c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247"/>
      <c r="AQ303" s="247"/>
      <c r="AR303" s="247"/>
      <c r="AS303" s="247"/>
      <c r="AT303" s="247"/>
      <c r="AU303" s="247"/>
      <c r="AV303" s="247"/>
      <c r="AW303" s="247"/>
      <c r="AX303" s="247"/>
      <c r="AY303" s="247"/>
      <c r="AZ303" s="247"/>
      <c r="BA303" s="247"/>
      <c r="BB303" s="247"/>
      <c r="BC303" s="247"/>
      <c r="BD303" s="206"/>
      <c r="BE303" s="206"/>
      <c r="BF303" s="206"/>
      <c r="BG303" s="206"/>
      <c r="BH303" s="206"/>
      <c r="BI303" s="206"/>
      <c r="BJ303" s="206"/>
      <c r="BK303" s="206"/>
      <c r="BL303" s="206"/>
      <c r="BM303" s="206"/>
      <c r="BN303" s="206"/>
      <c r="BO303" s="206"/>
      <c r="BP303" s="206"/>
      <c r="BQ303" s="206"/>
      <c r="BR303" s="252"/>
      <c r="BS303" s="252"/>
      <c r="BT303" s="252"/>
      <c r="BU303" s="252"/>
      <c r="BV303" s="252"/>
      <c r="BW303" s="252"/>
      <c r="BX303" s="252"/>
      <c r="BY303" s="252"/>
      <c r="BZ303" s="252"/>
      <c r="CA303" s="252"/>
      <c r="CB303" s="252"/>
      <c r="CC303" s="252"/>
      <c r="CD303" s="252"/>
      <c r="CE303" s="252"/>
      <c r="CF303" s="252"/>
      <c r="CG303" s="252"/>
      <c r="CH303" s="252"/>
      <c r="CI303" s="252"/>
      <c r="CJ303" s="257"/>
      <c r="CK303" s="257"/>
      <c r="CL303" s="257"/>
      <c r="CM303" s="257"/>
      <c r="CN303" s="257"/>
      <c r="CO303" s="257"/>
      <c r="CP303" s="257"/>
      <c r="CQ303" s="257"/>
      <c r="CR303" s="257"/>
      <c r="CS303" s="257"/>
      <c r="CT303" s="257"/>
      <c r="CU303" s="257"/>
      <c r="CV303" s="257"/>
      <c r="CW303" s="257"/>
      <c r="CX303" s="257"/>
      <c r="CY303" s="257"/>
      <c r="CZ303" s="257"/>
      <c r="DA303" s="257"/>
      <c r="DB303" s="202"/>
      <c r="DC303" s="202"/>
      <c r="DD303" s="202"/>
      <c r="DE303" s="202"/>
      <c r="DF303" s="202"/>
      <c r="DG303" s="202"/>
      <c r="DH303" s="202"/>
      <c r="DI303" s="202"/>
      <c r="DJ303" s="202"/>
      <c r="DK303" s="202"/>
      <c r="DL303" s="202"/>
      <c r="DM303" s="202"/>
      <c r="DN303" s="202"/>
      <c r="DO303" s="202"/>
      <c r="DP303" s="202"/>
      <c r="DQ303" s="202"/>
      <c r="DR303" s="202"/>
      <c r="DS303" s="202"/>
      <c r="DT303" s="196"/>
      <c r="DU303" s="196"/>
      <c r="DV303" s="196"/>
      <c r="DW303" s="196"/>
      <c r="DX303" s="196"/>
      <c r="DY303" s="196"/>
      <c r="DZ303" s="196"/>
      <c r="EA303" s="196"/>
      <c r="EB303" s="176">
        <f t="shared" si="32"/>
        <v>0</v>
      </c>
      <c r="EC303" s="176">
        <f t="shared" si="33"/>
        <v>0</v>
      </c>
      <c r="ED303" s="176">
        <f t="shared" si="34"/>
        <v>0</v>
      </c>
      <c r="EE303" s="176">
        <f t="shared" si="35"/>
        <v>0</v>
      </c>
      <c r="EG303" s="129">
        <f t="shared" si="36"/>
        <v>0</v>
      </c>
      <c r="EI303" s="176">
        <f t="shared" si="37"/>
        <v>0</v>
      </c>
      <c r="EK303" s="176">
        <f t="shared" si="38"/>
        <v>0</v>
      </c>
      <c r="EL303" s="176"/>
      <c r="EM303" s="177"/>
      <c r="EN303" s="178"/>
      <c r="EO303" s="177"/>
      <c r="EP303" s="177"/>
      <c r="EQ303" s="176">
        <f t="shared" si="39"/>
        <v>0</v>
      </c>
      <c r="ER303" s="179">
        <v>23300</v>
      </c>
      <c r="ES303" s="177">
        <v>7.5</v>
      </c>
    </row>
    <row r="304" spans="1:149" x14ac:dyDescent="0.3">
      <c r="A304" s="197">
        <v>299</v>
      </c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247"/>
      <c r="AQ304" s="247"/>
      <c r="AR304" s="247"/>
      <c r="AS304" s="247"/>
      <c r="AT304" s="247"/>
      <c r="AU304" s="247"/>
      <c r="AV304" s="247"/>
      <c r="AW304" s="247"/>
      <c r="AX304" s="247"/>
      <c r="AY304" s="247"/>
      <c r="AZ304" s="247"/>
      <c r="BA304" s="247"/>
      <c r="BB304" s="247"/>
      <c r="BC304" s="247"/>
      <c r="BD304" s="206"/>
      <c r="BE304" s="206"/>
      <c r="BF304" s="206"/>
      <c r="BG304" s="206"/>
      <c r="BH304" s="206"/>
      <c r="BI304" s="206"/>
      <c r="BJ304" s="206"/>
      <c r="BK304" s="206"/>
      <c r="BL304" s="206"/>
      <c r="BM304" s="206"/>
      <c r="BN304" s="206"/>
      <c r="BO304" s="206"/>
      <c r="BP304" s="206"/>
      <c r="BQ304" s="206"/>
      <c r="BR304" s="252"/>
      <c r="BS304" s="252"/>
      <c r="BT304" s="252"/>
      <c r="BU304" s="252"/>
      <c r="BV304" s="252"/>
      <c r="BW304" s="252"/>
      <c r="BX304" s="252"/>
      <c r="BY304" s="252"/>
      <c r="BZ304" s="252"/>
      <c r="CA304" s="252"/>
      <c r="CB304" s="252"/>
      <c r="CC304" s="252"/>
      <c r="CD304" s="252"/>
      <c r="CE304" s="252"/>
      <c r="CF304" s="252"/>
      <c r="CG304" s="252"/>
      <c r="CH304" s="252"/>
      <c r="CI304" s="252"/>
      <c r="CJ304" s="257"/>
      <c r="CK304" s="257"/>
      <c r="CL304" s="257"/>
      <c r="CM304" s="257"/>
      <c r="CN304" s="257"/>
      <c r="CO304" s="257"/>
      <c r="CP304" s="257"/>
      <c r="CQ304" s="257"/>
      <c r="CR304" s="257"/>
      <c r="CS304" s="257"/>
      <c r="CT304" s="257"/>
      <c r="CU304" s="257"/>
      <c r="CV304" s="257"/>
      <c r="CW304" s="257"/>
      <c r="CX304" s="257"/>
      <c r="CY304" s="257"/>
      <c r="CZ304" s="257"/>
      <c r="DA304" s="257"/>
      <c r="DB304" s="202"/>
      <c r="DC304" s="202"/>
      <c r="DD304" s="202"/>
      <c r="DE304" s="202"/>
      <c r="DF304" s="202"/>
      <c r="DG304" s="202"/>
      <c r="DH304" s="202"/>
      <c r="DI304" s="202"/>
      <c r="DJ304" s="202"/>
      <c r="DK304" s="202"/>
      <c r="DL304" s="202"/>
      <c r="DM304" s="202"/>
      <c r="DN304" s="202"/>
      <c r="DO304" s="202"/>
      <c r="DP304" s="202"/>
      <c r="DQ304" s="202"/>
      <c r="DR304" s="202"/>
      <c r="DS304" s="202"/>
      <c r="DT304" s="196"/>
      <c r="DU304" s="196"/>
      <c r="DV304" s="196"/>
      <c r="DW304" s="196"/>
      <c r="DX304" s="196"/>
      <c r="DY304" s="196"/>
      <c r="DZ304" s="196"/>
      <c r="EA304" s="196"/>
      <c r="EB304" s="176">
        <f t="shared" si="32"/>
        <v>0</v>
      </c>
      <c r="EC304" s="176">
        <f t="shared" si="33"/>
        <v>0</v>
      </c>
      <c r="ED304" s="176">
        <f t="shared" si="34"/>
        <v>0</v>
      </c>
      <c r="EE304" s="176">
        <f t="shared" si="35"/>
        <v>0</v>
      </c>
      <c r="EG304" s="129">
        <f t="shared" si="36"/>
        <v>0</v>
      </c>
      <c r="EI304" s="176">
        <f t="shared" si="37"/>
        <v>0</v>
      </c>
      <c r="EK304" s="176">
        <f t="shared" si="38"/>
        <v>0</v>
      </c>
      <c r="EL304" s="176"/>
      <c r="EM304" s="177"/>
      <c r="EN304" s="178"/>
      <c r="EO304" s="177"/>
      <c r="EP304" s="177"/>
      <c r="EQ304" s="176">
        <f t="shared" si="39"/>
        <v>0</v>
      </c>
      <c r="ER304" s="179">
        <v>23300</v>
      </c>
      <c r="ES304" s="177">
        <v>7.5</v>
      </c>
    </row>
    <row r="305" spans="1:149" x14ac:dyDescent="0.3">
      <c r="A305" s="197">
        <v>300</v>
      </c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247"/>
      <c r="AQ305" s="247"/>
      <c r="AR305" s="247"/>
      <c r="AS305" s="247"/>
      <c r="AT305" s="247"/>
      <c r="AU305" s="247"/>
      <c r="AV305" s="247"/>
      <c r="AW305" s="247"/>
      <c r="AX305" s="247"/>
      <c r="AY305" s="247"/>
      <c r="AZ305" s="247"/>
      <c r="BA305" s="247"/>
      <c r="BB305" s="247"/>
      <c r="BC305" s="247"/>
      <c r="BD305" s="206"/>
      <c r="BE305" s="206"/>
      <c r="BF305" s="206"/>
      <c r="BG305" s="206"/>
      <c r="BH305" s="206"/>
      <c r="BI305" s="206"/>
      <c r="BJ305" s="206"/>
      <c r="BK305" s="206"/>
      <c r="BL305" s="206"/>
      <c r="BM305" s="206"/>
      <c r="BN305" s="206"/>
      <c r="BO305" s="206"/>
      <c r="BP305" s="206"/>
      <c r="BQ305" s="206"/>
      <c r="BR305" s="252"/>
      <c r="BS305" s="252"/>
      <c r="BT305" s="252"/>
      <c r="BU305" s="252"/>
      <c r="BV305" s="252"/>
      <c r="BW305" s="252"/>
      <c r="BX305" s="252"/>
      <c r="BY305" s="252"/>
      <c r="BZ305" s="252"/>
      <c r="CA305" s="252"/>
      <c r="CB305" s="252"/>
      <c r="CC305" s="252"/>
      <c r="CD305" s="252"/>
      <c r="CE305" s="252"/>
      <c r="CF305" s="252"/>
      <c r="CG305" s="252"/>
      <c r="CH305" s="252"/>
      <c r="CI305" s="252"/>
      <c r="CJ305" s="257"/>
      <c r="CK305" s="257"/>
      <c r="CL305" s="257"/>
      <c r="CM305" s="257"/>
      <c r="CN305" s="257"/>
      <c r="CO305" s="257"/>
      <c r="CP305" s="257"/>
      <c r="CQ305" s="257"/>
      <c r="CR305" s="257"/>
      <c r="CS305" s="257"/>
      <c r="CT305" s="257"/>
      <c r="CU305" s="257"/>
      <c r="CV305" s="257"/>
      <c r="CW305" s="257"/>
      <c r="CX305" s="257"/>
      <c r="CY305" s="257"/>
      <c r="CZ305" s="257"/>
      <c r="DA305" s="257"/>
      <c r="DB305" s="202"/>
      <c r="DC305" s="202"/>
      <c r="DD305" s="202"/>
      <c r="DE305" s="202"/>
      <c r="DF305" s="202"/>
      <c r="DG305" s="202"/>
      <c r="DH305" s="202"/>
      <c r="DI305" s="202"/>
      <c r="DJ305" s="202"/>
      <c r="DK305" s="202"/>
      <c r="DL305" s="202"/>
      <c r="DM305" s="202"/>
      <c r="DN305" s="202"/>
      <c r="DO305" s="202"/>
      <c r="DP305" s="202"/>
      <c r="DQ305" s="202"/>
      <c r="DR305" s="202"/>
      <c r="DS305" s="202"/>
      <c r="DT305" s="196"/>
      <c r="DU305" s="196"/>
      <c r="DV305" s="196"/>
      <c r="DW305" s="196"/>
      <c r="DX305" s="196"/>
      <c r="DY305" s="196"/>
      <c r="DZ305" s="196"/>
      <c r="EA305" s="196"/>
      <c r="EB305" s="176">
        <f t="shared" si="32"/>
        <v>0</v>
      </c>
      <c r="EC305" s="176">
        <f t="shared" si="33"/>
        <v>0</v>
      </c>
      <c r="ED305" s="176">
        <f t="shared" si="34"/>
        <v>0</v>
      </c>
      <c r="EE305" s="176">
        <f t="shared" si="35"/>
        <v>0</v>
      </c>
      <c r="EG305" s="129">
        <f t="shared" si="36"/>
        <v>0</v>
      </c>
      <c r="EI305" s="176">
        <f t="shared" si="37"/>
        <v>0</v>
      </c>
      <c r="EK305" s="176">
        <f t="shared" si="38"/>
        <v>0</v>
      </c>
      <c r="EL305" s="176"/>
      <c r="EM305" s="177"/>
      <c r="EN305" s="178"/>
      <c r="EO305" s="177"/>
      <c r="EP305" s="177"/>
      <c r="EQ305" s="176">
        <f t="shared" si="39"/>
        <v>0</v>
      </c>
      <c r="ER305" s="179">
        <v>23300</v>
      </c>
      <c r="ES305" s="177">
        <v>7.5</v>
      </c>
    </row>
    <row r="306" spans="1:149" x14ac:dyDescent="0.3">
      <c r="A306" s="197">
        <v>301</v>
      </c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247"/>
      <c r="AQ306" s="247"/>
      <c r="AR306" s="247"/>
      <c r="AS306" s="247"/>
      <c r="AT306" s="247"/>
      <c r="AU306" s="247"/>
      <c r="AV306" s="247"/>
      <c r="AW306" s="247"/>
      <c r="AX306" s="247"/>
      <c r="AY306" s="247"/>
      <c r="AZ306" s="247"/>
      <c r="BA306" s="247"/>
      <c r="BB306" s="247"/>
      <c r="BC306" s="247"/>
      <c r="BD306" s="206"/>
      <c r="BE306" s="206"/>
      <c r="BF306" s="206"/>
      <c r="BG306" s="206"/>
      <c r="BH306" s="206"/>
      <c r="BI306" s="206"/>
      <c r="BJ306" s="206"/>
      <c r="BK306" s="206"/>
      <c r="BL306" s="206"/>
      <c r="BM306" s="206"/>
      <c r="BN306" s="206"/>
      <c r="BO306" s="206"/>
      <c r="BP306" s="206"/>
      <c r="BQ306" s="206"/>
      <c r="BR306" s="252"/>
      <c r="BS306" s="252"/>
      <c r="BT306" s="252"/>
      <c r="BU306" s="252"/>
      <c r="BV306" s="252"/>
      <c r="BW306" s="252"/>
      <c r="BX306" s="252"/>
      <c r="BY306" s="252"/>
      <c r="BZ306" s="252"/>
      <c r="CA306" s="252"/>
      <c r="CB306" s="252"/>
      <c r="CC306" s="252"/>
      <c r="CD306" s="252"/>
      <c r="CE306" s="252"/>
      <c r="CF306" s="252"/>
      <c r="CG306" s="252"/>
      <c r="CH306" s="252"/>
      <c r="CI306" s="252"/>
      <c r="CJ306" s="257"/>
      <c r="CK306" s="257"/>
      <c r="CL306" s="257"/>
      <c r="CM306" s="257"/>
      <c r="CN306" s="257"/>
      <c r="CO306" s="257"/>
      <c r="CP306" s="257"/>
      <c r="CQ306" s="257"/>
      <c r="CR306" s="257"/>
      <c r="CS306" s="257"/>
      <c r="CT306" s="257"/>
      <c r="CU306" s="257"/>
      <c r="CV306" s="257"/>
      <c r="CW306" s="257"/>
      <c r="CX306" s="257"/>
      <c r="CY306" s="257"/>
      <c r="CZ306" s="257"/>
      <c r="DA306" s="257"/>
      <c r="DB306" s="202"/>
      <c r="DC306" s="202"/>
      <c r="DD306" s="202"/>
      <c r="DE306" s="202"/>
      <c r="DF306" s="202"/>
      <c r="DG306" s="202"/>
      <c r="DH306" s="202"/>
      <c r="DI306" s="202"/>
      <c r="DJ306" s="202"/>
      <c r="DK306" s="202"/>
      <c r="DL306" s="202"/>
      <c r="DM306" s="202"/>
      <c r="DN306" s="202"/>
      <c r="DO306" s="202"/>
      <c r="DP306" s="202"/>
      <c r="DQ306" s="202"/>
      <c r="DR306" s="202"/>
      <c r="DS306" s="202"/>
      <c r="DT306" s="196"/>
      <c r="DU306" s="196"/>
      <c r="DV306" s="196"/>
      <c r="DW306" s="196"/>
      <c r="DX306" s="196"/>
      <c r="DY306" s="196"/>
      <c r="DZ306" s="196"/>
      <c r="EA306" s="196"/>
      <c r="EB306" s="176">
        <f t="shared" si="32"/>
        <v>0</v>
      </c>
      <c r="EC306" s="176">
        <f t="shared" si="33"/>
        <v>0</v>
      </c>
      <c r="ED306" s="176">
        <f t="shared" si="34"/>
        <v>0</v>
      </c>
      <c r="EE306" s="176">
        <f t="shared" si="35"/>
        <v>0</v>
      </c>
      <c r="EG306" s="129">
        <f t="shared" si="36"/>
        <v>0</v>
      </c>
      <c r="EI306" s="176">
        <f t="shared" si="37"/>
        <v>0</v>
      </c>
      <c r="EK306" s="176">
        <f t="shared" si="38"/>
        <v>0</v>
      </c>
      <c r="EL306" s="176"/>
      <c r="EM306" s="177"/>
      <c r="EN306" s="178"/>
      <c r="EO306" s="177"/>
      <c r="EP306" s="177"/>
      <c r="EQ306" s="176">
        <f t="shared" si="39"/>
        <v>0</v>
      </c>
      <c r="ER306" s="179">
        <v>23300</v>
      </c>
      <c r="ES306" s="177">
        <v>7.5</v>
      </c>
    </row>
    <row r="307" spans="1:149" x14ac:dyDescent="0.3">
      <c r="A307" s="197">
        <v>302</v>
      </c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247"/>
      <c r="AQ307" s="247"/>
      <c r="AR307" s="247"/>
      <c r="AS307" s="247"/>
      <c r="AT307" s="247"/>
      <c r="AU307" s="247"/>
      <c r="AV307" s="247"/>
      <c r="AW307" s="247"/>
      <c r="AX307" s="247"/>
      <c r="AY307" s="247"/>
      <c r="AZ307" s="247"/>
      <c r="BA307" s="247"/>
      <c r="BB307" s="247"/>
      <c r="BC307" s="247"/>
      <c r="BD307" s="206"/>
      <c r="BE307" s="206"/>
      <c r="BF307" s="206"/>
      <c r="BG307" s="206"/>
      <c r="BH307" s="206"/>
      <c r="BI307" s="206"/>
      <c r="BJ307" s="206"/>
      <c r="BK307" s="206"/>
      <c r="BL307" s="206"/>
      <c r="BM307" s="206"/>
      <c r="BN307" s="206"/>
      <c r="BO307" s="206"/>
      <c r="BP307" s="206"/>
      <c r="BQ307" s="206"/>
      <c r="BR307" s="252"/>
      <c r="BS307" s="252"/>
      <c r="BT307" s="252"/>
      <c r="BU307" s="252"/>
      <c r="BV307" s="252"/>
      <c r="BW307" s="252"/>
      <c r="BX307" s="252"/>
      <c r="BY307" s="252"/>
      <c r="BZ307" s="252"/>
      <c r="CA307" s="252"/>
      <c r="CB307" s="252"/>
      <c r="CC307" s="252"/>
      <c r="CD307" s="252"/>
      <c r="CE307" s="252"/>
      <c r="CF307" s="252"/>
      <c r="CG307" s="252"/>
      <c r="CH307" s="252"/>
      <c r="CI307" s="252"/>
      <c r="CJ307" s="257"/>
      <c r="CK307" s="257"/>
      <c r="CL307" s="257"/>
      <c r="CM307" s="257"/>
      <c r="CN307" s="257"/>
      <c r="CO307" s="257"/>
      <c r="CP307" s="257"/>
      <c r="CQ307" s="257"/>
      <c r="CR307" s="257"/>
      <c r="CS307" s="257"/>
      <c r="CT307" s="257"/>
      <c r="CU307" s="257"/>
      <c r="CV307" s="257"/>
      <c r="CW307" s="257"/>
      <c r="CX307" s="257"/>
      <c r="CY307" s="257"/>
      <c r="CZ307" s="257"/>
      <c r="DA307" s="257"/>
      <c r="DB307" s="202"/>
      <c r="DC307" s="202"/>
      <c r="DD307" s="202"/>
      <c r="DE307" s="202"/>
      <c r="DF307" s="202"/>
      <c r="DG307" s="202"/>
      <c r="DH307" s="202"/>
      <c r="DI307" s="202"/>
      <c r="DJ307" s="202"/>
      <c r="DK307" s="202"/>
      <c r="DL307" s="202"/>
      <c r="DM307" s="202"/>
      <c r="DN307" s="202"/>
      <c r="DO307" s="202"/>
      <c r="DP307" s="202"/>
      <c r="DQ307" s="202"/>
      <c r="DR307" s="202"/>
      <c r="DS307" s="202"/>
      <c r="DT307" s="196"/>
      <c r="DU307" s="196"/>
      <c r="DV307" s="196"/>
      <c r="DW307" s="196"/>
      <c r="DX307" s="196"/>
      <c r="DY307" s="196"/>
      <c r="DZ307" s="196"/>
      <c r="EA307" s="196"/>
      <c r="EB307" s="176">
        <f t="shared" si="32"/>
        <v>0</v>
      </c>
      <c r="EC307" s="176">
        <f t="shared" si="33"/>
        <v>0</v>
      </c>
      <c r="ED307" s="176">
        <f t="shared" si="34"/>
        <v>0</v>
      </c>
      <c r="EE307" s="176">
        <f t="shared" si="35"/>
        <v>0</v>
      </c>
      <c r="EG307" s="129">
        <f t="shared" si="36"/>
        <v>0</v>
      </c>
      <c r="EI307" s="176">
        <f t="shared" si="37"/>
        <v>0</v>
      </c>
      <c r="EK307" s="176">
        <f t="shared" si="38"/>
        <v>0</v>
      </c>
      <c r="EL307" s="176"/>
      <c r="EM307" s="177"/>
      <c r="EN307" s="178"/>
      <c r="EO307" s="177"/>
      <c r="EP307" s="177"/>
      <c r="EQ307" s="176">
        <f t="shared" si="39"/>
        <v>0</v>
      </c>
      <c r="ER307" s="179">
        <v>23300</v>
      </c>
      <c r="ES307" s="177">
        <v>7.5</v>
      </c>
    </row>
    <row r="308" spans="1:149" x14ac:dyDescent="0.3">
      <c r="A308" s="197">
        <v>303</v>
      </c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247"/>
      <c r="AQ308" s="247"/>
      <c r="AR308" s="247"/>
      <c r="AS308" s="247"/>
      <c r="AT308" s="247"/>
      <c r="AU308" s="247"/>
      <c r="AV308" s="247"/>
      <c r="AW308" s="247"/>
      <c r="AX308" s="247"/>
      <c r="AY308" s="247"/>
      <c r="AZ308" s="247"/>
      <c r="BA308" s="247"/>
      <c r="BB308" s="247"/>
      <c r="BC308" s="247"/>
      <c r="BD308" s="206"/>
      <c r="BE308" s="206"/>
      <c r="BF308" s="206"/>
      <c r="BG308" s="206"/>
      <c r="BH308" s="206"/>
      <c r="BI308" s="206"/>
      <c r="BJ308" s="206"/>
      <c r="BK308" s="206"/>
      <c r="BL308" s="206"/>
      <c r="BM308" s="206"/>
      <c r="BN308" s="206"/>
      <c r="BO308" s="206"/>
      <c r="BP308" s="206"/>
      <c r="BQ308" s="206"/>
      <c r="BR308" s="252"/>
      <c r="BS308" s="252"/>
      <c r="BT308" s="252"/>
      <c r="BU308" s="252"/>
      <c r="BV308" s="252"/>
      <c r="BW308" s="252"/>
      <c r="BX308" s="252"/>
      <c r="BY308" s="252"/>
      <c r="BZ308" s="252"/>
      <c r="CA308" s="252"/>
      <c r="CB308" s="252"/>
      <c r="CC308" s="252"/>
      <c r="CD308" s="252"/>
      <c r="CE308" s="252"/>
      <c r="CF308" s="252"/>
      <c r="CG308" s="252"/>
      <c r="CH308" s="252"/>
      <c r="CI308" s="252"/>
      <c r="CJ308" s="257"/>
      <c r="CK308" s="257"/>
      <c r="CL308" s="257"/>
      <c r="CM308" s="257"/>
      <c r="CN308" s="257"/>
      <c r="CO308" s="257"/>
      <c r="CP308" s="257"/>
      <c r="CQ308" s="257"/>
      <c r="CR308" s="257"/>
      <c r="CS308" s="257"/>
      <c r="CT308" s="257"/>
      <c r="CU308" s="257"/>
      <c r="CV308" s="257"/>
      <c r="CW308" s="257"/>
      <c r="CX308" s="257"/>
      <c r="CY308" s="257"/>
      <c r="CZ308" s="257"/>
      <c r="DA308" s="257"/>
      <c r="DB308" s="202"/>
      <c r="DC308" s="202"/>
      <c r="DD308" s="202"/>
      <c r="DE308" s="202"/>
      <c r="DF308" s="202"/>
      <c r="DG308" s="202"/>
      <c r="DH308" s="202"/>
      <c r="DI308" s="202"/>
      <c r="DJ308" s="202"/>
      <c r="DK308" s="202"/>
      <c r="DL308" s="202"/>
      <c r="DM308" s="202"/>
      <c r="DN308" s="202"/>
      <c r="DO308" s="202"/>
      <c r="DP308" s="202"/>
      <c r="DQ308" s="202"/>
      <c r="DR308" s="202"/>
      <c r="DS308" s="202"/>
      <c r="DT308" s="196"/>
      <c r="DU308" s="196"/>
      <c r="DV308" s="196"/>
      <c r="DW308" s="196"/>
      <c r="DX308" s="196"/>
      <c r="DY308" s="196"/>
      <c r="DZ308" s="196"/>
      <c r="EA308" s="196"/>
      <c r="EB308" s="176">
        <f t="shared" si="32"/>
        <v>0</v>
      </c>
      <c r="EC308" s="176">
        <f t="shared" si="33"/>
        <v>0</v>
      </c>
      <c r="ED308" s="176">
        <f t="shared" si="34"/>
        <v>0</v>
      </c>
      <c r="EE308" s="176">
        <f t="shared" si="35"/>
        <v>0</v>
      </c>
      <c r="EG308" s="129">
        <f t="shared" si="36"/>
        <v>0</v>
      </c>
      <c r="EI308" s="176">
        <f t="shared" si="37"/>
        <v>0</v>
      </c>
      <c r="EK308" s="176">
        <f t="shared" si="38"/>
        <v>0</v>
      </c>
      <c r="EL308" s="176"/>
      <c r="EM308" s="177"/>
      <c r="EN308" s="178"/>
      <c r="EO308" s="177"/>
      <c r="EP308" s="177"/>
      <c r="EQ308" s="176">
        <f t="shared" si="39"/>
        <v>0</v>
      </c>
      <c r="ER308" s="179">
        <v>23300</v>
      </c>
      <c r="ES308" s="177">
        <v>7.5</v>
      </c>
    </row>
    <row r="309" spans="1:149" x14ac:dyDescent="0.3">
      <c r="A309" s="197">
        <v>304</v>
      </c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247"/>
      <c r="AQ309" s="247"/>
      <c r="AR309" s="247"/>
      <c r="AS309" s="247"/>
      <c r="AT309" s="247"/>
      <c r="AU309" s="247"/>
      <c r="AV309" s="247"/>
      <c r="AW309" s="247"/>
      <c r="AX309" s="247"/>
      <c r="AY309" s="247"/>
      <c r="AZ309" s="247"/>
      <c r="BA309" s="247"/>
      <c r="BB309" s="247"/>
      <c r="BC309" s="247"/>
      <c r="BD309" s="206"/>
      <c r="BE309" s="206"/>
      <c r="BF309" s="206"/>
      <c r="BG309" s="206"/>
      <c r="BH309" s="206"/>
      <c r="BI309" s="206"/>
      <c r="BJ309" s="206"/>
      <c r="BK309" s="206"/>
      <c r="BL309" s="206"/>
      <c r="BM309" s="206"/>
      <c r="BN309" s="206"/>
      <c r="BO309" s="206"/>
      <c r="BP309" s="206"/>
      <c r="BQ309" s="206"/>
      <c r="BR309" s="252"/>
      <c r="BS309" s="252"/>
      <c r="BT309" s="252"/>
      <c r="BU309" s="252"/>
      <c r="BV309" s="252"/>
      <c r="BW309" s="252"/>
      <c r="BX309" s="252"/>
      <c r="BY309" s="252"/>
      <c r="BZ309" s="252"/>
      <c r="CA309" s="252"/>
      <c r="CB309" s="252"/>
      <c r="CC309" s="252"/>
      <c r="CD309" s="252"/>
      <c r="CE309" s="252"/>
      <c r="CF309" s="252"/>
      <c r="CG309" s="252"/>
      <c r="CH309" s="252"/>
      <c r="CI309" s="252"/>
      <c r="CJ309" s="257"/>
      <c r="CK309" s="257"/>
      <c r="CL309" s="257"/>
      <c r="CM309" s="257"/>
      <c r="CN309" s="257"/>
      <c r="CO309" s="257"/>
      <c r="CP309" s="257"/>
      <c r="CQ309" s="257"/>
      <c r="CR309" s="257"/>
      <c r="CS309" s="257"/>
      <c r="CT309" s="257"/>
      <c r="CU309" s="257"/>
      <c r="CV309" s="257"/>
      <c r="CW309" s="257"/>
      <c r="CX309" s="257"/>
      <c r="CY309" s="257"/>
      <c r="CZ309" s="257"/>
      <c r="DA309" s="257"/>
      <c r="DB309" s="202"/>
      <c r="DC309" s="202"/>
      <c r="DD309" s="202"/>
      <c r="DE309" s="202"/>
      <c r="DF309" s="202"/>
      <c r="DG309" s="202"/>
      <c r="DH309" s="202"/>
      <c r="DI309" s="202"/>
      <c r="DJ309" s="202"/>
      <c r="DK309" s="202"/>
      <c r="DL309" s="202"/>
      <c r="DM309" s="202"/>
      <c r="DN309" s="202"/>
      <c r="DO309" s="202"/>
      <c r="DP309" s="202"/>
      <c r="DQ309" s="202"/>
      <c r="DR309" s="202"/>
      <c r="DS309" s="202"/>
      <c r="DT309" s="196"/>
      <c r="DU309" s="196"/>
      <c r="DV309" s="196"/>
      <c r="DW309" s="196"/>
      <c r="DX309" s="196"/>
      <c r="DY309" s="196"/>
      <c r="DZ309" s="196"/>
      <c r="EA309" s="196"/>
      <c r="EB309" s="176">
        <f t="shared" si="32"/>
        <v>0</v>
      </c>
      <c r="EC309" s="176">
        <f t="shared" si="33"/>
        <v>0</v>
      </c>
      <c r="ED309" s="176">
        <f t="shared" si="34"/>
        <v>0</v>
      </c>
      <c r="EE309" s="176">
        <f t="shared" si="35"/>
        <v>0</v>
      </c>
      <c r="EG309" s="129">
        <f t="shared" si="36"/>
        <v>0</v>
      </c>
      <c r="EI309" s="176">
        <f t="shared" si="37"/>
        <v>0</v>
      </c>
      <c r="EK309" s="176">
        <f t="shared" si="38"/>
        <v>0</v>
      </c>
      <c r="EL309" s="176"/>
      <c r="EM309" s="177"/>
      <c r="EN309" s="178"/>
      <c r="EO309" s="177"/>
      <c r="EP309" s="177"/>
      <c r="EQ309" s="176">
        <f t="shared" si="39"/>
        <v>0</v>
      </c>
      <c r="ER309" s="179">
        <v>23300</v>
      </c>
      <c r="ES309" s="177">
        <v>7.5</v>
      </c>
    </row>
    <row r="310" spans="1:149" x14ac:dyDescent="0.3">
      <c r="A310" s="197">
        <v>305</v>
      </c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247"/>
      <c r="AQ310" s="247"/>
      <c r="AR310" s="247"/>
      <c r="AS310" s="247"/>
      <c r="AT310" s="247"/>
      <c r="AU310" s="247"/>
      <c r="AV310" s="247"/>
      <c r="AW310" s="247"/>
      <c r="AX310" s="247"/>
      <c r="AY310" s="247"/>
      <c r="AZ310" s="247"/>
      <c r="BA310" s="247"/>
      <c r="BB310" s="247"/>
      <c r="BC310" s="247"/>
      <c r="BD310" s="206"/>
      <c r="BE310" s="206"/>
      <c r="BF310" s="206"/>
      <c r="BG310" s="206"/>
      <c r="BH310" s="206"/>
      <c r="BI310" s="206"/>
      <c r="BJ310" s="206"/>
      <c r="BK310" s="206"/>
      <c r="BL310" s="206"/>
      <c r="BM310" s="206"/>
      <c r="BN310" s="206"/>
      <c r="BO310" s="206"/>
      <c r="BP310" s="206"/>
      <c r="BQ310" s="206"/>
      <c r="BR310" s="252"/>
      <c r="BS310" s="252"/>
      <c r="BT310" s="252"/>
      <c r="BU310" s="252"/>
      <c r="BV310" s="252"/>
      <c r="BW310" s="252"/>
      <c r="BX310" s="252"/>
      <c r="BY310" s="252"/>
      <c r="BZ310" s="252"/>
      <c r="CA310" s="252"/>
      <c r="CB310" s="252"/>
      <c r="CC310" s="252"/>
      <c r="CD310" s="252"/>
      <c r="CE310" s="252"/>
      <c r="CF310" s="252"/>
      <c r="CG310" s="252"/>
      <c r="CH310" s="252"/>
      <c r="CI310" s="252"/>
      <c r="CJ310" s="257"/>
      <c r="CK310" s="257"/>
      <c r="CL310" s="257"/>
      <c r="CM310" s="257"/>
      <c r="CN310" s="257"/>
      <c r="CO310" s="257"/>
      <c r="CP310" s="257"/>
      <c r="CQ310" s="257"/>
      <c r="CR310" s="257"/>
      <c r="CS310" s="257"/>
      <c r="CT310" s="257"/>
      <c r="CU310" s="257"/>
      <c r="CV310" s="257"/>
      <c r="CW310" s="257"/>
      <c r="CX310" s="257"/>
      <c r="CY310" s="257"/>
      <c r="CZ310" s="257"/>
      <c r="DA310" s="257"/>
      <c r="DB310" s="202"/>
      <c r="DC310" s="202"/>
      <c r="DD310" s="202"/>
      <c r="DE310" s="202"/>
      <c r="DF310" s="202"/>
      <c r="DG310" s="202"/>
      <c r="DH310" s="202"/>
      <c r="DI310" s="202"/>
      <c r="DJ310" s="202"/>
      <c r="DK310" s="202"/>
      <c r="DL310" s="202"/>
      <c r="DM310" s="202"/>
      <c r="DN310" s="202"/>
      <c r="DO310" s="202"/>
      <c r="DP310" s="202"/>
      <c r="DQ310" s="202"/>
      <c r="DR310" s="202"/>
      <c r="DS310" s="202"/>
      <c r="DT310" s="196"/>
      <c r="DU310" s="196"/>
      <c r="DV310" s="196"/>
      <c r="DW310" s="196"/>
      <c r="DX310" s="196"/>
      <c r="DY310" s="196"/>
      <c r="DZ310" s="196"/>
      <c r="EA310" s="196"/>
      <c r="EB310" s="176">
        <f t="shared" si="32"/>
        <v>0</v>
      </c>
      <c r="EC310" s="176">
        <f t="shared" si="33"/>
        <v>0</v>
      </c>
      <c r="ED310" s="176">
        <f t="shared" si="34"/>
        <v>0</v>
      </c>
      <c r="EE310" s="176">
        <f t="shared" si="35"/>
        <v>0</v>
      </c>
      <c r="EG310" s="129">
        <f t="shared" si="36"/>
        <v>0</v>
      </c>
      <c r="EI310" s="176">
        <f t="shared" si="37"/>
        <v>0</v>
      </c>
      <c r="EK310" s="176">
        <f t="shared" si="38"/>
        <v>0</v>
      </c>
      <c r="EL310" s="176"/>
      <c r="EM310" s="177"/>
      <c r="EN310" s="178"/>
      <c r="EO310" s="177"/>
      <c r="EP310" s="177"/>
      <c r="EQ310" s="176">
        <f t="shared" si="39"/>
        <v>0</v>
      </c>
      <c r="ER310" s="179">
        <v>23300</v>
      </c>
      <c r="ES310" s="177">
        <v>7.5</v>
      </c>
    </row>
    <row r="311" spans="1:149" x14ac:dyDescent="0.3">
      <c r="A311" s="197">
        <v>306</v>
      </c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247"/>
      <c r="AQ311" s="247"/>
      <c r="AR311" s="247"/>
      <c r="AS311" s="247"/>
      <c r="AT311" s="247"/>
      <c r="AU311" s="247"/>
      <c r="AV311" s="247"/>
      <c r="AW311" s="247"/>
      <c r="AX311" s="247"/>
      <c r="AY311" s="247"/>
      <c r="AZ311" s="247"/>
      <c r="BA311" s="247"/>
      <c r="BB311" s="247"/>
      <c r="BC311" s="247"/>
      <c r="BD311" s="206"/>
      <c r="BE311" s="206"/>
      <c r="BF311" s="206"/>
      <c r="BG311" s="206"/>
      <c r="BH311" s="206"/>
      <c r="BI311" s="206"/>
      <c r="BJ311" s="206"/>
      <c r="BK311" s="206"/>
      <c r="BL311" s="206"/>
      <c r="BM311" s="206"/>
      <c r="BN311" s="206"/>
      <c r="BO311" s="206"/>
      <c r="BP311" s="206"/>
      <c r="BQ311" s="206"/>
      <c r="BR311" s="252"/>
      <c r="BS311" s="252"/>
      <c r="BT311" s="252"/>
      <c r="BU311" s="252"/>
      <c r="BV311" s="252"/>
      <c r="BW311" s="252"/>
      <c r="BX311" s="252"/>
      <c r="BY311" s="252"/>
      <c r="BZ311" s="252"/>
      <c r="CA311" s="252"/>
      <c r="CB311" s="252"/>
      <c r="CC311" s="252"/>
      <c r="CD311" s="252"/>
      <c r="CE311" s="252"/>
      <c r="CF311" s="252"/>
      <c r="CG311" s="252"/>
      <c r="CH311" s="252"/>
      <c r="CI311" s="252"/>
      <c r="CJ311" s="257"/>
      <c r="CK311" s="257"/>
      <c r="CL311" s="257"/>
      <c r="CM311" s="257"/>
      <c r="CN311" s="257"/>
      <c r="CO311" s="257"/>
      <c r="CP311" s="257"/>
      <c r="CQ311" s="257"/>
      <c r="CR311" s="257"/>
      <c r="CS311" s="257"/>
      <c r="CT311" s="257"/>
      <c r="CU311" s="257"/>
      <c r="CV311" s="257"/>
      <c r="CW311" s="257"/>
      <c r="CX311" s="257"/>
      <c r="CY311" s="257"/>
      <c r="CZ311" s="257"/>
      <c r="DA311" s="257"/>
      <c r="DB311" s="202"/>
      <c r="DC311" s="202"/>
      <c r="DD311" s="202"/>
      <c r="DE311" s="202"/>
      <c r="DF311" s="202"/>
      <c r="DG311" s="202"/>
      <c r="DH311" s="202"/>
      <c r="DI311" s="202"/>
      <c r="DJ311" s="202"/>
      <c r="DK311" s="202"/>
      <c r="DL311" s="202"/>
      <c r="DM311" s="202"/>
      <c r="DN311" s="202"/>
      <c r="DO311" s="202"/>
      <c r="DP311" s="202"/>
      <c r="DQ311" s="202"/>
      <c r="DR311" s="202"/>
      <c r="DS311" s="202"/>
      <c r="DT311" s="196"/>
      <c r="DU311" s="196"/>
      <c r="DV311" s="196"/>
      <c r="DW311" s="196"/>
      <c r="DX311" s="196"/>
      <c r="DY311" s="196"/>
      <c r="DZ311" s="196"/>
      <c r="EA311" s="196"/>
      <c r="EB311" s="176">
        <f t="shared" si="32"/>
        <v>0</v>
      </c>
      <c r="EC311" s="176">
        <f t="shared" si="33"/>
        <v>0</v>
      </c>
      <c r="ED311" s="176">
        <f t="shared" si="34"/>
        <v>0</v>
      </c>
      <c r="EE311" s="176">
        <f t="shared" si="35"/>
        <v>0</v>
      </c>
      <c r="EG311" s="129">
        <f t="shared" si="36"/>
        <v>0</v>
      </c>
      <c r="EI311" s="176">
        <f t="shared" si="37"/>
        <v>0</v>
      </c>
      <c r="EK311" s="176">
        <f t="shared" si="38"/>
        <v>0</v>
      </c>
      <c r="EL311" s="176"/>
      <c r="EM311" s="177"/>
      <c r="EN311" s="178"/>
      <c r="EO311" s="177"/>
      <c r="EP311" s="177"/>
      <c r="EQ311" s="176">
        <f t="shared" si="39"/>
        <v>0</v>
      </c>
      <c r="ER311" s="179">
        <v>23300</v>
      </c>
      <c r="ES311" s="177">
        <v>7.5</v>
      </c>
    </row>
    <row r="312" spans="1:149" x14ac:dyDescent="0.3">
      <c r="A312" s="197">
        <v>307</v>
      </c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247"/>
      <c r="AQ312" s="247"/>
      <c r="AR312" s="247"/>
      <c r="AS312" s="247"/>
      <c r="AT312" s="247"/>
      <c r="AU312" s="247"/>
      <c r="AV312" s="247"/>
      <c r="AW312" s="247"/>
      <c r="AX312" s="247"/>
      <c r="AY312" s="247"/>
      <c r="AZ312" s="247"/>
      <c r="BA312" s="247"/>
      <c r="BB312" s="247"/>
      <c r="BC312" s="247"/>
      <c r="BD312" s="206"/>
      <c r="BE312" s="206"/>
      <c r="BF312" s="206"/>
      <c r="BG312" s="206"/>
      <c r="BH312" s="206"/>
      <c r="BI312" s="206"/>
      <c r="BJ312" s="206"/>
      <c r="BK312" s="206"/>
      <c r="BL312" s="206"/>
      <c r="BM312" s="206"/>
      <c r="BN312" s="206"/>
      <c r="BO312" s="206"/>
      <c r="BP312" s="206"/>
      <c r="BQ312" s="206"/>
      <c r="BR312" s="252"/>
      <c r="BS312" s="252"/>
      <c r="BT312" s="252"/>
      <c r="BU312" s="252"/>
      <c r="BV312" s="252"/>
      <c r="BW312" s="252"/>
      <c r="BX312" s="252"/>
      <c r="BY312" s="252"/>
      <c r="BZ312" s="252"/>
      <c r="CA312" s="252"/>
      <c r="CB312" s="252"/>
      <c r="CC312" s="252"/>
      <c r="CD312" s="252"/>
      <c r="CE312" s="252"/>
      <c r="CF312" s="252"/>
      <c r="CG312" s="252"/>
      <c r="CH312" s="252"/>
      <c r="CI312" s="252"/>
      <c r="CJ312" s="257"/>
      <c r="CK312" s="257"/>
      <c r="CL312" s="257"/>
      <c r="CM312" s="257"/>
      <c r="CN312" s="257"/>
      <c r="CO312" s="257"/>
      <c r="CP312" s="257"/>
      <c r="CQ312" s="257"/>
      <c r="CR312" s="257"/>
      <c r="CS312" s="257"/>
      <c r="CT312" s="257"/>
      <c r="CU312" s="257"/>
      <c r="CV312" s="257"/>
      <c r="CW312" s="257"/>
      <c r="CX312" s="257"/>
      <c r="CY312" s="257"/>
      <c r="CZ312" s="257"/>
      <c r="DA312" s="257"/>
      <c r="DB312" s="202"/>
      <c r="DC312" s="202"/>
      <c r="DD312" s="202"/>
      <c r="DE312" s="202"/>
      <c r="DF312" s="202"/>
      <c r="DG312" s="202"/>
      <c r="DH312" s="202"/>
      <c r="DI312" s="202"/>
      <c r="DJ312" s="202"/>
      <c r="DK312" s="202"/>
      <c r="DL312" s="202"/>
      <c r="DM312" s="202"/>
      <c r="DN312" s="202"/>
      <c r="DO312" s="202"/>
      <c r="DP312" s="202"/>
      <c r="DQ312" s="202"/>
      <c r="DR312" s="202"/>
      <c r="DS312" s="202"/>
      <c r="DT312" s="196"/>
      <c r="DU312" s="196"/>
      <c r="DV312" s="196"/>
      <c r="DW312" s="196"/>
      <c r="DX312" s="196"/>
      <c r="DY312" s="196"/>
      <c r="DZ312" s="196"/>
      <c r="EA312" s="196"/>
      <c r="EB312" s="176">
        <f t="shared" si="32"/>
        <v>0</v>
      </c>
      <c r="EC312" s="176">
        <f t="shared" si="33"/>
        <v>0</v>
      </c>
      <c r="ED312" s="176">
        <f t="shared" si="34"/>
        <v>0</v>
      </c>
      <c r="EE312" s="176">
        <f t="shared" si="35"/>
        <v>0</v>
      </c>
      <c r="EG312" s="129">
        <f t="shared" si="36"/>
        <v>0</v>
      </c>
      <c r="EI312" s="176">
        <f t="shared" si="37"/>
        <v>0</v>
      </c>
      <c r="EK312" s="176">
        <f t="shared" si="38"/>
        <v>0</v>
      </c>
      <c r="EL312" s="176"/>
      <c r="EM312" s="177"/>
      <c r="EN312" s="178"/>
      <c r="EO312" s="177"/>
      <c r="EP312" s="177"/>
      <c r="EQ312" s="176">
        <f t="shared" si="39"/>
        <v>0</v>
      </c>
      <c r="ER312" s="179">
        <v>23300</v>
      </c>
      <c r="ES312" s="177">
        <v>7.5</v>
      </c>
    </row>
    <row r="313" spans="1:149" x14ac:dyDescent="0.3">
      <c r="A313" s="207">
        <v>308</v>
      </c>
      <c r="B313" s="208"/>
      <c r="C313" s="208"/>
      <c r="D313" s="208"/>
      <c r="E313" s="208"/>
      <c r="F313" s="208"/>
      <c r="G313" s="208"/>
      <c r="H313" s="208"/>
      <c r="I313" s="208"/>
      <c r="J313" s="208"/>
      <c r="K313" s="208"/>
      <c r="L313" s="208"/>
      <c r="M313" s="208"/>
      <c r="N313" s="208"/>
      <c r="O313" s="209"/>
      <c r="P313" s="208"/>
      <c r="Q313" s="208"/>
      <c r="R313" s="208"/>
      <c r="S313" s="208"/>
      <c r="T313" s="208"/>
      <c r="U313" s="208"/>
      <c r="V313" s="208"/>
      <c r="W313" s="208"/>
      <c r="X313" s="210"/>
      <c r="Y313" s="210"/>
      <c r="Z313" s="208"/>
      <c r="AA313" s="208"/>
      <c r="AB313" s="211"/>
      <c r="AC313" s="211"/>
      <c r="AD313" s="211"/>
      <c r="AE313" s="211"/>
      <c r="AF313" s="211"/>
      <c r="AG313" s="211"/>
      <c r="AH313" s="211"/>
      <c r="AI313" s="211"/>
      <c r="AJ313" s="211"/>
      <c r="AK313" s="211"/>
      <c r="AL313" s="211"/>
      <c r="AM313" s="211"/>
      <c r="AN313" s="211"/>
      <c r="AO313" s="211"/>
      <c r="AP313" s="248"/>
      <c r="AQ313" s="248"/>
      <c r="AR313" s="248"/>
      <c r="AS313" s="248"/>
      <c r="AT313" s="248"/>
      <c r="AU313" s="248"/>
      <c r="AV313" s="248"/>
      <c r="AW313" s="248"/>
      <c r="AX313" s="248"/>
      <c r="AY313" s="248"/>
      <c r="AZ313" s="248"/>
      <c r="BA313" s="248"/>
      <c r="BB313" s="248"/>
      <c r="BC313" s="248"/>
      <c r="BD313" s="212"/>
      <c r="BE313" s="212"/>
      <c r="BF313" s="212"/>
      <c r="BG313" s="212"/>
      <c r="BH313" s="212"/>
      <c r="BI313" s="212"/>
      <c r="BJ313" s="212"/>
      <c r="BK313" s="212"/>
      <c r="BL313" s="212"/>
      <c r="BM313" s="212"/>
      <c r="BN313" s="212"/>
      <c r="BO313" s="212"/>
      <c r="BP313" s="212"/>
      <c r="BQ313" s="212"/>
      <c r="BR313" s="253"/>
      <c r="BS313" s="253"/>
      <c r="BT313" s="253"/>
      <c r="BU313" s="253"/>
      <c r="BV313" s="253"/>
      <c r="BW313" s="253"/>
      <c r="BX313" s="253"/>
      <c r="BY313" s="253"/>
      <c r="BZ313" s="253"/>
      <c r="CA313" s="253"/>
      <c r="CB313" s="253"/>
      <c r="CC313" s="253"/>
      <c r="CD313" s="253"/>
      <c r="CE313" s="253"/>
      <c r="CF313" s="253"/>
      <c r="CG313" s="253"/>
      <c r="CH313" s="253"/>
      <c r="CI313" s="253"/>
      <c r="CJ313" s="258"/>
      <c r="CK313" s="258"/>
      <c r="CL313" s="258"/>
      <c r="CM313" s="258"/>
      <c r="CN313" s="258"/>
      <c r="CO313" s="258"/>
      <c r="CP313" s="258"/>
      <c r="CQ313" s="258"/>
      <c r="CR313" s="258"/>
      <c r="CS313" s="258"/>
      <c r="CT313" s="258"/>
      <c r="CU313" s="258"/>
      <c r="CV313" s="258"/>
      <c r="CW313" s="258"/>
      <c r="CX313" s="258"/>
      <c r="CY313" s="258"/>
      <c r="CZ313" s="258"/>
      <c r="DA313" s="258"/>
      <c r="DB313" s="213"/>
      <c r="DC313" s="213"/>
      <c r="DD313" s="213"/>
      <c r="DE313" s="213"/>
      <c r="DF313" s="213"/>
      <c r="DG313" s="213"/>
      <c r="DH313" s="213"/>
      <c r="DI313" s="213"/>
      <c r="DJ313" s="213"/>
      <c r="DK313" s="213"/>
      <c r="DL313" s="213"/>
      <c r="DM313" s="213"/>
      <c r="DN313" s="213"/>
      <c r="DO313" s="213"/>
      <c r="DP313" s="213"/>
      <c r="DQ313" s="213"/>
      <c r="DR313" s="213"/>
      <c r="DS313" s="213"/>
      <c r="DT313" s="214"/>
      <c r="DU313" s="214"/>
      <c r="DV313" s="214"/>
      <c r="DW313" s="214"/>
      <c r="DX313" s="214"/>
      <c r="DY313" s="214"/>
      <c r="DZ313" s="214"/>
      <c r="EA313" s="214"/>
      <c r="EB313" s="215">
        <f t="shared" si="32"/>
        <v>0</v>
      </c>
      <c r="EC313" s="215">
        <f t="shared" si="33"/>
        <v>0</v>
      </c>
      <c r="ED313" s="215">
        <f t="shared" si="34"/>
        <v>0</v>
      </c>
      <c r="EE313" s="215">
        <f t="shared" si="35"/>
        <v>0</v>
      </c>
      <c r="EF313" s="208"/>
      <c r="EG313" s="216">
        <f t="shared" si="36"/>
        <v>0</v>
      </c>
      <c r="EH313" s="208"/>
      <c r="EI313" s="215">
        <f t="shared" si="37"/>
        <v>0</v>
      </c>
      <c r="EJ313" s="208"/>
      <c r="EK313" s="215">
        <f t="shared" si="38"/>
        <v>0</v>
      </c>
      <c r="EL313" s="215"/>
      <c r="EM313" s="217"/>
      <c r="EN313" s="218"/>
      <c r="EO313" s="217"/>
      <c r="EP313" s="217"/>
      <c r="EQ313" s="215">
        <f t="shared" si="39"/>
        <v>0</v>
      </c>
      <c r="ER313" s="219">
        <v>23300</v>
      </c>
      <c r="ES313" s="217">
        <v>7.5</v>
      </c>
    </row>
    <row r="314" spans="1:149" x14ac:dyDescent="0.3">
      <c r="A314" s="124">
        <v>309</v>
      </c>
      <c r="B314" s="121"/>
      <c r="C314" s="121"/>
      <c r="D314" s="121"/>
      <c r="E314" s="121"/>
      <c r="F314" s="121"/>
      <c r="G314" s="121"/>
      <c r="H314" s="121"/>
      <c r="I314" s="121"/>
      <c r="J314" s="121"/>
      <c r="K314" s="121"/>
      <c r="L314" s="121"/>
      <c r="M314" s="121"/>
      <c r="N314" s="121"/>
      <c r="O314" s="235"/>
      <c r="P314" s="121"/>
      <c r="Q314" s="121"/>
      <c r="R314" s="121"/>
      <c r="S314" s="121"/>
      <c r="T314" s="121"/>
      <c r="U314" s="121"/>
      <c r="V314" s="121"/>
      <c r="W314" s="121"/>
      <c r="X314" s="117"/>
      <c r="Y314" s="117"/>
      <c r="Z314" s="121"/>
      <c r="AA314" s="121"/>
      <c r="AB314" s="236"/>
      <c r="AC314" s="236"/>
      <c r="AD314" s="236"/>
      <c r="AE314" s="236"/>
      <c r="AF314" s="236"/>
      <c r="AG314" s="236"/>
      <c r="AH314" s="236"/>
      <c r="AI314" s="236"/>
      <c r="AJ314" s="236"/>
      <c r="AK314" s="236"/>
      <c r="AL314" s="236"/>
      <c r="AM314" s="236"/>
      <c r="AN314" s="236"/>
      <c r="AO314" s="236"/>
      <c r="AP314" s="236"/>
      <c r="AQ314" s="236"/>
      <c r="AR314" s="236"/>
      <c r="AS314" s="236"/>
      <c r="AT314" s="236"/>
      <c r="AU314" s="236"/>
      <c r="AV314" s="236"/>
      <c r="AW314" s="236"/>
      <c r="AX314" s="236"/>
      <c r="AY314" s="236"/>
      <c r="AZ314" s="236"/>
      <c r="BA314" s="236"/>
      <c r="BB314" s="236"/>
      <c r="BC314" s="236"/>
      <c r="BD314" s="236"/>
      <c r="BE314" s="236"/>
      <c r="BF314" s="236"/>
      <c r="BG314" s="236"/>
      <c r="BH314" s="236"/>
      <c r="BI314" s="236"/>
      <c r="BJ314" s="236"/>
      <c r="BK314" s="236"/>
      <c r="BL314" s="236"/>
      <c r="BM314" s="236"/>
      <c r="BN314" s="236"/>
      <c r="BO314" s="236"/>
      <c r="BP314" s="236"/>
      <c r="BQ314" s="236"/>
      <c r="BR314" s="236"/>
      <c r="BS314" s="236"/>
      <c r="BT314" s="236"/>
      <c r="BU314" s="236"/>
      <c r="BV314" s="236"/>
      <c r="BW314" s="236"/>
      <c r="BX314" s="236"/>
      <c r="BY314" s="236"/>
      <c r="BZ314" s="236"/>
      <c r="CA314" s="236"/>
      <c r="CB314" s="236"/>
      <c r="CC314" s="236"/>
      <c r="CD314" s="236"/>
      <c r="CE314" s="236"/>
      <c r="CF314" s="236"/>
      <c r="CG314" s="236"/>
      <c r="CH314" s="236"/>
      <c r="CI314" s="236"/>
      <c r="CJ314" s="236"/>
      <c r="CK314" s="236"/>
      <c r="CL314" s="236"/>
      <c r="CM314" s="236"/>
      <c r="CN314" s="236"/>
      <c r="CO314" s="236"/>
      <c r="CP314" s="236"/>
      <c r="CQ314" s="236"/>
      <c r="CR314" s="236"/>
      <c r="CS314" s="236"/>
      <c r="CT314" s="236"/>
      <c r="CU314" s="236"/>
      <c r="CV314" s="236"/>
      <c r="CW314" s="236"/>
      <c r="CX314" s="236"/>
      <c r="CY314" s="236"/>
      <c r="CZ314" s="236"/>
      <c r="DA314" s="236"/>
      <c r="DB314" s="236"/>
      <c r="DC314" s="236"/>
      <c r="DD314" s="236"/>
      <c r="DE314" s="236"/>
      <c r="DF314" s="236"/>
      <c r="DG314" s="236"/>
      <c r="DH314" s="236"/>
      <c r="DI314" s="236"/>
      <c r="DJ314" s="236"/>
      <c r="DK314" s="236"/>
      <c r="DL314" s="236"/>
      <c r="DM314" s="236"/>
      <c r="DN314" s="236"/>
      <c r="DO314" s="236"/>
      <c r="DP314" s="236"/>
      <c r="DQ314" s="236"/>
      <c r="DR314" s="236"/>
      <c r="DS314" s="236"/>
      <c r="DT314" s="236"/>
      <c r="DU314" s="236"/>
      <c r="DV314" s="236"/>
      <c r="DW314" s="236"/>
      <c r="DX314" s="236"/>
      <c r="DY314" s="236"/>
      <c r="DZ314" s="236"/>
      <c r="EA314" s="236"/>
      <c r="EB314" s="237">
        <f t="shared" si="32"/>
        <v>0</v>
      </c>
      <c r="EC314" s="237">
        <f t="shared" si="33"/>
        <v>0</v>
      </c>
      <c r="ED314" s="237">
        <f t="shared" si="34"/>
        <v>0</v>
      </c>
      <c r="EE314" s="237">
        <f t="shared" si="35"/>
        <v>0</v>
      </c>
      <c r="EF314" s="121"/>
      <c r="EG314" s="238">
        <f t="shared" si="36"/>
        <v>0</v>
      </c>
      <c r="EH314" s="121"/>
      <c r="EI314" s="237">
        <f t="shared" si="37"/>
        <v>0</v>
      </c>
      <c r="EJ314" s="121"/>
      <c r="EK314" s="237">
        <f t="shared" si="38"/>
        <v>0</v>
      </c>
      <c r="EL314" s="237"/>
      <c r="EM314" s="5"/>
      <c r="EN314" s="5"/>
      <c r="EO314" s="5"/>
      <c r="EP314" s="5"/>
      <c r="EQ314" s="237">
        <f t="shared" si="39"/>
        <v>0</v>
      </c>
      <c r="ER314" s="239">
        <v>23300</v>
      </c>
      <c r="ES314" s="5">
        <v>7.5</v>
      </c>
    </row>
    <row r="315" spans="1:149" x14ac:dyDescent="0.3">
      <c r="A315" s="124">
        <v>310</v>
      </c>
      <c r="B315" s="121"/>
      <c r="C315" s="121"/>
      <c r="D315" s="121"/>
      <c r="E315" s="121"/>
      <c r="F315" s="121"/>
      <c r="G315" s="121"/>
      <c r="H315" s="121"/>
      <c r="I315" s="121"/>
      <c r="J315" s="121"/>
      <c r="K315" s="121"/>
      <c r="L315" s="121"/>
      <c r="M315" s="121"/>
      <c r="N315" s="121"/>
      <c r="O315" s="235"/>
      <c r="P315" s="121"/>
      <c r="Q315" s="121"/>
      <c r="R315" s="121"/>
      <c r="S315" s="121"/>
      <c r="T315" s="121"/>
      <c r="U315" s="121"/>
      <c r="V315" s="121"/>
      <c r="W315" s="121"/>
      <c r="X315" s="117"/>
      <c r="Y315" s="117"/>
      <c r="Z315" s="121"/>
      <c r="AA315" s="121"/>
      <c r="AB315" s="236"/>
      <c r="AC315" s="236"/>
      <c r="AD315" s="236"/>
      <c r="AE315" s="236"/>
      <c r="AF315" s="236"/>
      <c r="AG315" s="236"/>
      <c r="AH315" s="236"/>
      <c r="AI315" s="236"/>
      <c r="AJ315" s="236"/>
      <c r="AK315" s="236"/>
      <c r="AL315" s="236"/>
      <c r="AM315" s="236"/>
      <c r="AN315" s="236"/>
      <c r="AO315" s="236"/>
      <c r="AP315" s="236"/>
      <c r="AQ315" s="236"/>
      <c r="AR315" s="236"/>
      <c r="AS315" s="236"/>
      <c r="AT315" s="236"/>
      <c r="AU315" s="236"/>
      <c r="AV315" s="236"/>
      <c r="AW315" s="236"/>
      <c r="AX315" s="236"/>
      <c r="AY315" s="236"/>
      <c r="AZ315" s="236"/>
      <c r="BA315" s="236"/>
      <c r="BB315" s="236"/>
      <c r="BC315" s="236"/>
      <c r="BD315" s="236"/>
      <c r="BE315" s="236"/>
      <c r="BF315" s="236"/>
      <c r="BG315" s="236"/>
      <c r="BH315" s="236"/>
      <c r="BI315" s="236"/>
      <c r="BJ315" s="236"/>
      <c r="BK315" s="236"/>
      <c r="BL315" s="236"/>
      <c r="BM315" s="236"/>
      <c r="BN315" s="236"/>
      <c r="BO315" s="236"/>
      <c r="BP315" s="236"/>
      <c r="BQ315" s="236"/>
      <c r="BR315" s="236"/>
      <c r="BS315" s="236"/>
      <c r="BT315" s="236"/>
      <c r="BU315" s="236"/>
      <c r="BV315" s="236"/>
      <c r="BW315" s="236"/>
      <c r="BX315" s="236"/>
      <c r="BY315" s="236"/>
      <c r="BZ315" s="236"/>
      <c r="CA315" s="236"/>
      <c r="CB315" s="236"/>
      <c r="CC315" s="236"/>
      <c r="CD315" s="236"/>
      <c r="CE315" s="236"/>
      <c r="CF315" s="236"/>
      <c r="CG315" s="236"/>
      <c r="CH315" s="236"/>
      <c r="CI315" s="236"/>
      <c r="CJ315" s="236"/>
      <c r="CK315" s="236"/>
      <c r="CL315" s="236"/>
      <c r="CM315" s="236"/>
      <c r="CN315" s="236"/>
      <c r="CO315" s="236"/>
      <c r="CP315" s="236"/>
      <c r="CQ315" s="236"/>
      <c r="CR315" s="236"/>
      <c r="CS315" s="236"/>
      <c r="CT315" s="236"/>
      <c r="CU315" s="236"/>
      <c r="CV315" s="236"/>
      <c r="CW315" s="236"/>
      <c r="CX315" s="236"/>
      <c r="CY315" s="236"/>
      <c r="CZ315" s="236"/>
      <c r="DA315" s="236"/>
      <c r="DB315" s="236"/>
      <c r="DC315" s="236"/>
      <c r="DD315" s="236"/>
      <c r="DE315" s="236"/>
      <c r="DF315" s="236"/>
      <c r="DG315" s="236"/>
      <c r="DH315" s="236"/>
      <c r="DI315" s="236"/>
      <c r="DJ315" s="236"/>
      <c r="DK315" s="236"/>
      <c r="DL315" s="236"/>
      <c r="DM315" s="236"/>
      <c r="DN315" s="236"/>
      <c r="DO315" s="236"/>
      <c r="DP315" s="236"/>
      <c r="DQ315" s="236"/>
      <c r="DR315" s="236"/>
      <c r="DS315" s="236"/>
      <c r="DT315" s="236"/>
      <c r="DU315" s="236"/>
      <c r="DV315" s="236"/>
      <c r="DW315" s="236"/>
      <c r="DX315" s="236"/>
      <c r="DY315" s="236"/>
      <c r="DZ315" s="236"/>
      <c r="EA315" s="236"/>
      <c r="EB315" s="237">
        <f t="shared" si="32"/>
        <v>0</v>
      </c>
      <c r="EC315" s="237">
        <f t="shared" si="33"/>
        <v>0</v>
      </c>
      <c r="ED315" s="237">
        <f t="shared" si="34"/>
        <v>0</v>
      </c>
      <c r="EE315" s="237">
        <f t="shared" si="35"/>
        <v>0</v>
      </c>
      <c r="EF315" s="121"/>
      <c r="EG315" s="238">
        <f t="shared" si="36"/>
        <v>0</v>
      </c>
      <c r="EH315" s="121"/>
      <c r="EI315" s="237">
        <f t="shared" si="37"/>
        <v>0</v>
      </c>
      <c r="EJ315" s="121"/>
      <c r="EK315" s="237">
        <f t="shared" si="38"/>
        <v>0</v>
      </c>
      <c r="EL315" s="237"/>
      <c r="EM315" s="5"/>
      <c r="EN315" s="5"/>
      <c r="EO315" s="5"/>
      <c r="EP315" s="5"/>
      <c r="EQ315" s="237">
        <f t="shared" si="39"/>
        <v>0</v>
      </c>
      <c r="ER315" s="239">
        <v>23300</v>
      </c>
      <c r="ES315" s="5">
        <v>7.5</v>
      </c>
    </row>
    <row r="316" spans="1:149" x14ac:dyDescent="0.3">
      <c r="A316" s="124">
        <v>311</v>
      </c>
      <c r="B316" s="121"/>
      <c r="C316" s="121"/>
      <c r="D316" s="121"/>
      <c r="E316" s="121"/>
      <c r="F316" s="121"/>
      <c r="G316" s="121"/>
      <c r="H316" s="121"/>
      <c r="I316" s="121"/>
      <c r="J316" s="121"/>
      <c r="K316" s="121"/>
      <c r="L316" s="121"/>
      <c r="M316" s="121"/>
      <c r="N316" s="121"/>
      <c r="O316" s="235"/>
      <c r="P316" s="121"/>
      <c r="Q316" s="121"/>
      <c r="R316" s="121"/>
      <c r="S316" s="121"/>
      <c r="T316" s="121"/>
      <c r="U316" s="121"/>
      <c r="V316" s="121"/>
      <c r="W316" s="121"/>
      <c r="X316" s="117"/>
      <c r="Y316" s="117"/>
      <c r="Z316" s="121"/>
      <c r="AA316" s="121"/>
      <c r="AB316" s="236"/>
      <c r="AC316" s="236"/>
      <c r="AD316" s="236"/>
      <c r="AE316" s="236"/>
      <c r="AF316" s="236"/>
      <c r="AG316" s="236"/>
      <c r="AH316" s="236"/>
      <c r="AI316" s="236"/>
      <c r="AJ316" s="236"/>
      <c r="AK316" s="236"/>
      <c r="AL316" s="236"/>
      <c r="AM316" s="236"/>
      <c r="AN316" s="236"/>
      <c r="AO316" s="236"/>
      <c r="AP316" s="236"/>
      <c r="AQ316" s="236"/>
      <c r="AR316" s="236"/>
      <c r="AS316" s="236"/>
      <c r="AT316" s="236"/>
      <c r="AU316" s="236"/>
      <c r="AV316" s="236"/>
      <c r="AW316" s="236"/>
      <c r="AX316" s="236"/>
      <c r="AY316" s="236"/>
      <c r="AZ316" s="236"/>
      <c r="BA316" s="236"/>
      <c r="BB316" s="236"/>
      <c r="BC316" s="236"/>
      <c r="BD316" s="236"/>
      <c r="BE316" s="236"/>
      <c r="BF316" s="236"/>
      <c r="BG316" s="236"/>
      <c r="BH316" s="236"/>
      <c r="BI316" s="236"/>
      <c r="BJ316" s="236"/>
      <c r="BK316" s="236"/>
      <c r="BL316" s="236"/>
      <c r="BM316" s="236"/>
      <c r="BN316" s="236"/>
      <c r="BO316" s="236"/>
      <c r="BP316" s="236"/>
      <c r="BQ316" s="236"/>
      <c r="BR316" s="236"/>
      <c r="BS316" s="236"/>
      <c r="BT316" s="236"/>
      <c r="BU316" s="236"/>
      <c r="BV316" s="236"/>
      <c r="BW316" s="236"/>
      <c r="BX316" s="236"/>
      <c r="BY316" s="236"/>
      <c r="BZ316" s="236"/>
      <c r="CA316" s="236"/>
      <c r="CB316" s="236"/>
      <c r="CC316" s="236"/>
      <c r="CD316" s="236"/>
      <c r="CE316" s="236"/>
      <c r="CF316" s="236"/>
      <c r="CG316" s="236"/>
      <c r="CH316" s="236"/>
      <c r="CI316" s="236"/>
      <c r="CJ316" s="236"/>
      <c r="CK316" s="236"/>
      <c r="CL316" s="236"/>
      <c r="CM316" s="236"/>
      <c r="CN316" s="236"/>
      <c r="CO316" s="236"/>
      <c r="CP316" s="236"/>
      <c r="CQ316" s="236"/>
      <c r="CR316" s="236"/>
      <c r="CS316" s="236"/>
      <c r="CT316" s="236"/>
      <c r="CU316" s="236"/>
      <c r="CV316" s="236"/>
      <c r="CW316" s="236"/>
      <c r="CX316" s="236"/>
      <c r="CY316" s="236"/>
      <c r="CZ316" s="236"/>
      <c r="DA316" s="236"/>
      <c r="DB316" s="236"/>
      <c r="DC316" s="236"/>
      <c r="DD316" s="236"/>
      <c r="DE316" s="236"/>
      <c r="DF316" s="236"/>
      <c r="DG316" s="236"/>
      <c r="DH316" s="236"/>
      <c r="DI316" s="236"/>
      <c r="DJ316" s="236"/>
      <c r="DK316" s="236"/>
      <c r="DL316" s="236"/>
      <c r="DM316" s="236"/>
      <c r="DN316" s="236"/>
      <c r="DO316" s="236"/>
      <c r="DP316" s="236"/>
      <c r="DQ316" s="236"/>
      <c r="DR316" s="236"/>
      <c r="DS316" s="236"/>
      <c r="DT316" s="236"/>
      <c r="DU316" s="236"/>
      <c r="DV316" s="236"/>
      <c r="DW316" s="236"/>
      <c r="DX316" s="236"/>
      <c r="DY316" s="236"/>
      <c r="DZ316" s="236"/>
      <c r="EA316" s="236"/>
      <c r="EB316" s="237">
        <f t="shared" si="32"/>
        <v>0</v>
      </c>
      <c r="EC316" s="237">
        <f t="shared" si="33"/>
        <v>0</v>
      </c>
      <c r="ED316" s="237">
        <f t="shared" si="34"/>
        <v>0</v>
      </c>
      <c r="EE316" s="237">
        <f t="shared" si="35"/>
        <v>0</v>
      </c>
      <c r="EF316" s="121"/>
      <c r="EG316" s="238">
        <f t="shared" si="36"/>
        <v>0</v>
      </c>
      <c r="EH316" s="121"/>
      <c r="EI316" s="237">
        <f t="shared" si="37"/>
        <v>0</v>
      </c>
      <c r="EJ316" s="121"/>
      <c r="EK316" s="237">
        <f t="shared" si="38"/>
        <v>0</v>
      </c>
      <c r="EL316" s="237"/>
      <c r="EM316" s="5"/>
      <c r="EN316" s="5"/>
      <c r="EO316" s="5"/>
      <c r="EP316" s="5"/>
      <c r="EQ316" s="237">
        <f t="shared" si="39"/>
        <v>0</v>
      </c>
      <c r="ER316" s="239">
        <v>23300</v>
      </c>
      <c r="ES316" s="5">
        <v>7.5</v>
      </c>
    </row>
    <row r="317" spans="1:149" x14ac:dyDescent="0.3">
      <c r="A317" s="124">
        <v>312</v>
      </c>
      <c r="B317" s="121"/>
      <c r="C317" s="121"/>
      <c r="D317" s="121"/>
      <c r="E317" s="121"/>
      <c r="F317" s="121"/>
      <c r="G317" s="121"/>
      <c r="H317" s="121"/>
      <c r="I317" s="121"/>
      <c r="J317" s="121"/>
      <c r="K317" s="121"/>
      <c r="L317" s="121"/>
      <c r="M317" s="121"/>
      <c r="N317" s="121"/>
      <c r="O317" s="235"/>
      <c r="P317" s="121"/>
      <c r="Q317" s="121"/>
      <c r="R317" s="121"/>
      <c r="S317" s="121"/>
      <c r="T317" s="121"/>
      <c r="U317" s="121"/>
      <c r="V317" s="121"/>
      <c r="W317" s="121"/>
      <c r="X317" s="117"/>
      <c r="Y317" s="117"/>
      <c r="Z317" s="121"/>
      <c r="AA317" s="121"/>
      <c r="AB317" s="236"/>
      <c r="AC317" s="236"/>
      <c r="AD317" s="236"/>
      <c r="AE317" s="236"/>
      <c r="AF317" s="236"/>
      <c r="AG317" s="236"/>
      <c r="AH317" s="236"/>
      <c r="AI317" s="236"/>
      <c r="AJ317" s="236"/>
      <c r="AK317" s="236"/>
      <c r="AL317" s="236"/>
      <c r="AM317" s="236"/>
      <c r="AN317" s="236"/>
      <c r="AO317" s="236"/>
      <c r="AP317" s="236"/>
      <c r="AQ317" s="236"/>
      <c r="AR317" s="236"/>
      <c r="AS317" s="236"/>
      <c r="AT317" s="236"/>
      <c r="AU317" s="236"/>
      <c r="AV317" s="236"/>
      <c r="AW317" s="236"/>
      <c r="AX317" s="236"/>
      <c r="AY317" s="236"/>
      <c r="AZ317" s="236"/>
      <c r="BA317" s="236"/>
      <c r="BB317" s="236"/>
      <c r="BC317" s="236"/>
      <c r="BD317" s="236"/>
      <c r="BE317" s="236"/>
      <c r="BF317" s="236"/>
      <c r="BG317" s="236"/>
      <c r="BH317" s="236"/>
      <c r="BI317" s="236"/>
      <c r="BJ317" s="236"/>
      <c r="BK317" s="236"/>
      <c r="BL317" s="236"/>
      <c r="BM317" s="236"/>
      <c r="BN317" s="236"/>
      <c r="BO317" s="236"/>
      <c r="BP317" s="236"/>
      <c r="BQ317" s="236"/>
      <c r="BR317" s="236"/>
      <c r="BS317" s="236"/>
      <c r="BT317" s="236"/>
      <c r="BU317" s="236"/>
      <c r="BV317" s="236"/>
      <c r="BW317" s="236"/>
      <c r="BX317" s="236"/>
      <c r="BY317" s="236"/>
      <c r="BZ317" s="236"/>
      <c r="CA317" s="236"/>
      <c r="CB317" s="236"/>
      <c r="CC317" s="236"/>
      <c r="CD317" s="236"/>
      <c r="CE317" s="236"/>
      <c r="CF317" s="236"/>
      <c r="CG317" s="236"/>
      <c r="CH317" s="236"/>
      <c r="CI317" s="236"/>
      <c r="CJ317" s="236"/>
      <c r="CK317" s="236"/>
      <c r="CL317" s="236"/>
      <c r="CM317" s="236"/>
      <c r="CN317" s="236"/>
      <c r="CO317" s="236"/>
      <c r="CP317" s="236"/>
      <c r="CQ317" s="236"/>
      <c r="CR317" s="236"/>
      <c r="CS317" s="236"/>
      <c r="CT317" s="236"/>
      <c r="CU317" s="236"/>
      <c r="CV317" s="236"/>
      <c r="CW317" s="236"/>
      <c r="CX317" s="236"/>
      <c r="CY317" s="236"/>
      <c r="CZ317" s="236"/>
      <c r="DA317" s="236"/>
      <c r="DB317" s="236"/>
      <c r="DC317" s="236"/>
      <c r="DD317" s="236"/>
      <c r="DE317" s="236"/>
      <c r="DF317" s="236"/>
      <c r="DG317" s="236"/>
      <c r="DH317" s="236"/>
      <c r="DI317" s="236"/>
      <c r="DJ317" s="236"/>
      <c r="DK317" s="236"/>
      <c r="DL317" s="236"/>
      <c r="DM317" s="236"/>
      <c r="DN317" s="236"/>
      <c r="DO317" s="236"/>
      <c r="DP317" s="236"/>
      <c r="DQ317" s="236"/>
      <c r="DR317" s="236"/>
      <c r="DS317" s="236"/>
      <c r="DT317" s="236"/>
      <c r="DU317" s="236"/>
      <c r="DV317" s="236"/>
      <c r="DW317" s="236"/>
      <c r="DX317" s="236"/>
      <c r="DY317" s="236"/>
      <c r="DZ317" s="236"/>
      <c r="EA317" s="236"/>
      <c r="EB317" s="237">
        <f t="shared" si="32"/>
        <v>0</v>
      </c>
      <c r="EC317" s="237">
        <f t="shared" si="33"/>
        <v>0</v>
      </c>
      <c r="ED317" s="237">
        <f t="shared" si="34"/>
        <v>0</v>
      </c>
      <c r="EE317" s="237">
        <f t="shared" si="35"/>
        <v>0</v>
      </c>
      <c r="EF317" s="121"/>
      <c r="EG317" s="238">
        <f t="shared" si="36"/>
        <v>0</v>
      </c>
      <c r="EH317" s="121"/>
      <c r="EI317" s="237">
        <f t="shared" si="37"/>
        <v>0</v>
      </c>
      <c r="EJ317" s="121"/>
      <c r="EK317" s="237">
        <f t="shared" si="38"/>
        <v>0</v>
      </c>
      <c r="EL317" s="237"/>
      <c r="EM317" s="5"/>
      <c r="EN317" s="5"/>
      <c r="EO317" s="5"/>
      <c r="EP317" s="5"/>
      <c r="EQ317" s="237">
        <f t="shared" si="39"/>
        <v>0</v>
      </c>
      <c r="ER317" s="239">
        <v>23300</v>
      </c>
      <c r="ES317" s="5">
        <v>7.5</v>
      </c>
    </row>
    <row r="318" spans="1:149" x14ac:dyDescent="0.3">
      <c r="A318" s="124">
        <v>313</v>
      </c>
      <c r="B318" s="121"/>
      <c r="C318" s="121"/>
      <c r="D318" s="121"/>
      <c r="E318" s="121"/>
      <c r="F318" s="121"/>
      <c r="G318" s="121"/>
      <c r="H318" s="121"/>
      <c r="I318" s="121"/>
      <c r="J318" s="121"/>
      <c r="K318" s="121"/>
      <c r="L318" s="121"/>
      <c r="M318" s="121"/>
      <c r="N318" s="121"/>
      <c r="O318" s="235"/>
      <c r="P318" s="121"/>
      <c r="Q318" s="121"/>
      <c r="R318" s="121"/>
      <c r="S318" s="121"/>
      <c r="T318" s="121"/>
      <c r="U318" s="121"/>
      <c r="V318" s="121"/>
      <c r="W318" s="121"/>
      <c r="X318" s="117"/>
      <c r="Y318" s="117"/>
      <c r="Z318" s="121"/>
      <c r="AA318" s="121"/>
      <c r="AB318" s="236"/>
      <c r="AC318" s="236"/>
      <c r="AD318" s="236"/>
      <c r="AE318" s="236"/>
      <c r="AF318" s="236"/>
      <c r="AG318" s="236"/>
      <c r="AH318" s="236"/>
      <c r="AI318" s="236"/>
      <c r="AJ318" s="236"/>
      <c r="AK318" s="236"/>
      <c r="AL318" s="236"/>
      <c r="AM318" s="236"/>
      <c r="AN318" s="236"/>
      <c r="AO318" s="236"/>
      <c r="AP318" s="236"/>
      <c r="AQ318" s="236"/>
      <c r="AR318" s="236"/>
      <c r="AS318" s="236"/>
      <c r="AT318" s="236"/>
      <c r="AU318" s="236"/>
      <c r="AV318" s="236"/>
      <c r="AW318" s="236"/>
      <c r="AX318" s="236"/>
      <c r="AY318" s="236"/>
      <c r="AZ318" s="236"/>
      <c r="BA318" s="236"/>
      <c r="BB318" s="236"/>
      <c r="BC318" s="236"/>
      <c r="BD318" s="236"/>
      <c r="BE318" s="236"/>
      <c r="BF318" s="236"/>
      <c r="BG318" s="236"/>
      <c r="BH318" s="236"/>
      <c r="BI318" s="236"/>
      <c r="BJ318" s="236"/>
      <c r="BK318" s="236"/>
      <c r="BL318" s="236"/>
      <c r="BM318" s="236"/>
      <c r="BN318" s="236"/>
      <c r="BO318" s="236"/>
      <c r="BP318" s="236"/>
      <c r="BQ318" s="236"/>
      <c r="BR318" s="236"/>
      <c r="BS318" s="236"/>
      <c r="BT318" s="236"/>
      <c r="BU318" s="236"/>
      <c r="BV318" s="236"/>
      <c r="BW318" s="236"/>
      <c r="BX318" s="236"/>
      <c r="BY318" s="236"/>
      <c r="BZ318" s="236"/>
      <c r="CA318" s="236"/>
      <c r="CB318" s="236"/>
      <c r="CC318" s="236"/>
      <c r="CD318" s="236"/>
      <c r="CE318" s="236"/>
      <c r="CF318" s="236"/>
      <c r="CG318" s="236"/>
      <c r="CH318" s="236"/>
      <c r="CI318" s="236"/>
      <c r="CJ318" s="236"/>
      <c r="CK318" s="236"/>
      <c r="CL318" s="236"/>
      <c r="CM318" s="236"/>
      <c r="CN318" s="236"/>
      <c r="CO318" s="236"/>
      <c r="CP318" s="236"/>
      <c r="CQ318" s="236"/>
      <c r="CR318" s="236"/>
      <c r="CS318" s="236"/>
      <c r="CT318" s="236"/>
      <c r="CU318" s="236"/>
      <c r="CV318" s="236"/>
      <c r="CW318" s="236"/>
      <c r="CX318" s="236"/>
      <c r="CY318" s="236"/>
      <c r="CZ318" s="236"/>
      <c r="DA318" s="236"/>
      <c r="DB318" s="236"/>
      <c r="DC318" s="236"/>
      <c r="DD318" s="236"/>
      <c r="DE318" s="236"/>
      <c r="DF318" s="236"/>
      <c r="DG318" s="236"/>
      <c r="DH318" s="236"/>
      <c r="DI318" s="236"/>
      <c r="DJ318" s="236"/>
      <c r="DK318" s="236"/>
      <c r="DL318" s="236"/>
      <c r="DM318" s="236"/>
      <c r="DN318" s="236"/>
      <c r="DO318" s="236"/>
      <c r="DP318" s="236"/>
      <c r="DQ318" s="236"/>
      <c r="DR318" s="236"/>
      <c r="DS318" s="236"/>
      <c r="DT318" s="236"/>
      <c r="DU318" s="236"/>
      <c r="DV318" s="236"/>
      <c r="DW318" s="236"/>
      <c r="DX318" s="236"/>
      <c r="DY318" s="236"/>
      <c r="DZ318" s="236"/>
      <c r="EA318" s="236"/>
      <c r="EB318" s="237">
        <f t="shared" si="32"/>
        <v>0</v>
      </c>
      <c r="EC318" s="237">
        <f t="shared" si="33"/>
        <v>0</v>
      </c>
      <c r="ED318" s="237">
        <f t="shared" si="34"/>
        <v>0</v>
      </c>
      <c r="EE318" s="237">
        <f t="shared" si="35"/>
        <v>0</v>
      </c>
      <c r="EF318" s="121"/>
      <c r="EG318" s="238">
        <f t="shared" si="36"/>
        <v>0</v>
      </c>
      <c r="EH318" s="121"/>
      <c r="EI318" s="237">
        <f t="shared" si="37"/>
        <v>0</v>
      </c>
      <c r="EJ318" s="121"/>
      <c r="EK318" s="237">
        <f t="shared" si="38"/>
        <v>0</v>
      </c>
      <c r="EL318" s="237"/>
      <c r="EM318" s="5"/>
      <c r="EN318" s="5"/>
      <c r="EO318" s="5"/>
      <c r="EP318" s="5"/>
      <c r="EQ318" s="237">
        <f t="shared" si="39"/>
        <v>0</v>
      </c>
      <c r="ER318" s="239">
        <v>23300</v>
      </c>
      <c r="ES318" s="5">
        <v>7.5</v>
      </c>
    </row>
    <row r="319" spans="1:149" x14ac:dyDescent="0.3">
      <c r="A319" s="124">
        <v>314</v>
      </c>
      <c r="B319" s="121"/>
      <c r="C319" s="121"/>
      <c r="D319" s="121"/>
      <c r="E319" s="121"/>
      <c r="F319" s="121"/>
      <c r="G319" s="121"/>
      <c r="H319" s="121"/>
      <c r="I319" s="121"/>
      <c r="J319" s="121"/>
      <c r="K319" s="121"/>
      <c r="L319" s="121"/>
      <c r="M319" s="121"/>
      <c r="N319" s="121"/>
      <c r="O319" s="235"/>
      <c r="P319" s="121"/>
      <c r="Q319" s="121"/>
      <c r="R319" s="121"/>
      <c r="S319" s="121"/>
      <c r="T319" s="121"/>
      <c r="U319" s="121"/>
      <c r="V319" s="121"/>
      <c r="W319" s="121"/>
      <c r="X319" s="117"/>
      <c r="Y319" s="117"/>
      <c r="Z319" s="121"/>
      <c r="AA319" s="121"/>
      <c r="AB319" s="236"/>
      <c r="AC319" s="236"/>
      <c r="AD319" s="236"/>
      <c r="AE319" s="236"/>
      <c r="AF319" s="236"/>
      <c r="AG319" s="236"/>
      <c r="AH319" s="236"/>
      <c r="AI319" s="236"/>
      <c r="AJ319" s="236"/>
      <c r="AK319" s="236"/>
      <c r="AL319" s="236"/>
      <c r="AM319" s="236"/>
      <c r="AN319" s="236"/>
      <c r="AO319" s="236"/>
      <c r="AP319" s="236"/>
      <c r="AQ319" s="236"/>
      <c r="AR319" s="236"/>
      <c r="AS319" s="236"/>
      <c r="AT319" s="236"/>
      <c r="AU319" s="236"/>
      <c r="AV319" s="236"/>
      <c r="AW319" s="236"/>
      <c r="AX319" s="236"/>
      <c r="AY319" s="236"/>
      <c r="AZ319" s="236"/>
      <c r="BA319" s="236"/>
      <c r="BB319" s="236"/>
      <c r="BC319" s="236"/>
      <c r="BD319" s="236"/>
      <c r="BE319" s="236"/>
      <c r="BF319" s="236"/>
      <c r="BG319" s="236"/>
      <c r="BH319" s="236"/>
      <c r="BI319" s="236"/>
      <c r="BJ319" s="236"/>
      <c r="BK319" s="236"/>
      <c r="BL319" s="236"/>
      <c r="BM319" s="236"/>
      <c r="BN319" s="236"/>
      <c r="BO319" s="236"/>
      <c r="BP319" s="236"/>
      <c r="BQ319" s="236"/>
      <c r="BR319" s="236"/>
      <c r="BS319" s="236"/>
      <c r="BT319" s="236"/>
      <c r="BU319" s="236"/>
      <c r="BV319" s="236"/>
      <c r="BW319" s="236"/>
      <c r="BX319" s="236"/>
      <c r="BY319" s="236"/>
      <c r="BZ319" s="236"/>
      <c r="CA319" s="236"/>
      <c r="CB319" s="236"/>
      <c r="CC319" s="236"/>
      <c r="CD319" s="236"/>
      <c r="CE319" s="236"/>
      <c r="CF319" s="236"/>
      <c r="CG319" s="236"/>
      <c r="CH319" s="236"/>
      <c r="CI319" s="236"/>
      <c r="CJ319" s="236"/>
      <c r="CK319" s="236"/>
      <c r="CL319" s="236"/>
      <c r="CM319" s="236"/>
      <c r="CN319" s="236"/>
      <c r="CO319" s="236"/>
      <c r="CP319" s="236"/>
      <c r="CQ319" s="236"/>
      <c r="CR319" s="236"/>
      <c r="CS319" s="236"/>
      <c r="CT319" s="236"/>
      <c r="CU319" s="236"/>
      <c r="CV319" s="236"/>
      <c r="CW319" s="236"/>
      <c r="CX319" s="236"/>
      <c r="CY319" s="236"/>
      <c r="CZ319" s="236"/>
      <c r="DA319" s="236"/>
      <c r="DB319" s="236"/>
      <c r="DC319" s="236"/>
      <c r="DD319" s="236"/>
      <c r="DE319" s="236"/>
      <c r="DF319" s="236"/>
      <c r="DG319" s="236"/>
      <c r="DH319" s="236"/>
      <c r="DI319" s="236"/>
      <c r="DJ319" s="236"/>
      <c r="DK319" s="236"/>
      <c r="DL319" s="236"/>
      <c r="DM319" s="236"/>
      <c r="DN319" s="236"/>
      <c r="DO319" s="236"/>
      <c r="DP319" s="236"/>
      <c r="DQ319" s="236"/>
      <c r="DR319" s="236"/>
      <c r="DS319" s="236"/>
      <c r="DT319" s="236"/>
      <c r="DU319" s="236"/>
      <c r="DV319" s="236"/>
      <c r="DW319" s="236"/>
      <c r="DX319" s="236"/>
      <c r="DY319" s="236"/>
      <c r="DZ319" s="236"/>
      <c r="EA319" s="236"/>
      <c r="EB319" s="237">
        <f t="shared" si="32"/>
        <v>0</v>
      </c>
      <c r="EC319" s="237">
        <f t="shared" si="33"/>
        <v>0</v>
      </c>
      <c r="ED319" s="237">
        <f t="shared" si="34"/>
        <v>0</v>
      </c>
      <c r="EE319" s="237">
        <f t="shared" si="35"/>
        <v>0</v>
      </c>
      <c r="EF319" s="121"/>
      <c r="EG319" s="238">
        <f t="shared" si="36"/>
        <v>0</v>
      </c>
      <c r="EH319" s="121"/>
      <c r="EI319" s="237">
        <f t="shared" si="37"/>
        <v>0</v>
      </c>
      <c r="EJ319" s="121"/>
      <c r="EK319" s="237">
        <f t="shared" si="38"/>
        <v>0</v>
      </c>
      <c r="EL319" s="237"/>
      <c r="EM319" s="5"/>
      <c r="EN319" s="5"/>
      <c r="EO319" s="5"/>
      <c r="EP319" s="5"/>
      <c r="EQ319" s="237">
        <f t="shared" si="39"/>
        <v>0</v>
      </c>
      <c r="ER319" s="239">
        <v>23300</v>
      </c>
      <c r="ES319" s="5">
        <v>7.5</v>
      </c>
    </row>
    <row r="320" spans="1:149" x14ac:dyDescent="0.3">
      <c r="A320" s="124">
        <v>315</v>
      </c>
      <c r="B320" s="121"/>
      <c r="C320" s="121"/>
      <c r="D320" s="121"/>
      <c r="E320" s="121"/>
      <c r="F320" s="121"/>
      <c r="G320" s="121"/>
      <c r="H320" s="121"/>
      <c r="I320" s="121"/>
      <c r="J320" s="121"/>
      <c r="K320" s="121"/>
      <c r="L320" s="121"/>
      <c r="M320" s="121"/>
      <c r="N320" s="121"/>
      <c r="O320" s="235"/>
      <c r="P320" s="121"/>
      <c r="Q320" s="121"/>
      <c r="R320" s="121"/>
      <c r="S320" s="121"/>
      <c r="T320" s="121"/>
      <c r="U320" s="121"/>
      <c r="V320" s="121"/>
      <c r="W320" s="121"/>
      <c r="X320" s="117"/>
      <c r="Y320" s="117"/>
      <c r="Z320" s="121"/>
      <c r="AA320" s="121"/>
      <c r="AB320" s="236"/>
      <c r="AC320" s="236"/>
      <c r="AD320" s="236"/>
      <c r="AE320" s="236"/>
      <c r="AF320" s="236"/>
      <c r="AG320" s="236"/>
      <c r="AH320" s="236"/>
      <c r="AI320" s="236"/>
      <c r="AJ320" s="236"/>
      <c r="AK320" s="236"/>
      <c r="AL320" s="236"/>
      <c r="AM320" s="236"/>
      <c r="AN320" s="236"/>
      <c r="AO320" s="236"/>
      <c r="AP320" s="236"/>
      <c r="AQ320" s="236"/>
      <c r="AR320" s="236"/>
      <c r="AS320" s="236"/>
      <c r="AT320" s="236"/>
      <c r="AU320" s="236"/>
      <c r="AV320" s="236"/>
      <c r="AW320" s="236"/>
      <c r="AX320" s="236"/>
      <c r="AY320" s="236"/>
      <c r="AZ320" s="236"/>
      <c r="BA320" s="236"/>
      <c r="BB320" s="236"/>
      <c r="BC320" s="236"/>
      <c r="BD320" s="236"/>
      <c r="BE320" s="236"/>
      <c r="BF320" s="236"/>
      <c r="BG320" s="236"/>
      <c r="BH320" s="236"/>
      <c r="BI320" s="236"/>
      <c r="BJ320" s="236"/>
      <c r="BK320" s="236"/>
      <c r="BL320" s="236"/>
      <c r="BM320" s="236"/>
      <c r="BN320" s="236"/>
      <c r="BO320" s="236"/>
      <c r="BP320" s="236"/>
      <c r="BQ320" s="236"/>
      <c r="BR320" s="236"/>
      <c r="BS320" s="236"/>
      <c r="BT320" s="236"/>
      <c r="BU320" s="236"/>
      <c r="BV320" s="236"/>
      <c r="BW320" s="236"/>
      <c r="BX320" s="236"/>
      <c r="BY320" s="236"/>
      <c r="BZ320" s="236"/>
      <c r="CA320" s="236"/>
      <c r="CB320" s="236"/>
      <c r="CC320" s="236"/>
      <c r="CD320" s="236"/>
      <c r="CE320" s="236"/>
      <c r="CF320" s="236"/>
      <c r="CG320" s="236"/>
      <c r="CH320" s="236"/>
      <c r="CI320" s="236"/>
      <c r="CJ320" s="236"/>
      <c r="CK320" s="236"/>
      <c r="CL320" s="236"/>
      <c r="CM320" s="236"/>
      <c r="CN320" s="236"/>
      <c r="CO320" s="236"/>
      <c r="CP320" s="236"/>
      <c r="CQ320" s="236"/>
      <c r="CR320" s="236"/>
      <c r="CS320" s="236"/>
      <c r="CT320" s="236"/>
      <c r="CU320" s="236"/>
      <c r="CV320" s="236"/>
      <c r="CW320" s="236"/>
      <c r="CX320" s="236"/>
      <c r="CY320" s="236"/>
      <c r="CZ320" s="236"/>
      <c r="DA320" s="236"/>
      <c r="DB320" s="236"/>
      <c r="DC320" s="236"/>
      <c r="DD320" s="236"/>
      <c r="DE320" s="236"/>
      <c r="DF320" s="236"/>
      <c r="DG320" s="236"/>
      <c r="DH320" s="236"/>
      <c r="DI320" s="236"/>
      <c r="DJ320" s="236"/>
      <c r="DK320" s="236"/>
      <c r="DL320" s="236"/>
      <c r="DM320" s="236"/>
      <c r="DN320" s="236"/>
      <c r="DO320" s="236"/>
      <c r="DP320" s="236"/>
      <c r="DQ320" s="236"/>
      <c r="DR320" s="236"/>
      <c r="DS320" s="236"/>
      <c r="DT320" s="236"/>
      <c r="DU320" s="236"/>
      <c r="DV320" s="236"/>
      <c r="DW320" s="236"/>
      <c r="DX320" s="236"/>
      <c r="DY320" s="236"/>
      <c r="DZ320" s="236"/>
      <c r="EA320" s="236"/>
      <c r="EB320" s="237">
        <f t="shared" si="32"/>
        <v>0</v>
      </c>
      <c r="EC320" s="237">
        <f t="shared" si="33"/>
        <v>0</v>
      </c>
      <c r="ED320" s="237">
        <f t="shared" si="34"/>
        <v>0</v>
      </c>
      <c r="EE320" s="237">
        <f t="shared" si="35"/>
        <v>0</v>
      </c>
      <c r="EF320" s="121"/>
      <c r="EG320" s="238">
        <f t="shared" si="36"/>
        <v>0</v>
      </c>
      <c r="EH320" s="121"/>
      <c r="EI320" s="237">
        <f t="shared" si="37"/>
        <v>0</v>
      </c>
      <c r="EJ320" s="121"/>
      <c r="EK320" s="237">
        <f t="shared" si="38"/>
        <v>0</v>
      </c>
      <c r="EL320" s="237"/>
      <c r="EM320" s="5"/>
      <c r="EN320" s="5"/>
      <c r="EO320" s="5"/>
      <c r="EP320" s="5"/>
      <c r="EQ320" s="237">
        <f t="shared" si="39"/>
        <v>0</v>
      </c>
      <c r="ER320" s="239">
        <v>23300</v>
      </c>
      <c r="ES320" s="5">
        <v>7.5</v>
      </c>
    </row>
    <row r="321" spans="1:149" x14ac:dyDescent="0.3">
      <c r="A321" s="124">
        <v>316</v>
      </c>
      <c r="B321" s="121"/>
      <c r="C321" s="121"/>
      <c r="D321" s="121"/>
      <c r="E321" s="121"/>
      <c r="F321" s="121"/>
      <c r="G321" s="121"/>
      <c r="H321" s="121"/>
      <c r="I321" s="121"/>
      <c r="J321" s="121"/>
      <c r="K321" s="121"/>
      <c r="L321" s="121"/>
      <c r="M321" s="121"/>
      <c r="N321" s="121"/>
      <c r="O321" s="235"/>
      <c r="P321" s="121"/>
      <c r="Q321" s="121"/>
      <c r="R321" s="121"/>
      <c r="S321" s="121"/>
      <c r="T321" s="121"/>
      <c r="U321" s="121"/>
      <c r="V321" s="121"/>
      <c r="W321" s="121"/>
      <c r="X321" s="117"/>
      <c r="Y321" s="117"/>
      <c r="Z321" s="121"/>
      <c r="AA321" s="121"/>
      <c r="AB321" s="236"/>
      <c r="AC321" s="236"/>
      <c r="AD321" s="236"/>
      <c r="AE321" s="236"/>
      <c r="AF321" s="236"/>
      <c r="AG321" s="236"/>
      <c r="AH321" s="236"/>
      <c r="AI321" s="236"/>
      <c r="AJ321" s="236"/>
      <c r="AK321" s="236"/>
      <c r="AL321" s="236"/>
      <c r="AM321" s="236"/>
      <c r="AN321" s="236"/>
      <c r="AO321" s="236"/>
      <c r="AP321" s="236"/>
      <c r="AQ321" s="236"/>
      <c r="AR321" s="236"/>
      <c r="AS321" s="236"/>
      <c r="AT321" s="236"/>
      <c r="AU321" s="236"/>
      <c r="AV321" s="236"/>
      <c r="AW321" s="236"/>
      <c r="AX321" s="236"/>
      <c r="AY321" s="236"/>
      <c r="AZ321" s="236"/>
      <c r="BA321" s="236"/>
      <c r="BB321" s="236"/>
      <c r="BC321" s="236"/>
      <c r="BD321" s="236"/>
      <c r="BE321" s="236"/>
      <c r="BF321" s="236"/>
      <c r="BG321" s="236"/>
      <c r="BH321" s="236"/>
      <c r="BI321" s="236"/>
      <c r="BJ321" s="236"/>
      <c r="BK321" s="236"/>
      <c r="BL321" s="236"/>
      <c r="BM321" s="236"/>
      <c r="BN321" s="236"/>
      <c r="BO321" s="236"/>
      <c r="BP321" s="236"/>
      <c r="BQ321" s="236"/>
      <c r="BR321" s="236"/>
      <c r="BS321" s="236"/>
      <c r="BT321" s="236"/>
      <c r="BU321" s="236"/>
      <c r="BV321" s="236"/>
      <c r="BW321" s="236"/>
      <c r="BX321" s="236"/>
      <c r="BY321" s="236"/>
      <c r="BZ321" s="236"/>
      <c r="CA321" s="236"/>
      <c r="CB321" s="236"/>
      <c r="CC321" s="236"/>
      <c r="CD321" s="236"/>
      <c r="CE321" s="236"/>
      <c r="CF321" s="236"/>
      <c r="CG321" s="236"/>
      <c r="CH321" s="236"/>
      <c r="CI321" s="236"/>
      <c r="CJ321" s="236"/>
      <c r="CK321" s="236"/>
      <c r="CL321" s="236"/>
      <c r="CM321" s="236"/>
      <c r="CN321" s="236"/>
      <c r="CO321" s="236"/>
      <c r="CP321" s="236"/>
      <c r="CQ321" s="236"/>
      <c r="CR321" s="236"/>
      <c r="CS321" s="236"/>
      <c r="CT321" s="236"/>
      <c r="CU321" s="236"/>
      <c r="CV321" s="236"/>
      <c r="CW321" s="236"/>
      <c r="CX321" s="236"/>
      <c r="CY321" s="236"/>
      <c r="CZ321" s="236"/>
      <c r="DA321" s="236"/>
      <c r="DB321" s="236"/>
      <c r="DC321" s="236"/>
      <c r="DD321" s="236"/>
      <c r="DE321" s="236"/>
      <c r="DF321" s="236"/>
      <c r="DG321" s="236"/>
      <c r="DH321" s="236"/>
      <c r="DI321" s="236"/>
      <c r="DJ321" s="236"/>
      <c r="DK321" s="236"/>
      <c r="DL321" s="236"/>
      <c r="DM321" s="236"/>
      <c r="DN321" s="236"/>
      <c r="DO321" s="236"/>
      <c r="DP321" s="236"/>
      <c r="DQ321" s="236"/>
      <c r="DR321" s="236"/>
      <c r="DS321" s="236"/>
      <c r="DT321" s="236"/>
      <c r="DU321" s="236"/>
      <c r="DV321" s="236"/>
      <c r="DW321" s="236"/>
      <c r="DX321" s="236"/>
      <c r="DY321" s="236"/>
      <c r="DZ321" s="236"/>
      <c r="EA321" s="236"/>
      <c r="EB321" s="237">
        <f t="shared" si="32"/>
        <v>0</v>
      </c>
      <c r="EC321" s="237">
        <f t="shared" si="33"/>
        <v>0</v>
      </c>
      <c r="ED321" s="237">
        <f t="shared" si="34"/>
        <v>0</v>
      </c>
      <c r="EE321" s="237">
        <f t="shared" si="35"/>
        <v>0</v>
      </c>
      <c r="EF321" s="121"/>
      <c r="EG321" s="238">
        <f t="shared" si="36"/>
        <v>0</v>
      </c>
      <c r="EH321" s="121"/>
      <c r="EI321" s="237">
        <f t="shared" si="37"/>
        <v>0</v>
      </c>
      <c r="EJ321" s="121"/>
      <c r="EK321" s="237">
        <f t="shared" si="38"/>
        <v>0</v>
      </c>
      <c r="EL321" s="237"/>
      <c r="EM321" s="5"/>
      <c r="EN321" s="5"/>
      <c r="EO321" s="5"/>
      <c r="EP321" s="5"/>
      <c r="EQ321" s="237">
        <f t="shared" si="39"/>
        <v>0</v>
      </c>
      <c r="ER321" s="239">
        <v>23300</v>
      </c>
      <c r="ES321" s="5">
        <v>7.5</v>
      </c>
    </row>
    <row r="322" spans="1:149" x14ac:dyDescent="0.3">
      <c r="A322" s="124">
        <v>317</v>
      </c>
      <c r="B322" s="121"/>
      <c r="C322" s="121"/>
      <c r="D322" s="121"/>
      <c r="E322" s="121"/>
      <c r="F322" s="121"/>
      <c r="G322" s="121"/>
      <c r="H322" s="121"/>
      <c r="I322" s="121"/>
      <c r="J322" s="121"/>
      <c r="K322" s="121"/>
      <c r="L322" s="121"/>
      <c r="M322" s="121"/>
      <c r="N322" s="121"/>
      <c r="O322" s="235"/>
      <c r="P322" s="121"/>
      <c r="Q322" s="121"/>
      <c r="R322" s="121"/>
      <c r="S322" s="121"/>
      <c r="T322" s="121"/>
      <c r="U322" s="121"/>
      <c r="V322" s="121"/>
      <c r="W322" s="121"/>
      <c r="X322" s="117"/>
      <c r="Y322" s="117"/>
      <c r="Z322" s="121"/>
      <c r="AA322" s="121"/>
      <c r="AB322" s="236"/>
      <c r="AC322" s="236"/>
      <c r="AD322" s="236"/>
      <c r="AE322" s="236"/>
      <c r="AF322" s="236"/>
      <c r="AG322" s="236"/>
      <c r="AH322" s="236"/>
      <c r="AI322" s="236"/>
      <c r="AJ322" s="236"/>
      <c r="AK322" s="236"/>
      <c r="AL322" s="236"/>
      <c r="AM322" s="236"/>
      <c r="AN322" s="236"/>
      <c r="AO322" s="236"/>
      <c r="AP322" s="236"/>
      <c r="AQ322" s="236"/>
      <c r="AR322" s="236"/>
      <c r="AS322" s="236"/>
      <c r="AT322" s="236"/>
      <c r="AU322" s="236"/>
      <c r="AV322" s="236"/>
      <c r="AW322" s="236"/>
      <c r="AX322" s="236"/>
      <c r="AY322" s="236"/>
      <c r="AZ322" s="236"/>
      <c r="BA322" s="236"/>
      <c r="BB322" s="236"/>
      <c r="BC322" s="236"/>
      <c r="BD322" s="236"/>
      <c r="BE322" s="236"/>
      <c r="BF322" s="236"/>
      <c r="BG322" s="236"/>
      <c r="BH322" s="236"/>
      <c r="BI322" s="236"/>
      <c r="BJ322" s="236"/>
      <c r="BK322" s="236"/>
      <c r="BL322" s="236"/>
      <c r="BM322" s="236"/>
      <c r="BN322" s="236"/>
      <c r="BO322" s="236"/>
      <c r="BP322" s="236"/>
      <c r="BQ322" s="236"/>
      <c r="BR322" s="236"/>
      <c r="BS322" s="236"/>
      <c r="BT322" s="236"/>
      <c r="BU322" s="236"/>
      <c r="BV322" s="236"/>
      <c r="BW322" s="236"/>
      <c r="BX322" s="236"/>
      <c r="BY322" s="236"/>
      <c r="BZ322" s="236"/>
      <c r="CA322" s="236"/>
      <c r="CB322" s="236"/>
      <c r="CC322" s="236"/>
      <c r="CD322" s="236"/>
      <c r="CE322" s="236"/>
      <c r="CF322" s="236"/>
      <c r="CG322" s="236"/>
      <c r="CH322" s="236"/>
      <c r="CI322" s="236"/>
      <c r="CJ322" s="236"/>
      <c r="CK322" s="236"/>
      <c r="CL322" s="236"/>
      <c r="CM322" s="236"/>
      <c r="CN322" s="236"/>
      <c r="CO322" s="236"/>
      <c r="CP322" s="236"/>
      <c r="CQ322" s="236"/>
      <c r="CR322" s="236"/>
      <c r="CS322" s="236"/>
      <c r="CT322" s="236"/>
      <c r="CU322" s="236"/>
      <c r="CV322" s="236"/>
      <c r="CW322" s="236"/>
      <c r="CX322" s="236"/>
      <c r="CY322" s="236"/>
      <c r="CZ322" s="236"/>
      <c r="DA322" s="236"/>
      <c r="DB322" s="236"/>
      <c r="DC322" s="236"/>
      <c r="DD322" s="236"/>
      <c r="DE322" s="236"/>
      <c r="DF322" s="236"/>
      <c r="DG322" s="236"/>
      <c r="DH322" s="236"/>
      <c r="DI322" s="236"/>
      <c r="DJ322" s="236"/>
      <c r="DK322" s="236"/>
      <c r="DL322" s="236"/>
      <c r="DM322" s="236"/>
      <c r="DN322" s="236"/>
      <c r="DO322" s="236"/>
      <c r="DP322" s="236"/>
      <c r="DQ322" s="236"/>
      <c r="DR322" s="236"/>
      <c r="DS322" s="236"/>
      <c r="DT322" s="236"/>
      <c r="DU322" s="236"/>
      <c r="DV322" s="236"/>
      <c r="DW322" s="236"/>
      <c r="DX322" s="236"/>
      <c r="DY322" s="236"/>
      <c r="DZ322" s="236"/>
      <c r="EA322" s="236"/>
      <c r="EB322" s="237">
        <f t="shared" si="32"/>
        <v>0</v>
      </c>
      <c r="EC322" s="237">
        <f t="shared" si="33"/>
        <v>0</v>
      </c>
      <c r="ED322" s="237">
        <f t="shared" si="34"/>
        <v>0</v>
      </c>
      <c r="EE322" s="237">
        <f t="shared" si="35"/>
        <v>0</v>
      </c>
      <c r="EF322" s="121"/>
      <c r="EG322" s="238">
        <f t="shared" si="36"/>
        <v>0</v>
      </c>
      <c r="EH322" s="121"/>
      <c r="EI322" s="237">
        <f t="shared" si="37"/>
        <v>0</v>
      </c>
      <c r="EJ322" s="121"/>
      <c r="EK322" s="237">
        <f t="shared" si="38"/>
        <v>0</v>
      </c>
      <c r="EL322" s="237"/>
      <c r="EM322" s="5"/>
      <c r="EN322" s="5"/>
      <c r="EO322" s="5"/>
      <c r="EP322" s="5"/>
      <c r="EQ322" s="237">
        <f t="shared" si="39"/>
        <v>0</v>
      </c>
      <c r="ER322" s="239">
        <v>23300</v>
      </c>
      <c r="ES322" s="5">
        <v>7.5</v>
      </c>
    </row>
    <row r="323" spans="1:149" x14ac:dyDescent="0.3">
      <c r="A323" s="124">
        <v>318</v>
      </c>
      <c r="B323" s="121"/>
      <c r="C323" s="121"/>
      <c r="D323" s="121"/>
      <c r="E323" s="121"/>
      <c r="F323" s="121"/>
      <c r="G323" s="121"/>
      <c r="H323" s="121"/>
      <c r="I323" s="121"/>
      <c r="J323" s="121"/>
      <c r="K323" s="121"/>
      <c r="L323" s="121"/>
      <c r="M323" s="121"/>
      <c r="N323" s="121"/>
      <c r="O323" s="235"/>
      <c r="P323" s="121"/>
      <c r="Q323" s="121"/>
      <c r="R323" s="121"/>
      <c r="S323" s="121"/>
      <c r="T323" s="121"/>
      <c r="U323" s="121"/>
      <c r="V323" s="121"/>
      <c r="W323" s="121"/>
      <c r="X323" s="117"/>
      <c r="Y323" s="117"/>
      <c r="Z323" s="121"/>
      <c r="AA323" s="121"/>
      <c r="AB323" s="236"/>
      <c r="AC323" s="236"/>
      <c r="AD323" s="236"/>
      <c r="AE323" s="236"/>
      <c r="AF323" s="236"/>
      <c r="AG323" s="236"/>
      <c r="AH323" s="236"/>
      <c r="AI323" s="236"/>
      <c r="AJ323" s="236"/>
      <c r="AK323" s="236"/>
      <c r="AL323" s="236"/>
      <c r="AM323" s="236"/>
      <c r="AN323" s="236"/>
      <c r="AO323" s="236"/>
      <c r="AP323" s="236"/>
      <c r="AQ323" s="236"/>
      <c r="AR323" s="236"/>
      <c r="AS323" s="236"/>
      <c r="AT323" s="236"/>
      <c r="AU323" s="236"/>
      <c r="AV323" s="236"/>
      <c r="AW323" s="236"/>
      <c r="AX323" s="236"/>
      <c r="AY323" s="236"/>
      <c r="AZ323" s="236"/>
      <c r="BA323" s="236"/>
      <c r="BB323" s="236"/>
      <c r="BC323" s="236"/>
      <c r="BD323" s="236"/>
      <c r="BE323" s="236"/>
      <c r="BF323" s="236"/>
      <c r="BG323" s="236"/>
      <c r="BH323" s="236"/>
      <c r="BI323" s="236"/>
      <c r="BJ323" s="236"/>
      <c r="BK323" s="236"/>
      <c r="BL323" s="236"/>
      <c r="BM323" s="236"/>
      <c r="BN323" s="236"/>
      <c r="BO323" s="236"/>
      <c r="BP323" s="236"/>
      <c r="BQ323" s="236"/>
      <c r="BR323" s="236"/>
      <c r="BS323" s="236"/>
      <c r="BT323" s="236"/>
      <c r="BU323" s="236"/>
      <c r="BV323" s="236"/>
      <c r="BW323" s="236"/>
      <c r="BX323" s="236"/>
      <c r="BY323" s="236"/>
      <c r="BZ323" s="236"/>
      <c r="CA323" s="236"/>
      <c r="CB323" s="236"/>
      <c r="CC323" s="236"/>
      <c r="CD323" s="236"/>
      <c r="CE323" s="236"/>
      <c r="CF323" s="236"/>
      <c r="CG323" s="236"/>
      <c r="CH323" s="236"/>
      <c r="CI323" s="236"/>
      <c r="CJ323" s="236"/>
      <c r="CK323" s="236"/>
      <c r="CL323" s="236"/>
      <c r="CM323" s="236"/>
      <c r="CN323" s="236"/>
      <c r="CO323" s="236"/>
      <c r="CP323" s="236"/>
      <c r="CQ323" s="236"/>
      <c r="CR323" s="236"/>
      <c r="CS323" s="236"/>
      <c r="CT323" s="236"/>
      <c r="CU323" s="236"/>
      <c r="CV323" s="236"/>
      <c r="CW323" s="236"/>
      <c r="CX323" s="236"/>
      <c r="CY323" s="236"/>
      <c r="CZ323" s="236"/>
      <c r="DA323" s="236"/>
      <c r="DB323" s="236"/>
      <c r="DC323" s="236"/>
      <c r="DD323" s="236"/>
      <c r="DE323" s="236"/>
      <c r="DF323" s="236"/>
      <c r="DG323" s="236"/>
      <c r="DH323" s="236"/>
      <c r="DI323" s="236"/>
      <c r="DJ323" s="236"/>
      <c r="DK323" s="236"/>
      <c r="DL323" s="236"/>
      <c r="DM323" s="236"/>
      <c r="DN323" s="236"/>
      <c r="DO323" s="236"/>
      <c r="DP323" s="236"/>
      <c r="DQ323" s="236"/>
      <c r="DR323" s="236"/>
      <c r="DS323" s="236"/>
      <c r="DT323" s="236"/>
      <c r="DU323" s="236"/>
      <c r="DV323" s="236"/>
      <c r="DW323" s="236"/>
      <c r="DX323" s="236"/>
      <c r="DY323" s="236"/>
      <c r="DZ323" s="236"/>
      <c r="EA323" s="236"/>
      <c r="EB323" s="237">
        <f t="shared" si="32"/>
        <v>0</v>
      </c>
      <c r="EC323" s="237">
        <f t="shared" si="33"/>
        <v>0</v>
      </c>
      <c r="ED323" s="237">
        <f t="shared" si="34"/>
        <v>0</v>
      </c>
      <c r="EE323" s="237">
        <f t="shared" si="35"/>
        <v>0</v>
      </c>
      <c r="EF323" s="121"/>
      <c r="EG323" s="238">
        <f t="shared" si="36"/>
        <v>0</v>
      </c>
      <c r="EH323" s="121"/>
      <c r="EI323" s="237">
        <f t="shared" si="37"/>
        <v>0</v>
      </c>
      <c r="EJ323" s="121"/>
      <c r="EK323" s="237">
        <f t="shared" si="38"/>
        <v>0</v>
      </c>
      <c r="EL323" s="237"/>
      <c r="EM323" s="5"/>
      <c r="EN323" s="5"/>
      <c r="EO323" s="5"/>
      <c r="EP323" s="5"/>
      <c r="EQ323" s="237">
        <f t="shared" si="39"/>
        <v>0</v>
      </c>
      <c r="ER323" s="239">
        <v>23300</v>
      </c>
      <c r="ES323" s="5">
        <v>7.5</v>
      </c>
    </row>
    <row r="324" spans="1:149" x14ac:dyDescent="0.3">
      <c r="A324" s="124">
        <v>319</v>
      </c>
      <c r="B324" s="121"/>
      <c r="C324" s="121"/>
      <c r="D324" s="121"/>
      <c r="E324" s="121"/>
      <c r="F324" s="121"/>
      <c r="G324" s="121"/>
      <c r="H324" s="121"/>
      <c r="I324" s="121"/>
      <c r="J324" s="121"/>
      <c r="K324" s="121"/>
      <c r="L324" s="121"/>
      <c r="M324" s="121"/>
      <c r="N324" s="121"/>
      <c r="O324" s="235"/>
      <c r="P324" s="121"/>
      <c r="Q324" s="121"/>
      <c r="R324" s="121"/>
      <c r="S324" s="121"/>
      <c r="T324" s="121"/>
      <c r="U324" s="121"/>
      <c r="V324" s="121"/>
      <c r="W324" s="121"/>
      <c r="X324" s="117"/>
      <c r="Y324" s="117"/>
      <c r="Z324" s="121"/>
      <c r="AA324" s="121"/>
      <c r="AB324" s="236"/>
      <c r="AC324" s="236"/>
      <c r="AD324" s="236"/>
      <c r="AE324" s="236"/>
      <c r="AF324" s="236"/>
      <c r="AG324" s="236"/>
      <c r="AH324" s="236"/>
      <c r="AI324" s="236"/>
      <c r="AJ324" s="236"/>
      <c r="AK324" s="236"/>
      <c r="AL324" s="236"/>
      <c r="AM324" s="236"/>
      <c r="AN324" s="236"/>
      <c r="AO324" s="236"/>
      <c r="AP324" s="236"/>
      <c r="AQ324" s="236"/>
      <c r="AR324" s="236"/>
      <c r="AS324" s="236"/>
      <c r="AT324" s="236"/>
      <c r="AU324" s="236"/>
      <c r="AV324" s="236"/>
      <c r="AW324" s="236"/>
      <c r="AX324" s="236"/>
      <c r="AY324" s="236"/>
      <c r="AZ324" s="236"/>
      <c r="BA324" s="236"/>
      <c r="BB324" s="236"/>
      <c r="BC324" s="236"/>
      <c r="BD324" s="236"/>
      <c r="BE324" s="236"/>
      <c r="BF324" s="236"/>
      <c r="BG324" s="236"/>
      <c r="BH324" s="236"/>
      <c r="BI324" s="236"/>
      <c r="BJ324" s="236"/>
      <c r="BK324" s="236"/>
      <c r="BL324" s="236"/>
      <c r="BM324" s="236"/>
      <c r="BN324" s="236"/>
      <c r="BO324" s="236"/>
      <c r="BP324" s="236"/>
      <c r="BQ324" s="236"/>
      <c r="BR324" s="236"/>
      <c r="BS324" s="236"/>
      <c r="BT324" s="236"/>
      <c r="BU324" s="236"/>
      <c r="BV324" s="236"/>
      <c r="BW324" s="236"/>
      <c r="BX324" s="236"/>
      <c r="BY324" s="236"/>
      <c r="BZ324" s="236"/>
      <c r="CA324" s="236"/>
      <c r="CB324" s="236"/>
      <c r="CC324" s="236"/>
      <c r="CD324" s="236"/>
      <c r="CE324" s="236"/>
      <c r="CF324" s="236"/>
      <c r="CG324" s="236"/>
      <c r="CH324" s="236"/>
      <c r="CI324" s="236"/>
      <c r="CJ324" s="236"/>
      <c r="CK324" s="236"/>
      <c r="CL324" s="236"/>
      <c r="CM324" s="236"/>
      <c r="CN324" s="236"/>
      <c r="CO324" s="236"/>
      <c r="CP324" s="236"/>
      <c r="CQ324" s="236"/>
      <c r="CR324" s="236"/>
      <c r="CS324" s="236"/>
      <c r="CT324" s="236"/>
      <c r="CU324" s="236"/>
      <c r="CV324" s="236"/>
      <c r="CW324" s="236"/>
      <c r="CX324" s="236"/>
      <c r="CY324" s="236"/>
      <c r="CZ324" s="236"/>
      <c r="DA324" s="236"/>
      <c r="DB324" s="236"/>
      <c r="DC324" s="236"/>
      <c r="DD324" s="236"/>
      <c r="DE324" s="236"/>
      <c r="DF324" s="236"/>
      <c r="DG324" s="236"/>
      <c r="DH324" s="236"/>
      <c r="DI324" s="236"/>
      <c r="DJ324" s="236"/>
      <c r="DK324" s="236"/>
      <c r="DL324" s="236"/>
      <c r="DM324" s="236"/>
      <c r="DN324" s="236"/>
      <c r="DO324" s="236"/>
      <c r="DP324" s="236"/>
      <c r="DQ324" s="236"/>
      <c r="DR324" s="236"/>
      <c r="DS324" s="236"/>
      <c r="DT324" s="236"/>
      <c r="DU324" s="236"/>
      <c r="DV324" s="236"/>
      <c r="DW324" s="236"/>
      <c r="DX324" s="236"/>
      <c r="DY324" s="236"/>
      <c r="DZ324" s="236"/>
      <c r="EA324" s="236"/>
      <c r="EB324" s="237">
        <f t="shared" si="32"/>
        <v>0</v>
      </c>
      <c r="EC324" s="237">
        <f t="shared" si="33"/>
        <v>0</v>
      </c>
      <c r="ED324" s="237">
        <f t="shared" si="34"/>
        <v>0</v>
      </c>
      <c r="EE324" s="237">
        <f t="shared" si="35"/>
        <v>0</v>
      </c>
      <c r="EF324" s="121"/>
      <c r="EG324" s="238">
        <f t="shared" si="36"/>
        <v>0</v>
      </c>
      <c r="EH324" s="121"/>
      <c r="EI324" s="237">
        <f t="shared" si="37"/>
        <v>0</v>
      </c>
      <c r="EJ324" s="121"/>
      <c r="EK324" s="237">
        <f t="shared" si="38"/>
        <v>0</v>
      </c>
      <c r="EL324" s="237"/>
      <c r="EM324" s="5"/>
      <c r="EN324" s="5"/>
      <c r="EO324" s="5"/>
      <c r="EP324" s="5"/>
      <c r="EQ324" s="237">
        <f t="shared" si="39"/>
        <v>0</v>
      </c>
      <c r="ER324" s="239">
        <v>23300</v>
      </c>
      <c r="ES324" s="5">
        <v>7.5</v>
      </c>
    </row>
    <row r="325" spans="1:149" x14ac:dyDescent="0.3">
      <c r="A325" s="124">
        <v>320</v>
      </c>
      <c r="B325" s="121"/>
      <c r="C325" s="121"/>
      <c r="D325" s="121"/>
      <c r="E325" s="121"/>
      <c r="F325" s="121"/>
      <c r="G325" s="121"/>
      <c r="H325" s="121"/>
      <c r="I325" s="121"/>
      <c r="J325" s="121"/>
      <c r="K325" s="121"/>
      <c r="L325" s="121"/>
      <c r="M325" s="121"/>
      <c r="N325" s="121"/>
      <c r="O325" s="235"/>
      <c r="P325" s="121"/>
      <c r="Q325" s="121"/>
      <c r="R325" s="121"/>
      <c r="S325" s="121"/>
      <c r="T325" s="121"/>
      <c r="U325" s="121"/>
      <c r="V325" s="121"/>
      <c r="W325" s="121"/>
      <c r="X325" s="117"/>
      <c r="Y325" s="117"/>
      <c r="Z325" s="121"/>
      <c r="AA325" s="121"/>
      <c r="AB325" s="236"/>
      <c r="AC325" s="236"/>
      <c r="AD325" s="236"/>
      <c r="AE325" s="236"/>
      <c r="AF325" s="236"/>
      <c r="AG325" s="236"/>
      <c r="AH325" s="236"/>
      <c r="AI325" s="236"/>
      <c r="AJ325" s="236"/>
      <c r="AK325" s="236"/>
      <c r="AL325" s="236"/>
      <c r="AM325" s="236"/>
      <c r="AN325" s="236"/>
      <c r="AO325" s="236"/>
      <c r="AP325" s="236"/>
      <c r="AQ325" s="236"/>
      <c r="AR325" s="236"/>
      <c r="AS325" s="236"/>
      <c r="AT325" s="236"/>
      <c r="AU325" s="236"/>
      <c r="AV325" s="236"/>
      <c r="AW325" s="236"/>
      <c r="AX325" s="236"/>
      <c r="AY325" s="236"/>
      <c r="AZ325" s="236"/>
      <c r="BA325" s="236"/>
      <c r="BB325" s="236"/>
      <c r="BC325" s="236"/>
      <c r="BD325" s="236"/>
      <c r="BE325" s="236"/>
      <c r="BF325" s="236"/>
      <c r="BG325" s="236"/>
      <c r="BH325" s="236"/>
      <c r="BI325" s="236"/>
      <c r="BJ325" s="236"/>
      <c r="BK325" s="236"/>
      <c r="BL325" s="236"/>
      <c r="BM325" s="236"/>
      <c r="BN325" s="236"/>
      <c r="BO325" s="236"/>
      <c r="BP325" s="236"/>
      <c r="BQ325" s="236"/>
      <c r="BR325" s="236"/>
      <c r="BS325" s="236"/>
      <c r="BT325" s="236"/>
      <c r="BU325" s="236"/>
      <c r="BV325" s="236"/>
      <c r="BW325" s="236"/>
      <c r="BX325" s="236"/>
      <c r="BY325" s="236"/>
      <c r="BZ325" s="236"/>
      <c r="CA325" s="236"/>
      <c r="CB325" s="236"/>
      <c r="CC325" s="236"/>
      <c r="CD325" s="236"/>
      <c r="CE325" s="236"/>
      <c r="CF325" s="236"/>
      <c r="CG325" s="236"/>
      <c r="CH325" s="236"/>
      <c r="CI325" s="236"/>
      <c r="CJ325" s="236"/>
      <c r="CK325" s="236"/>
      <c r="CL325" s="236"/>
      <c r="CM325" s="236"/>
      <c r="CN325" s="236"/>
      <c r="CO325" s="236"/>
      <c r="CP325" s="236"/>
      <c r="CQ325" s="236"/>
      <c r="CR325" s="236"/>
      <c r="CS325" s="236"/>
      <c r="CT325" s="236"/>
      <c r="CU325" s="236"/>
      <c r="CV325" s="236"/>
      <c r="CW325" s="236"/>
      <c r="CX325" s="236"/>
      <c r="CY325" s="236"/>
      <c r="CZ325" s="236"/>
      <c r="DA325" s="236"/>
      <c r="DB325" s="236"/>
      <c r="DC325" s="236"/>
      <c r="DD325" s="236"/>
      <c r="DE325" s="236"/>
      <c r="DF325" s="236"/>
      <c r="DG325" s="236"/>
      <c r="DH325" s="236"/>
      <c r="DI325" s="236"/>
      <c r="DJ325" s="236"/>
      <c r="DK325" s="236"/>
      <c r="DL325" s="236"/>
      <c r="DM325" s="236"/>
      <c r="DN325" s="236"/>
      <c r="DO325" s="236"/>
      <c r="DP325" s="236"/>
      <c r="DQ325" s="236"/>
      <c r="DR325" s="236"/>
      <c r="DS325" s="236"/>
      <c r="DT325" s="236"/>
      <c r="DU325" s="236"/>
      <c r="DV325" s="236"/>
      <c r="DW325" s="236"/>
      <c r="DX325" s="236"/>
      <c r="DY325" s="236"/>
      <c r="DZ325" s="236"/>
      <c r="EA325" s="236"/>
      <c r="EB325" s="237">
        <f t="shared" si="32"/>
        <v>0</v>
      </c>
      <c r="EC325" s="237">
        <f t="shared" si="33"/>
        <v>0</v>
      </c>
      <c r="ED325" s="237">
        <f t="shared" si="34"/>
        <v>0</v>
      </c>
      <c r="EE325" s="237">
        <f t="shared" si="35"/>
        <v>0</v>
      </c>
      <c r="EF325" s="121"/>
      <c r="EG325" s="238">
        <f t="shared" si="36"/>
        <v>0</v>
      </c>
      <c r="EH325" s="121"/>
      <c r="EI325" s="237">
        <f t="shared" si="37"/>
        <v>0</v>
      </c>
      <c r="EJ325" s="121"/>
      <c r="EK325" s="237">
        <f t="shared" si="38"/>
        <v>0</v>
      </c>
      <c r="EL325" s="237"/>
      <c r="EM325" s="5"/>
      <c r="EN325" s="5"/>
      <c r="EO325" s="5"/>
      <c r="EP325" s="5"/>
      <c r="EQ325" s="237">
        <f t="shared" si="39"/>
        <v>0</v>
      </c>
      <c r="ER325" s="239">
        <v>23300</v>
      </c>
      <c r="ES325" s="5">
        <v>7.5</v>
      </c>
    </row>
    <row r="326" spans="1:149" x14ac:dyDescent="0.3">
      <c r="A326" s="124">
        <v>321</v>
      </c>
      <c r="B326" s="121"/>
      <c r="C326" s="121"/>
      <c r="D326" s="121"/>
      <c r="E326" s="121"/>
      <c r="F326" s="121"/>
      <c r="G326" s="121"/>
      <c r="H326" s="121"/>
      <c r="I326" s="121"/>
      <c r="J326" s="121"/>
      <c r="K326" s="121"/>
      <c r="L326" s="121"/>
      <c r="M326" s="121"/>
      <c r="N326" s="121"/>
      <c r="O326" s="235"/>
      <c r="P326" s="121"/>
      <c r="Q326" s="121"/>
      <c r="R326" s="121"/>
      <c r="S326" s="121"/>
      <c r="T326" s="121"/>
      <c r="U326" s="121"/>
      <c r="V326" s="121"/>
      <c r="W326" s="121"/>
      <c r="X326" s="117"/>
      <c r="Y326" s="117"/>
      <c r="Z326" s="121"/>
      <c r="AA326" s="121"/>
      <c r="AB326" s="236"/>
      <c r="AC326" s="236"/>
      <c r="AD326" s="236"/>
      <c r="AE326" s="236"/>
      <c r="AF326" s="236"/>
      <c r="AG326" s="236"/>
      <c r="AH326" s="236"/>
      <c r="AI326" s="236"/>
      <c r="AJ326" s="236"/>
      <c r="AK326" s="236"/>
      <c r="AL326" s="236"/>
      <c r="AM326" s="236"/>
      <c r="AN326" s="236"/>
      <c r="AO326" s="236"/>
      <c r="AP326" s="236"/>
      <c r="AQ326" s="236"/>
      <c r="AR326" s="236"/>
      <c r="AS326" s="236"/>
      <c r="AT326" s="236"/>
      <c r="AU326" s="236"/>
      <c r="AV326" s="236"/>
      <c r="AW326" s="236"/>
      <c r="AX326" s="236"/>
      <c r="AY326" s="236"/>
      <c r="AZ326" s="236"/>
      <c r="BA326" s="236"/>
      <c r="BB326" s="236"/>
      <c r="BC326" s="236"/>
      <c r="BD326" s="236"/>
      <c r="BE326" s="236"/>
      <c r="BF326" s="236"/>
      <c r="BG326" s="236"/>
      <c r="BH326" s="236"/>
      <c r="BI326" s="236"/>
      <c r="BJ326" s="236"/>
      <c r="BK326" s="236"/>
      <c r="BL326" s="236"/>
      <c r="BM326" s="236"/>
      <c r="BN326" s="236"/>
      <c r="BO326" s="236"/>
      <c r="BP326" s="236"/>
      <c r="BQ326" s="236"/>
      <c r="BR326" s="236"/>
      <c r="BS326" s="236"/>
      <c r="BT326" s="236"/>
      <c r="BU326" s="236"/>
      <c r="BV326" s="236"/>
      <c r="BW326" s="236"/>
      <c r="BX326" s="236"/>
      <c r="BY326" s="236"/>
      <c r="BZ326" s="236"/>
      <c r="CA326" s="236"/>
      <c r="CB326" s="236"/>
      <c r="CC326" s="236"/>
      <c r="CD326" s="236"/>
      <c r="CE326" s="236"/>
      <c r="CF326" s="236"/>
      <c r="CG326" s="236"/>
      <c r="CH326" s="236"/>
      <c r="CI326" s="236"/>
      <c r="CJ326" s="236"/>
      <c r="CK326" s="236"/>
      <c r="CL326" s="236"/>
      <c r="CM326" s="236"/>
      <c r="CN326" s="236"/>
      <c r="CO326" s="236"/>
      <c r="CP326" s="236"/>
      <c r="CQ326" s="236"/>
      <c r="CR326" s="236"/>
      <c r="CS326" s="236"/>
      <c r="CT326" s="236"/>
      <c r="CU326" s="236"/>
      <c r="CV326" s="236"/>
      <c r="CW326" s="236"/>
      <c r="CX326" s="236"/>
      <c r="CY326" s="236"/>
      <c r="CZ326" s="236"/>
      <c r="DA326" s="236"/>
      <c r="DB326" s="236"/>
      <c r="DC326" s="236"/>
      <c r="DD326" s="236"/>
      <c r="DE326" s="236"/>
      <c r="DF326" s="236"/>
      <c r="DG326" s="236"/>
      <c r="DH326" s="236"/>
      <c r="DI326" s="236"/>
      <c r="DJ326" s="236"/>
      <c r="DK326" s="236"/>
      <c r="DL326" s="236"/>
      <c r="DM326" s="236"/>
      <c r="DN326" s="236"/>
      <c r="DO326" s="236"/>
      <c r="DP326" s="236"/>
      <c r="DQ326" s="236"/>
      <c r="DR326" s="236"/>
      <c r="DS326" s="236"/>
      <c r="DT326" s="236"/>
      <c r="DU326" s="236"/>
      <c r="DV326" s="236"/>
      <c r="DW326" s="236"/>
      <c r="DX326" s="236"/>
      <c r="DY326" s="236"/>
      <c r="DZ326" s="236"/>
      <c r="EA326" s="236"/>
      <c r="EB326" s="237">
        <f t="shared" ref="EB326:EB389" si="40">AB326+AC326*K326+AD326*K326+((AF326+AG326+AH326+AJ326+AK326)*K326+AE326+AI326+AL326*K326+AM326*K326)+AP326+AQ326*L326+AR326*L326+((AT326+AU326+AV326+AX326+AY326)*L326+AS326+AW326+AZ326*L326+BA326*L326)+IF(AND(M326&gt;0,MAX(M326,N326/1000)&lt;1),BD326+1*(BE326+BF326)+(1*(BH326+BI326+BJ326+BL326+BM326)+BG326+BK326+BN326+BO326),IF(AND(M326&gt;0,MAX(M326,N326/1000)&gt;1),BD326+MAX(M326,N326/1000)*(BE326+BF326)+(MAX(M326,N326/1000)*(BH326+BI326+BJ326+BL326+BM326)+BG326+BK326+BN326+BO326),IF(AND(K326="",L326="",M326=""),BD326+N326*(BE326+BF326)+((BH326+BI326+BJ326+BL326+BM326)*N326+BG326+BK326+BN326+BO326),0)))</f>
        <v>0</v>
      </c>
      <c r="EC326" s="237">
        <f t="shared" ref="EC326:EC389" si="41">BR326+BS326*K326+BT326*K326+((BV326+BW326+BX326+BZ326+CA326)*K326+BU326+BY326+CB326*K326+CC326*K326)+CJ326+CK326*L326+CL326*L326+((CN326+CO326+CP326+CR326+CS326)*L326+CM326+CQ326+CT326*L326+CU326*L326)+IF(AND(M326&gt;0,MAX(M326,N326/1000)&lt;1),DB326+1*(DC326+DD326)+(1*(DF326+DG326+DH326+DJ326+DK326)+DE326+DI326+DL326+DM326),IF(AND(M326&gt;0,MAX(M326,N326/1000)&gt;1),DB326+MAX(M326,N326/1000)*(DC326+DD326)+(MAX(M326,N326/1000)*(DF326+DG326+DH326+DJ326+DK326)+DE326+DI326+DL326+DM326),IF(AND(K326="",L326="",M326=""),DB326+N326*(DC326+DD326)+((DF326+DG326+DH326+DJ326+DK326)*N326+DE326+DI326+DL326+DM326),0)))</f>
        <v>0</v>
      </c>
      <c r="ED326" s="237">
        <f t="shared" ref="ED326:ED389" si="42">AN326*K326*(1-AO326%)+BB326*L326*(1-BC326%)+BP326*IF(AND(M326&gt;0,M326&lt;1),1,IF(M326&gt;1,MAX(M326,N326/1000),N326))*(1-BQ326%)</f>
        <v>0</v>
      </c>
      <c r="EE326" s="237">
        <f t="shared" ref="EE326:EE389" si="43">(CD326+CE326*K326)*(1-CF326%)+(CG326+CH326*K326)*(1-CI326%)+(CV326+CW326*L326)*(1-CX326%)+(CY326+CZ326*L326)*(1-DA326%)+(DN326+DO326*IF(AND(M326&gt;0,M326&lt;1),1,IF(M326&gt;1,MAX(M326,N326/1000),N326)))*(1-DP326%)+(DQ326+DR326*IF(AND(M326&gt;0,M326&lt;1),1,IF(M326&gt;1,MAX(M326,N326/1000),N326)))*(1-DS326%)</f>
        <v>0</v>
      </c>
      <c r="EF326" s="121"/>
      <c r="EG326" s="238">
        <f t="shared" ref="EG326:EG389" si="44">((BR326+BS326*K326+BT326*K326)+(CJ326+CK326*L326*+CL326*L326)+IF(AND(M326&gt;0,MAX(M326,N326/1000)&lt;1),DB326+DC326+DD326,IF(AND(M326&gt;0,MAX(M326,N326/1000)&gt;1),DB326+DC326*M326+DD326*M326,IF(AND(M326&gt;0,MAX(M326,N326/1000)&gt;1),DB326+MAX(M326,N326/1000)*DC326+MAX(M326,N326/1000)*DD326+IF(AND(K326="",L326="",M326=""),DB326+DC326*N326+DD326*N326,0)))))*EF326/365*ES326%</f>
        <v>0</v>
      </c>
      <c r="EH326" s="121"/>
      <c r="EI326" s="237">
        <f t="shared" ref="EI326:EI389" si="45">(((BV326+BW326+BX326+BZ326+CA326)*K326+BU326+BY326)*1.08+CJ326+CK326*L326+CL326*L326+((CN326+CO326+CP326+CR326+CS326)*L326+CM326+CQ326)*1.08+IF(AND(M326&gt;0,MAX(M326,N326/1000)&lt;1),DB326+1*(DC326+DD326)+(1*(DF326+DG326+DH326+DJ326+DK326)+DE326+DI326)*1.08,IF(AND(M326&gt;0,MAX(M326,N326/1000)&gt;1),DB326+MAX(M326,N326/1000)*(DC326+DD326)+(MAX(M326,N326/1000)*(DF326+DG326+DH326+DJ326+DK326)+DE326+DI326)*1.08,IF(AND(K326="",L326="",M326=""),DB326+N326*(DC326+DD326)+((DF326+DG326+DH326+DJ326+DK326)*N326+DE326+DI326)*1.08,0))))*EH326/365*ES326%</f>
        <v>0</v>
      </c>
      <c r="EJ326" s="121"/>
      <c r="EK326" s="237">
        <f t="shared" ref="EK326:EK389" si="46">((CB326*K326+CC326*K326)*1.1+(CT326*L326+CU326*L326)*1.1+(DL326+DM326)*1.1)*EJ326/365*ES326%</f>
        <v>0</v>
      </c>
      <c r="EL326" s="237"/>
      <c r="EM326" s="5"/>
      <c r="EN326" s="5"/>
      <c r="EO326" s="5"/>
      <c r="EP326" s="5"/>
      <c r="EQ326" s="237">
        <f t="shared" ref="EQ326:EQ389" si="47">EC326-EB326-EG326-EI326-EK326-(AN326*K326+BB326*L326+BP326*IF(AND(M326&gt;0,M326&lt;1),1,IF(M326&gt;1,MAX(M326,N326/1000),N326))+CD326+CE326*K326+CV326+CW326*L326+DN326+DO326*IF(AND(M326&gt;0,M326&lt;1),1,IF(M326&gt;1,MAX(M326,N326/1000),N326))+CG326+CH326*K326+CY326+CZ326*L326+DQ326+DR326*IF(AND(M326&gt;0,M326&lt;1),1,IF(M326&gt;1,MAX(M326,N326/1000),N326)))-EL326-EM326*EN326/365*ES326%-EO326*EP326/365*ES326%</f>
        <v>0</v>
      </c>
      <c r="ER326" s="239">
        <v>23300</v>
      </c>
      <c r="ES326" s="5">
        <v>7.5</v>
      </c>
    </row>
    <row r="327" spans="1:149" x14ac:dyDescent="0.3">
      <c r="A327" s="124">
        <v>322</v>
      </c>
      <c r="B327" s="121"/>
      <c r="C327" s="121"/>
      <c r="D327" s="121"/>
      <c r="E327" s="121"/>
      <c r="F327" s="121"/>
      <c r="G327" s="121"/>
      <c r="H327" s="121"/>
      <c r="I327" s="121"/>
      <c r="J327" s="121"/>
      <c r="K327" s="121"/>
      <c r="L327" s="121"/>
      <c r="M327" s="121"/>
      <c r="N327" s="121"/>
      <c r="O327" s="235"/>
      <c r="P327" s="121"/>
      <c r="Q327" s="121"/>
      <c r="R327" s="121"/>
      <c r="S327" s="121"/>
      <c r="T327" s="121"/>
      <c r="U327" s="121"/>
      <c r="V327" s="121"/>
      <c r="W327" s="121"/>
      <c r="X327" s="117"/>
      <c r="Y327" s="117"/>
      <c r="Z327" s="121"/>
      <c r="AA327" s="121"/>
      <c r="AB327" s="236"/>
      <c r="AC327" s="236"/>
      <c r="AD327" s="236"/>
      <c r="AE327" s="236"/>
      <c r="AF327" s="236"/>
      <c r="AG327" s="236"/>
      <c r="AH327" s="236"/>
      <c r="AI327" s="236"/>
      <c r="AJ327" s="236"/>
      <c r="AK327" s="236"/>
      <c r="AL327" s="236"/>
      <c r="AM327" s="236"/>
      <c r="AN327" s="236"/>
      <c r="AO327" s="236"/>
      <c r="AP327" s="236"/>
      <c r="AQ327" s="236"/>
      <c r="AR327" s="236"/>
      <c r="AS327" s="236"/>
      <c r="AT327" s="236"/>
      <c r="AU327" s="236"/>
      <c r="AV327" s="236"/>
      <c r="AW327" s="236"/>
      <c r="AX327" s="236"/>
      <c r="AY327" s="236"/>
      <c r="AZ327" s="236"/>
      <c r="BA327" s="236"/>
      <c r="BB327" s="236"/>
      <c r="BC327" s="236"/>
      <c r="BD327" s="236"/>
      <c r="BE327" s="236"/>
      <c r="BF327" s="236"/>
      <c r="BG327" s="236"/>
      <c r="BH327" s="236"/>
      <c r="BI327" s="236"/>
      <c r="BJ327" s="236"/>
      <c r="BK327" s="236"/>
      <c r="BL327" s="236"/>
      <c r="BM327" s="236"/>
      <c r="BN327" s="236"/>
      <c r="BO327" s="236"/>
      <c r="BP327" s="236"/>
      <c r="BQ327" s="236"/>
      <c r="BR327" s="236"/>
      <c r="BS327" s="236"/>
      <c r="BT327" s="236"/>
      <c r="BU327" s="236"/>
      <c r="BV327" s="236"/>
      <c r="BW327" s="236"/>
      <c r="BX327" s="236"/>
      <c r="BY327" s="236"/>
      <c r="BZ327" s="236"/>
      <c r="CA327" s="236"/>
      <c r="CB327" s="236"/>
      <c r="CC327" s="236"/>
      <c r="CD327" s="236"/>
      <c r="CE327" s="236"/>
      <c r="CF327" s="236"/>
      <c r="CG327" s="236"/>
      <c r="CH327" s="236"/>
      <c r="CI327" s="236"/>
      <c r="CJ327" s="236"/>
      <c r="CK327" s="236"/>
      <c r="CL327" s="236"/>
      <c r="CM327" s="236"/>
      <c r="CN327" s="236"/>
      <c r="CO327" s="236"/>
      <c r="CP327" s="236"/>
      <c r="CQ327" s="236"/>
      <c r="CR327" s="236"/>
      <c r="CS327" s="236"/>
      <c r="CT327" s="236"/>
      <c r="CU327" s="236"/>
      <c r="CV327" s="236"/>
      <c r="CW327" s="236"/>
      <c r="CX327" s="236"/>
      <c r="CY327" s="236"/>
      <c r="CZ327" s="236"/>
      <c r="DA327" s="236"/>
      <c r="DB327" s="236"/>
      <c r="DC327" s="236"/>
      <c r="DD327" s="236"/>
      <c r="DE327" s="236"/>
      <c r="DF327" s="236"/>
      <c r="DG327" s="236"/>
      <c r="DH327" s="236"/>
      <c r="DI327" s="236"/>
      <c r="DJ327" s="236"/>
      <c r="DK327" s="236"/>
      <c r="DL327" s="236"/>
      <c r="DM327" s="236"/>
      <c r="DN327" s="236"/>
      <c r="DO327" s="236"/>
      <c r="DP327" s="236"/>
      <c r="DQ327" s="236"/>
      <c r="DR327" s="236"/>
      <c r="DS327" s="236"/>
      <c r="DT327" s="236"/>
      <c r="DU327" s="236"/>
      <c r="DV327" s="236"/>
      <c r="DW327" s="236"/>
      <c r="DX327" s="236"/>
      <c r="DY327" s="236"/>
      <c r="DZ327" s="236"/>
      <c r="EA327" s="236"/>
      <c r="EB327" s="237">
        <f t="shared" si="40"/>
        <v>0</v>
      </c>
      <c r="EC327" s="237">
        <f t="shared" si="41"/>
        <v>0</v>
      </c>
      <c r="ED327" s="237">
        <f t="shared" si="42"/>
        <v>0</v>
      </c>
      <c r="EE327" s="237">
        <f t="shared" si="43"/>
        <v>0</v>
      </c>
      <c r="EF327" s="121"/>
      <c r="EG327" s="238">
        <f t="shared" si="44"/>
        <v>0</v>
      </c>
      <c r="EH327" s="121"/>
      <c r="EI327" s="237">
        <f t="shared" si="45"/>
        <v>0</v>
      </c>
      <c r="EJ327" s="121"/>
      <c r="EK327" s="237">
        <f t="shared" si="46"/>
        <v>0</v>
      </c>
      <c r="EL327" s="237"/>
      <c r="EM327" s="5"/>
      <c r="EN327" s="5"/>
      <c r="EO327" s="5"/>
      <c r="EP327" s="5"/>
      <c r="EQ327" s="237">
        <f t="shared" si="47"/>
        <v>0</v>
      </c>
      <c r="ER327" s="239">
        <v>23300</v>
      </c>
      <c r="ES327" s="5">
        <v>7.5</v>
      </c>
    </row>
    <row r="328" spans="1:149" x14ac:dyDescent="0.3">
      <c r="A328" s="124">
        <v>323</v>
      </c>
      <c r="B328" s="121"/>
      <c r="C328" s="121"/>
      <c r="D328" s="121"/>
      <c r="E328" s="121"/>
      <c r="F328" s="121"/>
      <c r="G328" s="121"/>
      <c r="H328" s="121"/>
      <c r="I328" s="121"/>
      <c r="J328" s="121"/>
      <c r="K328" s="121"/>
      <c r="L328" s="121"/>
      <c r="M328" s="121"/>
      <c r="N328" s="121"/>
      <c r="O328" s="235"/>
      <c r="P328" s="121"/>
      <c r="Q328" s="121"/>
      <c r="R328" s="121"/>
      <c r="S328" s="121"/>
      <c r="T328" s="121"/>
      <c r="U328" s="121"/>
      <c r="V328" s="121"/>
      <c r="W328" s="121"/>
      <c r="X328" s="117"/>
      <c r="Y328" s="117"/>
      <c r="Z328" s="121"/>
      <c r="AA328" s="121"/>
      <c r="AB328" s="236"/>
      <c r="AC328" s="236"/>
      <c r="AD328" s="236"/>
      <c r="AE328" s="236"/>
      <c r="AF328" s="236"/>
      <c r="AG328" s="236"/>
      <c r="AH328" s="236"/>
      <c r="AI328" s="236"/>
      <c r="AJ328" s="236"/>
      <c r="AK328" s="236"/>
      <c r="AL328" s="236"/>
      <c r="AM328" s="236"/>
      <c r="AN328" s="236"/>
      <c r="AO328" s="236"/>
      <c r="AP328" s="236"/>
      <c r="AQ328" s="236"/>
      <c r="AR328" s="236"/>
      <c r="AS328" s="236"/>
      <c r="AT328" s="236"/>
      <c r="AU328" s="236"/>
      <c r="AV328" s="236"/>
      <c r="AW328" s="236"/>
      <c r="AX328" s="236"/>
      <c r="AY328" s="236"/>
      <c r="AZ328" s="236"/>
      <c r="BA328" s="236"/>
      <c r="BB328" s="236"/>
      <c r="BC328" s="236"/>
      <c r="BD328" s="236"/>
      <c r="BE328" s="236"/>
      <c r="BF328" s="236"/>
      <c r="BG328" s="236"/>
      <c r="BH328" s="236"/>
      <c r="BI328" s="236"/>
      <c r="BJ328" s="236"/>
      <c r="BK328" s="236"/>
      <c r="BL328" s="236"/>
      <c r="BM328" s="236"/>
      <c r="BN328" s="236"/>
      <c r="BO328" s="236"/>
      <c r="BP328" s="236"/>
      <c r="BQ328" s="236"/>
      <c r="BR328" s="236"/>
      <c r="BS328" s="236"/>
      <c r="BT328" s="236"/>
      <c r="BU328" s="236"/>
      <c r="BV328" s="236"/>
      <c r="BW328" s="236"/>
      <c r="BX328" s="236"/>
      <c r="BY328" s="236"/>
      <c r="BZ328" s="236"/>
      <c r="CA328" s="236"/>
      <c r="CB328" s="236"/>
      <c r="CC328" s="236"/>
      <c r="CD328" s="236"/>
      <c r="CE328" s="236"/>
      <c r="CF328" s="236"/>
      <c r="CG328" s="236"/>
      <c r="CH328" s="236"/>
      <c r="CI328" s="236"/>
      <c r="CJ328" s="236"/>
      <c r="CK328" s="236"/>
      <c r="CL328" s="236"/>
      <c r="CM328" s="236"/>
      <c r="CN328" s="236"/>
      <c r="CO328" s="236"/>
      <c r="CP328" s="236"/>
      <c r="CQ328" s="236"/>
      <c r="CR328" s="236"/>
      <c r="CS328" s="236"/>
      <c r="CT328" s="236"/>
      <c r="CU328" s="236"/>
      <c r="CV328" s="236"/>
      <c r="CW328" s="236"/>
      <c r="CX328" s="236"/>
      <c r="CY328" s="236"/>
      <c r="CZ328" s="236"/>
      <c r="DA328" s="236"/>
      <c r="DB328" s="236"/>
      <c r="DC328" s="236"/>
      <c r="DD328" s="236"/>
      <c r="DE328" s="236"/>
      <c r="DF328" s="236"/>
      <c r="DG328" s="236"/>
      <c r="DH328" s="236"/>
      <c r="DI328" s="236"/>
      <c r="DJ328" s="236"/>
      <c r="DK328" s="236"/>
      <c r="DL328" s="236"/>
      <c r="DM328" s="236"/>
      <c r="DN328" s="236"/>
      <c r="DO328" s="236"/>
      <c r="DP328" s="236"/>
      <c r="DQ328" s="236"/>
      <c r="DR328" s="236"/>
      <c r="DS328" s="236"/>
      <c r="DT328" s="236"/>
      <c r="DU328" s="236"/>
      <c r="DV328" s="236"/>
      <c r="DW328" s="236"/>
      <c r="DX328" s="236"/>
      <c r="DY328" s="236"/>
      <c r="DZ328" s="236"/>
      <c r="EA328" s="236"/>
      <c r="EB328" s="237">
        <f t="shared" si="40"/>
        <v>0</v>
      </c>
      <c r="EC328" s="237">
        <f t="shared" si="41"/>
        <v>0</v>
      </c>
      <c r="ED328" s="237">
        <f t="shared" si="42"/>
        <v>0</v>
      </c>
      <c r="EE328" s="237">
        <f t="shared" si="43"/>
        <v>0</v>
      </c>
      <c r="EF328" s="121"/>
      <c r="EG328" s="238">
        <f t="shared" si="44"/>
        <v>0</v>
      </c>
      <c r="EH328" s="121"/>
      <c r="EI328" s="237">
        <f t="shared" si="45"/>
        <v>0</v>
      </c>
      <c r="EJ328" s="121"/>
      <c r="EK328" s="237">
        <f t="shared" si="46"/>
        <v>0</v>
      </c>
      <c r="EL328" s="237"/>
      <c r="EM328" s="5"/>
      <c r="EN328" s="5"/>
      <c r="EO328" s="5"/>
      <c r="EP328" s="5"/>
      <c r="EQ328" s="237">
        <f t="shared" si="47"/>
        <v>0</v>
      </c>
      <c r="ER328" s="239">
        <v>23300</v>
      </c>
      <c r="ES328" s="5">
        <v>7.5</v>
      </c>
    </row>
    <row r="329" spans="1:149" x14ac:dyDescent="0.3">
      <c r="A329" s="124">
        <v>324</v>
      </c>
      <c r="B329" s="121"/>
      <c r="C329" s="121"/>
      <c r="D329" s="121"/>
      <c r="E329" s="121"/>
      <c r="F329" s="121"/>
      <c r="G329" s="121"/>
      <c r="H329" s="121"/>
      <c r="I329" s="121"/>
      <c r="J329" s="121"/>
      <c r="K329" s="121"/>
      <c r="L329" s="121"/>
      <c r="M329" s="121"/>
      <c r="N329" s="121"/>
      <c r="O329" s="235"/>
      <c r="P329" s="121"/>
      <c r="Q329" s="121"/>
      <c r="R329" s="121"/>
      <c r="S329" s="121"/>
      <c r="T329" s="121"/>
      <c r="U329" s="121"/>
      <c r="V329" s="121"/>
      <c r="W329" s="121"/>
      <c r="X329" s="117"/>
      <c r="Y329" s="117"/>
      <c r="Z329" s="121"/>
      <c r="AA329" s="121"/>
      <c r="AB329" s="236"/>
      <c r="AC329" s="236"/>
      <c r="AD329" s="236"/>
      <c r="AE329" s="236"/>
      <c r="AF329" s="236"/>
      <c r="AG329" s="236"/>
      <c r="AH329" s="236"/>
      <c r="AI329" s="236"/>
      <c r="AJ329" s="236"/>
      <c r="AK329" s="236"/>
      <c r="AL329" s="236"/>
      <c r="AM329" s="236"/>
      <c r="AN329" s="236"/>
      <c r="AO329" s="236"/>
      <c r="AP329" s="236"/>
      <c r="AQ329" s="236"/>
      <c r="AR329" s="236"/>
      <c r="AS329" s="236"/>
      <c r="AT329" s="236"/>
      <c r="AU329" s="236"/>
      <c r="AV329" s="236"/>
      <c r="AW329" s="236"/>
      <c r="AX329" s="236"/>
      <c r="AY329" s="236"/>
      <c r="AZ329" s="236"/>
      <c r="BA329" s="236"/>
      <c r="BB329" s="236"/>
      <c r="BC329" s="236"/>
      <c r="BD329" s="236"/>
      <c r="BE329" s="236"/>
      <c r="BF329" s="236"/>
      <c r="BG329" s="236"/>
      <c r="BH329" s="236"/>
      <c r="BI329" s="236"/>
      <c r="BJ329" s="236"/>
      <c r="BK329" s="236"/>
      <c r="BL329" s="236"/>
      <c r="BM329" s="236"/>
      <c r="BN329" s="236"/>
      <c r="BO329" s="236"/>
      <c r="BP329" s="236"/>
      <c r="BQ329" s="236"/>
      <c r="BR329" s="236"/>
      <c r="BS329" s="236"/>
      <c r="BT329" s="236"/>
      <c r="BU329" s="236"/>
      <c r="BV329" s="236"/>
      <c r="BW329" s="236"/>
      <c r="BX329" s="236"/>
      <c r="BY329" s="236"/>
      <c r="BZ329" s="236"/>
      <c r="CA329" s="236"/>
      <c r="CB329" s="236"/>
      <c r="CC329" s="236"/>
      <c r="CD329" s="236"/>
      <c r="CE329" s="236"/>
      <c r="CF329" s="236"/>
      <c r="CG329" s="236"/>
      <c r="CH329" s="236"/>
      <c r="CI329" s="236"/>
      <c r="CJ329" s="236"/>
      <c r="CK329" s="236"/>
      <c r="CL329" s="236"/>
      <c r="CM329" s="236"/>
      <c r="CN329" s="236"/>
      <c r="CO329" s="236"/>
      <c r="CP329" s="236"/>
      <c r="CQ329" s="236"/>
      <c r="CR329" s="236"/>
      <c r="CS329" s="236"/>
      <c r="CT329" s="236"/>
      <c r="CU329" s="236"/>
      <c r="CV329" s="236"/>
      <c r="CW329" s="236"/>
      <c r="CX329" s="236"/>
      <c r="CY329" s="236"/>
      <c r="CZ329" s="236"/>
      <c r="DA329" s="236"/>
      <c r="DB329" s="236"/>
      <c r="DC329" s="236"/>
      <c r="DD329" s="236"/>
      <c r="DE329" s="236"/>
      <c r="DF329" s="236"/>
      <c r="DG329" s="236"/>
      <c r="DH329" s="236"/>
      <c r="DI329" s="236"/>
      <c r="DJ329" s="236"/>
      <c r="DK329" s="236"/>
      <c r="DL329" s="236"/>
      <c r="DM329" s="236"/>
      <c r="DN329" s="236"/>
      <c r="DO329" s="236"/>
      <c r="DP329" s="236"/>
      <c r="DQ329" s="236"/>
      <c r="DR329" s="236"/>
      <c r="DS329" s="236"/>
      <c r="DT329" s="236"/>
      <c r="DU329" s="236"/>
      <c r="DV329" s="236"/>
      <c r="DW329" s="236"/>
      <c r="DX329" s="236"/>
      <c r="DY329" s="236"/>
      <c r="DZ329" s="236"/>
      <c r="EA329" s="236"/>
      <c r="EB329" s="237">
        <f t="shared" si="40"/>
        <v>0</v>
      </c>
      <c r="EC329" s="237">
        <f t="shared" si="41"/>
        <v>0</v>
      </c>
      <c r="ED329" s="237">
        <f t="shared" si="42"/>
        <v>0</v>
      </c>
      <c r="EE329" s="237">
        <f t="shared" si="43"/>
        <v>0</v>
      </c>
      <c r="EF329" s="121"/>
      <c r="EG329" s="238">
        <f t="shared" si="44"/>
        <v>0</v>
      </c>
      <c r="EH329" s="121"/>
      <c r="EI329" s="237">
        <f t="shared" si="45"/>
        <v>0</v>
      </c>
      <c r="EJ329" s="121"/>
      <c r="EK329" s="237">
        <f t="shared" si="46"/>
        <v>0</v>
      </c>
      <c r="EL329" s="237"/>
      <c r="EM329" s="5"/>
      <c r="EN329" s="5"/>
      <c r="EO329" s="5"/>
      <c r="EP329" s="5"/>
      <c r="EQ329" s="237">
        <f t="shared" si="47"/>
        <v>0</v>
      </c>
      <c r="ER329" s="239">
        <v>23300</v>
      </c>
      <c r="ES329" s="5">
        <v>7.5</v>
      </c>
    </row>
    <row r="330" spans="1:149" x14ac:dyDescent="0.3">
      <c r="A330" s="124">
        <v>325</v>
      </c>
      <c r="B330" s="121"/>
      <c r="C330" s="121"/>
      <c r="D330" s="121"/>
      <c r="E330" s="121"/>
      <c r="F330" s="121"/>
      <c r="G330" s="121"/>
      <c r="H330" s="121"/>
      <c r="I330" s="121"/>
      <c r="J330" s="121"/>
      <c r="K330" s="121"/>
      <c r="L330" s="121"/>
      <c r="M330" s="121"/>
      <c r="N330" s="121"/>
      <c r="O330" s="235"/>
      <c r="P330" s="121"/>
      <c r="Q330" s="121"/>
      <c r="R330" s="121"/>
      <c r="S330" s="121"/>
      <c r="T330" s="121"/>
      <c r="U330" s="121"/>
      <c r="V330" s="121"/>
      <c r="W330" s="121"/>
      <c r="X330" s="117"/>
      <c r="Y330" s="117"/>
      <c r="Z330" s="121"/>
      <c r="AA330" s="121"/>
      <c r="AB330" s="236"/>
      <c r="AC330" s="236"/>
      <c r="AD330" s="236"/>
      <c r="AE330" s="236"/>
      <c r="AF330" s="236"/>
      <c r="AG330" s="236"/>
      <c r="AH330" s="236"/>
      <c r="AI330" s="236"/>
      <c r="AJ330" s="236"/>
      <c r="AK330" s="236"/>
      <c r="AL330" s="236"/>
      <c r="AM330" s="236"/>
      <c r="AN330" s="236"/>
      <c r="AO330" s="236"/>
      <c r="AP330" s="236"/>
      <c r="AQ330" s="236"/>
      <c r="AR330" s="236"/>
      <c r="AS330" s="236"/>
      <c r="AT330" s="236"/>
      <c r="AU330" s="236"/>
      <c r="AV330" s="236"/>
      <c r="AW330" s="236"/>
      <c r="AX330" s="236"/>
      <c r="AY330" s="236"/>
      <c r="AZ330" s="236"/>
      <c r="BA330" s="236"/>
      <c r="BB330" s="236"/>
      <c r="BC330" s="236"/>
      <c r="BD330" s="236"/>
      <c r="BE330" s="236"/>
      <c r="BF330" s="236"/>
      <c r="BG330" s="236"/>
      <c r="BH330" s="236"/>
      <c r="BI330" s="236"/>
      <c r="BJ330" s="236"/>
      <c r="BK330" s="236"/>
      <c r="BL330" s="236"/>
      <c r="BM330" s="236"/>
      <c r="BN330" s="236"/>
      <c r="BO330" s="236"/>
      <c r="BP330" s="236"/>
      <c r="BQ330" s="236"/>
      <c r="BR330" s="236"/>
      <c r="BS330" s="236"/>
      <c r="BT330" s="236"/>
      <c r="BU330" s="236"/>
      <c r="BV330" s="236"/>
      <c r="BW330" s="236"/>
      <c r="BX330" s="236"/>
      <c r="BY330" s="236"/>
      <c r="BZ330" s="236"/>
      <c r="CA330" s="236"/>
      <c r="CB330" s="236"/>
      <c r="CC330" s="236"/>
      <c r="CD330" s="236"/>
      <c r="CE330" s="236"/>
      <c r="CF330" s="236"/>
      <c r="CG330" s="236"/>
      <c r="CH330" s="236"/>
      <c r="CI330" s="236"/>
      <c r="CJ330" s="236"/>
      <c r="CK330" s="236"/>
      <c r="CL330" s="236"/>
      <c r="CM330" s="236"/>
      <c r="CN330" s="236"/>
      <c r="CO330" s="236"/>
      <c r="CP330" s="236"/>
      <c r="CQ330" s="236"/>
      <c r="CR330" s="236"/>
      <c r="CS330" s="236"/>
      <c r="CT330" s="236"/>
      <c r="CU330" s="236"/>
      <c r="CV330" s="236"/>
      <c r="CW330" s="236"/>
      <c r="CX330" s="236"/>
      <c r="CY330" s="236"/>
      <c r="CZ330" s="236"/>
      <c r="DA330" s="236"/>
      <c r="DB330" s="236"/>
      <c r="DC330" s="236"/>
      <c r="DD330" s="236"/>
      <c r="DE330" s="236"/>
      <c r="DF330" s="236"/>
      <c r="DG330" s="236"/>
      <c r="DH330" s="236"/>
      <c r="DI330" s="236"/>
      <c r="DJ330" s="236"/>
      <c r="DK330" s="236"/>
      <c r="DL330" s="236"/>
      <c r="DM330" s="236"/>
      <c r="DN330" s="236"/>
      <c r="DO330" s="236"/>
      <c r="DP330" s="236"/>
      <c r="DQ330" s="236"/>
      <c r="DR330" s="236"/>
      <c r="DS330" s="236"/>
      <c r="DT330" s="236"/>
      <c r="DU330" s="236"/>
      <c r="DV330" s="236"/>
      <c r="DW330" s="236"/>
      <c r="DX330" s="236"/>
      <c r="DY330" s="236"/>
      <c r="DZ330" s="236"/>
      <c r="EA330" s="236"/>
      <c r="EB330" s="237">
        <f t="shared" si="40"/>
        <v>0</v>
      </c>
      <c r="EC330" s="237">
        <f t="shared" si="41"/>
        <v>0</v>
      </c>
      <c r="ED330" s="237">
        <f t="shared" si="42"/>
        <v>0</v>
      </c>
      <c r="EE330" s="237">
        <f t="shared" si="43"/>
        <v>0</v>
      </c>
      <c r="EF330" s="121"/>
      <c r="EG330" s="238">
        <f t="shared" si="44"/>
        <v>0</v>
      </c>
      <c r="EH330" s="121"/>
      <c r="EI330" s="237">
        <f t="shared" si="45"/>
        <v>0</v>
      </c>
      <c r="EJ330" s="121"/>
      <c r="EK330" s="237">
        <f t="shared" si="46"/>
        <v>0</v>
      </c>
      <c r="EL330" s="237"/>
      <c r="EM330" s="5"/>
      <c r="EN330" s="5"/>
      <c r="EO330" s="5"/>
      <c r="EP330" s="5"/>
      <c r="EQ330" s="237">
        <f t="shared" si="47"/>
        <v>0</v>
      </c>
      <c r="ER330" s="239">
        <v>23300</v>
      </c>
      <c r="ES330" s="5">
        <v>7.5</v>
      </c>
    </row>
    <row r="331" spans="1:149" x14ac:dyDescent="0.3">
      <c r="A331" s="124">
        <v>326</v>
      </c>
      <c r="B331" s="121"/>
      <c r="C331" s="121"/>
      <c r="D331" s="121"/>
      <c r="E331" s="121"/>
      <c r="F331" s="121"/>
      <c r="G331" s="121"/>
      <c r="H331" s="121"/>
      <c r="I331" s="121"/>
      <c r="J331" s="121"/>
      <c r="K331" s="121"/>
      <c r="L331" s="121"/>
      <c r="M331" s="121"/>
      <c r="N331" s="121"/>
      <c r="O331" s="235"/>
      <c r="P331" s="121"/>
      <c r="Q331" s="121"/>
      <c r="R331" s="121"/>
      <c r="S331" s="121"/>
      <c r="T331" s="121"/>
      <c r="U331" s="121"/>
      <c r="V331" s="121"/>
      <c r="W331" s="121"/>
      <c r="X331" s="117"/>
      <c r="Y331" s="117"/>
      <c r="Z331" s="121"/>
      <c r="AA331" s="121"/>
      <c r="AB331" s="236"/>
      <c r="AC331" s="236"/>
      <c r="AD331" s="236"/>
      <c r="AE331" s="236"/>
      <c r="AF331" s="236"/>
      <c r="AG331" s="236"/>
      <c r="AH331" s="236"/>
      <c r="AI331" s="236"/>
      <c r="AJ331" s="236"/>
      <c r="AK331" s="236"/>
      <c r="AL331" s="236"/>
      <c r="AM331" s="236"/>
      <c r="AN331" s="236"/>
      <c r="AO331" s="236"/>
      <c r="AP331" s="236"/>
      <c r="AQ331" s="236"/>
      <c r="AR331" s="236"/>
      <c r="AS331" s="236"/>
      <c r="AT331" s="236"/>
      <c r="AU331" s="236"/>
      <c r="AV331" s="236"/>
      <c r="AW331" s="236"/>
      <c r="AX331" s="236"/>
      <c r="AY331" s="236"/>
      <c r="AZ331" s="236"/>
      <c r="BA331" s="236"/>
      <c r="BB331" s="236"/>
      <c r="BC331" s="236"/>
      <c r="BD331" s="236"/>
      <c r="BE331" s="236"/>
      <c r="BF331" s="236"/>
      <c r="BG331" s="236"/>
      <c r="BH331" s="236"/>
      <c r="BI331" s="236"/>
      <c r="BJ331" s="236"/>
      <c r="BK331" s="236"/>
      <c r="BL331" s="236"/>
      <c r="BM331" s="236"/>
      <c r="BN331" s="236"/>
      <c r="BO331" s="236"/>
      <c r="BP331" s="236"/>
      <c r="BQ331" s="236"/>
      <c r="BR331" s="236"/>
      <c r="BS331" s="236"/>
      <c r="BT331" s="236"/>
      <c r="BU331" s="236"/>
      <c r="BV331" s="236"/>
      <c r="BW331" s="236"/>
      <c r="BX331" s="236"/>
      <c r="BY331" s="236"/>
      <c r="BZ331" s="236"/>
      <c r="CA331" s="236"/>
      <c r="CB331" s="236"/>
      <c r="CC331" s="236"/>
      <c r="CD331" s="236"/>
      <c r="CE331" s="236"/>
      <c r="CF331" s="236"/>
      <c r="CG331" s="236"/>
      <c r="CH331" s="236"/>
      <c r="CI331" s="236"/>
      <c r="CJ331" s="236"/>
      <c r="CK331" s="236"/>
      <c r="CL331" s="236"/>
      <c r="CM331" s="236"/>
      <c r="CN331" s="236"/>
      <c r="CO331" s="236"/>
      <c r="CP331" s="236"/>
      <c r="CQ331" s="236"/>
      <c r="CR331" s="236"/>
      <c r="CS331" s="236"/>
      <c r="CT331" s="236"/>
      <c r="CU331" s="236"/>
      <c r="CV331" s="236"/>
      <c r="CW331" s="236"/>
      <c r="CX331" s="236"/>
      <c r="CY331" s="236"/>
      <c r="CZ331" s="236"/>
      <c r="DA331" s="236"/>
      <c r="DB331" s="236"/>
      <c r="DC331" s="236"/>
      <c r="DD331" s="236"/>
      <c r="DE331" s="236"/>
      <c r="DF331" s="236"/>
      <c r="DG331" s="236"/>
      <c r="DH331" s="236"/>
      <c r="DI331" s="236"/>
      <c r="DJ331" s="236"/>
      <c r="DK331" s="236"/>
      <c r="DL331" s="236"/>
      <c r="DM331" s="236"/>
      <c r="DN331" s="236"/>
      <c r="DO331" s="236"/>
      <c r="DP331" s="236"/>
      <c r="DQ331" s="236"/>
      <c r="DR331" s="236"/>
      <c r="DS331" s="236"/>
      <c r="DT331" s="236"/>
      <c r="DU331" s="236"/>
      <c r="DV331" s="236"/>
      <c r="DW331" s="236"/>
      <c r="DX331" s="236"/>
      <c r="DY331" s="236"/>
      <c r="DZ331" s="236"/>
      <c r="EA331" s="236"/>
      <c r="EB331" s="237">
        <f t="shared" si="40"/>
        <v>0</v>
      </c>
      <c r="EC331" s="237">
        <f t="shared" si="41"/>
        <v>0</v>
      </c>
      <c r="ED331" s="237">
        <f t="shared" si="42"/>
        <v>0</v>
      </c>
      <c r="EE331" s="237">
        <f t="shared" si="43"/>
        <v>0</v>
      </c>
      <c r="EF331" s="121"/>
      <c r="EG331" s="238">
        <f t="shared" si="44"/>
        <v>0</v>
      </c>
      <c r="EH331" s="121"/>
      <c r="EI331" s="237">
        <f t="shared" si="45"/>
        <v>0</v>
      </c>
      <c r="EJ331" s="121"/>
      <c r="EK331" s="237">
        <f t="shared" si="46"/>
        <v>0</v>
      </c>
      <c r="EL331" s="237"/>
      <c r="EM331" s="5"/>
      <c r="EN331" s="5"/>
      <c r="EO331" s="5"/>
      <c r="EP331" s="5"/>
      <c r="EQ331" s="237">
        <f t="shared" si="47"/>
        <v>0</v>
      </c>
      <c r="ER331" s="239">
        <v>23300</v>
      </c>
      <c r="ES331" s="5">
        <v>7.5</v>
      </c>
    </row>
    <row r="332" spans="1:149" x14ac:dyDescent="0.3">
      <c r="A332" s="124">
        <v>327</v>
      </c>
      <c r="B332" s="121"/>
      <c r="C332" s="121"/>
      <c r="D332" s="121"/>
      <c r="E332" s="121"/>
      <c r="F332" s="121"/>
      <c r="G332" s="121"/>
      <c r="H332" s="121"/>
      <c r="I332" s="121"/>
      <c r="J332" s="121"/>
      <c r="K332" s="121"/>
      <c r="L332" s="121"/>
      <c r="M332" s="121"/>
      <c r="N332" s="121"/>
      <c r="O332" s="235"/>
      <c r="P332" s="121"/>
      <c r="Q332" s="121"/>
      <c r="R332" s="121"/>
      <c r="S332" s="121"/>
      <c r="T332" s="121"/>
      <c r="U332" s="121"/>
      <c r="V332" s="121"/>
      <c r="W332" s="121"/>
      <c r="X332" s="117"/>
      <c r="Y332" s="117"/>
      <c r="Z332" s="121"/>
      <c r="AA332" s="121"/>
      <c r="AB332" s="236"/>
      <c r="AC332" s="236"/>
      <c r="AD332" s="236"/>
      <c r="AE332" s="236"/>
      <c r="AF332" s="236"/>
      <c r="AG332" s="236"/>
      <c r="AH332" s="236"/>
      <c r="AI332" s="236"/>
      <c r="AJ332" s="236"/>
      <c r="AK332" s="236"/>
      <c r="AL332" s="236"/>
      <c r="AM332" s="236"/>
      <c r="AN332" s="236"/>
      <c r="AO332" s="236"/>
      <c r="AP332" s="236"/>
      <c r="AQ332" s="236"/>
      <c r="AR332" s="236"/>
      <c r="AS332" s="236"/>
      <c r="AT332" s="236"/>
      <c r="AU332" s="236"/>
      <c r="AV332" s="236"/>
      <c r="AW332" s="236"/>
      <c r="AX332" s="236"/>
      <c r="AY332" s="236"/>
      <c r="AZ332" s="236"/>
      <c r="BA332" s="236"/>
      <c r="BB332" s="236"/>
      <c r="BC332" s="236"/>
      <c r="BD332" s="236"/>
      <c r="BE332" s="236"/>
      <c r="BF332" s="236"/>
      <c r="BG332" s="236"/>
      <c r="BH332" s="236"/>
      <c r="BI332" s="236"/>
      <c r="BJ332" s="236"/>
      <c r="BK332" s="236"/>
      <c r="BL332" s="236"/>
      <c r="BM332" s="236"/>
      <c r="BN332" s="236"/>
      <c r="BO332" s="236"/>
      <c r="BP332" s="236"/>
      <c r="BQ332" s="236"/>
      <c r="BR332" s="236"/>
      <c r="BS332" s="236"/>
      <c r="BT332" s="236"/>
      <c r="BU332" s="236"/>
      <c r="BV332" s="236"/>
      <c r="BW332" s="236"/>
      <c r="BX332" s="236"/>
      <c r="BY332" s="236"/>
      <c r="BZ332" s="236"/>
      <c r="CA332" s="236"/>
      <c r="CB332" s="236"/>
      <c r="CC332" s="236"/>
      <c r="CD332" s="236"/>
      <c r="CE332" s="236"/>
      <c r="CF332" s="236"/>
      <c r="CG332" s="236"/>
      <c r="CH332" s="236"/>
      <c r="CI332" s="236"/>
      <c r="CJ332" s="236"/>
      <c r="CK332" s="236"/>
      <c r="CL332" s="236"/>
      <c r="CM332" s="236"/>
      <c r="CN332" s="236"/>
      <c r="CO332" s="236"/>
      <c r="CP332" s="236"/>
      <c r="CQ332" s="236"/>
      <c r="CR332" s="236"/>
      <c r="CS332" s="236"/>
      <c r="CT332" s="236"/>
      <c r="CU332" s="236"/>
      <c r="CV332" s="236"/>
      <c r="CW332" s="236"/>
      <c r="CX332" s="236"/>
      <c r="CY332" s="236"/>
      <c r="CZ332" s="236"/>
      <c r="DA332" s="236"/>
      <c r="DB332" s="236"/>
      <c r="DC332" s="236"/>
      <c r="DD332" s="236"/>
      <c r="DE332" s="236"/>
      <c r="DF332" s="236"/>
      <c r="DG332" s="236"/>
      <c r="DH332" s="236"/>
      <c r="DI332" s="236"/>
      <c r="DJ332" s="236"/>
      <c r="DK332" s="236"/>
      <c r="DL332" s="236"/>
      <c r="DM332" s="236"/>
      <c r="DN332" s="236"/>
      <c r="DO332" s="236"/>
      <c r="DP332" s="236"/>
      <c r="DQ332" s="236"/>
      <c r="DR332" s="236"/>
      <c r="DS332" s="236"/>
      <c r="DT332" s="236"/>
      <c r="DU332" s="236"/>
      <c r="DV332" s="236"/>
      <c r="DW332" s="236"/>
      <c r="DX332" s="236"/>
      <c r="DY332" s="236"/>
      <c r="DZ332" s="236"/>
      <c r="EA332" s="236"/>
      <c r="EB332" s="237">
        <f t="shared" si="40"/>
        <v>0</v>
      </c>
      <c r="EC332" s="237">
        <f t="shared" si="41"/>
        <v>0</v>
      </c>
      <c r="ED332" s="237">
        <f t="shared" si="42"/>
        <v>0</v>
      </c>
      <c r="EE332" s="237">
        <f t="shared" si="43"/>
        <v>0</v>
      </c>
      <c r="EF332" s="121"/>
      <c r="EG332" s="238">
        <f t="shared" si="44"/>
        <v>0</v>
      </c>
      <c r="EH332" s="121"/>
      <c r="EI332" s="237">
        <f t="shared" si="45"/>
        <v>0</v>
      </c>
      <c r="EJ332" s="121"/>
      <c r="EK332" s="237">
        <f t="shared" si="46"/>
        <v>0</v>
      </c>
      <c r="EL332" s="237"/>
      <c r="EM332" s="5"/>
      <c r="EN332" s="5"/>
      <c r="EO332" s="5"/>
      <c r="EP332" s="5"/>
      <c r="EQ332" s="237">
        <f t="shared" si="47"/>
        <v>0</v>
      </c>
      <c r="ER332" s="239">
        <v>23300</v>
      </c>
      <c r="ES332" s="5">
        <v>7.5</v>
      </c>
    </row>
    <row r="333" spans="1:149" x14ac:dyDescent="0.3">
      <c r="A333" s="124">
        <v>328</v>
      </c>
      <c r="B333" s="121"/>
      <c r="C333" s="121"/>
      <c r="D333" s="121"/>
      <c r="E333" s="121"/>
      <c r="F333" s="121"/>
      <c r="G333" s="121"/>
      <c r="H333" s="121"/>
      <c r="I333" s="121"/>
      <c r="J333" s="121"/>
      <c r="K333" s="121"/>
      <c r="L333" s="121"/>
      <c r="M333" s="121"/>
      <c r="N333" s="121"/>
      <c r="O333" s="235"/>
      <c r="P333" s="121"/>
      <c r="Q333" s="121"/>
      <c r="R333" s="121"/>
      <c r="S333" s="121"/>
      <c r="T333" s="121"/>
      <c r="U333" s="121"/>
      <c r="V333" s="121"/>
      <c r="W333" s="121"/>
      <c r="X333" s="117"/>
      <c r="Y333" s="117"/>
      <c r="Z333" s="121"/>
      <c r="AA333" s="121"/>
      <c r="AB333" s="236"/>
      <c r="AC333" s="236"/>
      <c r="AD333" s="236"/>
      <c r="AE333" s="236"/>
      <c r="AF333" s="236"/>
      <c r="AG333" s="236"/>
      <c r="AH333" s="236"/>
      <c r="AI333" s="236"/>
      <c r="AJ333" s="236"/>
      <c r="AK333" s="236"/>
      <c r="AL333" s="236"/>
      <c r="AM333" s="236"/>
      <c r="AN333" s="236"/>
      <c r="AO333" s="236"/>
      <c r="AP333" s="236"/>
      <c r="AQ333" s="236"/>
      <c r="AR333" s="236"/>
      <c r="AS333" s="236"/>
      <c r="AT333" s="236"/>
      <c r="AU333" s="236"/>
      <c r="AV333" s="236"/>
      <c r="AW333" s="236"/>
      <c r="AX333" s="236"/>
      <c r="AY333" s="236"/>
      <c r="AZ333" s="236"/>
      <c r="BA333" s="236"/>
      <c r="BB333" s="236"/>
      <c r="BC333" s="236"/>
      <c r="BD333" s="236"/>
      <c r="BE333" s="236"/>
      <c r="BF333" s="236"/>
      <c r="BG333" s="236"/>
      <c r="BH333" s="236"/>
      <c r="BI333" s="236"/>
      <c r="BJ333" s="236"/>
      <c r="BK333" s="236"/>
      <c r="BL333" s="236"/>
      <c r="BM333" s="236"/>
      <c r="BN333" s="236"/>
      <c r="BO333" s="236"/>
      <c r="BP333" s="236"/>
      <c r="BQ333" s="236"/>
      <c r="BR333" s="236"/>
      <c r="BS333" s="236"/>
      <c r="BT333" s="236"/>
      <c r="BU333" s="236"/>
      <c r="BV333" s="236"/>
      <c r="BW333" s="236"/>
      <c r="BX333" s="236"/>
      <c r="BY333" s="236"/>
      <c r="BZ333" s="236"/>
      <c r="CA333" s="236"/>
      <c r="CB333" s="236"/>
      <c r="CC333" s="236"/>
      <c r="CD333" s="236"/>
      <c r="CE333" s="236"/>
      <c r="CF333" s="236"/>
      <c r="CG333" s="236"/>
      <c r="CH333" s="236"/>
      <c r="CI333" s="236"/>
      <c r="CJ333" s="236"/>
      <c r="CK333" s="236"/>
      <c r="CL333" s="236"/>
      <c r="CM333" s="236"/>
      <c r="CN333" s="236"/>
      <c r="CO333" s="236"/>
      <c r="CP333" s="236"/>
      <c r="CQ333" s="236"/>
      <c r="CR333" s="236"/>
      <c r="CS333" s="236"/>
      <c r="CT333" s="236"/>
      <c r="CU333" s="236"/>
      <c r="CV333" s="236"/>
      <c r="CW333" s="236"/>
      <c r="CX333" s="236"/>
      <c r="CY333" s="236"/>
      <c r="CZ333" s="236"/>
      <c r="DA333" s="236"/>
      <c r="DB333" s="236"/>
      <c r="DC333" s="236"/>
      <c r="DD333" s="236"/>
      <c r="DE333" s="236"/>
      <c r="DF333" s="236"/>
      <c r="DG333" s="236"/>
      <c r="DH333" s="236"/>
      <c r="DI333" s="236"/>
      <c r="DJ333" s="236"/>
      <c r="DK333" s="236"/>
      <c r="DL333" s="236"/>
      <c r="DM333" s="236"/>
      <c r="DN333" s="236"/>
      <c r="DO333" s="236"/>
      <c r="DP333" s="236"/>
      <c r="DQ333" s="236"/>
      <c r="DR333" s="236"/>
      <c r="DS333" s="236"/>
      <c r="DT333" s="236"/>
      <c r="DU333" s="236"/>
      <c r="DV333" s="236"/>
      <c r="DW333" s="236"/>
      <c r="DX333" s="236"/>
      <c r="DY333" s="236"/>
      <c r="DZ333" s="236"/>
      <c r="EA333" s="236"/>
      <c r="EB333" s="237">
        <f t="shared" si="40"/>
        <v>0</v>
      </c>
      <c r="EC333" s="237">
        <f t="shared" si="41"/>
        <v>0</v>
      </c>
      <c r="ED333" s="237">
        <f t="shared" si="42"/>
        <v>0</v>
      </c>
      <c r="EE333" s="237">
        <f t="shared" si="43"/>
        <v>0</v>
      </c>
      <c r="EF333" s="121"/>
      <c r="EG333" s="238">
        <f t="shared" si="44"/>
        <v>0</v>
      </c>
      <c r="EH333" s="121"/>
      <c r="EI333" s="237">
        <f t="shared" si="45"/>
        <v>0</v>
      </c>
      <c r="EJ333" s="121"/>
      <c r="EK333" s="237">
        <f t="shared" si="46"/>
        <v>0</v>
      </c>
      <c r="EL333" s="237"/>
      <c r="EM333" s="5"/>
      <c r="EN333" s="5"/>
      <c r="EO333" s="5"/>
      <c r="EP333" s="5"/>
      <c r="EQ333" s="237">
        <f t="shared" si="47"/>
        <v>0</v>
      </c>
      <c r="ER333" s="239">
        <v>23300</v>
      </c>
      <c r="ES333" s="5">
        <v>7.5</v>
      </c>
    </row>
    <row r="334" spans="1:149" x14ac:dyDescent="0.3">
      <c r="A334" s="124">
        <v>329</v>
      </c>
      <c r="B334" s="121"/>
      <c r="C334" s="121"/>
      <c r="D334" s="121"/>
      <c r="E334" s="121"/>
      <c r="F334" s="121"/>
      <c r="G334" s="121"/>
      <c r="H334" s="121"/>
      <c r="I334" s="121"/>
      <c r="J334" s="121"/>
      <c r="K334" s="121"/>
      <c r="L334" s="121"/>
      <c r="M334" s="121"/>
      <c r="N334" s="121"/>
      <c r="O334" s="235"/>
      <c r="P334" s="121"/>
      <c r="Q334" s="121"/>
      <c r="R334" s="121"/>
      <c r="S334" s="121"/>
      <c r="T334" s="121"/>
      <c r="U334" s="121"/>
      <c r="V334" s="121"/>
      <c r="W334" s="121"/>
      <c r="X334" s="117"/>
      <c r="Y334" s="117"/>
      <c r="Z334" s="121"/>
      <c r="AA334" s="121"/>
      <c r="AB334" s="236"/>
      <c r="AC334" s="236"/>
      <c r="AD334" s="236"/>
      <c r="AE334" s="236"/>
      <c r="AF334" s="236"/>
      <c r="AG334" s="236"/>
      <c r="AH334" s="236"/>
      <c r="AI334" s="236"/>
      <c r="AJ334" s="236"/>
      <c r="AK334" s="236"/>
      <c r="AL334" s="236"/>
      <c r="AM334" s="236"/>
      <c r="AN334" s="236"/>
      <c r="AO334" s="236"/>
      <c r="AP334" s="236"/>
      <c r="AQ334" s="236"/>
      <c r="AR334" s="236"/>
      <c r="AS334" s="236"/>
      <c r="AT334" s="236"/>
      <c r="AU334" s="236"/>
      <c r="AV334" s="236"/>
      <c r="AW334" s="236"/>
      <c r="AX334" s="236"/>
      <c r="AY334" s="236"/>
      <c r="AZ334" s="236"/>
      <c r="BA334" s="236"/>
      <c r="BB334" s="236"/>
      <c r="BC334" s="236"/>
      <c r="BD334" s="236"/>
      <c r="BE334" s="236"/>
      <c r="BF334" s="236"/>
      <c r="BG334" s="236"/>
      <c r="BH334" s="236"/>
      <c r="BI334" s="236"/>
      <c r="BJ334" s="236"/>
      <c r="BK334" s="236"/>
      <c r="BL334" s="236"/>
      <c r="BM334" s="236"/>
      <c r="BN334" s="236"/>
      <c r="BO334" s="236"/>
      <c r="BP334" s="236"/>
      <c r="BQ334" s="236"/>
      <c r="BR334" s="236"/>
      <c r="BS334" s="236"/>
      <c r="BT334" s="236"/>
      <c r="BU334" s="236"/>
      <c r="BV334" s="236"/>
      <c r="BW334" s="236"/>
      <c r="BX334" s="236"/>
      <c r="BY334" s="236"/>
      <c r="BZ334" s="236"/>
      <c r="CA334" s="236"/>
      <c r="CB334" s="236"/>
      <c r="CC334" s="236"/>
      <c r="CD334" s="236"/>
      <c r="CE334" s="236"/>
      <c r="CF334" s="236"/>
      <c r="CG334" s="236"/>
      <c r="CH334" s="236"/>
      <c r="CI334" s="236"/>
      <c r="CJ334" s="236"/>
      <c r="CK334" s="236"/>
      <c r="CL334" s="236"/>
      <c r="CM334" s="236"/>
      <c r="CN334" s="236"/>
      <c r="CO334" s="236"/>
      <c r="CP334" s="236"/>
      <c r="CQ334" s="236"/>
      <c r="CR334" s="236"/>
      <c r="CS334" s="236"/>
      <c r="CT334" s="236"/>
      <c r="CU334" s="236"/>
      <c r="CV334" s="236"/>
      <c r="CW334" s="236"/>
      <c r="CX334" s="236"/>
      <c r="CY334" s="236"/>
      <c r="CZ334" s="236"/>
      <c r="DA334" s="236"/>
      <c r="DB334" s="236"/>
      <c r="DC334" s="236"/>
      <c r="DD334" s="236"/>
      <c r="DE334" s="236"/>
      <c r="DF334" s="236"/>
      <c r="DG334" s="236"/>
      <c r="DH334" s="236"/>
      <c r="DI334" s="236"/>
      <c r="DJ334" s="236"/>
      <c r="DK334" s="236"/>
      <c r="DL334" s="236"/>
      <c r="DM334" s="236"/>
      <c r="DN334" s="236"/>
      <c r="DO334" s="236"/>
      <c r="DP334" s="236"/>
      <c r="DQ334" s="236"/>
      <c r="DR334" s="236"/>
      <c r="DS334" s="236"/>
      <c r="DT334" s="236"/>
      <c r="DU334" s="236"/>
      <c r="DV334" s="236"/>
      <c r="DW334" s="236"/>
      <c r="DX334" s="236"/>
      <c r="DY334" s="236"/>
      <c r="DZ334" s="236"/>
      <c r="EA334" s="236"/>
      <c r="EB334" s="237">
        <f t="shared" si="40"/>
        <v>0</v>
      </c>
      <c r="EC334" s="237">
        <f t="shared" si="41"/>
        <v>0</v>
      </c>
      <c r="ED334" s="237">
        <f t="shared" si="42"/>
        <v>0</v>
      </c>
      <c r="EE334" s="237">
        <f t="shared" si="43"/>
        <v>0</v>
      </c>
      <c r="EF334" s="121"/>
      <c r="EG334" s="238">
        <f t="shared" si="44"/>
        <v>0</v>
      </c>
      <c r="EH334" s="121"/>
      <c r="EI334" s="237">
        <f t="shared" si="45"/>
        <v>0</v>
      </c>
      <c r="EJ334" s="121"/>
      <c r="EK334" s="237">
        <f t="shared" si="46"/>
        <v>0</v>
      </c>
      <c r="EL334" s="237"/>
      <c r="EM334" s="5"/>
      <c r="EN334" s="5"/>
      <c r="EO334" s="5"/>
      <c r="EP334" s="5"/>
      <c r="EQ334" s="237">
        <f t="shared" si="47"/>
        <v>0</v>
      </c>
      <c r="ER334" s="239">
        <v>23300</v>
      </c>
      <c r="ES334" s="5">
        <v>7.5</v>
      </c>
    </row>
    <row r="335" spans="1:149" x14ac:dyDescent="0.3">
      <c r="A335" s="124">
        <v>330</v>
      </c>
      <c r="B335" s="121"/>
      <c r="C335" s="121"/>
      <c r="D335" s="121"/>
      <c r="E335" s="121"/>
      <c r="F335" s="121"/>
      <c r="G335" s="121"/>
      <c r="H335" s="121"/>
      <c r="I335" s="121"/>
      <c r="J335" s="121"/>
      <c r="K335" s="121"/>
      <c r="L335" s="121"/>
      <c r="M335" s="121"/>
      <c r="N335" s="121"/>
      <c r="O335" s="235"/>
      <c r="P335" s="121"/>
      <c r="Q335" s="121"/>
      <c r="R335" s="121"/>
      <c r="S335" s="121"/>
      <c r="T335" s="121"/>
      <c r="U335" s="121"/>
      <c r="V335" s="121"/>
      <c r="W335" s="121"/>
      <c r="X335" s="117"/>
      <c r="Y335" s="117"/>
      <c r="Z335" s="121"/>
      <c r="AA335" s="121"/>
      <c r="AB335" s="236"/>
      <c r="AC335" s="236"/>
      <c r="AD335" s="236"/>
      <c r="AE335" s="236"/>
      <c r="AF335" s="236"/>
      <c r="AG335" s="236"/>
      <c r="AH335" s="236"/>
      <c r="AI335" s="236"/>
      <c r="AJ335" s="236"/>
      <c r="AK335" s="236"/>
      <c r="AL335" s="236"/>
      <c r="AM335" s="236"/>
      <c r="AN335" s="236"/>
      <c r="AO335" s="236"/>
      <c r="AP335" s="236"/>
      <c r="AQ335" s="236"/>
      <c r="AR335" s="236"/>
      <c r="AS335" s="236"/>
      <c r="AT335" s="236"/>
      <c r="AU335" s="236"/>
      <c r="AV335" s="236"/>
      <c r="AW335" s="236"/>
      <c r="AX335" s="236"/>
      <c r="AY335" s="236"/>
      <c r="AZ335" s="236"/>
      <c r="BA335" s="236"/>
      <c r="BB335" s="236"/>
      <c r="BC335" s="236"/>
      <c r="BD335" s="236"/>
      <c r="BE335" s="236"/>
      <c r="BF335" s="236"/>
      <c r="BG335" s="236"/>
      <c r="BH335" s="236"/>
      <c r="BI335" s="236"/>
      <c r="BJ335" s="236"/>
      <c r="BK335" s="236"/>
      <c r="BL335" s="236"/>
      <c r="BM335" s="236"/>
      <c r="BN335" s="236"/>
      <c r="BO335" s="236"/>
      <c r="BP335" s="236"/>
      <c r="BQ335" s="236"/>
      <c r="BR335" s="236"/>
      <c r="BS335" s="236"/>
      <c r="BT335" s="236"/>
      <c r="BU335" s="236"/>
      <c r="BV335" s="236"/>
      <c r="BW335" s="236"/>
      <c r="BX335" s="236"/>
      <c r="BY335" s="236"/>
      <c r="BZ335" s="236"/>
      <c r="CA335" s="236"/>
      <c r="CB335" s="236"/>
      <c r="CC335" s="236"/>
      <c r="CD335" s="236"/>
      <c r="CE335" s="236"/>
      <c r="CF335" s="236"/>
      <c r="CG335" s="236"/>
      <c r="CH335" s="236"/>
      <c r="CI335" s="236"/>
      <c r="CJ335" s="236"/>
      <c r="CK335" s="236"/>
      <c r="CL335" s="236"/>
      <c r="CM335" s="236"/>
      <c r="CN335" s="236"/>
      <c r="CO335" s="236"/>
      <c r="CP335" s="236"/>
      <c r="CQ335" s="236"/>
      <c r="CR335" s="236"/>
      <c r="CS335" s="236"/>
      <c r="CT335" s="236"/>
      <c r="CU335" s="236"/>
      <c r="CV335" s="236"/>
      <c r="CW335" s="236"/>
      <c r="CX335" s="236"/>
      <c r="CY335" s="236"/>
      <c r="CZ335" s="236"/>
      <c r="DA335" s="236"/>
      <c r="DB335" s="236"/>
      <c r="DC335" s="236"/>
      <c r="DD335" s="236"/>
      <c r="DE335" s="236"/>
      <c r="DF335" s="236"/>
      <c r="DG335" s="236"/>
      <c r="DH335" s="236"/>
      <c r="DI335" s="236"/>
      <c r="DJ335" s="236"/>
      <c r="DK335" s="236"/>
      <c r="DL335" s="236"/>
      <c r="DM335" s="236"/>
      <c r="DN335" s="236"/>
      <c r="DO335" s="236"/>
      <c r="DP335" s="236"/>
      <c r="DQ335" s="236"/>
      <c r="DR335" s="236"/>
      <c r="DS335" s="236"/>
      <c r="DT335" s="236"/>
      <c r="DU335" s="236"/>
      <c r="DV335" s="236"/>
      <c r="DW335" s="236"/>
      <c r="DX335" s="236"/>
      <c r="DY335" s="236"/>
      <c r="DZ335" s="236"/>
      <c r="EA335" s="236"/>
      <c r="EB335" s="237">
        <f t="shared" si="40"/>
        <v>0</v>
      </c>
      <c r="EC335" s="237">
        <f t="shared" si="41"/>
        <v>0</v>
      </c>
      <c r="ED335" s="237">
        <f t="shared" si="42"/>
        <v>0</v>
      </c>
      <c r="EE335" s="237">
        <f t="shared" si="43"/>
        <v>0</v>
      </c>
      <c r="EF335" s="121"/>
      <c r="EG335" s="238">
        <f t="shared" si="44"/>
        <v>0</v>
      </c>
      <c r="EH335" s="121"/>
      <c r="EI335" s="237">
        <f t="shared" si="45"/>
        <v>0</v>
      </c>
      <c r="EJ335" s="121"/>
      <c r="EK335" s="237">
        <f t="shared" si="46"/>
        <v>0</v>
      </c>
      <c r="EL335" s="237"/>
      <c r="EM335" s="5"/>
      <c r="EN335" s="5"/>
      <c r="EO335" s="5"/>
      <c r="EP335" s="5"/>
      <c r="EQ335" s="237">
        <f t="shared" si="47"/>
        <v>0</v>
      </c>
      <c r="ER335" s="239">
        <v>23300</v>
      </c>
      <c r="ES335" s="5">
        <v>7.5</v>
      </c>
    </row>
    <row r="336" spans="1:149" x14ac:dyDescent="0.3">
      <c r="A336" s="124">
        <v>331</v>
      </c>
      <c r="B336" s="121"/>
      <c r="C336" s="121"/>
      <c r="D336" s="121"/>
      <c r="E336" s="121"/>
      <c r="F336" s="121"/>
      <c r="G336" s="121"/>
      <c r="H336" s="121"/>
      <c r="I336" s="121"/>
      <c r="J336" s="121"/>
      <c r="K336" s="121"/>
      <c r="L336" s="121"/>
      <c r="M336" s="121"/>
      <c r="N336" s="121"/>
      <c r="O336" s="235"/>
      <c r="P336" s="121"/>
      <c r="Q336" s="121"/>
      <c r="R336" s="121"/>
      <c r="S336" s="121"/>
      <c r="T336" s="121"/>
      <c r="U336" s="121"/>
      <c r="V336" s="121"/>
      <c r="W336" s="121"/>
      <c r="X336" s="117"/>
      <c r="Y336" s="117"/>
      <c r="Z336" s="121"/>
      <c r="AA336" s="121"/>
      <c r="AB336" s="236"/>
      <c r="AC336" s="236"/>
      <c r="AD336" s="236"/>
      <c r="AE336" s="236"/>
      <c r="AF336" s="236"/>
      <c r="AG336" s="236"/>
      <c r="AH336" s="236"/>
      <c r="AI336" s="236"/>
      <c r="AJ336" s="236"/>
      <c r="AK336" s="236"/>
      <c r="AL336" s="236"/>
      <c r="AM336" s="236"/>
      <c r="AN336" s="236"/>
      <c r="AO336" s="236"/>
      <c r="AP336" s="236"/>
      <c r="AQ336" s="236"/>
      <c r="AR336" s="236"/>
      <c r="AS336" s="236"/>
      <c r="AT336" s="236"/>
      <c r="AU336" s="236"/>
      <c r="AV336" s="236"/>
      <c r="AW336" s="236"/>
      <c r="AX336" s="236"/>
      <c r="AY336" s="236"/>
      <c r="AZ336" s="236"/>
      <c r="BA336" s="236"/>
      <c r="BB336" s="236"/>
      <c r="BC336" s="236"/>
      <c r="BD336" s="236"/>
      <c r="BE336" s="236"/>
      <c r="BF336" s="236"/>
      <c r="BG336" s="236"/>
      <c r="BH336" s="236"/>
      <c r="BI336" s="236"/>
      <c r="BJ336" s="236"/>
      <c r="BK336" s="236"/>
      <c r="BL336" s="236"/>
      <c r="BM336" s="236"/>
      <c r="BN336" s="236"/>
      <c r="BO336" s="236"/>
      <c r="BP336" s="236"/>
      <c r="BQ336" s="236"/>
      <c r="BR336" s="236"/>
      <c r="BS336" s="236"/>
      <c r="BT336" s="236"/>
      <c r="BU336" s="236"/>
      <c r="BV336" s="236"/>
      <c r="BW336" s="236"/>
      <c r="BX336" s="236"/>
      <c r="BY336" s="236"/>
      <c r="BZ336" s="236"/>
      <c r="CA336" s="236"/>
      <c r="CB336" s="236"/>
      <c r="CC336" s="236"/>
      <c r="CD336" s="236"/>
      <c r="CE336" s="236"/>
      <c r="CF336" s="236"/>
      <c r="CG336" s="236"/>
      <c r="CH336" s="236"/>
      <c r="CI336" s="236"/>
      <c r="CJ336" s="236"/>
      <c r="CK336" s="236"/>
      <c r="CL336" s="236"/>
      <c r="CM336" s="236"/>
      <c r="CN336" s="236"/>
      <c r="CO336" s="236"/>
      <c r="CP336" s="236"/>
      <c r="CQ336" s="236"/>
      <c r="CR336" s="236"/>
      <c r="CS336" s="236"/>
      <c r="CT336" s="236"/>
      <c r="CU336" s="236"/>
      <c r="CV336" s="236"/>
      <c r="CW336" s="236"/>
      <c r="CX336" s="236"/>
      <c r="CY336" s="236"/>
      <c r="CZ336" s="236"/>
      <c r="DA336" s="236"/>
      <c r="DB336" s="236"/>
      <c r="DC336" s="236"/>
      <c r="DD336" s="236"/>
      <c r="DE336" s="236"/>
      <c r="DF336" s="236"/>
      <c r="DG336" s="236"/>
      <c r="DH336" s="236"/>
      <c r="DI336" s="236"/>
      <c r="DJ336" s="236"/>
      <c r="DK336" s="236"/>
      <c r="DL336" s="236"/>
      <c r="DM336" s="236"/>
      <c r="DN336" s="236"/>
      <c r="DO336" s="236"/>
      <c r="DP336" s="236"/>
      <c r="DQ336" s="236"/>
      <c r="DR336" s="236"/>
      <c r="DS336" s="236"/>
      <c r="DT336" s="236"/>
      <c r="DU336" s="236"/>
      <c r="DV336" s="236"/>
      <c r="DW336" s="236"/>
      <c r="DX336" s="236"/>
      <c r="DY336" s="236"/>
      <c r="DZ336" s="236"/>
      <c r="EA336" s="236"/>
      <c r="EB336" s="237">
        <f t="shared" si="40"/>
        <v>0</v>
      </c>
      <c r="EC336" s="237">
        <f t="shared" si="41"/>
        <v>0</v>
      </c>
      <c r="ED336" s="237">
        <f t="shared" si="42"/>
        <v>0</v>
      </c>
      <c r="EE336" s="237">
        <f t="shared" si="43"/>
        <v>0</v>
      </c>
      <c r="EF336" s="121"/>
      <c r="EG336" s="238">
        <f t="shared" si="44"/>
        <v>0</v>
      </c>
      <c r="EH336" s="121"/>
      <c r="EI336" s="237">
        <f t="shared" si="45"/>
        <v>0</v>
      </c>
      <c r="EJ336" s="121"/>
      <c r="EK336" s="237">
        <f t="shared" si="46"/>
        <v>0</v>
      </c>
      <c r="EL336" s="237"/>
      <c r="EM336" s="5"/>
      <c r="EN336" s="5"/>
      <c r="EO336" s="5"/>
      <c r="EP336" s="5"/>
      <c r="EQ336" s="237">
        <f t="shared" si="47"/>
        <v>0</v>
      </c>
      <c r="ER336" s="239">
        <v>23300</v>
      </c>
      <c r="ES336" s="5">
        <v>7.5</v>
      </c>
    </row>
    <row r="337" spans="1:149" x14ac:dyDescent="0.3">
      <c r="A337" s="124">
        <v>332</v>
      </c>
      <c r="B337" s="121"/>
      <c r="C337" s="121"/>
      <c r="D337" s="121"/>
      <c r="E337" s="121"/>
      <c r="F337" s="121"/>
      <c r="G337" s="121"/>
      <c r="H337" s="121"/>
      <c r="I337" s="121"/>
      <c r="J337" s="121"/>
      <c r="K337" s="121"/>
      <c r="L337" s="121"/>
      <c r="M337" s="121"/>
      <c r="N337" s="121"/>
      <c r="O337" s="235"/>
      <c r="P337" s="121"/>
      <c r="Q337" s="121"/>
      <c r="R337" s="121"/>
      <c r="S337" s="121"/>
      <c r="T337" s="121"/>
      <c r="U337" s="121"/>
      <c r="V337" s="121"/>
      <c r="W337" s="121"/>
      <c r="X337" s="117"/>
      <c r="Y337" s="117"/>
      <c r="Z337" s="121"/>
      <c r="AA337" s="121"/>
      <c r="AB337" s="236"/>
      <c r="AC337" s="236"/>
      <c r="AD337" s="236"/>
      <c r="AE337" s="236"/>
      <c r="AF337" s="236"/>
      <c r="AG337" s="236"/>
      <c r="AH337" s="236"/>
      <c r="AI337" s="236"/>
      <c r="AJ337" s="236"/>
      <c r="AK337" s="236"/>
      <c r="AL337" s="236"/>
      <c r="AM337" s="236"/>
      <c r="AN337" s="236"/>
      <c r="AO337" s="236"/>
      <c r="AP337" s="236"/>
      <c r="AQ337" s="236"/>
      <c r="AR337" s="236"/>
      <c r="AS337" s="236"/>
      <c r="AT337" s="236"/>
      <c r="AU337" s="236"/>
      <c r="AV337" s="236"/>
      <c r="AW337" s="236"/>
      <c r="AX337" s="236"/>
      <c r="AY337" s="236"/>
      <c r="AZ337" s="236"/>
      <c r="BA337" s="236"/>
      <c r="BB337" s="236"/>
      <c r="BC337" s="236"/>
      <c r="BD337" s="236"/>
      <c r="BE337" s="236"/>
      <c r="BF337" s="236"/>
      <c r="BG337" s="236"/>
      <c r="BH337" s="236"/>
      <c r="BI337" s="236"/>
      <c r="BJ337" s="236"/>
      <c r="BK337" s="236"/>
      <c r="BL337" s="236"/>
      <c r="BM337" s="236"/>
      <c r="BN337" s="236"/>
      <c r="BO337" s="236"/>
      <c r="BP337" s="236"/>
      <c r="BQ337" s="236"/>
      <c r="BR337" s="236"/>
      <c r="BS337" s="236"/>
      <c r="BT337" s="236"/>
      <c r="BU337" s="236"/>
      <c r="BV337" s="236"/>
      <c r="BW337" s="236"/>
      <c r="BX337" s="236"/>
      <c r="BY337" s="236"/>
      <c r="BZ337" s="236"/>
      <c r="CA337" s="236"/>
      <c r="CB337" s="236"/>
      <c r="CC337" s="236"/>
      <c r="CD337" s="236"/>
      <c r="CE337" s="236"/>
      <c r="CF337" s="236"/>
      <c r="CG337" s="236"/>
      <c r="CH337" s="236"/>
      <c r="CI337" s="236"/>
      <c r="CJ337" s="236"/>
      <c r="CK337" s="236"/>
      <c r="CL337" s="236"/>
      <c r="CM337" s="236"/>
      <c r="CN337" s="236"/>
      <c r="CO337" s="236"/>
      <c r="CP337" s="236"/>
      <c r="CQ337" s="236"/>
      <c r="CR337" s="236"/>
      <c r="CS337" s="236"/>
      <c r="CT337" s="236"/>
      <c r="CU337" s="236"/>
      <c r="CV337" s="236"/>
      <c r="CW337" s="236"/>
      <c r="CX337" s="236"/>
      <c r="CY337" s="236"/>
      <c r="CZ337" s="236"/>
      <c r="DA337" s="236"/>
      <c r="DB337" s="236"/>
      <c r="DC337" s="236"/>
      <c r="DD337" s="236"/>
      <c r="DE337" s="236"/>
      <c r="DF337" s="236"/>
      <c r="DG337" s="236"/>
      <c r="DH337" s="236"/>
      <c r="DI337" s="236"/>
      <c r="DJ337" s="236"/>
      <c r="DK337" s="236"/>
      <c r="DL337" s="236"/>
      <c r="DM337" s="236"/>
      <c r="DN337" s="236"/>
      <c r="DO337" s="236"/>
      <c r="DP337" s="236"/>
      <c r="DQ337" s="236"/>
      <c r="DR337" s="236"/>
      <c r="DS337" s="236"/>
      <c r="DT337" s="236"/>
      <c r="DU337" s="236"/>
      <c r="DV337" s="236"/>
      <c r="DW337" s="236"/>
      <c r="DX337" s="236"/>
      <c r="DY337" s="236"/>
      <c r="DZ337" s="236"/>
      <c r="EA337" s="236"/>
      <c r="EB337" s="237">
        <f t="shared" si="40"/>
        <v>0</v>
      </c>
      <c r="EC337" s="237">
        <f t="shared" si="41"/>
        <v>0</v>
      </c>
      <c r="ED337" s="237">
        <f t="shared" si="42"/>
        <v>0</v>
      </c>
      <c r="EE337" s="237">
        <f t="shared" si="43"/>
        <v>0</v>
      </c>
      <c r="EF337" s="121"/>
      <c r="EG337" s="238">
        <f t="shared" si="44"/>
        <v>0</v>
      </c>
      <c r="EH337" s="121"/>
      <c r="EI337" s="237">
        <f t="shared" si="45"/>
        <v>0</v>
      </c>
      <c r="EJ337" s="121"/>
      <c r="EK337" s="237">
        <f t="shared" si="46"/>
        <v>0</v>
      </c>
      <c r="EL337" s="237"/>
      <c r="EM337" s="5"/>
      <c r="EN337" s="5"/>
      <c r="EO337" s="5"/>
      <c r="EP337" s="5"/>
      <c r="EQ337" s="237">
        <f t="shared" si="47"/>
        <v>0</v>
      </c>
      <c r="ER337" s="239">
        <v>23300</v>
      </c>
      <c r="ES337" s="5">
        <v>7.5</v>
      </c>
    </row>
    <row r="338" spans="1:149" x14ac:dyDescent="0.3">
      <c r="A338" s="124">
        <v>333</v>
      </c>
      <c r="B338" s="121"/>
      <c r="C338" s="121"/>
      <c r="D338" s="121"/>
      <c r="E338" s="121"/>
      <c r="F338" s="121"/>
      <c r="G338" s="121"/>
      <c r="H338" s="121"/>
      <c r="I338" s="121"/>
      <c r="J338" s="121"/>
      <c r="K338" s="121"/>
      <c r="L338" s="121"/>
      <c r="M338" s="121"/>
      <c r="N338" s="121"/>
      <c r="O338" s="235"/>
      <c r="P338" s="121"/>
      <c r="Q338" s="121"/>
      <c r="R338" s="121"/>
      <c r="S338" s="121"/>
      <c r="T338" s="121"/>
      <c r="U338" s="121"/>
      <c r="V338" s="121"/>
      <c r="W338" s="121"/>
      <c r="X338" s="117"/>
      <c r="Y338" s="117"/>
      <c r="Z338" s="121"/>
      <c r="AA338" s="121"/>
      <c r="AB338" s="236"/>
      <c r="AC338" s="236"/>
      <c r="AD338" s="236"/>
      <c r="AE338" s="236"/>
      <c r="AF338" s="236"/>
      <c r="AG338" s="236"/>
      <c r="AH338" s="236"/>
      <c r="AI338" s="236"/>
      <c r="AJ338" s="236"/>
      <c r="AK338" s="236"/>
      <c r="AL338" s="236"/>
      <c r="AM338" s="236"/>
      <c r="AN338" s="236"/>
      <c r="AO338" s="236"/>
      <c r="AP338" s="236"/>
      <c r="AQ338" s="236"/>
      <c r="AR338" s="236"/>
      <c r="AS338" s="236"/>
      <c r="AT338" s="236"/>
      <c r="AU338" s="236"/>
      <c r="AV338" s="236"/>
      <c r="AW338" s="236"/>
      <c r="AX338" s="236"/>
      <c r="AY338" s="236"/>
      <c r="AZ338" s="236"/>
      <c r="BA338" s="236"/>
      <c r="BB338" s="236"/>
      <c r="BC338" s="236"/>
      <c r="BD338" s="236"/>
      <c r="BE338" s="236"/>
      <c r="BF338" s="236"/>
      <c r="BG338" s="236"/>
      <c r="BH338" s="236"/>
      <c r="BI338" s="236"/>
      <c r="BJ338" s="236"/>
      <c r="BK338" s="236"/>
      <c r="BL338" s="236"/>
      <c r="BM338" s="236"/>
      <c r="BN338" s="236"/>
      <c r="BO338" s="236"/>
      <c r="BP338" s="236"/>
      <c r="BQ338" s="236"/>
      <c r="BR338" s="236"/>
      <c r="BS338" s="236"/>
      <c r="BT338" s="236"/>
      <c r="BU338" s="236"/>
      <c r="BV338" s="236"/>
      <c r="BW338" s="236"/>
      <c r="BX338" s="236"/>
      <c r="BY338" s="236"/>
      <c r="BZ338" s="236"/>
      <c r="CA338" s="236"/>
      <c r="CB338" s="236"/>
      <c r="CC338" s="236"/>
      <c r="CD338" s="236"/>
      <c r="CE338" s="236"/>
      <c r="CF338" s="236"/>
      <c r="CG338" s="236"/>
      <c r="CH338" s="236"/>
      <c r="CI338" s="236"/>
      <c r="CJ338" s="236"/>
      <c r="CK338" s="236"/>
      <c r="CL338" s="236"/>
      <c r="CM338" s="236"/>
      <c r="CN338" s="236"/>
      <c r="CO338" s="236"/>
      <c r="CP338" s="236"/>
      <c r="CQ338" s="236"/>
      <c r="CR338" s="236"/>
      <c r="CS338" s="236"/>
      <c r="CT338" s="236"/>
      <c r="CU338" s="236"/>
      <c r="CV338" s="236"/>
      <c r="CW338" s="236"/>
      <c r="CX338" s="236"/>
      <c r="CY338" s="236"/>
      <c r="CZ338" s="236"/>
      <c r="DA338" s="236"/>
      <c r="DB338" s="236"/>
      <c r="DC338" s="236"/>
      <c r="DD338" s="236"/>
      <c r="DE338" s="236"/>
      <c r="DF338" s="236"/>
      <c r="DG338" s="236"/>
      <c r="DH338" s="236"/>
      <c r="DI338" s="236"/>
      <c r="DJ338" s="236"/>
      <c r="DK338" s="236"/>
      <c r="DL338" s="236"/>
      <c r="DM338" s="236"/>
      <c r="DN338" s="236"/>
      <c r="DO338" s="236"/>
      <c r="DP338" s="236"/>
      <c r="DQ338" s="236"/>
      <c r="DR338" s="236"/>
      <c r="DS338" s="236"/>
      <c r="DT338" s="236"/>
      <c r="DU338" s="236"/>
      <c r="DV338" s="236"/>
      <c r="DW338" s="236"/>
      <c r="DX338" s="236"/>
      <c r="DY338" s="236"/>
      <c r="DZ338" s="236"/>
      <c r="EA338" s="236"/>
      <c r="EB338" s="237">
        <f t="shared" si="40"/>
        <v>0</v>
      </c>
      <c r="EC338" s="237">
        <f t="shared" si="41"/>
        <v>0</v>
      </c>
      <c r="ED338" s="237">
        <f t="shared" si="42"/>
        <v>0</v>
      </c>
      <c r="EE338" s="237">
        <f t="shared" si="43"/>
        <v>0</v>
      </c>
      <c r="EF338" s="121"/>
      <c r="EG338" s="238">
        <f t="shared" si="44"/>
        <v>0</v>
      </c>
      <c r="EH338" s="121"/>
      <c r="EI338" s="237">
        <f t="shared" si="45"/>
        <v>0</v>
      </c>
      <c r="EJ338" s="121"/>
      <c r="EK338" s="237">
        <f t="shared" si="46"/>
        <v>0</v>
      </c>
      <c r="EL338" s="237"/>
      <c r="EM338" s="5"/>
      <c r="EN338" s="5"/>
      <c r="EO338" s="5"/>
      <c r="EP338" s="5"/>
      <c r="EQ338" s="237">
        <f t="shared" si="47"/>
        <v>0</v>
      </c>
      <c r="ER338" s="239">
        <v>23300</v>
      </c>
      <c r="ES338" s="5">
        <v>7.5</v>
      </c>
    </row>
    <row r="339" spans="1:149" x14ac:dyDescent="0.3">
      <c r="A339" s="124">
        <v>334</v>
      </c>
      <c r="B339" s="121"/>
      <c r="C339" s="121"/>
      <c r="D339" s="121"/>
      <c r="E339" s="121"/>
      <c r="F339" s="121"/>
      <c r="G339" s="121"/>
      <c r="H339" s="121"/>
      <c r="I339" s="121"/>
      <c r="J339" s="121"/>
      <c r="K339" s="121"/>
      <c r="L339" s="121"/>
      <c r="M339" s="121"/>
      <c r="N339" s="121"/>
      <c r="O339" s="235"/>
      <c r="P339" s="121"/>
      <c r="Q339" s="121"/>
      <c r="R339" s="121"/>
      <c r="S339" s="121"/>
      <c r="T339" s="121"/>
      <c r="U339" s="121"/>
      <c r="V339" s="121"/>
      <c r="W339" s="121"/>
      <c r="X339" s="117"/>
      <c r="Y339" s="117"/>
      <c r="Z339" s="121"/>
      <c r="AA339" s="121"/>
      <c r="AB339" s="236"/>
      <c r="AC339" s="236"/>
      <c r="AD339" s="236"/>
      <c r="AE339" s="236"/>
      <c r="AF339" s="236"/>
      <c r="AG339" s="236"/>
      <c r="AH339" s="236"/>
      <c r="AI339" s="236"/>
      <c r="AJ339" s="236"/>
      <c r="AK339" s="236"/>
      <c r="AL339" s="236"/>
      <c r="AM339" s="236"/>
      <c r="AN339" s="236"/>
      <c r="AO339" s="236"/>
      <c r="AP339" s="236"/>
      <c r="AQ339" s="236"/>
      <c r="AR339" s="236"/>
      <c r="AS339" s="236"/>
      <c r="AT339" s="236"/>
      <c r="AU339" s="236"/>
      <c r="AV339" s="236"/>
      <c r="AW339" s="236"/>
      <c r="AX339" s="236"/>
      <c r="AY339" s="236"/>
      <c r="AZ339" s="236"/>
      <c r="BA339" s="236"/>
      <c r="BB339" s="236"/>
      <c r="BC339" s="236"/>
      <c r="BD339" s="236"/>
      <c r="BE339" s="236"/>
      <c r="BF339" s="236"/>
      <c r="BG339" s="236"/>
      <c r="BH339" s="236"/>
      <c r="BI339" s="236"/>
      <c r="BJ339" s="236"/>
      <c r="BK339" s="236"/>
      <c r="BL339" s="236"/>
      <c r="BM339" s="236"/>
      <c r="BN339" s="236"/>
      <c r="BO339" s="236"/>
      <c r="BP339" s="236"/>
      <c r="BQ339" s="236"/>
      <c r="BR339" s="236"/>
      <c r="BS339" s="236"/>
      <c r="BT339" s="236"/>
      <c r="BU339" s="236"/>
      <c r="BV339" s="236"/>
      <c r="BW339" s="236"/>
      <c r="BX339" s="236"/>
      <c r="BY339" s="236"/>
      <c r="BZ339" s="236"/>
      <c r="CA339" s="236"/>
      <c r="CB339" s="236"/>
      <c r="CC339" s="236"/>
      <c r="CD339" s="236"/>
      <c r="CE339" s="236"/>
      <c r="CF339" s="236"/>
      <c r="CG339" s="236"/>
      <c r="CH339" s="236"/>
      <c r="CI339" s="236"/>
      <c r="CJ339" s="236"/>
      <c r="CK339" s="236"/>
      <c r="CL339" s="236"/>
      <c r="CM339" s="236"/>
      <c r="CN339" s="236"/>
      <c r="CO339" s="236"/>
      <c r="CP339" s="236"/>
      <c r="CQ339" s="236"/>
      <c r="CR339" s="236"/>
      <c r="CS339" s="236"/>
      <c r="CT339" s="236"/>
      <c r="CU339" s="236"/>
      <c r="CV339" s="236"/>
      <c r="CW339" s="236"/>
      <c r="CX339" s="236"/>
      <c r="CY339" s="236"/>
      <c r="CZ339" s="236"/>
      <c r="DA339" s="236"/>
      <c r="DB339" s="236"/>
      <c r="DC339" s="236"/>
      <c r="DD339" s="236"/>
      <c r="DE339" s="236"/>
      <c r="DF339" s="236"/>
      <c r="DG339" s="236"/>
      <c r="DH339" s="236"/>
      <c r="DI339" s="236"/>
      <c r="DJ339" s="236"/>
      <c r="DK339" s="236"/>
      <c r="DL339" s="236"/>
      <c r="DM339" s="236"/>
      <c r="DN339" s="236"/>
      <c r="DO339" s="236"/>
      <c r="DP339" s="236"/>
      <c r="DQ339" s="236"/>
      <c r="DR339" s="236"/>
      <c r="DS339" s="236"/>
      <c r="DT339" s="236"/>
      <c r="DU339" s="236"/>
      <c r="DV339" s="236"/>
      <c r="DW339" s="236"/>
      <c r="DX339" s="236"/>
      <c r="DY339" s="236"/>
      <c r="DZ339" s="236"/>
      <c r="EA339" s="236"/>
      <c r="EB339" s="237">
        <f t="shared" si="40"/>
        <v>0</v>
      </c>
      <c r="EC339" s="237">
        <f t="shared" si="41"/>
        <v>0</v>
      </c>
      <c r="ED339" s="237">
        <f t="shared" si="42"/>
        <v>0</v>
      </c>
      <c r="EE339" s="237">
        <f t="shared" si="43"/>
        <v>0</v>
      </c>
      <c r="EF339" s="121"/>
      <c r="EG339" s="238">
        <f t="shared" si="44"/>
        <v>0</v>
      </c>
      <c r="EH339" s="121"/>
      <c r="EI339" s="237">
        <f t="shared" si="45"/>
        <v>0</v>
      </c>
      <c r="EJ339" s="121"/>
      <c r="EK339" s="237">
        <f t="shared" si="46"/>
        <v>0</v>
      </c>
      <c r="EL339" s="237"/>
      <c r="EM339" s="5"/>
      <c r="EN339" s="5"/>
      <c r="EO339" s="5"/>
      <c r="EP339" s="5"/>
      <c r="EQ339" s="237">
        <f t="shared" si="47"/>
        <v>0</v>
      </c>
      <c r="ER339" s="239">
        <v>23300</v>
      </c>
      <c r="ES339" s="5">
        <v>7.5</v>
      </c>
    </row>
    <row r="340" spans="1:149" x14ac:dyDescent="0.3">
      <c r="A340" s="124">
        <v>335</v>
      </c>
      <c r="B340" s="121"/>
      <c r="C340" s="121"/>
      <c r="D340" s="121"/>
      <c r="E340" s="121"/>
      <c r="F340" s="121"/>
      <c r="G340" s="121"/>
      <c r="H340" s="121"/>
      <c r="I340" s="121"/>
      <c r="J340" s="121"/>
      <c r="K340" s="121"/>
      <c r="L340" s="121"/>
      <c r="M340" s="121"/>
      <c r="N340" s="121"/>
      <c r="O340" s="235"/>
      <c r="P340" s="121"/>
      <c r="Q340" s="121"/>
      <c r="R340" s="121"/>
      <c r="S340" s="121"/>
      <c r="T340" s="121"/>
      <c r="U340" s="121"/>
      <c r="V340" s="121"/>
      <c r="W340" s="121"/>
      <c r="X340" s="117"/>
      <c r="Y340" s="117"/>
      <c r="Z340" s="121"/>
      <c r="AA340" s="121"/>
      <c r="AB340" s="236"/>
      <c r="AC340" s="236"/>
      <c r="AD340" s="236"/>
      <c r="AE340" s="236"/>
      <c r="AF340" s="236"/>
      <c r="AG340" s="236"/>
      <c r="AH340" s="236"/>
      <c r="AI340" s="236"/>
      <c r="AJ340" s="236"/>
      <c r="AK340" s="236"/>
      <c r="AL340" s="236"/>
      <c r="AM340" s="236"/>
      <c r="AN340" s="236"/>
      <c r="AO340" s="236"/>
      <c r="AP340" s="236"/>
      <c r="AQ340" s="236"/>
      <c r="AR340" s="236"/>
      <c r="AS340" s="236"/>
      <c r="AT340" s="236"/>
      <c r="AU340" s="236"/>
      <c r="AV340" s="236"/>
      <c r="AW340" s="236"/>
      <c r="AX340" s="236"/>
      <c r="AY340" s="236"/>
      <c r="AZ340" s="236"/>
      <c r="BA340" s="236"/>
      <c r="BB340" s="236"/>
      <c r="BC340" s="236"/>
      <c r="BD340" s="236"/>
      <c r="BE340" s="236"/>
      <c r="BF340" s="236"/>
      <c r="BG340" s="236"/>
      <c r="BH340" s="236"/>
      <c r="BI340" s="236"/>
      <c r="BJ340" s="236"/>
      <c r="BK340" s="236"/>
      <c r="BL340" s="236"/>
      <c r="BM340" s="236"/>
      <c r="BN340" s="236"/>
      <c r="BO340" s="236"/>
      <c r="BP340" s="236"/>
      <c r="BQ340" s="236"/>
      <c r="BR340" s="236"/>
      <c r="BS340" s="236"/>
      <c r="BT340" s="236"/>
      <c r="BU340" s="236"/>
      <c r="BV340" s="236"/>
      <c r="BW340" s="236"/>
      <c r="BX340" s="236"/>
      <c r="BY340" s="236"/>
      <c r="BZ340" s="236"/>
      <c r="CA340" s="236"/>
      <c r="CB340" s="236"/>
      <c r="CC340" s="236"/>
      <c r="CD340" s="236"/>
      <c r="CE340" s="236"/>
      <c r="CF340" s="236"/>
      <c r="CG340" s="236"/>
      <c r="CH340" s="236"/>
      <c r="CI340" s="236"/>
      <c r="CJ340" s="236"/>
      <c r="CK340" s="236"/>
      <c r="CL340" s="236"/>
      <c r="CM340" s="236"/>
      <c r="CN340" s="236"/>
      <c r="CO340" s="236"/>
      <c r="CP340" s="236"/>
      <c r="CQ340" s="236"/>
      <c r="CR340" s="236"/>
      <c r="CS340" s="236"/>
      <c r="CT340" s="236"/>
      <c r="CU340" s="236"/>
      <c r="CV340" s="236"/>
      <c r="CW340" s="236"/>
      <c r="CX340" s="236"/>
      <c r="CY340" s="236"/>
      <c r="CZ340" s="236"/>
      <c r="DA340" s="236"/>
      <c r="DB340" s="236"/>
      <c r="DC340" s="236"/>
      <c r="DD340" s="236"/>
      <c r="DE340" s="236"/>
      <c r="DF340" s="236"/>
      <c r="DG340" s="236"/>
      <c r="DH340" s="236"/>
      <c r="DI340" s="236"/>
      <c r="DJ340" s="236"/>
      <c r="DK340" s="236"/>
      <c r="DL340" s="236"/>
      <c r="DM340" s="236"/>
      <c r="DN340" s="236"/>
      <c r="DO340" s="236"/>
      <c r="DP340" s="236"/>
      <c r="DQ340" s="236"/>
      <c r="DR340" s="236"/>
      <c r="DS340" s="236"/>
      <c r="DT340" s="236"/>
      <c r="DU340" s="236"/>
      <c r="DV340" s="236"/>
      <c r="DW340" s="236"/>
      <c r="DX340" s="236"/>
      <c r="DY340" s="236"/>
      <c r="DZ340" s="236"/>
      <c r="EA340" s="236"/>
      <c r="EB340" s="237">
        <f t="shared" si="40"/>
        <v>0</v>
      </c>
      <c r="EC340" s="237">
        <f t="shared" si="41"/>
        <v>0</v>
      </c>
      <c r="ED340" s="237">
        <f t="shared" si="42"/>
        <v>0</v>
      </c>
      <c r="EE340" s="237">
        <f t="shared" si="43"/>
        <v>0</v>
      </c>
      <c r="EF340" s="121"/>
      <c r="EG340" s="238">
        <f t="shared" si="44"/>
        <v>0</v>
      </c>
      <c r="EH340" s="121"/>
      <c r="EI340" s="237">
        <f t="shared" si="45"/>
        <v>0</v>
      </c>
      <c r="EJ340" s="121"/>
      <c r="EK340" s="237">
        <f t="shared" si="46"/>
        <v>0</v>
      </c>
      <c r="EL340" s="237"/>
      <c r="EM340" s="5"/>
      <c r="EN340" s="5"/>
      <c r="EO340" s="5"/>
      <c r="EP340" s="5"/>
      <c r="EQ340" s="237">
        <f t="shared" si="47"/>
        <v>0</v>
      </c>
      <c r="ER340" s="239">
        <v>23300</v>
      </c>
      <c r="ES340" s="5">
        <v>7.5</v>
      </c>
    </row>
    <row r="341" spans="1:149" x14ac:dyDescent="0.3">
      <c r="A341" s="124">
        <v>336</v>
      </c>
      <c r="B341" s="121"/>
      <c r="C341" s="121"/>
      <c r="D341" s="121"/>
      <c r="E341" s="121"/>
      <c r="F341" s="121"/>
      <c r="G341" s="121"/>
      <c r="H341" s="121"/>
      <c r="I341" s="121"/>
      <c r="J341" s="121"/>
      <c r="K341" s="121"/>
      <c r="L341" s="121"/>
      <c r="M341" s="121"/>
      <c r="N341" s="121"/>
      <c r="O341" s="235"/>
      <c r="P341" s="121"/>
      <c r="Q341" s="121"/>
      <c r="R341" s="121"/>
      <c r="S341" s="121"/>
      <c r="T341" s="121"/>
      <c r="U341" s="121"/>
      <c r="V341" s="121"/>
      <c r="W341" s="121"/>
      <c r="X341" s="117"/>
      <c r="Y341" s="117"/>
      <c r="Z341" s="121"/>
      <c r="AA341" s="121"/>
      <c r="AB341" s="236"/>
      <c r="AC341" s="236"/>
      <c r="AD341" s="236"/>
      <c r="AE341" s="236"/>
      <c r="AF341" s="236"/>
      <c r="AG341" s="236"/>
      <c r="AH341" s="236"/>
      <c r="AI341" s="236"/>
      <c r="AJ341" s="236"/>
      <c r="AK341" s="236"/>
      <c r="AL341" s="236"/>
      <c r="AM341" s="236"/>
      <c r="AN341" s="236"/>
      <c r="AO341" s="236"/>
      <c r="AP341" s="236"/>
      <c r="AQ341" s="236"/>
      <c r="AR341" s="236"/>
      <c r="AS341" s="236"/>
      <c r="AT341" s="236"/>
      <c r="AU341" s="236"/>
      <c r="AV341" s="236"/>
      <c r="AW341" s="236"/>
      <c r="AX341" s="236"/>
      <c r="AY341" s="236"/>
      <c r="AZ341" s="236"/>
      <c r="BA341" s="236"/>
      <c r="BB341" s="236"/>
      <c r="BC341" s="236"/>
      <c r="BD341" s="236"/>
      <c r="BE341" s="236"/>
      <c r="BF341" s="236"/>
      <c r="BG341" s="236"/>
      <c r="BH341" s="236"/>
      <c r="BI341" s="236"/>
      <c r="BJ341" s="236"/>
      <c r="BK341" s="236"/>
      <c r="BL341" s="236"/>
      <c r="BM341" s="236"/>
      <c r="BN341" s="236"/>
      <c r="BO341" s="236"/>
      <c r="BP341" s="236"/>
      <c r="BQ341" s="236"/>
      <c r="BR341" s="236"/>
      <c r="BS341" s="236"/>
      <c r="BT341" s="236"/>
      <c r="BU341" s="236"/>
      <c r="BV341" s="236"/>
      <c r="BW341" s="236"/>
      <c r="BX341" s="236"/>
      <c r="BY341" s="236"/>
      <c r="BZ341" s="236"/>
      <c r="CA341" s="236"/>
      <c r="CB341" s="236"/>
      <c r="CC341" s="236"/>
      <c r="CD341" s="236"/>
      <c r="CE341" s="236"/>
      <c r="CF341" s="236"/>
      <c r="CG341" s="236"/>
      <c r="CH341" s="236"/>
      <c r="CI341" s="236"/>
      <c r="CJ341" s="236"/>
      <c r="CK341" s="236"/>
      <c r="CL341" s="236"/>
      <c r="CM341" s="236"/>
      <c r="CN341" s="236"/>
      <c r="CO341" s="236"/>
      <c r="CP341" s="236"/>
      <c r="CQ341" s="236"/>
      <c r="CR341" s="236"/>
      <c r="CS341" s="236"/>
      <c r="CT341" s="236"/>
      <c r="CU341" s="236"/>
      <c r="CV341" s="236"/>
      <c r="CW341" s="236"/>
      <c r="CX341" s="236"/>
      <c r="CY341" s="236"/>
      <c r="CZ341" s="236"/>
      <c r="DA341" s="236"/>
      <c r="DB341" s="236"/>
      <c r="DC341" s="236"/>
      <c r="DD341" s="236"/>
      <c r="DE341" s="236"/>
      <c r="DF341" s="236"/>
      <c r="DG341" s="236"/>
      <c r="DH341" s="236"/>
      <c r="DI341" s="236"/>
      <c r="DJ341" s="236"/>
      <c r="DK341" s="236"/>
      <c r="DL341" s="236"/>
      <c r="DM341" s="236"/>
      <c r="DN341" s="236"/>
      <c r="DO341" s="236"/>
      <c r="DP341" s="236"/>
      <c r="DQ341" s="236"/>
      <c r="DR341" s="236"/>
      <c r="DS341" s="236"/>
      <c r="DT341" s="236"/>
      <c r="DU341" s="236"/>
      <c r="DV341" s="236"/>
      <c r="DW341" s="236"/>
      <c r="DX341" s="236"/>
      <c r="DY341" s="236"/>
      <c r="DZ341" s="236"/>
      <c r="EA341" s="236"/>
      <c r="EB341" s="237">
        <f t="shared" si="40"/>
        <v>0</v>
      </c>
      <c r="EC341" s="237">
        <f t="shared" si="41"/>
        <v>0</v>
      </c>
      <c r="ED341" s="237">
        <f t="shared" si="42"/>
        <v>0</v>
      </c>
      <c r="EE341" s="237">
        <f t="shared" si="43"/>
        <v>0</v>
      </c>
      <c r="EF341" s="121"/>
      <c r="EG341" s="238">
        <f t="shared" si="44"/>
        <v>0</v>
      </c>
      <c r="EH341" s="121"/>
      <c r="EI341" s="237">
        <f t="shared" si="45"/>
        <v>0</v>
      </c>
      <c r="EJ341" s="121"/>
      <c r="EK341" s="237">
        <f t="shared" si="46"/>
        <v>0</v>
      </c>
      <c r="EL341" s="237"/>
      <c r="EM341" s="5"/>
      <c r="EN341" s="5"/>
      <c r="EO341" s="5"/>
      <c r="EP341" s="5"/>
      <c r="EQ341" s="237">
        <f t="shared" si="47"/>
        <v>0</v>
      </c>
      <c r="ER341" s="239">
        <v>23300</v>
      </c>
      <c r="ES341" s="5">
        <v>7.5</v>
      </c>
    </row>
    <row r="342" spans="1:149" x14ac:dyDescent="0.3">
      <c r="A342" s="124">
        <v>337</v>
      </c>
      <c r="B342" s="121"/>
      <c r="C342" s="121"/>
      <c r="D342" s="121"/>
      <c r="E342" s="121"/>
      <c r="F342" s="121"/>
      <c r="G342" s="121"/>
      <c r="H342" s="121"/>
      <c r="I342" s="121"/>
      <c r="J342" s="121"/>
      <c r="K342" s="121"/>
      <c r="L342" s="121"/>
      <c r="M342" s="121"/>
      <c r="N342" s="121"/>
      <c r="O342" s="235"/>
      <c r="P342" s="121"/>
      <c r="Q342" s="121"/>
      <c r="R342" s="121"/>
      <c r="S342" s="121"/>
      <c r="T342" s="121"/>
      <c r="U342" s="121"/>
      <c r="V342" s="121"/>
      <c r="W342" s="121"/>
      <c r="X342" s="117"/>
      <c r="Y342" s="117"/>
      <c r="Z342" s="121"/>
      <c r="AA342" s="121"/>
      <c r="AB342" s="236"/>
      <c r="AC342" s="236"/>
      <c r="AD342" s="236"/>
      <c r="AE342" s="236"/>
      <c r="AF342" s="236"/>
      <c r="AG342" s="236"/>
      <c r="AH342" s="236"/>
      <c r="AI342" s="236"/>
      <c r="AJ342" s="236"/>
      <c r="AK342" s="236"/>
      <c r="AL342" s="236"/>
      <c r="AM342" s="236"/>
      <c r="AN342" s="236"/>
      <c r="AO342" s="236"/>
      <c r="AP342" s="236"/>
      <c r="AQ342" s="236"/>
      <c r="AR342" s="236"/>
      <c r="AS342" s="236"/>
      <c r="AT342" s="236"/>
      <c r="AU342" s="236"/>
      <c r="AV342" s="236"/>
      <c r="AW342" s="236"/>
      <c r="AX342" s="236"/>
      <c r="AY342" s="236"/>
      <c r="AZ342" s="236"/>
      <c r="BA342" s="236"/>
      <c r="BB342" s="236"/>
      <c r="BC342" s="236"/>
      <c r="BD342" s="236"/>
      <c r="BE342" s="236"/>
      <c r="BF342" s="236"/>
      <c r="BG342" s="236"/>
      <c r="BH342" s="236"/>
      <c r="BI342" s="236"/>
      <c r="BJ342" s="236"/>
      <c r="BK342" s="236"/>
      <c r="BL342" s="236"/>
      <c r="BM342" s="236"/>
      <c r="BN342" s="236"/>
      <c r="BO342" s="236"/>
      <c r="BP342" s="236"/>
      <c r="BQ342" s="236"/>
      <c r="BR342" s="236"/>
      <c r="BS342" s="236"/>
      <c r="BT342" s="236"/>
      <c r="BU342" s="236"/>
      <c r="BV342" s="236"/>
      <c r="BW342" s="236"/>
      <c r="BX342" s="236"/>
      <c r="BY342" s="236"/>
      <c r="BZ342" s="236"/>
      <c r="CA342" s="236"/>
      <c r="CB342" s="236"/>
      <c r="CC342" s="236"/>
      <c r="CD342" s="236"/>
      <c r="CE342" s="236"/>
      <c r="CF342" s="236"/>
      <c r="CG342" s="236"/>
      <c r="CH342" s="236"/>
      <c r="CI342" s="236"/>
      <c r="CJ342" s="236"/>
      <c r="CK342" s="236"/>
      <c r="CL342" s="236"/>
      <c r="CM342" s="236"/>
      <c r="CN342" s="236"/>
      <c r="CO342" s="236"/>
      <c r="CP342" s="236"/>
      <c r="CQ342" s="236"/>
      <c r="CR342" s="236"/>
      <c r="CS342" s="236"/>
      <c r="CT342" s="236"/>
      <c r="CU342" s="236"/>
      <c r="CV342" s="236"/>
      <c r="CW342" s="236"/>
      <c r="CX342" s="236"/>
      <c r="CY342" s="236"/>
      <c r="CZ342" s="236"/>
      <c r="DA342" s="236"/>
      <c r="DB342" s="236"/>
      <c r="DC342" s="236"/>
      <c r="DD342" s="236"/>
      <c r="DE342" s="236"/>
      <c r="DF342" s="236"/>
      <c r="DG342" s="236"/>
      <c r="DH342" s="236"/>
      <c r="DI342" s="236"/>
      <c r="DJ342" s="236"/>
      <c r="DK342" s="236"/>
      <c r="DL342" s="236"/>
      <c r="DM342" s="236"/>
      <c r="DN342" s="236"/>
      <c r="DO342" s="236"/>
      <c r="DP342" s="236"/>
      <c r="DQ342" s="236"/>
      <c r="DR342" s="236"/>
      <c r="DS342" s="236"/>
      <c r="DT342" s="236"/>
      <c r="DU342" s="236"/>
      <c r="DV342" s="236"/>
      <c r="DW342" s="236"/>
      <c r="DX342" s="236"/>
      <c r="DY342" s="236"/>
      <c r="DZ342" s="236"/>
      <c r="EA342" s="236"/>
      <c r="EB342" s="237">
        <f t="shared" si="40"/>
        <v>0</v>
      </c>
      <c r="EC342" s="237">
        <f t="shared" si="41"/>
        <v>0</v>
      </c>
      <c r="ED342" s="237">
        <f t="shared" si="42"/>
        <v>0</v>
      </c>
      <c r="EE342" s="237">
        <f t="shared" si="43"/>
        <v>0</v>
      </c>
      <c r="EF342" s="121"/>
      <c r="EG342" s="238">
        <f t="shared" si="44"/>
        <v>0</v>
      </c>
      <c r="EH342" s="121"/>
      <c r="EI342" s="237">
        <f t="shared" si="45"/>
        <v>0</v>
      </c>
      <c r="EJ342" s="121"/>
      <c r="EK342" s="237">
        <f t="shared" si="46"/>
        <v>0</v>
      </c>
      <c r="EL342" s="237"/>
      <c r="EM342" s="5"/>
      <c r="EN342" s="5"/>
      <c r="EO342" s="5"/>
      <c r="EP342" s="5"/>
      <c r="EQ342" s="237">
        <f t="shared" si="47"/>
        <v>0</v>
      </c>
      <c r="ER342" s="239">
        <v>23300</v>
      </c>
      <c r="ES342" s="5">
        <v>7.5</v>
      </c>
    </row>
    <row r="343" spans="1:149" x14ac:dyDescent="0.3">
      <c r="A343" s="124">
        <v>338</v>
      </c>
      <c r="B343" s="121"/>
      <c r="C343" s="121"/>
      <c r="D343" s="121"/>
      <c r="E343" s="121"/>
      <c r="F343" s="121"/>
      <c r="G343" s="121"/>
      <c r="H343" s="121"/>
      <c r="I343" s="121"/>
      <c r="J343" s="121"/>
      <c r="K343" s="121"/>
      <c r="L343" s="121"/>
      <c r="M343" s="121"/>
      <c r="N343" s="121"/>
      <c r="O343" s="235"/>
      <c r="P343" s="121"/>
      <c r="Q343" s="121"/>
      <c r="R343" s="121"/>
      <c r="S343" s="121"/>
      <c r="T343" s="121"/>
      <c r="U343" s="121"/>
      <c r="V343" s="121"/>
      <c r="W343" s="121"/>
      <c r="X343" s="117"/>
      <c r="Y343" s="117"/>
      <c r="Z343" s="121"/>
      <c r="AA343" s="121"/>
      <c r="AB343" s="236"/>
      <c r="AC343" s="236"/>
      <c r="AD343" s="236"/>
      <c r="AE343" s="236"/>
      <c r="AF343" s="236"/>
      <c r="AG343" s="236"/>
      <c r="AH343" s="236"/>
      <c r="AI343" s="236"/>
      <c r="AJ343" s="236"/>
      <c r="AK343" s="236"/>
      <c r="AL343" s="236"/>
      <c r="AM343" s="236"/>
      <c r="AN343" s="236"/>
      <c r="AO343" s="236"/>
      <c r="AP343" s="236"/>
      <c r="AQ343" s="236"/>
      <c r="AR343" s="236"/>
      <c r="AS343" s="236"/>
      <c r="AT343" s="236"/>
      <c r="AU343" s="236"/>
      <c r="AV343" s="236"/>
      <c r="AW343" s="236"/>
      <c r="AX343" s="236"/>
      <c r="AY343" s="236"/>
      <c r="AZ343" s="236"/>
      <c r="BA343" s="236"/>
      <c r="BB343" s="236"/>
      <c r="BC343" s="236"/>
      <c r="BD343" s="236"/>
      <c r="BE343" s="236"/>
      <c r="BF343" s="236"/>
      <c r="BG343" s="236"/>
      <c r="BH343" s="236"/>
      <c r="BI343" s="236"/>
      <c r="BJ343" s="236"/>
      <c r="BK343" s="236"/>
      <c r="BL343" s="236"/>
      <c r="BM343" s="236"/>
      <c r="BN343" s="236"/>
      <c r="BO343" s="236"/>
      <c r="BP343" s="236"/>
      <c r="BQ343" s="236"/>
      <c r="BR343" s="236"/>
      <c r="BS343" s="236"/>
      <c r="BT343" s="236"/>
      <c r="BU343" s="236"/>
      <c r="BV343" s="236"/>
      <c r="BW343" s="236"/>
      <c r="BX343" s="236"/>
      <c r="BY343" s="236"/>
      <c r="BZ343" s="236"/>
      <c r="CA343" s="236"/>
      <c r="CB343" s="236"/>
      <c r="CC343" s="236"/>
      <c r="CD343" s="236"/>
      <c r="CE343" s="236"/>
      <c r="CF343" s="236"/>
      <c r="CG343" s="236"/>
      <c r="CH343" s="236"/>
      <c r="CI343" s="236"/>
      <c r="CJ343" s="236"/>
      <c r="CK343" s="236"/>
      <c r="CL343" s="236"/>
      <c r="CM343" s="236"/>
      <c r="CN343" s="236"/>
      <c r="CO343" s="236"/>
      <c r="CP343" s="236"/>
      <c r="CQ343" s="236"/>
      <c r="CR343" s="236"/>
      <c r="CS343" s="236"/>
      <c r="CT343" s="236"/>
      <c r="CU343" s="236"/>
      <c r="CV343" s="236"/>
      <c r="CW343" s="236"/>
      <c r="CX343" s="236"/>
      <c r="CY343" s="236"/>
      <c r="CZ343" s="236"/>
      <c r="DA343" s="236"/>
      <c r="DB343" s="236"/>
      <c r="DC343" s="236"/>
      <c r="DD343" s="236"/>
      <c r="DE343" s="236"/>
      <c r="DF343" s="236"/>
      <c r="DG343" s="236"/>
      <c r="DH343" s="236"/>
      <c r="DI343" s="236"/>
      <c r="DJ343" s="236"/>
      <c r="DK343" s="236"/>
      <c r="DL343" s="236"/>
      <c r="DM343" s="236"/>
      <c r="DN343" s="236"/>
      <c r="DO343" s="236"/>
      <c r="DP343" s="236"/>
      <c r="DQ343" s="236"/>
      <c r="DR343" s="236"/>
      <c r="DS343" s="236"/>
      <c r="DT343" s="236"/>
      <c r="DU343" s="236"/>
      <c r="DV343" s="236"/>
      <c r="DW343" s="236"/>
      <c r="DX343" s="236"/>
      <c r="DY343" s="236"/>
      <c r="DZ343" s="236"/>
      <c r="EA343" s="236"/>
      <c r="EB343" s="237">
        <f t="shared" si="40"/>
        <v>0</v>
      </c>
      <c r="EC343" s="237">
        <f t="shared" si="41"/>
        <v>0</v>
      </c>
      <c r="ED343" s="237">
        <f t="shared" si="42"/>
        <v>0</v>
      </c>
      <c r="EE343" s="237">
        <f t="shared" si="43"/>
        <v>0</v>
      </c>
      <c r="EF343" s="121"/>
      <c r="EG343" s="238">
        <f t="shared" si="44"/>
        <v>0</v>
      </c>
      <c r="EH343" s="121"/>
      <c r="EI343" s="237">
        <f t="shared" si="45"/>
        <v>0</v>
      </c>
      <c r="EJ343" s="121"/>
      <c r="EK343" s="237">
        <f t="shared" si="46"/>
        <v>0</v>
      </c>
      <c r="EL343" s="237"/>
      <c r="EM343" s="5"/>
      <c r="EN343" s="5"/>
      <c r="EO343" s="5"/>
      <c r="EP343" s="5"/>
      <c r="EQ343" s="237">
        <f t="shared" si="47"/>
        <v>0</v>
      </c>
      <c r="ER343" s="239">
        <v>23300</v>
      </c>
      <c r="ES343" s="5">
        <v>7.5</v>
      </c>
    </row>
    <row r="344" spans="1:149" x14ac:dyDescent="0.3">
      <c r="A344" s="124">
        <v>339</v>
      </c>
      <c r="B344" s="121"/>
      <c r="C344" s="121"/>
      <c r="D344" s="121"/>
      <c r="E344" s="121"/>
      <c r="F344" s="121"/>
      <c r="G344" s="121"/>
      <c r="H344" s="121"/>
      <c r="I344" s="121"/>
      <c r="J344" s="121"/>
      <c r="K344" s="121"/>
      <c r="L344" s="121"/>
      <c r="M344" s="121"/>
      <c r="N344" s="121"/>
      <c r="O344" s="235"/>
      <c r="P344" s="121"/>
      <c r="Q344" s="121"/>
      <c r="R344" s="121"/>
      <c r="S344" s="121"/>
      <c r="T344" s="121"/>
      <c r="U344" s="121"/>
      <c r="V344" s="121"/>
      <c r="W344" s="121"/>
      <c r="X344" s="117"/>
      <c r="Y344" s="117"/>
      <c r="Z344" s="121"/>
      <c r="AA344" s="121"/>
      <c r="AB344" s="236"/>
      <c r="AC344" s="236"/>
      <c r="AD344" s="236"/>
      <c r="AE344" s="236"/>
      <c r="AF344" s="236"/>
      <c r="AG344" s="236"/>
      <c r="AH344" s="236"/>
      <c r="AI344" s="236"/>
      <c r="AJ344" s="236"/>
      <c r="AK344" s="236"/>
      <c r="AL344" s="236"/>
      <c r="AM344" s="236"/>
      <c r="AN344" s="236"/>
      <c r="AO344" s="236"/>
      <c r="AP344" s="236"/>
      <c r="AQ344" s="236"/>
      <c r="AR344" s="236"/>
      <c r="AS344" s="236"/>
      <c r="AT344" s="236"/>
      <c r="AU344" s="236"/>
      <c r="AV344" s="236"/>
      <c r="AW344" s="236"/>
      <c r="AX344" s="236"/>
      <c r="AY344" s="236"/>
      <c r="AZ344" s="236"/>
      <c r="BA344" s="236"/>
      <c r="BB344" s="236"/>
      <c r="BC344" s="236"/>
      <c r="BD344" s="236"/>
      <c r="BE344" s="236"/>
      <c r="BF344" s="236"/>
      <c r="BG344" s="236"/>
      <c r="BH344" s="236"/>
      <c r="BI344" s="236"/>
      <c r="BJ344" s="236"/>
      <c r="BK344" s="236"/>
      <c r="BL344" s="236"/>
      <c r="BM344" s="236"/>
      <c r="BN344" s="236"/>
      <c r="BO344" s="236"/>
      <c r="BP344" s="236"/>
      <c r="BQ344" s="236"/>
      <c r="BR344" s="236"/>
      <c r="BS344" s="236"/>
      <c r="BT344" s="236"/>
      <c r="BU344" s="236"/>
      <c r="BV344" s="236"/>
      <c r="BW344" s="236"/>
      <c r="BX344" s="236"/>
      <c r="BY344" s="236"/>
      <c r="BZ344" s="236"/>
      <c r="CA344" s="236"/>
      <c r="CB344" s="236"/>
      <c r="CC344" s="236"/>
      <c r="CD344" s="236"/>
      <c r="CE344" s="236"/>
      <c r="CF344" s="236"/>
      <c r="CG344" s="236"/>
      <c r="CH344" s="236"/>
      <c r="CI344" s="236"/>
      <c r="CJ344" s="236"/>
      <c r="CK344" s="236"/>
      <c r="CL344" s="236"/>
      <c r="CM344" s="236"/>
      <c r="CN344" s="236"/>
      <c r="CO344" s="236"/>
      <c r="CP344" s="236"/>
      <c r="CQ344" s="236"/>
      <c r="CR344" s="236"/>
      <c r="CS344" s="236"/>
      <c r="CT344" s="236"/>
      <c r="CU344" s="236"/>
      <c r="CV344" s="236"/>
      <c r="CW344" s="236"/>
      <c r="CX344" s="236"/>
      <c r="CY344" s="236"/>
      <c r="CZ344" s="236"/>
      <c r="DA344" s="236"/>
      <c r="DB344" s="236"/>
      <c r="DC344" s="236"/>
      <c r="DD344" s="236"/>
      <c r="DE344" s="236"/>
      <c r="DF344" s="236"/>
      <c r="DG344" s="236"/>
      <c r="DH344" s="236"/>
      <c r="DI344" s="236"/>
      <c r="DJ344" s="236"/>
      <c r="DK344" s="236"/>
      <c r="DL344" s="236"/>
      <c r="DM344" s="236"/>
      <c r="DN344" s="236"/>
      <c r="DO344" s="236"/>
      <c r="DP344" s="236"/>
      <c r="DQ344" s="236"/>
      <c r="DR344" s="236"/>
      <c r="DS344" s="236"/>
      <c r="DT344" s="236"/>
      <c r="DU344" s="236"/>
      <c r="DV344" s="236"/>
      <c r="DW344" s="236"/>
      <c r="DX344" s="236"/>
      <c r="DY344" s="236"/>
      <c r="DZ344" s="236"/>
      <c r="EA344" s="236"/>
      <c r="EB344" s="237">
        <f t="shared" si="40"/>
        <v>0</v>
      </c>
      <c r="EC344" s="237">
        <f t="shared" si="41"/>
        <v>0</v>
      </c>
      <c r="ED344" s="237">
        <f t="shared" si="42"/>
        <v>0</v>
      </c>
      <c r="EE344" s="237">
        <f t="shared" si="43"/>
        <v>0</v>
      </c>
      <c r="EF344" s="121"/>
      <c r="EG344" s="238">
        <f t="shared" si="44"/>
        <v>0</v>
      </c>
      <c r="EH344" s="121"/>
      <c r="EI344" s="237">
        <f t="shared" si="45"/>
        <v>0</v>
      </c>
      <c r="EJ344" s="121"/>
      <c r="EK344" s="237">
        <f t="shared" si="46"/>
        <v>0</v>
      </c>
      <c r="EL344" s="237"/>
      <c r="EM344" s="5"/>
      <c r="EN344" s="5"/>
      <c r="EO344" s="5"/>
      <c r="EP344" s="5"/>
      <c r="EQ344" s="237">
        <f t="shared" si="47"/>
        <v>0</v>
      </c>
      <c r="ER344" s="239">
        <v>23300</v>
      </c>
      <c r="ES344" s="5">
        <v>7.5</v>
      </c>
    </row>
    <row r="345" spans="1:149" x14ac:dyDescent="0.3">
      <c r="A345" s="124">
        <v>340</v>
      </c>
      <c r="B345" s="121"/>
      <c r="C345" s="121"/>
      <c r="D345" s="121"/>
      <c r="E345" s="121"/>
      <c r="F345" s="121"/>
      <c r="G345" s="121"/>
      <c r="H345" s="121"/>
      <c r="I345" s="121"/>
      <c r="J345" s="121"/>
      <c r="K345" s="121"/>
      <c r="L345" s="121"/>
      <c r="M345" s="121"/>
      <c r="N345" s="121"/>
      <c r="O345" s="235"/>
      <c r="P345" s="121"/>
      <c r="Q345" s="121"/>
      <c r="R345" s="121"/>
      <c r="S345" s="121"/>
      <c r="T345" s="121"/>
      <c r="U345" s="121"/>
      <c r="V345" s="121"/>
      <c r="W345" s="121"/>
      <c r="X345" s="117"/>
      <c r="Y345" s="117"/>
      <c r="Z345" s="121"/>
      <c r="AA345" s="121"/>
      <c r="AB345" s="236"/>
      <c r="AC345" s="236"/>
      <c r="AD345" s="236"/>
      <c r="AE345" s="236"/>
      <c r="AF345" s="236"/>
      <c r="AG345" s="236"/>
      <c r="AH345" s="236"/>
      <c r="AI345" s="236"/>
      <c r="AJ345" s="236"/>
      <c r="AK345" s="236"/>
      <c r="AL345" s="236"/>
      <c r="AM345" s="236"/>
      <c r="AN345" s="236"/>
      <c r="AO345" s="236"/>
      <c r="AP345" s="236"/>
      <c r="AQ345" s="236"/>
      <c r="AR345" s="236"/>
      <c r="AS345" s="236"/>
      <c r="AT345" s="236"/>
      <c r="AU345" s="236"/>
      <c r="AV345" s="236"/>
      <c r="AW345" s="236"/>
      <c r="AX345" s="236"/>
      <c r="AY345" s="236"/>
      <c r="AZ345" s="236"/>
      <c r="BA345" s="236"/>
      <c r="BB345" s="236"/>
      <c r="BC345" s="236"/>
      <c r="BD345" s="236"/>
      <c r="BE345" s="236"/>
      <c r="BF345" s="236"/>
      <c r="BG345" s="236"/>
      <c r="BH345" s="236"/>
      <c r="BI345" s="236"/>
      <c r="BJ345" s="236"/>
      <c r="BK345" s="236"/>
      <c r="BL345" s="236"/>
      <c r="BM345" s="236"/>
      <c r="BN345" s="236"/>
      <c r="BO345" s="236"/>
      <c r="BP345" s="236"/>
      <c r="BQ345" s="236"/>
      <c r="BR345" s="236"/>
      <c r="BS345" s="236"/>
      <c r="BT345" s="236"/>
      <c r="BU345" s="236"/>
      <c r="BV345" s="236"/>
      <c r="BW345" s="236"/>
      <c r="BX345" s="236"/>
      <c r="BY345" s="236"/>
      <c r="BZ345" s="236"/>
      <c r="CA345" s="236"/>
      <c r="CB345" s="236"/>
      <c r="CC345" s="236"/>
      <c r="CD345" s="236"/>
      <c r="CE345" s="236"/>
      <c r="CF345" s="236"/>
      <c r="CG345" s="236"/>
      <c r="CH345" s="236"/>
      <c r="CI345" s="236"/>
      <c r="CJ345" s="236"/>
      <c r="CK345" s="236"/>
      <c r="CL345" s="236"/>
      <c r="CM345" s="236"/>
      <c r="CN345" s="236"/>
      <c r="CO345" s="236"/>
      <c r="CP345" s="236"/>
      <c r="CQ345" s="236"/>
      <c r="CR345" s="236"/>
      <c r="CS345" s="236"/>
      <c r="CT345" s="236"/>
      <c r="CU345" s="236"/>
      <c r="CV345" s="236"/>
      <c r="CW345" s="236"/>
      <c r="CX345" s="236"/>
      <c r="CY345" s="236"/>
      <c r="CZ345" s="236"/>
      <c r="DA345" s="236"/>
      <c r="DB345" s="236"/>
      <c r="DC345" s="236"/>
      <c r="DD345" s="236"/>
      <c r="DE345" s="236"/>
      <c r="DF345" s="236"/>
      <c r="DG345" s="236"/>
      <c r="DH345" s="236"/>
      <c r="DI345" s="236"/>
      <c r="DJ345" s="236"/>
      <c r="DK345" s="236"/>
      <c r="DL345" s="236"/>
      <c r="DM345" s="236"/>
      <c r="DN345" s="236"/>
      <c r="DO345" s="236"/>
      <c r="DP345" s="236"/>
      <c r="DQ345" s="236"/>
      <c r="DR345" s="236"/>
      <c r="DS345" s="236"/>
      <c r="DT345" s="236"/>
      <c r="DU345" s="236"/>
      <c r="DV345" s="236"/>
      <c r="DW345" s="236"/>
      <c r="DX345" s="236"/>
      <c r="DY345" s="236"/>
      <c r="DZ345" s="236"/>
      <c r="EA345" s="236"/>
      <c r="EB345" s="237">
        <f t="shared" si="40"/>
        <v>0</v>
      </c>
      <c r="EC345" s="237">
        <f t="shared" si="41"/>
        <v>0</v>
      </c>
      <c r="ED345" s="237">
        <f t="shared" si="42"/>
        <v>0</v>
      </c>
      <c r="EE345" s="237">
        <f t="shared" si="43"/>
        <v>0</v>
      </c>
      <c r="EF345" s="121"/>
      <c r="EG345" s="238">
        <f t="shared" si="44"/>
        <v>0</v>
      </c>
      <c r="EH345" s="121"/>
      <c r="EI345" s="237">
        <f t="shared" si="45"/>
        <v>0</v>
      </c>
      <c r="EJ345" s="121"/>
      <c r="EK345" s="237">
        <f t="shared" si="46"/>
        <v>0</v>
      </c>
      <c r="EL345" s="237"/>
      <c r="EM345" s="5"/>
      <c r="EN345" s="5"/>
      <c r="EO345" s="5"/>
      <c r="EP345" s="5"/>
      <c r="EQ345" s="237">
        <f t="shared" si="47"/>
        <v>0</v>
      </c>
      <c r="ER345" s="239">
        <v>23300</v>
      </c>
      <c r="ES345" s="5">
        <v>7.5</v>
      </c>
    </row>
    <row r="346" spans="1:149" x14ac:dyDescent="0.3">
      <c r="A346" s="124">
        <v>341</v>
      </c>
      <c r="B346" s="121"/>
      <c r="C346" s="121"/>
      <c r="D346" s="121"/>
      <c r="E346" s="121"/>
      <c r="F346" s="121"/>
      <c r="G346" s="121"/>
      <c r="H346" s="121"/>
      <c r="I346" s="121"/>
      <c r="J346" s="121"/>
      <c r="K346" s="121"/>
      <c r="L346" s="121"/>
      <c r="M346" s="121"/>
      <c r="N346" s="121"/>
      <c r="O346" s="235"/>
      <c r="P346" s="121"/>
      <c r="Q346" s="121"/>
      <c r="R346" s="121"/>
      <c r="S346" s="121"/>
      <c r="T346" s="121"/>
      <c r="U346" s="121"/>
      <c r="V346" s="121"/>
      <c r="W346" s="121"/>
      <c r="X346" s="117"/>
      <c r="Y346" s="117"/>
      <c r="Z346" s="121"/>
      <c r="AA346" s="121"/>
      <c r="AB346" s="236"/>
      <c r="AC346" s="236"/>
      <c r="AD346" s="236"/>
      <c r="AE346" s="236"/>
      <c r="AF346" s="236"/>
      <c r="AG346" s="236"/>
      <c r="AH346" s="236"/>
      <c r="AI346" s="236"/>
      <c r="AJ346" s="236"/>
      <c r="AK346" s="236"/>
      <c r="AL346" s="236"/>
      <c r="AM346" s="236"/>
      <c r="AN346" s="236"/>
      <c r="AO346" s="236"/>
      <c r="AP346" s="236"/>
      <c r="AQ346" s="236"/>
      <c r="AR346" s="236"/>
      <c r="AS346" s="236"/>
      <c r="AT346" s="236"/>
      <c r="AU346" s="236"/>
      <c r="AV346" s="236"/>
      <c r="AW346" s="236"/>
      <c r="AX346" s="236"/>
      <c r="AY346" s="236"/>
      <c r="AZ346" s="236"/>
      <c r="BA346" s="236"/>
      <c r="BB346" s="236"/>
      <c r="BC346" s="236"/>
      <c r="BD346" s="236"/>
      <c r="BE346" s="236"/>
      <c r="BF346" s="236"/>
      <c r="BG346" s="236"/>
      <c r="BH346" s="236"/>
      <c r="BI346" s="236"/>
      <c r="BJ346" s="236"/>
      <c r="BK346" s="236"/>
      <c r="BL346" s="236"/>
      <c r="BM346" s="236"/>
      <c r="BN346" s="236"/>
      <c r="BO346" s="236"/>
      <c r="BP346" s="236"/>
      <c r="BQ346" s="236"/>
      <c r="BR346" s="236"/>
      <c r="BS346" s="236"/>
      <c r="BT346" s="236"/>
      <c r="BU346" s="236"/>
      <c r="BV346" s="236"/>
      <c r="BW346" s="236"/>
      <c r="BX346" s="236"/>
      <c r="BY346" s="236"/>
      <c r="BZ346" s="236"/>
      <c r="CA346" s="236"/>
      <c r="CB346" s="236"/>
      <c r="CC346" s="236"/>
      <c r="CD346" s="236"/>
      <c r="CE346" s="236"/>
      <c r="CF346" s="236"/>
      <c r="CG346" s="236"/>
      <c r="CH346" s="236"/>
      <c r="CI346" s="236"/>
      <c r="CJ346" s="236"/>
      <c r="CK346" s="236"/>
      <c r="CL346" s="236"/>
      <c r="CM346" s="236"/>
      <c r="CN346" s="236"/>
      <c r="CO346" s="236"/>
      <c r="CP346" s="236"/>
      <c r="CQ346" s="236"/>
      <c r="CR346" s="236"/>
      <c r="CS346" s="236"/>
      <c r="CT346" s="236"/>
      <c r="CU346" s="236"/>
      <c r="CV346" s="236"/>
      <c r="CW346" s="236"/>
      <c r="CX346" s="236"/>
      <c r="CY346" s="236"/>
      <c r="CZ346" s="236"/>
      <c r="DA346" s="236"/>
      <c r="DB346" s="236"/>
      <c r="DC346" s="236"/>
      <c r="DD346" s="236"/>
      <c r="DE346" s="236"/>
      <c r="DF346" s="236"/>
      <c r="DG346" s="236"/>
      <c r="DH346" s="236"/>
      <c r="DI346" s="236"/>
      <c r="DJ346" s="236"/>
      <c r="DK346" s="236"/>
      <c r="DL346" s="236"/>
      <c r="DM346" s="236"/>
      <c r="DN346" s="236"/>
      <c r="DO346" s="236"/>
      <c r="DP346" s="236"/>
      <c r="DQ346" s="236"/>
      <c r="DR346" s="236"/>
      <c r="DS346" s="236"/>
      <c r="DT346" s="236"/>
      <c r="DU346" s="236"/>
      <c r="DV346" s="236"/>
      <c r="DW346" s="236"/>
      <c r="DX346" s="236"/>
      <c r="DY346" s="236"/>
      <c r="DZ346" s="236"/>
      <c r="EA346" s="236"/>
      <c r="EB346" s="237">
        <f t="shared" si="40"/>
        <v>0</v>
      </c>
      <c r="EC346" s="237">
        <f t="shared" si="41"/>
        <v>0</v>
      </c>
      <c r="ED346" s="237">
        <f t="shared" si="42"/>
        <v>0</v>
      </c>
      <c r="EE346" s="237">
        <f t="shared" si="43"/>
        <v>0</v>
      </c>
      <c r="EF346" s="121"/>
      <c r="EG346" s="238">
        <f t="shared" si="44"/>
        <v>0</v>
      </c>
      <c r="EH346" s="121"/>
      <c r="EI346" s="237">
        <f t="shared" si="45"/>
        <v>0</v>
      </c>
      <c r="EJ346" s="121"/>
      <c r="EK346" s="237">
        <f t="shared" si="46"/>
        <v>0</v>
      </c>
      <c r="EL346" s="237"/>
      <c r="EM346" s="5"/>
      <c r="EN346" s="5"/>
      <c r="EO346" s="5"/>
      <c r="EP346" s="5"/>
      <c r="EQ346" s="237">
        <f t="shared" si="47"/>
        <v>0</v>
      </c>
      <c r="ER346" s="239">
        <v>23300</v>
      </c>
      <c r="ES346" s="5">
        <v>7.5</v>
      </c>
    </row>
    <row r="347" spans="1:149" x14ac:dyDescent="0.3">
      <c r="A347" s="124">
        <v>342</v>
      </c>
      <c r="B347" s="121"/>
      <c r="C347" s="121"/>
      <c r="D347" s="121"/>
      <c r="E347" s="121"/>
      <c r="F347" s="121"/>
      <c r="G347" s="121"/>
      <c r="H347" s="121"/>
      <c r="I347" s="121"/>
      <c r="J347" s="121"/>
      <c r="K347" s="121"/>
      <c r="L347" s="121"/>
      <c r="M347" s="121"/>
      <c r="N347" s="121"/>
      <c r="O347" s="235"/>
      <c r="P347" s="121"/>
      <c r="Q347" s="121"/>
      <c r="R347" s="121"/>
      <c r="S347" s="121"/>
      <c r="T347" s="121"/>
      <c r="U347" s="121"/>
      <c r="V347" s="121"/>
      <c r="W347" s="121"/>
      <c r="X347" s="117"/>
      <c r="Y347" s="117"/>
      <c r="Z347" s="121"/>
      <c r="AA347" s="121"/>
      <c r="AB347" s="236"/>
      <c r="AC347" s="236"/>
      <c r="AD347" s="236"/>
      <c r="AE347" s="236"/>
      <c r="AF347" s="236"/>
      <c r="AG347" s="236"/>
      <c r="AH347" s="236"/>
      <c r="AI347" s="236"/>
      <c r="AJ347" s="236"/>
      <c r="AK347" s="236"/>
      <c r="AL347" s="236"/>
      <c r="AM347" s="236"/>
      <c r="AN347" s="236"/>
      <c r="AO347" s="236"/>
      <c r="AP347" s="236"/>
      <c r="AQ347" s="236"/>
      <c r="AR347" s="236"/>
      <c r="AS347" s="236"/>
      <c r="AT347" s="236"/>
      <c r="AU347" s="236"/>
      <c r="AV347" s="236"/>
      <c r="AW347" s="236"/>
      <c r="AX347" s="236"/>
      <c r="AY347" s="236"/>
      <c r="AZ347" s="236"/>
      <c r="BA347" s="236"/>
      <c r="BB347" s="236"/>
      <c r="BC347" s="236"/>
      <c r="BD347" s="236"/>
      <c r="BE347" s="236"/>
      <c r="BF347" s="236"/>
      <c r="BG347" s="236"/>
      <c r="BH347" s="236"/>
      <c r="BI347" s="236"/>
      <c r="BJ347" s="236"/>
      <c r="BK347" s="236"/>
      <c r="BL347" s="236"/>
      <c r="BM347" s="236"/>
      <c r="BN347" s="236"/>
      <c r="BO347" s="236"/>
      <c r="BP347" s="236"/>
      <c r="BQ347" s="236"/>
      <c r="BR347" s="236"/>
      <c r="BS347" s="236"/>
      <c r="BT347" s="236"/>
      <c r="BU347" s="236"/>
      <c r="BV347" s="236"/>
      <c r="BW347" s="236"/>
      <c r="BX347" s="236"/>
      <c r="BY347" s="236"/>
      <c r="BZ347" s="236"/>
      <c r="CA347" s="236"/>
      <c r="CB347" s="236"/>
      <c r="CC347" s="236"/>
      <c r="CD347" s="236"/>
      <c r="CE347" s="236"/>
      <c r="CF347" s="236"/>
      <c r="CG347" s="236"/>
      <c r="CH347" s="236"/>
      <c r="CI347" s="236"/>
      <c r="CJ347" s="236"/>
      <c r="CK347" s="236"/>
      <c r="CL347" s="236"/>
      <c r="CM347" s="236"/>
      <c r="CN347" s="236"/>
      <c r="CO347" s="236"/>
      <c r="CP347" s="236"/>
      <c r="CQ347" s="236"/>
      <c r="CR347" s="236"/>
      <c r="CS347" s="236"/>
      <c r="CT347" s="236"/>
      <c r="CU347" s="236"/>
      <c r="CV347" s="236"/>
      <c r="CW347" s="236"/>
      <c r="CX347" s="236"/>
      <c r="CY347" s="236"/>
      <c r="CZ347" s="236"/>
      <c r="DA347" s="236"/>
      <c r="DB347" s="236"/>
      <c r="DC347" s="236"/>
      <c r="DD347" s="236"/>
      <c r="DE347" s="236"/>
      <c r="DF347" s="236"/>
      <c r="DG347" s="236"/>
      <c r="DH347" s="236"/>
      <c r="DI347" s="236"/>
      <c r="DJ347" s="236"/>
      <c r="DK347" s="236"/>
      <c r="DL347" s="236"/>
      <c r="DM347" s="236"/>
      <c r="DN347" s="236"/>
      <c r="DO347" s="236"/>
      <c r="DP347" s="236"/>
      <c r="DQ347" s="236"/>
      <c r="DR347" s="236"/>
      <c r="DS347" s="236"/>
      <c r="DT347" s="236"/>
      <c r="DU347" s="236"/>
      <c r="DV347" s="236"/>
      <c r="DW347" s="236"/>
      <c r="DX347" s="236"/>
      <c r="DY347" s="236"/>
      <c r="DZ347" s="236"/>
      <c r="EA347" s="236"/>
      <c r="EB347" s="237">
        <f t="shared" si="40"/>
        <v>0</v>
      </c>
      <c r="EC347" s="237">
        <f t="shared" si="41"/>
        <v>0</v>
      </c>
      <c r="ED347" s="237">
        <f t="shared" si="42"/>
        <v>0</v>
      </c>
      <c r="EE347" s="237">
        <f t="shared" si="43"/>
        <v>0</v>
      </c>
      <c r="EF347" s="121"/>
      <c r="EG347" s="238">
        <f t="shared" si="44"/>
        <v>0</v>
      </c>
      <c r="EH347" s="121"/>
      <c r="EI347" s="237">
        <f t="shared" si="45"/>
        <v>0</v>
      </c>
      <c r="EJ347" s="121"/>
      <c r="EK347" s="237">
        <f t="shared" si="46"/>
        <v>0</v>
      </c>
      <c r="EL347" s="237"/>
      <c r="EM347" s="5"/>
      <c r="EN347" s="5"/>
      <c r="EO347" s="5"/>
      <c r="EP347" s="5"/>
      <c r="EQ347" s="237">
        <f t="shared" si="47"/>
        <v>0</v>
      </c>
      <c r="ER347" s="239">
        <v>23300</v>
      </c>
      <c r="ES347" s="5">
        <v>7.5</v>
      </c>
    </row>
    <row r="348" spans="1:149" x14ac:dyDescent="0.3">
      <c r="A348" s="124">
        <v>343</v>
      </c>
      <c r="B348" s="121"/>
      <c r="C348" s="121"/>
      <c r="D348" s="121"/>
      <c r="E348" s="121"/>
      <c r="F348" s="121"/>
      <c r="G348" s="121"/>
      <c r="H348" s="121"/>
      <c r="I348" s="121"/>
      <c r="J348" s="121"/>
      <c r="K348" s="121"/>
      <c r="L348" s="121"/>
      <c r="M348" s="121"/>
      <c r="N348" s="121"/>
      <c r="O348" s="235"/>
      <c r="P348" s="121"/>
      <c r="Q348" s="121"/>
      <c r="R348" s="121"/>
      <c r="S348" s="121"/>
      <c r="T348" s="121"/>
      <c r="U348" s="121"/>
      <c r="V348" s="121"/>
      <c r="W348" s="121"/>
      <c r="X348" s="117"/>
      <c r="Y348" s="117"/>
      <c r="Z348" s="121"/>
      <c r="AA348" s="121"/>
      <c r="AB348" s="236"/>
      <c r="AC348" s="236"/>
      <c r="AD348" s="236"/>
      <c r="AE348" s="236"/>
      <c r="AF348" s="236"/>
      <c r="AG348" s="236"/>
      <c r="AH348" s="236"/>
      <c r="AI348" s="236"/>
      <c r="AJ348" s="236"/>
      <c r="AK348" s="236"/>
      <c r="AL348" s="236"/>
      <c r="AM348" s="236"/>
      <c r="AN348" s="236"/>
      <c r="AO348" s="236"/>
      <c r="AP348" s="236"/>
      <c r="AQ348" s="236"/>
      <c r="AR348" s="236"/>
      <c r="AS348" s="236"/>
      <c r="AT348" s="236"/>
      <c r="AU348" s="236"/>
      <c r="AV348" s="236"/>
      <c r="AW348" s="236"/>
      <c r="AX348" s="236"/>
      <c r="AY348" s="236"/>
      <c r="AZ348" s="236"/>
      <c r="BA348" s="236"/>
      <c r="BB348" s="236"/>
      <c r="BC348" s="236"/>
      <c r="BD348" s="236"/>
      <c r="BE348" s="236"/>
      <c r="BF348" s="236"/>
      <c r="BG348" s="236"/>
      <c r="BH348" s="236"/>
      <c r="BI348" s="236"/>
      <c r="BJ348" s="236"/>
      <c r="BK348" s="236"/>
      <c r="BL348" s="236"/>
      <c r="BM348" s="236"/>
      <c r="BN348" s="236"/>
      <c r="BO348" s="236"/>
      <c r="BP348" s="236"/>
      <c r="BQ348" s="236"/>
      <c r="BR348" s="236"/>
      <c r="BS348" s="236"/>
      <c r="BT348" s="236"/>
      <c r="BU348" s="236"/>
      <c r="BV348" s="236"/>
      <c r="BW348" s="236"/>
      <c r="BX348" s="236"/>
      <c r="BY348" s="236"/>
      <c r="BZ348" s="236"/>
      <c r="CA348" s="236"/>
      <c r="CB348" s="236"/>
      <c r="CC348" s="236"/>
      <c r="CD348" s="236"/>
      <c r="CE348" s="236"/>
      <c r="CF348" s="236"/>
      <c r="CG348" s="236"/>
      <c r="CH348" s="236"/>
      <c r="CI348" s="236"/>
      <c r="CJ348" s="236"/>
      <c r="CK348" s="236"/>
      <c r="CL348" s="236"/>
      <c r="CM348" s="236"/>
      <c r="CN348" s="236"/>
      <c r="CO348" s="236"/>
      <c r="CP348" s="236"/>
      <c r="CQ348" s="236"/>
      <c r="CR348" s="236"/>
      <c r="CS348" s="236"/>
      <c r="CT348" s="236"/>
      <c r="CU348" s="236"/>
      <c r="CV348" s="236"/>
      <c r="CW348" s="236"/>
      <c r="CX348" s="236"/>
      <c r="CY348" s="236"/>
      <c r="CZ348" s="236"/>
      <c r="DA348" s="236"/>
      <c r="DB348" s="236"/>
      <c r="DC348" s="236"/>
      <c r="DD348" s="236"/>
      <c r="DE348" s="236"/>
      <c r="DF348" s="236"/>
      <c r="DG348" s="236"/>
      <c r="DH348" s="236"/>
      <c r="DI348" s="236"/>
      <c r="DJ348" s="236"/>
      <c r="DK348" s="236"/>
      <c r="DL348" s="236"/>
      <c r="DM348" s="236"/>
      <c r="DN348" s="236"/>
      <c r="DO348" s="236"/>
      <c r="DP348" s="236"/>
      <c r="DQ348" s="236"/>
      <c r="DR348" s="236"/>
      <c r="DS348" s="236"/>
      <c r="DT348" s="236"/>
      <c r="DU348" s="236"/>
      <c r="DV348" s="236"/>
      <c r="DW348" s="236"/>
      <c r="DX348" s="236"/>
      <c r="DY348" s="236"/>
      <c r="DZ348" s="236"/>
      <c r="EA348" s="236"/>
      <c r="EB348" s="237">
        <f t="shared" si="40"/>
        <v>0</v>
      </c>
      <c r="EC348" s="237">
        <f t="shared" si="41"/>
        <v>0</v>
      </c>
      <c r="ED348" s="237">
        <f t="shared" si="42"/>
        <v>0</v>
      </c>
      <c r="EE348" s="237">
        <f t="shared" si="43"/>
        <v>0</v>
      </c>
      <c r="EF348" s="121"/>
      <c r="EG348" s="238">
        <f t="shared" si="44"/>
        <v>0</v>
      </c>
      <c r="EH348" s="121"/>
      <c r="EI348" s="237">
        <f t="shared" si="45"/>
        <v>0</v>
      </c>
      <c r="EJ348" s="121"/>
      <c r="EK348" s="237">
        <f t="shared" si="46"/>
        <v>0</v>
      </c>
      <c r="EL348" s="237"/>
      <c r="EM348" s="5"/>
      <c r="EN348" s="5"/>
      <c r="EO348" s="5"/>
      <c r="EP348" s="5"/>
      <c r="EQ348" s="237">
        <f t="shared" si="47"/>
        <v>0</v>
      </c>
      <c r="ER348" s="239">
        <v>23300</v>
      </c>
      <c r="ES348" s="5">
        <v>7.5</v>
      </c>
    </row>
    <row r="349" spans="1:149" x14ac:dyDescent="0.3">
      <c r="A349" s="124">
        <v>344</v>
      </c>
      <c r="B349" s="121"/>
      <c r="C349" s="121"/>
      <c r="D349" s="121"/>
      <c r="E349" s="121"/>
      <c r="F349" s="121"/>
      <c r="G349" s="121"/>
      <c r="H349" s="121"/>
      <c r="I349" s="121"/>
      <c r="J349" s="121"/>
      <c r="K349" s="121"/>
      <c r="L349" s="121"/>
      <c r="M349" s="121"/>
      <c r="N349" s="121"/>
      <c r="O349" s="235"/>
      <c r="P349" s="121"/>
      <c r="Q349" s="121"/>
      <c r="R349" s="121"/>
      <c r="S349" s="121"/>
      <c r="T349" s="121"/>
      <c r="U349" s="121"/>
      <c r="V349" s="121"/>
      <c r="W349" s="121"/>
      <c r="X349" s="117"/>
      <c r="Y349" s="117"/>
      <c r="Z349" s="121"/>
      <c r="AA349" s="121"/>
      <c r="AB349" s="236"/>
      <c r="AC349" s="236"/>
      <c r="AD349" s="236"/>
      <c r="AE349" s="236"/>
      <c r="AF349" s="236"/>
      <c r="AG349" s="236"/>
      <c r="AH349" s="236"/>
      <c r="AI349" s="236"/>
      <c r="AJ349" s="236"/>
      <c r="AK349" s="236"/>
      <c r="AL349" s="236"/>
      <c r="AM349" s="236"/>
      <c r="AN349" s="236"/>
      <c r="AO349" s="236"/>
      <c r="AP349" s="236"/>
      <c r="AQ349" s="236"/>
      <c r="AR349" s="236"/>
      <c r="AS349" s="236"/>
      <c r="AT349" s="236"/>
      <c r="AU349" s="236"/>
      <c r="AV349" s="236"/>
      <c r="AW349" s="236"/>
      <c r="AX349" s="236"/>
      <c r="AY349" s="236"/>
      <c r="AZ349" s="236"/>
      <c r="BA349" s="236"/>
      <c r="BB349" s="236"/>
      <c r="BC349" s="236"/>
      <c r="BD349" s="236"/>
      <c r="BE349" s="236"/>
      <c r="BF349" s="236"/>
      <c r="BG349" s="236"/>
      <c r="BH349" s="236"/>
      <c r="BI349" s="236"/>
      <c r="BJ349" s="236"/>
      <c r="BK349" s="236"/>
      <c r="BL349" s="236"/>
      <c r="BM349" s="236"/>
      <c r="BN349" s="236"/>
      <c r="BO349" s="236"/>
      <c r="BP349" s="236"/>
      <c r="BQ349" s="236"/>
      <c r="BR349" s="236"/>
      <c r="BS349" s="236"/>
      <c r="BT349" s="236"/>
      <c r="BU349" s="236"/>
      <c r="BV349" s="236"/>
      <c r="BW349" s="236"/>
      <c r="BX349" s="236"/>
      <c r="BY349" s="236"/>
      <c r="BZ349" s="236"/>
      <c r="CA349" s="236"/>
      <c r="CB349" s="236"/>
      <c r="CC349" s="236"/>
      <c r="CD349" s="236"/>
      <c r="CE349" s="236"/>
      <c r="CF349" s="236"/>
      <c r="CG349" s="236"/>
      <c r="CH349" s="236"/>
      <c r="CI349" s="236"/>
      <c r="CJ349" s="236"/>
      <c r="CK349" s="236"/>
      <c r="CL349" s="236"/>
      <c r="CM349" s="236"/>
      <c r="CN349" s="236"/>
      <c r="CO349" s="236"/>
      <c r="CP349" s="236"/>
      <c r="CQ349" s="236"/>
      <c r="CR349" s="236"/>
      <c r="CS349" s="236"/>
      <c r="CT349" s="236"/>
      <c r="CU349" s="236"/>
      <c r="CV349" s="236"/>
      <c r="CW349" s="236"/>
      <c r="CX349" s="236"/>
      <c r="CY349" s="236"/>
      <c r="CZ349" s="236"/>
      <c r="DA349" s="236"/>
      <c r="DB349" s="236"/>
      <c r="DC349" s="236"/>
      <c r="DD349" s="236"/>
      <c r="DE349" s="236"/>
      <c r="DF349" s="236"/>
      <c r="DG349" s="236"/>
      <c r="DH349" s="236"/>
      <c r="DI349" s="236"/>
      <c r="DJ349" s="236"/>
      <c r="DK349" s="236"/>
      <c r="DL349" s="236"/>
      <c r="DM349" s="236"/>
      <c r="DN349" s="236"/>
      <c r="DO349" s="236"/>
      <c r="DP349" s="236"/>
      <c r="DQ349" s="236"/>
      <c r="DR349" s="236"/>
      <c r="DS349" s="236"/>
      <c r="DT349" s="236"/>
      <c r="DU349" s="236"/>
      <c r="DV349" s="236"/>
      <c r="DW349" s="236"/>
      <c r="DX349" s="236"/>
      <c r="DY349" s="236"/>
      <c r="DZ349" s="236"/>
      <c r="EA349" s="236"/>
      <c r="EB349" s="237">
        <f t="shared" si="40"/>
        <v>0</v>
      </c>
      <c r="EC349" s="237">
        <f t="shared" si="41"/>
        <v>0</v>
      </c>
      <c r="ED349" s="237">
        <f t="shared" si="42"/>
        <v>0</v>
      </c>
      <c r="EE349" s="237">
        <f t="shared" si="43"/>
        <v>0</v>
      </c>
      <c r="EF349" s="121"/>
      <c r="EG349" s="238">
        <f t="shared" si="44"/>
        <v>0</v>
      </c>
      <c r="EH349" s="121"/>
      <c r="EI349" s="237">
        <f t="shared" si="45"/>
        <v>0</v>
      </c>
      <c r="EJ349" s="121"/>
      <c r="EK349" s="237">
        <f t="shared" si="46"/>
        <v>0</v>
      </c>
      <c r="EL349" s="237"/>
      <c r="EM349" s="5"/>
      <c r="EN349" s="5"/>
      <c r="EO349" s="5"/>
      <c r="EP349" s="5"/>
      <c r="EQ349" s="237">
        <f t="shared" si="47"/>
        <v>0</v>
      </c>
      <c r="ER349" s="239">
        <v>23300</v>
      </c>
      <c r="ES349" s="5">
        <v>7.5</v>
      </c>
    </row>
    <row r="350" spans="1:149" x14ac:dyDescent="0.3">
      <c r="A350" s="124">
        <v>345</v>
      </c>
      <c r="B350" s="121"/>
      <c r="C350" s="121"/>
      <c r="D350" s="121"/>
      <c r="E350" s="121"/>
      <c r="F350" s="121"/>
      <c r="G350" s="121"/>
      <c r="H350" s="121"/>
      <c r="I350" s="121"/>
      <c r="J350" s="121"/>
      <c r="K350" s="121"/>
      <c r="L350" s="121"/>
      <c r="M350" s="121"/>
      <c r="N350" s="121"/>
      <c r="O350" s="235"/>
      <c r="P350" s="121"/>
      <c r="Q350" s="121"/>
      <c r="R350" s="121"/>
      <c r="S350" s="121"/>
      <c r="T350" s="121"/>
      <c r="U350" s="121"/>
      <c r="V350" s="121"/>
      <c r="W350" s="121"/>
      <c r="X350" s="117"/>
      <c r="Y350" s="117"/>
      <c r="Z350" s="121"/>
      <c r="AA350" s="121"/>
      <c r="AB350" s="236"/>
      <c r="AC350" s="236"/>
      <c r="AD350" s="236"/>
      <c r="AE350" s="236"/>
      <c r="AF350" s="236"/>
      <c r="AG350" s="236"/>
      <c r="AH350" s="236"/>
      <c r="AI350" s="236"/>
      <c r="AJ350" s="236"/>
      <c r="AK350" s="236"/>
      <c r="AL350" s="236"/>
      <c r="AM350" s="236"/>
      <c r="AN350" s="236"/>
      <c r="AO350" s="236"/>
      <c r="AP350" s="236"/>
      <c r="AQ350" s="236"/>
      <c r="AR350" s="236"/>
      <c r="AS350" s="236"/>
      <c r="AT350" s="236"/>
      <c r="AU350" s="236"/>
      <c r="AV350" s="236"/>
      <c r="AW350" s="236"/>
      <c r="AX350" s="236"/>
      <c r="AY350" s="236"/>
      <c r="AZ350" s="236"/>
      <c r="BA350" s="236"/>
      <c r="BB350" s="236"/>
      <c r="BC350" s="236"/>
      <c r="BD350" s="236"/>
      <c r="BE350" s="236"/>
      <c r="BF350" s="236"/>
      <c r="BG350" s="236"/>
      <c r="BH350" s="236"/>
      <c r="BI350" s="236"/>
      <c r="BJ350" s="236"/>
      <c r="BK350" s="236"/>
      <c r="BL350" s="236"/>
      <c r="BM350" s="236"/>
      <c r="BN350" s="236"/>
      <c r="BO350" s="236"/>
      <c r="BP350" s="236"/>
      <c r="BQ350" s="236"/>
      <c r="BR350" s="236"/>
      <c r="BS350" s="236"/>
      <c r="BT350" s="236"/>
      <c r="BU350" s="236"/>
      <c r="BV350" s="236"/>
      <c r="BW350" s="236"/>
      <c r="BX350" s="236"/>
      <c r="BY350" s="236"/>
      <c r="BZ350" s="236"/>
      <c r="CA350" s="236"/>
      <c r="CB350" s="236"/>
      <c r="CC350" s="236"/>
      <c r="CD350" s="236"/>
      <c r="CE350" s="236"/>
      <c r="CF350" s="236"/>
      <c r="CG350" s="236"/>
      <c r="CH350" s="236"/>
      <c r="CI350" s="236"/>
      <c r="CJ350" s="236"/>
      <c r="CK350" s="236"/>
      <c r="CL350" s="236"/>
      <c r="CM350" s="236"/>
      <c r="CN350" s="236"/>
      <c r="CO350" s="236"/>
      <c r="CP350" s="236"/>
      <c r="CQ350" s="236"/>
      <c r="CR350" s="236"/>
      <c r="CS350" s="236"/>
      <c r="CT350" s="236"/>
      <c r="CU350" s="236"/>
      <c r="CV350" s="236"/>
      <c r="CW350" s="236"/>
      <c r="CX350" s="236"/>
      <c r="CY350" s="236"/>
      <c r="CZ350" s="236"/>
      <c r="DA350" s="236"/>
      <c r="DB350" s="236"/>
      <c r="DC350" s="236"/>
      <c r="DD350" s="236"/>
      <c r="DE350" s="236"/>
      <c r="DF350" s="236"/>
      <c r="DG350" s="236"/>
      <c r="DH350" s="236"/>
      <c r="DI350" s="236"/>
      <c r="DJ350" s="236"/>
      <c r="DK350" s="236"/>
      <c r="DL350" s="236"/>
      <c r="DM350" s="236"/>
      <c r="DN350" s="236"/>
      <c r="DO350" s="236"/>
      <c r="DP350" s="236"/>
      <c r="DQ350" s="236"/>
      <c r="DR350" s="236"/>
      <c r="DS350" s="236"/>
      <c r="DT350" s="236"/>
      <c r="DU350" s="236"/>
      <c r="DV350" s="236"/>
      <c r="DW350" s="236"/>
      <c r="DX350" s="236"/>
      <c r="DY350" s="236"/>
      <c r="DZ350" s="236"/>
      <c r="EA350" s="236"/>
      <c r="EB350" s="237">
        <f t="shared" si="40"/>
        <v>0</v>
      </c>
      <c r="EC350" s="237">
        <f t="shared" si="41"/>
        <v>0</v>
      </c>
      <c r="ED350" s="237">
        <f t="shared" si="42"/>
        <v>0</v>
      </c>
      <c r="EE350" s="237">
        <f t="shared" si="43"/>
        <v>0</v>
      </c>
      <c r="EF350" s="121"/>
      <c r="EG350" s="238">
        <f t="shared" si="44"/>
        <v>0</v>
      </c>
      <c r="EH350" s="121"/>
      <c r="EI350" s="237">
        <f t="shared" si="45"/>
        <v>0</v>
      </c>
      <c r="EJ350" s="121"/>
      <c r="EK350" s="237">
        <f t="shared" si="46"/>
        <v>0</v>
      </c>
      <c r="EL350" s="237"/>
      <c r="EM350" s="5"/>
      <c r="EN350" s="5"/>
      <c r="EO350" s="5"/>
      <c r="EP350" s="5"/>
      <c r="EQ350" s="237">
        <f t="shared" si="47"/>
        <v>0</v>
      </c>
      <c r="ER350" s="239">
        <v>23300</v>
      </c>
      <c r="ES350" s="5">
        <v>7.5</v>
      </c>
    </row>
    <row r="351" spans="1:149" x14ac:dyDescent="0.3">
      <c r="A351" s="124">
        <v>346</v>
      </c>
      <c r="B351" s="121"/>
      <c r="C351" s="121"/>
      <c r="D351" s="121"/>
      <c r="E351" s="121"/>
      <c r="F351" s="121"/>
      <c r="G351" s="121"/>
      <c r="H351" s="121"/>
      <c r="I351" s="121"/>
      <c r="J351" s="121"/>
      <c r="K351" s="121"/>
      <c r="L351" s="121"/>
      <c r="M351" s="121"/>
      <c r="N351" s="121"/>
      <c r="O351" s="235"/>
      <c r="P351" s="121"/>
      <c r="Q351" s="121"/>
      <c r="R351" s="121"/>
      <c r="S351" s="121"/>
      <c r="T351" s="121"/>
      <c r="U351" s="121"/>
      <c r="V351" s="121"/>
      <c r="W351" s="121"/>
      <c r="X351" s="117"/>
      <c r="Y351" s="117"/>
      <c r="Z351" s="121"/>
      <c r="AA351" s="121"/>
      <c r="AB351" s="236"/>
      <c r="AC351" s="236"/>
      <c r="AD351" s="236"/>
      <c r="AE351" s="236"/>
      <c r="AF351" s="236"/>
      <c r="AG351" s="236"/>
      <c r="AH351" s="236"/>
      <c r="AI351" s="236"/>
      <c r="AJ351" s="236"/>
      <c r="AK351" s="236"/>
      <c r="AL351" s="236"/>
      <c r="AM351" s="236"/>
      <c r="AN351" s="236"/>
      <c r="AO351" s="236"/>
      <c r="AP351" s="236"/>
      <c r="AQ351" s="236"/>
      <c r="AR351" s="236"/>
      <c r="AS351" s="236"/>
      <c r="AT351" s="236"/>
      <c r="AU351" s="236"/>
      <c r="AV351" s="236"/>
      <c r="AW351" s="236"/>
      <c r="AX351" s="236"/>
      <c r="AY351" s="236"/>
      <c r="AZ351" s="236"/>
      <c r="BA351" s="236"/>
      <c r="BB351" s="236"/>
      <c r="BC351" s="236"/>
      <c r="BD351" s="236"/>
      <c r="BE351" s="236"/>
      <c r="BF351" s="236"/>
      <c r="BG351" s="236"/>
      <c r="BH351" s="236"/>
      <c r="BI351" s="236"/>
      <c r="BJ351" s="236"/>
      <c r="BK351" s="236"/>
      <c r="BL351" s="236"/>
      <c r="BM351" s="236"/>
      <c r="BN351" s="236"/>
      <c r="BO351" s="236"/>
      <c r="BP351" s="236"/>
      <c r="BQ351" s="236"/>
      <c r="BR351" s="236"/>
      <c r="BS351" s="236"/>
      <c r="BT351" s="236"/>
      <c r="BU351" s="236"/>
      <c r="BV351" s="236"/>
      <c r="BW351" s="236"/>
      <c r="BX351" s="236"/>
      <c r="BY351" s="236"/>
      <c r="BZ351" s="236"/>
      <c r="CA351" s="236"/>
      <c r="CB351" s="236"/>
      <c r="CC351" s="236"/>
      <c r="CD351" s="236"/>
      <c r="CE351" s="236"/>
      <c r="CF351" s="236"/>
      <c r="CG351" s="236"/>
      <c r="CH351" s="236"/>
      <c r="CI351" s="236"/>
      <c r="CJ351" s="236"/>
      <c r="CK351" s="236"/>
      <c r="CL351" s="236"/>
      <c r="CM351" s="236"/>
      <c r="CN351" s="236"/>
      <c r="CO351" s="236"/>
      <c r="CP351" s="236"/>
      <c r="CQ351" s="236"/>
      <c r="CR351" s="236"/>
      <c r="CS351" s="236"/>
      <c r="CT351" s="236"/>
      <c r="CU351" s="236"/>
      <c r="CV351" s="236"/>
      <c r="CW351" s="236"/>
      <c r="CX351" s="236"/>
      <c r="CY351" s="236"/>
      <c r="CZ351" s="236"/>
      <c r="DA351" s="236"/>
      <c r="DB351" s="236"/>
      <c r="DC351" s="236"/>
      <c r="DD351" s="236"/>
      <c r="DE351" s="236"/>
      <c r="DF351" s="236"/>
      <c r="DG351" s="236"/>
      <c r="DH351" s="236"/>
      <c r="DI351" s="236"/>
      <c r="DJ351" s="236"/>
      <c r="DK351" s="236"/>
      <c r="DL351" s="236"/>
      <c r="DM351" s="236"/>
      <c r="DN351" s="236"/>
      <c r="DO351" s="236"/>
      <c r="DP351" s="236"/>
      <c r="DQ351" s="236"/>
      <c r="DR351" s="236"/>
      <c r="DS351" s="236"/>
      <c r="DT351" s="236"/>
      <c r="DU351" s="236"/>
      <c r="DV351" s="236"/>
      <c r="DW351" s="236"/>
      <c r="DX351" s="236"/>
      <c r="DY351" s="236"/>
      <c r="DZ351" s="236"/>
      <c r="EA351" s="236"/>
      <c r="EB351" s="237">
        <f t="shared" si="40"/>
        <v>0</v>
      </c>
      <c r="EC351" s="237">
        <f t="shared" si="41"/>
        <v>0</v>
      </c>
      <c r="ED351" s="237">
        <f t="shared" si="42"/>
        <v>0</v>
      </c>
      <c r="EE351" s="237">
        <f t="shared" si="43"/>
        <v>0</v>
      </c>
      <c r="EF351" s="121"/>
      <c r="EG351" s="238">
        <f t="shared" si="44"/>
        <v>0</v>
      </c>
      <c r="EH351" s="121"/>
      <c r="EI351" s="237">
        <f t="shared" si="45"/>
        <v>0</v>
      </c>
      <c r="EJ351" s="121"/>
      <c r="EK351" s="237">
        <f t="shared" si="46"/>
        <v>0</v>
      </c>
      <c r="EL351" s="237"/>
      <c r="EM351" s="5"/>
      <c r="EN351" s="5"/>
      <c r="EO351" s="5"/>
      <c r="EP351" s="5"/>
      <c r="EQ351" s="237">
        <f t="shared" si="47"/>
        <v>0</v>
      </c>
      <c r="ER351" s="239">
        <v>23300</v>
      </c>
      <c r="ES351" s="5">
        <v>7.5</v>
      </c>
    </row>
    <row r="352" spans="1:149" x14ac:dyDescent="0.3">
      <c r="A352" s="124">
        <v>347</v>
      </c>
      <c r="B352" s="121"/>
      <c r="C352" s="121"/>
      <c r="D352" s="121"/>
      <c r="E352" s="121"/>
      <c r="F352" s="121"/>
      <c r="G352" s="121"/>
      <c r="H352" s="121"/>
      <c r="I352" s="121"/>
      <c r="J352" s="121"/>
      <c r="K352" s="121"/>
      <c r="L352" s="121"/>
      <c r="M352" s="121"/>
      <c r="N352" s="121"/>
      <c r="O352" s="235"/>
      <c r="P352" s="121"/>
      <c r="Q352" s="121"/>
      <c r="R352" s="121"/>
      <c r="S352" s="121"/>
      <c r="T352" s="121"/>
      <c r="U352" s="121"/>
      <c r="V352" s="121"/>
      <c r="W352" s="121"/>
      <c r="X352" s="117"/>
      <c r="Y352" s="117"/>
      <c r="Z352" s="121"/>
      <c r="AA352" s="121"/>
      <c r="AB352" s="236"/>
      <c r="AC352" s="236"/>
      <c r="AD352" s="236"/>
      <c r="AE352" s="236"/>
      <c r="AF352" s="236"/>
      <c r="AG352" s="236"/>
      <c r="AH352" s="236"/>
      <c r="AI352" s="236"/>
      <c r="AJ352" s="236"/>
      <c r="AK352" s="236"/>
      <c r="AL352" s="236"/>
      <c r="AM352" s="236"/>
      <c r="AN352" s="236"/>
      <c r="AO352" s="236"/>
      <c r="AP352" s="236"/>
      <c r="AQ352" s="236"/>
      <c r="AR352" s="236"/>
      <c r="AS352" s="236"/>
      <c r="AT352" s="236"/>
      <c r="AU352" s="236"/>
      <c r="AV352" s="236"/>
      <c r="AW352" s="236"/>
      <c r="AX352" s="236"/>
      <c r="AY352" s="236"/>
      <c r="AZ352" s="236"/>
      <c r="BA352" s="236"/>
      <c r="BB352" s="236"/>
      <c r="BC352" s="236"/>
      <c r="BD352" s="236"/>
      <c r="BE352" s="236"/>
      <c r="BF352" s="236"/>
      <c r="BG352" s="236"/>
      <c r="BH352" s="236"/>
      <c r="BI352" s="236"/>
      <c r="BJ352" s="236"/>
      <c r="BK352" s="236"/>
      <c r="BL352" s="236"/>
      <c r="BM352" s="236"/>
      <c r="BN352" s="236"/>
      <c r="BO352" s="236"/>
      <c r="BP352" s="236"/>
      <c r="BQ352" s="236"/>
      <c r="BR352" s="236"/>
      <c r="BS352" s="236"/>
      <c r="BT352" s="236"/>
      <c r="BU352" s="236"/>
      <c r="BV352" s="236"/>
      <c r="BW352" s="236"/>
      <c r="BX352" s="236"/>
      <c r="BY352" s="236"/>
      <c r="BZ352" s="236"/>
      <c r="CA352" s="236"/>
      <c r="CB352" s="236"/>
      <c r="CC352" s="236"/>
      <c r="CD352" s="236"/>
      <c r="CE352" s="236"/>
      <c r="CF352" s="236"/>
      <c r="CG352" s="236"/>
      <c r="CH352" s="236"/>
      <c r="CI352" s="236"/>
      <c r="CJ352" s="236"/>
      <c r="CK352" s="236"/>
      <c r="CL352" s="236"/>
      <c r="CM352" s="236"/>
      <c r="CN352" s="236"/>
      <c r="CO352" s="236"/>
      <c r="CP352" s="236"/>
      <c r="CQ352" s="236"/>
      <c r="CR352" s="236"/>
      <c r="CS352" s="236"/>
      <c r="CT352" s="236"/>
      <c r="CU352" s="236"/>
      <c r="CV352" s="236"/>
      <c r="CW352" s="236"/>
      <c r="CX352" s="236"/>
      <c r="CY352" s="236"/>
      <c r="CZ352" s="236"/>
      <c r="DA352" s="236"/>
      <c r="DB352" s="236"/>
      <c r="DC352" s="236"/>
      <c r="DD352" s="236"/>
      <c r="DE352" s="236"/>
      <c r="DF352" s="236"/>
      <c r="DG352" s="236"/>
      <c r="DH352" s="236"/>
      <c r="DI352" s="236"/>
      <c r="DJ352" s="236"/>
      <c r="DK352" s="236"/>
      <c r="DL352" s="236"/>
      <c r="DM352" s="236"/>
      <c r="DN352" s="236"/>
      <c r="DO352" s="236"/>
      <c r="DP352" s="236"/>
      <c r="DQ352" s="236"/>
      <c r="DR352" s="236"/>
      <c r="DS352" s="236"/>
      <c r="DT352" s="236"/>
      <c r="DU352" s="236"/>
      <c r="DV352" s="236"/>
      <c r="DW352" s="236"/>
      <c r="DX352" s="236"/>
      <c r="DY352" s="236"/>
      <c r="DZ352" s="236"/>
      <c r="EA352" s="236"/>
      <c r="EB352" s="237">
        <f t="shared" si="40"/>
        <v>0</v>
      </c>
      <c r="EC352" s="237">
        <f t="shared" si="41"/>
        <v>0</v>
      </c>
      <c r="ED352" s="237">
        <f t="shared" si="42"/>
        <v>0</v>
      </c>
      <c r="EE352" s="237">
        <f t="shared" si="43"/>
        <v>0</v>
      </c>
      <c r="EF352" s="121"/>
      <c r="EG352" s="238">
        <f t="shared" si="44"/>
        <v>0</v>
      </c>
      <c r="EH352" s="121"/>
      <c r="EI352" s="237">
        <f t="shared" si="45"/>
        <v>0</v>
      </c>
      <c r="EJ352" s="121"/>
      <c r="EK352" s="237">
        <f t="shared" si="46"/>
        <v>0</v>
      </c>
      <c r="EL352" s="237"/>
      <c r="EM352" s="5"/>
      <c r="EN352" s="5"/>
      <c r="EO352" s="5"/>
      <c r="EP352" s="5"/>
      <c r="EQ352" s="237">
        <f t="shared" si="47"/>
        <v>0</v>
      </c>
      <c r="ER352" s="239">
        <v>23300</v>
      </c>
      <c r="ES352" s="5">
        <v>7.5</v>
      </c>
    </row>
    <row r="353" spans="1:149" x14ac:dyDescent="0.3">
      <c r="A353" s="124">
        <v>348</v>
      </c>
      <c r="B353" s="121"/>
      <c r="C353" s="121"/>
      <c r="D353" s="121"/>
      <c r="E353" s="121"/>
      <c r="F353" s="121"/>
      <c r="G353" s="121"/>
      <c r="H353" s="121"/>
      <c r="I353" s="121"/>
      <c r="J353" s="121"/>
      <c r="K353" s="121"/>
      <c r="L353" s="121"/>
      <c r="M353" s="121"/>
      <c r="N353" s="121"/>
      <c r="O353" s="235"/>
      <c r="P353" s="121"/>
      <c r="Q353" s="121"/>
      <c r="R353" s="121"/>
      <c r="S353" s="121"/>
      <c r="T353" s="121"/>
      <c r="U353" s="121"/>
      <c r="V353" s="121"/>
      <c r="W353" s="121"/>
      <c r="X353" s="117"/>
      <c r="Y353" s="117"/>
      <c r="Z353" s="121"/>
      <c r="AA353" s="121"/>
      <c r="AB353" s="236"/>
      <c r="AC353" s="236"/>
      <c r="AD353" s="236"/>
      <c r="AE353" s="236"/>
      <c r="AF353" s="236"/>
      <c r="AG353" s="236"/>
      <c r="AH353" s="236"/>
      <c r="AI353" s="236"/>
      <c r="AJ353" s="236"/>
      <c r="AK353" s="236"/>
      <c r="AL353" s="236"/>
      <c r="AM353" s="236"/>
      <c r="AN353" s="236"/>
      <c r="AO353" s="236"/>
      <c r="AP353" s="236"/>
      <c r="AQ353" s="236"/>
      <c r="AR353" s="236"/>
      <c r="AS353" s="236"/>
      <c r="AT353" s="236"/>
      <c r="AU353" s="236"/>
      <c r="AV353" s="236"/>
      <c r="AW353" s="236"/>
      <c r="AX353" s="236"/>
      <c r="AY353" s="236"/>
      <c r="AZ353" s="236"/>
      <c r="BA353" s="236"/>
      <c r="BB353" s="236"/>
      <c r="BC353" s="236"/>
      <c r="BD353" s="236"/>
      <c r="BE353" s="236"/>
      <c r="BF353" s="236"/>
      <c r="BG353" s="236"/>
      <c r="BH353" s="236"/>
      <c r="BI353" s="236"/>
      <c r="BJ353" s="236"/>
      <c r="BK353" s="236"/>
      <c r="BL353" s="236"/>
      <c r="BM353" s="236"/>
      <c r="BN353" s="236"/>
      <c r="BO353" s="236"/>
      <c r="BP353" s="236"/>
      <c r="BQ353" s="236"/>
      <c r="BR353" s="236"/>
      <c r="BS353" s="236"/>
      <c r="BT353" s="236"/>
      <c r="BU353" s="236"/>
      <c r="BV353" s="236"/>
      <c r="BW353" s="236"/>
      <c r="BX353" s="236"/>
      <c r="BY353" s="236"/>
      <c r="BZ353" s="236"/>
      <c r="CA353" s="236"/>
      <c r="CB353" s="236"/>
      <c r="CC353" s="236"/>
      <c r="CD353" s="236"/>
      <c r="CE353" s="236"/>
      <c r="CF353" s="236"/>
      <c r="CG353" s="236"/>
      <c r="CH353" s="236"/>
      <c r="CI353" s="236"/>
      <c r="CJ353" s="236"/>
      <c r="CK353" s="236"/>
      <c r="CL353" s="236"/>
      <c r="CM353" s="236"/>
      <c r="CN353" s="236"/>
      <c r="CO353" s="236"/>
      <c r="CP353" s="236"/>
      <c r="CQ353" s="236"/>
      <c r="CR353" s="236"/>
      <c r="CS353" s="236"/>
      <c r="CT353" s="236"/>
      <c r="CU353" s="236"/>
      <c r="CV353" s="236"/>
      <c r="CW353" s="236"/>
      <c r="CX353" s="236"/>
      <c r="CY353" s="236"/>
      <c r="CZ353" s="236"/>
      <c r="DA353" s="236"/>
      <c r="DB353" s="236"/>
      <c r="DC353" s="236"/>
      <c r="DD353" s="236"/>
      <c r="DE353" s="236"/>
      <c r="DF353" s="236"/>
      <c r="DG353" s="236"/>
      <c r="DH353" s="236"/>
      <c r="DI353" s="236"/>
      <c r="DJ353" s="236"/>
      <c r="DK353" s="236"/>
      <c r="DL353" s="236"/>
      <c r="DM353" s="236"/>
      <c r="DN353" s="236"/>
      <c r="DO353" s="236"/>
      <c r="DP353" s="236"/>
      <c r="DQ353" s="236"/>
      <c r="DR353" s="236"/>
      <c r="DS353" s="236"/>
      <c r="DT353" s="236"/>
      <c r="DU353" s="236"/>
      <c r="DV353" s="236"/>
      <c r="DW353" s="236"/>
      <c r="DX353" s="236"/>
      <c r="DY353" s="236"/>
      <c r="DZ353" s="236"/>
      <c r="EA353" s="236"/>
      <c r="EB353" s="237">
        <f t="shared" si="40"/>
        <v>0</v>
      </c>
      <c r="EC353" s="237">
        <f t="shared" si="41"/>
        <v>0</v>
      </c>
      <c r="ED353" s="237">
        <f t="shared" si="42"/>
        <v>0</v>
      </c>
      <c r="EE353" s="237">
        <f t="shared" si="43"/>
        <v>0</v>
      </c>
      <c r="EF353" s="121"/>
      <c r="EG353" s="238">
        <f t="shared" si="44"/>
        <v>0</v>
      </c>
      <c r="EH353" s="121"/>
      <c r="EI353" s="237">
        <f t="shared" si="45"/>
        <v>0</v>
      </c>
      <c r="EJ353" s="121"/>
      <c r="EK353" s="237">
        <f t="shared" si="46"/>
        <v>0</v>
      </c>
      <c r="EL353" s="237"/>
      <c r="EM353" s="5"/>
      <c r="EN353" s="5"/>
      <c r="EO353" s="5"/>
      <c r="EP353" s="5"/>
      <c r="EQ353" s="237">
        <f t="shared" si="47"/>
        <v>0</v>
      </c>
      <c r="ER353" s="239">
        <v>23300</v>
      </c>
      <c r="ES353" s="5">
        <v>7.5</v>
      </c>
    </row>
    <row r="354" spans="1:149" x14ac:dyDescent="0.3">
      <c r="A354" s="124">
        <v>349</v>
      </c>
      <c r="B354" s="121"/>
      <c r="C354" s="121"/>
      <c r="D354" s="121"/>
      <c r="E354" s="121"/>
      <c r="F354" s="121"/>
      <c r="G354" s="121"/>
      <c r="H354" s="121"/>
      <c r="I354" s="121"/>
      <c r="J354" s="121"/>
      <c r="K354" s="121"/>
      <c r="L354" s="121"/>
      <c r="M354" s="121"/>
      <c r="N354" s="121"/>
      <c r="O354" s="235"/>
      <c r="P354" s="121"/>
      <c r="Q354" s="121"/>
      <c r="R354" s="121"/>
      <c r="S354" s="121"/>
      <c r="T354" s="121"/>
      <c r="U354" s="121"/>
      <c r="V354" s="121"/>
      <c r="W354" s="121"/>
      <c r="X354" s="117"/>
      <c r="Y354" s="117"/>
      <c r="Z354" s="121"/>
      <c r="AA354" s="121"/>
      <c r="AB354" s="236"/>
      <c r="AC354" s="236"/>
      <c r="AD354" s="236"/>
      <c r="AE354" s="236"/>
      <c r="AF354" s="236"/>
      <c r="AG354" s="236"/>
      <c r="AH354" s="236"/>
      <c r="AI354" s="236"/>
      <c r="AJ354" s="236"/>
      <c r="AK354" s="236"/>
      <c r="AL354" s="236"/>
      <c r="AM354" s="236"/>
      <c r="AN354" s="236"/>
      <c r="AO354" s="236"/>
      <c r="AP354" s="236"/>
      <c r="AQ354" s="236"/>
      <c r="AR354" s="236"/>
      <c r="AS354" s="236"/>
      <c r="AT354" s="236"/>
      <c r="AU354" s="236"/>
      <c r="AV354" s="236"/>
      <c r="AW354" s="236"/>
      <c r="AX354" s="236"/>
      <c r="AY354" s="236"/>
      <c r="AZ354" s="236"/>
      <c r="BA354" s="236"/>
      <c r="BB354" s="236"/>
      <c r="BC354" s="236"/>
      <c r="BD354" s="236"/>
      <c r="BE354" s="236"/>
      <c r="BF354" s="236"/>
      <c r="BG354" s="236"/>
      <c r="BH354" s="236"/>
      <c r="BI354" s="236"/>
      <c r="BJ354" s="236"/>
      <c r="BK354" s="236"/>
      <c r="BL354" s="236"/>
      <c r="BM354" s="236"/>
      <c r="BN354" s="236"/>
      <c r="BO354" s="236"/>
      <c r="BP354" s="236"/>
      <c r="BQ354" s="236"/>
      <c r="BR354" s="236"/>
      <c r="BS354" s="236"/>
      <c r="BT354" s="236"/>
      <c r="BU354" s="236"/>
      <c r="BV354" s="236"/>
      <c r="BW354" s="236"/>
      <c r="BX354" s="236"/>
      <c r="BY354" s="236"/>
      <c r="BZ354" s="236"/>
      <c r="CA354" s="236"/>
      <c r="CB354" s="236"/>
      <c r="CC354" s="236"/>
      <c r="CD354" s="236"/>
      <c r="CE354" s="236"/>
      <c r="CF354" s="236"/>
      <c r="CG354" s="236"/>
      <c r="CH354" s="236"/>
      <c r="CI354" s="236"/>
      <c r="CJ354" s="236"/>
      <c r="CK354" s="236"/>
      <c r="CL354" s="236"/>
      <c r="CM354" s="236"/>
      <c r="CN354" s="236"/>
      <c r="CO354" s="236"/>
      <c r="CP354" s="236"/>
      <c r="CQ354" s="236"/>
      <c r="CR354" s="236"/>
      <c r="CS354" s="236"/>
      <c r="CT354" s="236"/>
      <c r="CU354" s="236"/>
      <c r="CV354" s="236"/>
      <c r="CW354" s="236"/>
      <c r="CX354" s="236"/>
      <c r="CY354" s="236"/>
      <c r="CZ354" s="236"/>
      <c r="DA354" s="236"/>
      <c r="DB354" s="236"/>
      <c r="DC354" s="236"/>
      <c r="DD354" s="236"/>
      <c r="DE354" s="236"/>
      <c r="DF354" s="236"/>
      <c r="DG354" s="236"/>
      <c r="DH354" s="236"/>
      <c r="DI354" s="236"/>
      <c r="DJ354" s="236"/>
      <c r="DK354" s="236"/>
      <c r="DL354" s="236"/>
      <c r="DM354" s="236"/>
      <c r="DN354" s="236"/>
      <c r="DO354" s="236"/>
      <c r="DP354" s="236"/>
      <c r="DQ354" s="236"/>
      <c r="DR354" s="236"/>
      <c r="DS354" s="236"/>
      <c r="DT354" s="236"/>
      <c r="DU354" s="236"/>
      <c r="DV354" s="236"/>
      <c r="DW354" s="236"/>
      <c r="DX354" s="236"/>
      <c r="DY354" s="236"/>
      <c r="DZ354" s="236"/>
      <c r="EA354" s="236"/>
      <c r="EB354" s="237">
        <f t="shared" si="40"/>
        <v>0</v>
      </c>
      <c r="EC354" s="237">
        <f t="shared" si="41"/>
        <v>0</v>
      </c>
      <c r="ED354" s="237">
        <f t="shared" si="42"/>
        <v>0</v>
      </c>
      <c r="EE354" s="237">
        <f t="shared" si="43"/>
        <v>0</v>
      </c>
      <c r="EF354" s="121"/>
      <c r="EG354" s="238">
        <f t="shared" si="44"/>
        <v>0</v>
      </c>
      <c r="EH354" s="121"/>
      <c r="EI354" s="237">
        <f t="shared" si="45"/>
        <v>0</v>
      </c>
      <c r="EJ354" s="121"/>
      <c r="EK354" s="237">
        <f t="shared" si="46"/>
        <v>0</v>
      </c>
      <c r="EL354" s="237"/>
      <c r="EM354" s="5"/>
      <c r="EN354" s="5"/>
      <c r="EO354" s="5"/>
      <c r="EP354" s="5"/>
      <c r="EQ354" s="237">
        <f t="shared" si="47"/>
        <v>0</v>
      </c>
      <c r="ER354" s="239">
        <v>23300</v>
      </c>
      <c r="ES354" s="5">
        <v>7.5</v>
      </c>
    </row>
    <row r="355" spans="1:149" x14ac:dyDescent="0.3">
      <c r="A355" s="124">
        <v>350</v>
      </c>
      <c r="B355" s="121"/>
      <c r="C355" s="121"/>
      <c r="D355" s="121"/>
      <c r="E355" s="121"/>
      <c r="F355" s="121"/>
      <c r="G355" s="121"/>
      <c r="H355" s="121"/>
      <c r="I355" s="121"/>
      <c r="J355" s="121"/>
      <c r="K355" s="121"/>
      <c r="L355" s="121"/>
      <c r="M355" s="121"/>
      <c r="N355" s="121"/>
      <c r="O355" s="235"/>
      <c r="P355" s="121"/>
      <c r="Q355" s="121"/>
      <c r="R355" s="121"/>
      <c r="S355" s="121"/>
      <c r="T355" s="121"/>
      <c r="U355" s="121"/>
      <c r="V355" s="121"/>
      <c r="W355" s="121"/>
      <c r="X355" s="117"/>
      <c r="Y355" s="117"/>
      <c r="Z355" s="121"/>
      <c r="AA355" s="121"/>
      <c r="AB355" s="236"/>
      <c r="AC355" s="236"/>
      <c r="AD355" s="236"/>
      <c r="AE355" s="236"/>
      <c r="AF355" s="236"/>
      <c r="AG355" s="236"/>
      <c r="AH355" s="236"/>
      <c r="AI355" s="236"/>
      <c r="AJ355" s="236"/>
      <c r="AK355" s="236"/>
      <c r="AL355" s="236"/>
      <c r="AM355" s="236"/>
      <c r="AN355" s="236"/>
      <c r="AO355" s="236"/>
      <c r="AP355" s="236"/>
      <c r="AQ355" s="236"/>
      <c r="AR355" s="236"/>
      <c r="AS355" s="236"/>
      <c r="AT355" s="236"/>
      <c r="AU355" s="236"/>
      <c r="AV355" s="236"/>
      <c r="AW355" s="236"/>
      <c r="AX355" s="236"/>
      <c r="AY355" s="236"/>
      <c r="AZ355" s="236"/>
      <c r="BA355" s="236"/>
      <c r="BB355" s="236"/>
      <c r="BC355" s="236"/>
      <c r="BD355" s="236"/>
      <c r="BE355" s="236"/>
      <c r="BF355" s="236"/>
      <c r="BG355" s="236"/>
      <c r="BH355" s="236"/>
      <c r="BI355" s="236"/>
      <c r="BJ355" s="236"/>
      <c r="BK355" s="236"/>
      <c r="BL355" s="236"/>
      <c r="BM355" s="236"/>
      <c r="BN355" s="236"/>
      <c r="BO355" s="236"/>
      <c r="BP355" s="236"/>
      <c r="BQ355" s="236"/>
      <c r="BR355" s="236"/>
      <c r="BS355" s="236"/>
      <c r="BT355" s="236"/>
      <c r="BU355" s="236"/>
      <c r="BV355" s="236"/>
      <c r="BW355" s="236"/>
      <c r="BX355" s="236"/>
      <c r="BY355" s="236"/>
      <c r="BZ355" s="236"/>
      <c r="CA355" s="236"/>
      <c r="CB355" s="236"/>
      <c r="CC355" s="236"/>
      <c r="CD355" s="236"/>
      <c r="CE355" s="236"/>
      <c r="CF355" s="236"/>
      <c r="CG355" s="236"/>
      <c r="CH355" s="236"/>
      <c r="CI355" s="236"/>
      <c r="CJ355" s="236"/>
      <c r="CK355" s="236"/>
      <c r="CL355" s="236"/>
      <c r="CM355" s="236"/>
      <c r="CN355" s="236"/>
      <c r="CO355" s="236"/>
      <c r="CP355" s="236"/>
      <c r="CQ355" s="236"/>
      <c r="CR355" s="236"/>
      <c r="CS355" s="236"/>
      <c r="CT355" s="236"/>
      <c r="CU355" s="236"/>
      <c r="CV355" s="236"/>
      <c r="CW355" s="236"/>
      <c r="CX355" s="236"/>
      <c r="CY355" s="236"/>
      <c r="CZ355" s="236"/>
      <c r="DA355" s="236"/>
      <c r="DB355" s="236"/>
      <c r="DC355" s="236"/>
      <c r="DD355" s="236"/>
      <c r="DE355" s="236"/>
      <c r="DF355" s="236"/>
      <c r="DG355" s="236"/>
      <c r="DH355" s="236"/>
      <c r="DI355" s="236"/>
      <c r="DJ355" s="236"/>
      <c r="DK355" s="236"/>
      <c r="DL355" s="236"/>
      <c r="DM355" s="236"/>
      <c r="DN355" s="236"/>
      <c r="DO355" s="236"/>
      <c r="DP355" s="236"/>
      <c r="DQ355" s="236"/>
      <c r="DR355" s="236"/>
      <c r="DS355" s="236"/>
      <c r="DT355" s="236"/>
      <c r="DU355" s="236"/>
      <c r="DV355" s="236"/>
      <c r="DW355" s="236"/>
      <c r="DX355" s="236"/>
      <c r="DY355" s="236"/>
      <c r="DZ355" s="236"/>
      <c r="EA355" s="236"/>
      <c r="EB355" s="237">
        <f t="shared" si="40"/>
        <v>0</v>
      </c>
      <c r="EC355" s="237">
        <f t="shared" si="41"/>
        <v>0</v>
      </c>
      <c r="ED355" s="237">
        <f t="shared" si="42"/>
        <v>0</v>
      </c>
      <c r="EE355" s="237">
        <f t="shared" si="43"/>
        <v>0</v>
      </c>
      <c r="EF355" s="121"/>
      <c r="EG355" s="238">
        <f t="shared" si="44"/>
        <v>0</v>
      </c>
      <c r="EH355" s="121"/>
      <c r="EI355" s="237">
        <f t="shared" si="45"/>
        <v>0</v>
      </c>
      <c r="EJ355" s="121"/>
      <c r="EK355" s="237">
        <f t="shared" si="46"/>
        <v>0</v>
      </c>
      <c r="EL355" s="237"/>
      <c r="EM355" s="5"/>
      <c r="EN355" s="5"/>
      <c r="EO355" s="5"/>
      <c r="EP355" s="5"/>
      <c r="EQ355" s="237">
        <f t="shared" si="47"/>
        <v>0</v>
      </c>
      <c r="ER355" s="239">
        <v>23300</v>
      </c>
      <c r="ES355" s="5">
        <v>7.5</v>
      </c>
    </row>
    <row r="356" spans="1:149" x14ac:dyDescent="0.3">
      <c r="A356" s="124">
        <v>351</v>
      </c>
      <c r="B356" s="121"/>
      <c r="C356" s="121"/>
      <c r="D356" s="121"/>
      <c r="E356" s="121"/>
      <c r="F356" s="121"/>
      <c r="G356" s="121"/>
      <c r="H356" s="121"/>
      <c r="I356" s="121"/>
      <c r="J356" s="121"/>
      <c r="K356" s="121"/>
      <c r="L356" s="121"/>
      <c r="M356" s="121"/>
      <c r="N356" s="121"/>
      <c r="O356" s="235"/>
      <c r="P356" s="121"/>
      <c r="Q356" s="121"/>
      <c r="R356" s="121"/>
      <c r="S356" s="121"/>
      <c r="T356" s="121"/>
      <c r="U356" s="121"/>
      <c r="V356" s="121"/>
      <c r="W356" s="121"/>
      <c r="X356" s="117"/>
      <c r="Y356" s="117"/>
      <c r="Z356" s="121"/>
      <c r="AA356" s="121"/>
      <c r="AB356" s="236"/>
      <c r="AC356" s="236"/>
      <c r="AD356" s="236"/>
      <c r="AE356" s="236"/>
      <c r="AF356" s="236"/>
      <c r="AG356" s="236"/>
      <c r="AH356" s="236"/>
      <c r="AI356" s="236"/>
      <c r="AJ356" s="236"/>
      <c r="AK356" s="236"/>
      <c r="AL356" s="236"/>
      <c r="AM356" s="236"/>
      <c r="AN356" s="236"/>
      <c r="AO356" s="236"/>
      <c r="AP356" s="236"/>
      <c r="AQ356" s="236"/>
      <c r="AR356" s="236"/>
      <c r="AS356" s="236"/>
      <c r="AT356" s="236"/>
      <c r="AU356" s="236"/>
      <c r="AV356" s="236"/>
      <c r="AW356" s="236"/>
      <c r="AX356" s="236"/>
      <c r="AY356" s="236"/>
      <c r="AZ356" s="236"/>
      <c r="BA356" s="236"/>
      <c r="BB356" s="236"/>
      <c r="BC356" s="236"/>
      <c r="BD356" s="236"/>
      <c r="BE356" s="236"/>
      <c r="BF356" s="236"/>
      <c r="BG356" s="236"/>
      <c r="BH356" s="236"/>
      <c r="BI356" s="236"/>
      <c r="BJ356" s="236"/>
      <c r="BK356" s="236"/>
      <c r="BL356" s="236"/>
      <c r="BM356" s="236"/>
      <c r="BN356" s="236"/>
      <c r="BO356" s="236"/>
      <c r="BP356" s="236"/>
      <c r="BQ356" s="236"/>
      <c r="BR356" s="236"/>
      <c r="BS356" s="236"/>
      <c r="BT356" s="236"/>
      <c r="BU356" s="236"/>
      <c r="BV356" s="236"/>
      <c r="BW356" s="236"/>
      <c r="BX356" s="236"/>
      <c r="BY356" s="236"/>
      <c r="BZ356" s="236"/>
      <c r="CA356" s="236"/>
      <c r="CB356" s="236"/>
      <c r="CC356" s="236"/>
      <c r="CD356" s="236"/>
      <c r="CE356" s="236"/>
      <c r="CF356" s="236"/>
      <c r="CG356" s="236"/>
      <c r="CH356" s="236"/>
      <c r="CI356" s="236"/>
      <c r="CJ356" s="236"/>
      <c r="CK356" s="236"/>
      <c r="CL356" s="236"/>
      <c r="CM356" s="236"/>
      <c r="CN356" s="236"/>
      <c r="CO356" s="236"/>
      <c r="CP356" s="236"/>
      <c r="CQ356" s="236"/>
      <c r="CR356" s="236"/>
      <c r="CS356" s="236"/>
      <c r="CT356" s="236"/>
      <c r="CU356" s="236"/>
      <c r="CV356" s="236"/>
      <c r="CW356" s="236"/>
      <c r="CX356" s="236"/>
      <c r="CY356" s="236"/>
      <c r="CZ356" s="236"/>
      <c r="DA356" s="236"/>
      <c r="DB356" s="236"/>
      <c r="DC356" s="236"/>
      <c r="DD356" s="236"/>
      <c r="DE356" s="236"/>
      <c r="DF356" s="236"/>
      <c r="DG356" s="236"/>
      <c r="DH356" s="236"/>
      <c r="DI356" s="236"/>
      <c r="DJ356" s="236"/>
      <c r="DK356" s="236"/>
      <c r="DL356" s="236"/>
      <c r="DM356" s="236"/>
      <c r="DN356" s="236"/>
      <c r="DO356" s="236"/>
      <c r="DP356" s="236"/>
      <c r="DQ356" s="236"/>
      <c r="DR356" s="236"/>
      <c r="DS356" s="236"/>
      <c r="DT356" s="236"/>
      <c r="DU356" s="236"/>
      <c r="DV356" s="236"/>
      <c r="DW356" s="236"/>
      <c r="DX356" s="236"/>
      <c r="DY356" s="236"/>
      <c r="DZ356" s="236"/>
      <c r="EA356" s="236"/>
      <c r="EB356" s="237">
        <f t="shared" si="40"/>
        <v>0</v>
      </c>
      <c r="EC356" s="237">
        <f t="shared" si="41"/>
        <v>0</v>
      </c>
      <c r="ED356" s="237">
        <f t="shared" si="42"/>
        <v>0</v>
      </c>
      <c r="EE356" s="237">
        <f t="shared" si="43"/>
        <v>0</v>
      </c>
      <c r="EF356" s="121"/>
      <c r="EG356" s="238">
        <f t="shared" si="44"/>
        <v>0</v>
      </c>
      <c r="EH356" s="121"/>
      <c r="EI356" s="237">
        <f t="shared" si="45"/>
        <v>0</v>
      </c>
      <c r="EJ356" s="121"/>
      <c r="EK356" s="237">
        <f t="shared" si="46"/>
        <v>0</v>
      </c>
      <c r="EL356" s="237"/>
      <c r="EM356" s="5"/>
      <c r="EN356" s="5"/>
      <c r="EO356" s="5"/>
      <c r="EP356" s="5"/>
      <c r="EQ356" s="237">
        <f t="shared" si="47"/>
        <v>0</v>
      </c>
      <c r="ER356" s="239">
        <v>23300</v>
      </c>
      <c r="ES356" s="5">
        <v>7.5</v>
      </c>
    </row>
    <row r="357" spans="1:149" x14ac:dyDescent="0.3">
      <c r="A357" s="124">
        <v>352</v>
      </c>
      <c r="B357" s="121"/>
      <c r="C357" s="121"/>
      <c r="D357" s="121"/>
      <c r="E357" s="121"/>
      <c r="F357" s="121"/>
      <c r="G357" s="121"/>
      <c r="H357" s="121"/>
      <c r="I357" s="121"/>
      <c r="J357" s="121"/>
      <c r="K357" s="121"/>
      <c r="L357" s="121"/>
      <c r="M357" s="121"/>
      <c r="N357" s="121"/>
      <c r="O357" s="235"/>
      <c r="P357" s="121"/>
      <c r="Q357" s="121"/>
      <c r="R357" s="121"/>
      <c r="S357" s="121"/>
      <c r="T357" s="121"/>
      <c r="U357" s="121"/>
      <c r="V357" s="121"/>
      <c r="W357" s="121"/>
      <c r="X357" s="117"/>
      <c r="Y357" s="117"/>
      <c r="Z357" s="121"/>
      <c r="AA357" s="121"/>
      <c r="AB357" s="236"/>
      <c r="AC357" s="236"/>
      <c r="AD357" s="236"/>
      <c r="AE357" s="236"/>
      <c r="AF357" s="236"/>
      <c r="AG357" s="236"/>
      <c r="AH357" s="236"/>
      <c r="AI357" s="236"/>
      <c r="AJ357" s="236"/>
      <c r="AK357" s="236"/>
      <c r="AL357" s="236"/>
      <c r="AM357" s="236"/>
      <c r="AN357" s="236"/>
      <c r="AO357" s="236"/>
      <c r="AP357" s="236"/>
      <c r="AQ357" s="236"/>
      <c r="AR357" s="236"/>
      <c r="AS357" s="236"/>
      <c r="AT357" s="236"/>
      <c r="AU357" s="236"/>
      <c r="AV357" s="236"/>
      <c r="AW357" s="236"/>
      <c r="AX357" s="236"/>
      <c r="AY357" s="236"/>
      <c r="AZ357" s="236"/>
      <c r="BA357" s="236"/>
      <c r="BB357" s="236"/>
      <c r="BC357" s="236"/>
      <c r="BD357" s="236"/>
      <c r="BE357" s="236"/>
      <c r="BF357" s="236"/>
      <c r="BG357" s="236"/>
      <c r="BH357" s="236"/>
      <c r="BI357" s="236"/>
      <c r="BJ357" s="236"/>
      <c r="BK357" s="236"/>
      <c r="BL357" s="236"/>
      <c r="BM357" s="236"/>
      <c r="BN357" s="236"/>
      <c r="BO357" s="236"/>
      <c r="BP357" s="236"/>
      <c r="BQ357" s="236"/>
      <c r="BR357" s="236"/>
      <c r="BS357" s="236"/>
      <c r="BT357" s="236"/>
      <c r="BU357" s="236"/>
      <c r="BV357" s="236"/>
      <c r="BW357" s="236"/>
      <c r="BX357" s="236"/>
      <c r="BY357" s="236"/>
      <c r="BZ357" s="236"/>
      <c r="CA357" s="236"/>
      <c r="CB357" s="236"/>
      <c r="CC357" s="236"/>
      <c r="CD357" s="236"/>
      <c r="CE357" s="236"/>
      <c r="CF357" s="236"/>
      <c r="CG357" s="236"/>
      <c r="CH357" s="236"/>
      <c r="CI357" s="236"/>
      <c r="CJ357" s="236"/>
      <c r="CK357" s="236"/>
      <c r="CL357" s="236"/>
      <c r="CM357" s="236"/>
      <c r="CN357" s="236"/>
      <c r="CO357" s="236"/>
      <c r="CP357" s="236"/>
      <c r="CQ357" s="236"/>
      <c r="CR357" s="236"/>
      <c r="CS357" s="236"/>
      <c r="CT357" s="236"/>
      <c r="CU357" s="236"/>
      <c r="CV357" s="236"/>
      <c r="CW357" s="236"/>
      <c r="CX357" s="236"/>
      <c r="CY357" s="236"/>
      <c r="CZ357" s="236"/>
      <c r="DA357" s="236"/>
      <c r="DB357" s="236"/>
      <c r="DC357" s="236"/>
      <c r="DD357" s="236"/>
      <c r="DE357" s="236"/>
      <c r="DF357" s="236"/>
      <c r="DG357" s="236"/>
      <c r="DH357" s="236"/>
      <c r="DI357" s="236"/>
      <c r="DJ357" s="236"/>
      <c r="DK357" s="236"/>
      <c r="DL357" s="236"/>
      <c r="DM357" s="236"/>
      <c r="DN357" s="236"/>
      <c r="DO357" s="236"/>
      <c r="DP357" s="236"/>
      <c r="DQ357" s="236"/>
      <c r="DR357" s="236"/>
      <c r="DS357" s="236"/>
      <c r="DT357" s="236"/>
      <c r="DU357" s="236"/>
      <c r="DV357" s="236"/>
      <c r="DW357" s="236"/>
      <c r="DX357" s="236"/>
      <c r="DY357" s="236"/>
      <c r="DZ357" s="236"/>
      <c r="EA357" s="236"/>
      <c r="EB357" s="237">
        <f t="shared" si="40"/>
        <v>0</v>
      </c>
      <c r="EC357" s="237">
        <f t="shared" si="41"/>
        <v>0</v>
      </c>
      <c r="ED357" s="237">
        <f t="shared" si="42"/>
        <v>0</v>
      </c>
      <c r="EE357" s="237">
        <f t="shared" si="43"/>
        <v>0</v>
      </c>
      <c r="EF357" s="121"/>
      <c r="EG357" s="238">
        <f t="shared" si="44"/>
        <v>0</v>
      </c>
      <c r="EH357" s="121"/>
      <c r="EI357" s="237">
        <f t="shared" si="45"/>
        <v>0</v>
      </c>
      <c r="EJ357" s="121"/>
      <c r="EK357" s="237">
        <f t="shared" si="46"/>
        <v>0</v>
      </c>
      <c r="EL357" s="237"/>
      <c r="EM357" s="5"/>
      <c r="EN357" s="5"/>
      <c r="EO357" s="5"/>
      <c r="EP357" s="5"/>
      <c r="EQ357" s="237">
        <f t="shared" si="47"/>
        <v>0</v>
      </c>
      <c r="ER357" s="239">
        <v>23300</v>
      </c>
      <c r="ES357" s="5">
        <v>7.5</v>
      </c>
    </row>
    <row r="358" spans="1:149" x14ac:dyDescent="0.3">
      <c r="A358" s="124">
        <v>353</v>
      </c>
      <c r="B358" s="121"/>
      <c r="C358" s="121"/>
      <c r="D358" s="121"/>
      <c r="E358" s="121"/>
      <c r="F358" s="121"/>
      <c r="G358" s="121"/>
      <c r="H358" s="121"/>
      <c r="I358" s="121"/>
      <c r="J358" s="121"/>
      <c r="K358" s="121"/>
      <c r="L358" s="121"/>
      <c r="M358" s="121"/>
      <c r="N358" s="121"/>
      <c r="O358" s="235"/>
      <c r="P358" s="121"/>
      <c r="Q358" s="121"/>
      <c r="R358" s="121"/>
      <c r="S358" s="121"/>
      <c r="T358" s="121"/>
      <c r="U358" s="121"/>
      <c r="V358" s="121"/>
      <c r="W358" s="121"/>
      <c r="X358" s="117"/>
      <c r="Y358" s="117"/>
      <c r="Z358" s="121"/>
      <c r="AA358" s="121"/>
      <c r="AB358" s="236"/>
      <c r="AC358" s="236"/>
      <c r="AD358" s="236"/>
      <c r="AE358" s="236"/>
      <c r="AF358" s="236"/>
      <c r="AG358" s="236"/>
      <c r="AH358" s="236"/>
      <c r="AI358" s="236"/>
      <c r="AJ358" s="236"/>
      <c r="AK358" s="236"/>
      <c r="AL358" s="236"/>
      <c r="AM358" s="236"/>
      <c r="AN358" s="236"/>
      <c r="AO358" s="236"/>
      <c r="AP358" s="236"/>
      <c r="AQ358" s="236"/>
      <c r="AR358" s="236"/>
      <c r="AS358" s="236"/>
      <c r="AT358" s="236"/>
      <c r="AU358" s="236"/>
      <c r="AV358" s="236"/>
      <c r="AW358" s="236"/>
      <c r="AX358" s="236"/>
      <c r="AY358" s="236"/>
      <c r="AZ358" s="236"/>
      <c r="BA358" s="236"/>
      <c r="BB358" s="236"/>
      <c r="BC358" s="236"/>
      <c r="BD358" s="236"/>
      <c r="BE358" s="236"/>
      <c r="BF358" s="236"/>
      <c r="BG358" s="236"/>
      <c r="BH358" s="236"/>
      <c r="BI358" s="236"/>
      <c r="BJ358" s="236"/>
      <c r="BK358" s="236"/>
      <c r="BL358" s="236"/>
      <c r="BM358" s="236"/>
      <c r="BN358" s="236"/>
      <c r="BO358" s="236"/>
      <c r="BP358" s="236"/>
      <c r="BQ358" s="236"/>
      <c r="BR358" s="236"/>
      <c r="BS358" s="236"/>
      <c r="BT358" s="236"/>
      <c r="BU358" s="236"/>
      <c r="BV358" s="236"/>
      <c r="BW358" s="236"/>
      <c r="BX358" s="236"/>
      <c r="BY358" s="236"/>
      <c r="BZ358" s="236"/>
      <c r="CA358" s="236"/>
      <c r="CB358" s="236"/>
      <c r="CC358" s="236"/>
      <c r="CD358" s="236"/>
      <c r="CE358" s="236"/>
      <c r="CF358" s="236"/>
      <c r="CG358" s="236"/>
      <c r="CH358" s="236"/>
      <c r="CI358" s="236"/>
      <c r="CJ358" s="236"/>
      <c r="CK358" s="236"/>
      <c r="CL358" s="236"/>
      <c r="CM358" s="236"/>
      <c r="CN358" s="236"/>
      <c r="CO358" s="236"/>
      <c r="CP358" s="236"/>
      <c r="CQ358" s="236"/>
      <c r="CR358" s="236"/>
      <c r="CS358" s="236"/>
      <c r="CT358" s="236"/>
      <c r="CU358" s="236"/>
      <c r="CV358" s="236"/>
      <c r="CW358" s="236"/>
      <c r="CX358" s="236"/>
      <c r="CY358" s="236"/>
      <c r="CZ358" s="236"/>
      <c r="DA358" s="236"/>
      <c r="DB358" s="236"/>
      <c r="DC358" s="236"/>
      <c r="DD358" s="236"/>
      <c r="DE358" s="236"/>
      <c r="DF358" s="236"/>
      <c r="DG358" s="236"/>
      <c r="DH358" s="236"/>
      <c r="DI358" s="236"/>
      <c r="DJ358" s="236"/>
      <c r="DK358" s="236"/>
      <c r="DL358" s="236"/>
      <c r="DM358" s="236"/>
      <c r="DN358" s="236"/>
      <c r="DO358" s="236"/>
      <c r="DP358" s="236"/>
      <c r="DQ358" s="236"/>
      <c r="DR358" s="236"/>
      <c r="DS358" s="236"/>
      <c r="DT358" s="236"/>
      <c r="DU358" s="236"/>
      <c r="DV358" s="236"/>
      <c r="DW358" s="236"/>
      <c r="DX358" s="236"/>
      <c r="DY358" s="236"/>
      <c r="DZ358" s="236"/>
      <c r="EA358" s="236"/>
      <c r="EB358" s="237">
        <f t="shared" si="40"/>
        <v>0</v>
      </c>
      <c r="EC358" s="237">
        <f t="shared" si="41"/>
        <v>0</v>
      </c>
      <c r="ED358" s="237">
        <f t="shared" si="42"/>
        <v>0</v>
      </c>
      <c r="EE358" s="237">
        <f t="shared" si="43"/>
        <v>0</v>
      </c>
      <c r="EF358" s="121"/>
      <c r="EG358" s="238">
        <f t="shared" si="44"/>
        <v>0</v>
      </c>
      <c r="EH358" s="121"/>
      <c r="EI358" s="237">
        <f t="shared" si="45"/>
        <v>0</v>
      </c>
      <c r="EJ358" s="121"/>
      <c r="EK358" s="237">
        <f t="shared" si="46"/>
        <v>0</v>
      </c>
      <c r="EL358" s="237"/>
      <c r="EM358" s="5"/>
      <c r="EN358" s="5"/>
      <c r="EO358" s="5"/>
      <c r="EP358" s="5"/>
      <c r="EQ358" s="237">
        <f t="shared" si="47"/>
        <v>0</v>
      </c>
      <c r="ER358" s="239">
        <v>23300</v>
      </c>
      <c r="ES358" s="5">
        <v>7.5</v>
      </c>
    </row>
    <row r="359" spans="1:149" x14ac:dyDescent="0.3">
      <c r="A359" s="124">
        <v>354</v>
      </c>
      <c r="B359" s="121"/>
      <c r="C359" s="121"/>
      <c r="D359" s="121"/>
      <c r="E359" s="121"/>
      <c r="F359" s="121"/>
      <c r="G359" s="121"/>
      <c r="H359" s="121"/>
      <c r="I359" s="121"/>
      <c r="J359" s="121"/>
      <c r="K359" s="121"/>
      <c r="L359" s="121"/>
      <c r="M359" s="121"/>
      <c r="N359" s="121"/>
      <c r="O359" s="235"/>
      <c r="P359" s="121"/>
      <c r="Q359" s="121"/>
      <c r="R359" s="121"/>
      <c r="S359" s="121"/>
      <c r="T359" s="121"/>
      <c r="U359" s="121"/>
      <c r="V359" s="121"/>
      <c r="W359" s="121"/>
      <c r="X359" s="117"/>
      <c r="Y359" s="117"/>
      <c r="Z359" s="121"/>
      <c r="AA359" s="121"/>
      <c r="AB359" s="236"/>
      <c r="AC359" s="236"/>
      <c r="AD359" s="236"/>
      <c r="AE359" s="236"/>
      <c r="AF359" s="236"/>
      <c r="AG359" s="236"/>
      <c r="AH359" s="236"/>
      <c r="AI359" s="236"/>
      <c r="AJ359" s="236"/>
      <c r="AK359" s="236"/>
      <c r="AL359" s="236"/>
      <c r="AM359" s="236"/>
      <c r="AN359" s="236"/>
      <c r="AO359" s="236"/>
      <c r="AP359" s="236"/>
      <c r="AQ359" s="236"/>
      <c r="AR359" s="236"/>
      <c r="AS359" s="236"/>
      <c r="AT359" s="236"/>
      <c r="AU359" s="236"/>
      <c r="AV359" s="236"/>
      <c r="AW359" s="236"/>
      <c r="AX359" s="236"/>
      <c r="AY359" s="236"/>
      <c r="AZ359" s="236"/>
      <c r="BA359" s="236"/>
      <c r="BB359" s="236"/>
      <c r="BC359" s="236"/>
      <c r="BD359" s="236"/>
      <c r="BE359" s="236"/>
      <c r="BF359" s="236"/>
      <c r="BG359" s="236"/>
      <c r="BH359" s="236"/>
      <c r="BI359" s="236"/>
      <c r="BJ359" s="236"/>
      <c r="BK359" s="236"/>
      <c r="BL359" s="236"/>
      <c r="BM359" s="236"/>
      <c r="BN359" s="236"/>
      <c r="BO359" s="236"/>
      <c r="BP359" s="236"/>
      <c r="BQ359" s="236"/>
      <c r="BR359" s="236"/>
      <c r="BS359" s="236"/>
      <c r="BT359" s="236"/>
      <c r="BU359" s="236"/>
      <c r="BV359" s="236"/>
      <c r="BW359" s="236"/>
      <c r="BX359" s="236"/>
      <c r="BY359" s="236"/>
      <c r="BZ359" s="236"/>
      <c r="CA359" s="236"/>
      <c r="CB359" s="236"/>
      <c r="CC359" s="236"/>
      <c r="CD359" s="236"/>
      <c r="CE359" s="236"/>
      <c r="CF359" s="236"/>
      <c r="CG359" s="236"/>
      <c r="CH359" s="236"/>
      <c r="CI359" s="236"/>
      <c r="CJ359" s="236"/>
      <c r="CK359" s="236"/>
      <c r="CL359" s="236"/>
      <c r="CM359" s="236"/>
      <c r="CN359" s="236"/>
      <c r="CO359" s="236"/>
      <c r="CP359" s="236"/>
      <c r="CQ359" s="236"/>
      <c r="CR359" s="236"/>
      <c r="CS359" s="236"/>
      <c r="CT359" s="236"/>
      <c r="CU359" s="236"/>
      <c r="CV359" s="236"/>
      <c r="CW359" s="236"/>
      <c r="CX359" s="236"/>
      <c r="CY359" s="236"/>
      <c r="CZ359" s="236"/>
      <c r="DA359" s="236"/>
      <c r="DB359" s="236"/>
      <c r="DC359" s="236"/>
      <c r="DD359" s="236"/>
      <c r="DE359" s="236"/>
      <c r="DF359" s="236"/>
      <c r="DG359" s="236"/>
      <c r="DH359" s="236"/>
      <c r="DI359" s="236"/>
      <c r="DJ359" s="236"/>
      <c r="DK359" s="236"/>
      <c r="DL359" s="236"/>
      <c r="DM359" s="236"/>
      <c r="DN359" s="236"/>
      <c r="DO359" s="236"/>
      <c r="DP359" s="236"/>
      <c r="DQ359" s="236"/>
      <c r="DR359" s="236"/>
      <c r="DS359" s="236"/>
      <c r="DT359" s="236"/>
      <c r="DU359" s="236"/>
      <c r="DV359" s="236"/>
      <c r="DW359" s="236"/>
      <c r="DX359" s="236"/>
      <c r="DY359" s="236"/>
      <c r="DZ359" s="236"/>
      <c r="EA359" s="236"/>
      <c r="EB359" s="237">
        <f t="shared" si="40"/>
        <v>0</v>
      </c>
      <c r="EC359" s="237">
        <f t="shared" si="41"/>
        <v>0</v>
      </c>
      <c r="ED359" s="237">
        <f t="shared" si="42"/>
        <v>0</v>
      </c>
      <c r="EE359" s="237">
        <f t="shared" si="43"/>
        <v>0</v>
      </c>
      <c r="EF359" s="121"/>
      <c r="EG359" s="238">
        <f t="shared" si="44"/>
        <v>0</v>
      </c>
      <c r="EH359" s="121"/>
      <c r="EI359" s="237">
        <f t="shared" si="45"/>
        <v>0</v>
      </c>
      <c r="EJ359" s="121"/>
      <c r="EK359" s="237">
        <f t="shared" si="46"/>
        <v>0</v>
      </c>
      <c r="EL359" s="237"/>
      <c r="EM359" s="5"/>
      <c r="EN359" s="5"/>
      <c r="EO359" s="5"/>
      <c r="EP359" s="5"/>
      <c r="EQ359" s="237">
        <f t="shared" si="47"/>
        <v>0</v>
      </c>
      <c r="ER359" s="239">
        <v>23300</v>
      </c>
      <c r="ES359" s="5">
        <v>7.5</v>
      </c>
    </row>
    <row r="360" spans="1:149" x14ac:dyDescent="0.3">
      <c r="A360" s="124">
        <v>355</v>
      </c>
      <c r="B360" s="121"/>
      <c r="C360" s="121"/>
      <c r="D360" s="121"/>
      <c r="E360" s="121"/>
      <c r="F360" s="121"/>
      <c r="G360" s="121"/>
      <c r="H360" s="121"/>
      <c r="I360" s="121"/>
      <c r="J360" s="121"/>
      <c r="K360" s="121"/>
      <c r="L360" s="121"/>
      <c r="M360" s="121"/>
      <c r="N360" s="121"/>
      <c r="O360" s="235"/>
      <c r="P360" s="121"/>
      <c r="Q360" s="121"/>
      <c r="R360" s="121"/>
      <c r="S360" s="121"/>
      <c r="T360" s="121"/>
      <c r="U360" s="121"/>
      <c r="V360" s="121"/>
      <c r="W360" s="121"/>
      <c r="X360" s="117"/>
      <c r="Y360" s="117"/>
      <c r="Z360" s="121"/>
      <c r="AA360" s="121"/>
      <c r="AB360" s="236"/>
      <c r="AC360" s="236"/>
      <c r="AD360" s="236"/>
      <c r="AE360" s="236"/>
      <c r="AF360" s="236"/>
      <c r="AG360" s="236"/>
      <c r="AH360" s="236"/>
      <c r="AI360" s="236"/>
      <c r="AJ360" s="236"/>
      <c r="AK360" s="236"/>
      <c r="AL360" s="236"/>
      <c r="AM360" s="236"/>
      <c r="AN360" s="236"/>
      <c r="AO360" s="236"/>
      <c r="AP360" s="236"/>
      <c r="AQ360" s="236"/>
      <c r="AR360" s="236"/>
      <c r="AS360" s="236"/>
      <c r="AT360" s="236"/>
      <c r="AU360" s="236"/>
      <c r="AV360" s="236"/>
      <c r="AW360" s="236"/>
      <c r="AX360" s="236"/>
      <c r="AY360" s="236"/>
      <c r="AZ360" s="236"/>
      <c r="BA360" s="236"/>
      <c r="BB360" s="236"/>
      <c r="BC360" s="236"/>
      <c r="BD360" s="236"/>
      <c r="BE360" s="236"/>
      <c r="BF360" s="236"/>
      <c r="BG360" s="236"/>
      <c r="BH360" s="236"/>
      <c r="BI360" s="236"/>
      <c r="BJ360" s="236"/>
      <c r="BK360" s="236"/>
      <c r="BL360" s="236"/>
      <c r="BM360" s="236"/>
      <c r="BN360" s="236"/>
      <c r="BO360" s="236"/>
      <c r="BP360" s="236"/>
      <c r="BQ360" s="236"/>
      <c r="BR360" s="236"/>
      <c r="BS360" s="236"/>
      <c r="BT360" s="236"/>
      <c r="BU360" s="236"/>
      <c r="BV360" s="236"/>
      <c r="BW360" s="236"/>
      <c r="BX360" s="236"/>
      <c r="BY360" s="236"/>
      <c r="BZ360" s="236"/>
      <c r="CA360" s="236"/>
      <c r="CB360" s="236"/>
      <c r="CC360" s="236"/>
      <c r="CD360" s="236"/>
      <c r="CE360" s="236"/>
      <c r="CF360" s="236"/>
      <c r="CG360" s="236"/>
      <c r="CH360" s="236"/>
      <c r="CI360" s="236"/>
      <c r="CJ360" s="236"/>
      <c r="CK360" s="236"/>
      <c r="CL360" s="236"/>
      <c r="CM360" s="236"/>
      <c r="CN360" s="236"/>
      <c r="CO360" s="236"/>
      <c r="CP360" s="236"/>
      <c r="CQ360" s="236"/>
      <c r="CR360" s="236"/>
      <c r="CS360" s="236"/>
      <c r="CT360" s="236"/>
      <c r="CU360" s="236"/>
      <c r="CV360" s="236"/>
      <c r="CW360" s="236"/>
      <c r="CX360" s="236"/>
      <c r="CY360" s="236"/>
      <c r="CZ360" s="236"/>
      <c r="DA360" s="236"/>
      <c r="DB360" s="236"/>
      <c r="DC360" s="236"/>
      <c r="DD360" s="236"/>
      <c r="DE360" s="236"/>
      <c r="DF360" s="236"/>
      <c r="DG360" s="236"/>
      <c r="DH360" s="236"/>
      <c r="DI360" s="236"/>
      <c r="DJ360" s="236"/>
      <c r="DK360" s="236"/>
      <c r="DL360" s="236"/>
      <c r="DM360" s="236"/>
      <c r="DN360" s="236"/>
      <c r="DO360" s="236"/>
      <c r="DP360" s="236"/>
      <c r="DQ360" s="236"/>
      <c r="DR360" s="236"/>
      <c r="DS360" s="236"/>
      <c r="DT360" s="236"/>
      <c r="DU360" s="236"/>
      <c r="DV360" s="236"/>
      <c r="DW360" s="236"/>
      <c r="DX360" s="236"/>
      <c r="DY360" s="236"/>
      <c r="DZ360" s="236"/>
      <c r="EA360" s="236"/>
      <c r="EB360" s="237">
        <f t="shared" si="40"/>
        <v>0</v>
      </c>
      <c r="EC360" s="237">
        <f t="shared" si="41"/>
        <v>0</v>
      </c>
      <c r="ED360" s="237">
        <f t="shared" si="42"/>
        <v>0</v>
      </c>
      <c r="EE360" s="237">
        <f t="shared" si="43"/>
        <v>0</v>
      </c>
      <c r="EF360" s="121"/>
      <c r="EG360" s="238">
        <f t="shared" si="44"/>
        <v>0</v>
      </c>
      <c r="EH360" s="121"/>
      <c r="EI360" s="237">
        <f t="shared" si="45"/>
        <v>0</v>
      </c>
      <c r="EJ360" s="121"/>
      <c r="EK360" s="237">
        <f t="shared" si="46"/>
        <v>0</v>
      </c>
      <c r="EL360" s="237"/>
      <c r="EM360" s="5"/>
      <c r="EN360" s="5"/>
      <c r="EO360" s="5"/>
      <c r="EP360" s="5"/>
      <c r="EQ360" s="237">
        <f t="shared" si="47"/>
        <v>0</v>
      </c>
      <c r="ER360" s="239">
        <v>23300</v>
      </c>
      <c r="ES360" s="5">
        <v>7.5</v>
      </c>
    </row>
    <row r="361" spans="1:149" x14ac:dyDescent="0.3">
      <c r="A361" s="124">
        <v>356</v>
      </c>
      <c r="B361" s="121"/>
      <c r="C361" s="121"/>
      <c r="D361" s="121"/>
      <c r="E361" s="121"/>
      <c r="F361" s="121"/>
      <c r="G361" s="121"/>
      <c r="H361" s="121"/>
      <c r="I361" s="121"/>
      <c r="J361" s="121"/>
      <c r="K361" s="121"/>
      <c r="L361" s="121"/>
      <c r="M361" s="121"/>
      <c r="N361" s="121"/>
      <c r="O361" s="235"/>
      <c r="P361" s="121"/>
      <c r="Q361" s="121"/>
      <c r="R361" s="121"/>
      <c r="S361" s="121"/>
      <c r="T361" s="121"/>
      <c r="U361" s="121"/>
      <c r="V361" s="121"/>
      <c r="W361" s="121"/>
      <c r="X361" s="117"/>
      <c r="Y361" s="117"/>
      <c r="Z361" s="121"/>
      <c r="AA361" s="121"/>
      <c r="AB361" s="236"/>
      <c r="AC361" s="236"/>
      <c r="AD361" s="236"/>
      <c r="AE361" s="236"/>
      <c r="AF361" s="236"/>
      <c r="AG361" s="236"/>
      <c r="AH361" s="236"/>
      <c r="AI361" s="236"/>
      <c r="AJ361" s="236"/>
      <c r="AK361" s="236"/>
      <c r="AL361" s="236"/>
      <c r="AM361" s="236"/>
      <c r="AN361" s="236"/>
      <c r="AO361" s="236"/>
      <c r="AP361" s="236"/>
      <c r="AQ361" s="236"/>
      <c r="AR361" s="236"/>
      <c r="AS361" s="236"/>
      <c r="AT361" s="236"/>
      <c r="AU361" s="236"/>
      <c r="AV361" s="236"/>
      <c r="AW361" s="236"/>
      <c r="AX361" s="236"/>
      <c r="AY361" s="236"/>
      <c r="AZ361" s="236"/>
      <c r="BA361" s="236"/>
      <c r="BB361" s="236"/>
      <c r="BC361" s="236"/>
      <c r="BD361" s="236"/>
      <c r="BE361" s="236"/>
      <c r="BF361" s="236"/>
      <c r="BG361" s="236"/>
      <c r="BH361" s="236"/>
      <c r="BI361" s="236"/>
      <c r="BJ361" s="236"/>
      <c r="BK361" s="236"/>
      <c r="BL361" s="236"/>
      <c r="BM361" s="236"/>
      <c r="BN361" s="236"/>
      <c r="BO361" s="236"/>
      <c r="BP361" s="236"/>
      <c r="BQ361" s="236"/>
      <c r="BR361" s="236"/>
      <c r="BS361" s="236"/>
      <c r="BT361" s="236"/>
      <c r="BU361" s="236"/>
      <c r="BV361" s="236"/>
      <c r="BW361" s="236"/>
      <c r="BX361" s="236"/>
      <c r="BY361" s="236"/>
      <c r="BZ361" s="236"/>
      <c r="CA361" s="236"/>
      <c r="CB361" s="236"/>
      <c r="CC361" s="236"/>
      <c r="CD361" s="236"/>
      <c r="CE361" s="236"/>
      <c r="CF361" s="236"/>
      <c r="CG361" s="236"/>
      <c r="CH361" s="236"/>
      <c r="CI361" s="236"/>
      <c r="CJ361" s="236"/>
      <c r="CK361" s="236"/>
      <c r="CL361" s="236"/>
      <c r="CM361" s="236"/>
      <c r="CN361" s="236"/>
      <c r="CO361" s="236"/>
      <c r="CP361" s="236"/>
      <c r="CQ361" s="236"/>
      <c r="CR361" s="236"/>
      <c r="CS361" s="236"/>
      <c r="CT361" s="236"/>
      <c r="CU361" s="236"/>
      <c r="CV361" s="236"/>
      <c r="CW361" s="236"/>
      <c r="CX361" s="236"/>
      <c r="CY361" s="236"/>
      <c r="CZ361" s="236"/>
      <c r="DA361" s="236"/>
      <c r="DB361" s="236"/>
      <c r="DC361" s="236"/>
      <c r="DD361" s="236"/>
      <c r="DE361" s="236"/>
      <c r="DF361" s="236"/>
      <c r="DG361" s="236"/>
      <c r="DH361" s="236"/>
      <c r="DI361" s="236"/>
      <c r="DJ361" s="236"/>
      <c r="DK361" s="236"/>
      <c r="DL361" s="236"/>
      <c r="DM361" s="236"/>
      <c r="DN361" s="236"/>
      <c r="DO361" s="236"/>
      <c r="DP361" s="236"/>
      <c r="DQ361" s="236"/>
      <c r="DR361" s="236"/>
      <c r="DS361" s="236"/>
      <c r="DT361" s="236"/>
      <c r="DU361" s="236"/>
      <c r="DV361" s="236"/>
      <c r="DW361" s="236"/>
      <c r="DX361" s="236"/>
      <c r="DY361" s="236"/>
      <c r="DZ361" s="236"/>
      <c r="EA361" s="236"/>
      <c r="EB361" s="237">
        <f t="shared" si="40"/>
        <v>0</v>
      </c>
      <c r="EC361" s="237">
        <f t="shared" si="41"/>
        <v>0</v>
      </c>
      <c r="ED361" s="237">
        <f t="shared" si="42"/>
        <v>0</v>
      </c>
      <c r="EE361" s="237">
        <f t="shared" si="43"/>
        <v>0</v>
      </c>
      <c r="EF361" s="121"/>
      <c r="EG361" s="238">
        <f t="shared" si="44"/>
        <v>0</v>
      </c>
      <c r="EH361" s="121"/>
      <c r="EI361" s="237">
        <f t="shared" si="45"/>
        <v>0</v>
      </c>
      <c r="EJ361" s="121"/>
      <c r="EK361" s="237">
        <f t="shared" si="46"/>
        <v>0</v>
      </c>
      <c r="EL361" s="237"/>
      <c r="EM361" s="5"/>
      <c r="EN361" s="5"/>
      <c r="EO361" s="5"/>
      <c r="EP361" s="5"/>
      <c r="EQ361" s="237">
        <f t="shared" si="47"/>
        <v>0</v>
      </c>
      <c r="ER361" s="239">
        <v>23300</v>
      </c>
      <c r="ES361" s="5">
        <v>7.5</v>
      </c>
    </row>
    <row r="362" spans="1:149" x14ac:dyDescent="0.3">
      <c r="A362" s="124">
        <v>357</v>
      </c>
      <c r="B362" s="121"/>
      <c r="C362" s="121"/>
      <c r="D362" s="121"/>
      <c r="E362" s="121"/>
      <c r="F362" s="121"/>
      <c r="G362" s="121"/>
      <c r="H362" s="121"/>
      <c r="I362" s="121"/>
      <c r="J362" s="121"/>
      <c r="K362" s="121"/>
      <c r="L362" s="121"/>
      <c r="M362" s="121"/>
      <c r="N362" s="121"/>
      <c r="O362" s="235"/>
      <c r="P362" s="121"/>
      <c r="Q362" s="121"/>
      <c r="R362" s="121"/>
      <c r="S362" s="121"/>
      <c r="T362" s="121"/>
      <c r="U362" s="121"/>
      <c r="V362" s="121"/>
      <c r="W362" s="121"/>
      <c r="X362" s="117"/>
      <c r="Y362" s="117"/>
      <c r="Z362" s="121"/>
      <c r="AA362" s="121"/>
      <c r="AB362" s="236"/>
      <c r="AC362" s="236"/>
      <c r="AD362" s="236"/>
      <c r="AE362" s="236"/>
      <c r="AF362" s="236"/>
      <c r="AG362" s="236"/>
      <c r="AH362" s="236"/>
      <c r="AI362" s="236"/>
      <c r="AJ362" s="236"/>
      <c r="AK362" s="236"/>
      <c r="AL362" s="236"/>
      <c r="AM362" s="236"/>
      <c r="AN362" s="236"/>
      <c r="AO362" s="236"/>
      <c r="AP362" s="236"/>
      <c r="AQ362" s="236"/>
      <c r="AR362" s="236"/>
      <c r="AS362" s="236"/>
      <c r="AT362" s="236"/>
      <c r="AU362" s="236"/>
      <c r="AV362" s="236"/>
      <c r="AW362" s="236"/>
      <c r="AX362" s="236"/>
      <c r="AY362" s="236"/>
      <c r="AZ362" s="236"/>
      <c r="BA362" s="236"/>
      <c r="BB362" s="236"/>
      <c r="BC362" s="236"/>
      <c r="BD362" s="236"/>
      <c r="BE362" s="236"/>
      <c r="BF362" s="236"/>
      <c r="BG362" s="236"/>
      <c r="BH362" s="236"/>
      <c r="BI362" s="236"/>
      <c r="BJ362" s="236"/>
      <c r="BK362" s="236"/>
      <c r="BL362" s="236"/>
      <c r="BM362" s="236"/>
      <c r="BN362" s="236"/>
      <c r="BO362" s="236"/>
      <c r="BP362" s="236"/>
      <c r="BQ362" s="236"/>
      <c r="BR362" s="236"/>
      <c r="BS362" s="236"/>
      <c r="BT362" s="236"/>
      <c r="BU362" s="236"/>
      <c r="BV362" s="236"/>
      <c r="BW362" s="236"/>
      <c r="BX362" s="236"/>
      <c r="BY362" s="236"/>
      <c r="BZ362" s="236"/>
      <c r="CA362" s="236"/>
      <c r="CB362" s="236"/>
      <c r="CC362" s="236"/>
      <c r="CD362" s="236"/>
      <c r="CE362" s="236"/>
      <c r="CF362" s="236"/>
      <c r="CG362" s="236"/>
      <c r="CH362" s="236"/>
      <c r="CI362" s="236"/>
      <c r="CJ362" s="236"/>
      <c r="CK362" s="236"/>
      <c r="CL362" s="236"/>
      <c r="CM362" s="236"/>
      <c r="CN362" s="236"/>
      <c r="CO362" s="236"/>
      <c r="CP362" s="236"/>
      <c r="CQ362" s="236"/>
      <c r="CR362" s="236"/>
      <c r="CS362" s="236"/>
      <c r="CT362" s="236"/>
      <c r="CU362" s="236"/>
      <c r="CV362" s="236"/>
      <c r="CW362" s="236"/>
      <c r="CX362" s="236"/>
      <c r="CY362" s="236"/>
      <c r="CZ362" s="236"/>
      <c r="DA362" s="236"/>
      <c r="DB362" s="236"/>
      <c r="DC362" s="236"/>
      <c r="DD362" s="236"/>
      <c r="DE362" s="236"/>
      <c r="DF362" s="236"/>
      <c r="DG362" s="236"/>
      <c r="DH362" s="236"/>
      <c r="DI362" s="236"/>
      <c r="DJ362" s="236"/>
      <c r="DK362" s="236"/>
      <c r="DL362" s="236"/>
      <c r="DM362" s="236"/>
      <c r="DN362" s="236"/>
      <c r="DO362" s="236"/>
      <c r="DP362" s="236"/>
      <c r="DQ362" s="236"/>
      <c r="DR362" s="236"/>
      <c r="DS362" s="236"/>
      <c r="DT362" s="236"/>
      <c r="DU362" s="236"/>
      <c r="DV362" s="236"/>
      <c r="DW362" s="236"/>
      <c r="DX362" s="236"/>
      <c r="DY362" s="236"/>
      <c r="DZ362" s="236"/>
      <c r="EA362" s="236"/>
      <c r="EB362" s="237">
        <f t="shared" si="40"/>
        <v>0</v>
      </c>
      <c r="EC362" s="237">
        <f t="shared" si="41"/>
        <v>0</v>
      </c>
      <c r="ED362" s="237">
        <f t="shared" si="42"/>
        <v>0</v>
      </c>
      <c r="EE362" s="237">
        <f t="shared" si="43"/>
        <v>0</v>
      </c>
      <c r="EF362" s="121"/>
      <c r="EG362" s="238">
        <f t="shared" si="44"/>
        <v>0</v>
      </c>
      <c r="EH362" s="121"/>
      <c r="EI362" s="237">
        <f t="shared" si="45"/>
        <v>0</v>
      </c>
      <c r="EJ362" s="121"/>
      <c r="EK362" s="237">
        <f t="shared" si="46"/>
        <v>0</v>
      </c>
      <c r="EL362" s="237"/>
      <c r="EM362" s="5"/>
      <c r="EN362" s="5"/>
      <c r="EO362" s="5"/>
      <c r="EP362" s="5"/>
      <c r="EQ362" s="237">
        <f t="shared" si="47"/>
        <v>0</v>
      </c>
      <c r="ER362" s="239">
        <v>23300</v>
      </c>
      <c r="ES362" s="5">
        <v>7.5</v>
      </c>
    </row>
    <row r="363" spans="1:149" x14ac:dyDescent="0.3">
      <c r="A363" s="124">
        <v>358</v>
      </c>
      <c r="B363" s="121"/>
      <c r="C363" s="121"/>
      <c r="D363" s="121"/>
      <c r="E363" s="121"/>
      <c r="F363" s="121"/>
      <c r="G363" s="121"/>
      <c r="H363" s="121"/>
      <c r="I363" s="121"/>
      <c r="J363" s="121"/>
      <c r="K363" s="121"/>
      <c r="L363" s="121"/>
      <c r="M363" s="121"/>
      <c r="N363" s="121"/>
      <c r="O363" s="235"/>
      <c r="P363" s="121"/>
      <c r="Q363" s="121"/>
      <c r="R363" s="121"/>
      <c r="S363" s="121"/>
      <c r="T363" s="121"/>
      <c r="U363" s="121"/>
      <c r="V363" s="121"/>
      <c r="W363" s="121"/>
      <c r="X363" s="117"/>
      <c r="Y363" s="117"/>
      <c r="Z363" s="121"/>
      <c r="AA363" s="121"/>
      <c r="AB363" s="236"/>
      <c r="AC363" s="236"/>
      <c r="AD363" s="236"/>
      <c r="AE363" s="236"/>
      <c r="AF363" s="236"/>
      <c r="AG363" s="236"/>
      <c r="AH363" s="236"/>
      <c r="AI363" s="236"/>
      <c r="AJ363" s="236"/>
      <c r="AK363" s="236"/>
      <c r="AL363" s="236"/>
      <c r="AM363" s="236"/>
      <c r="AN363" s="236"/>
      <c r="AO363" s="236"/>
      <c r="AP363" s="236"/>
      <c r="AQ363" s="236"/>
      <c r="AR363" s="236"/>
      <c r="AS363" s="236"/>
      <c r="AT363" s="236"/>
      <c r="AU363" s="236"/>
      <c r="AV363" s="236"/>
      <c r="AW363" s="236"/>
      <c r="AX363" s="236"/>
      <c r="AY363" s="236"/>
      <c r="AZ363" s="236"/>
      <c r="BA363" s="236"/>
      <c r="BB363" s="236"/>
      <c r="BC363" s="236"/>
      <c r="BD363" s="236"/>
      <c r="BE363" s="236"/>
      <c r="BF363" s="236"/>
      <c r="BG363" s="236"/>
      <c r="BH363" s="236"/>
      <c r="BI363" s="236"/>
      <c r="BJ363" s="236"/>
      <c r="BK363" s="236"/>
      <c r="BL363" s="236"/>
      <c r="BM363" s="236"/>
      <c r="BN363" s="236"/>
      <c r="BO363" s="236"/>
      <c r="BP363" s="236"/>
      <c r="BQ363" s="236"/>
      <c r="BR363" s="236"/>
      <c r="BS363" s="236"/>
      <c r="BT363" s="236"/>
      <c r="BU363" s="236"/>
      <c r="BV363" s="236"/>
      <c r="BW363" s="236"/>
      <c r="BX363" s="236"/>
      <c r="BY363" s="236"/>
      <c r="BZ363" s="236"/>
      <c r="CA363" s="236"/>
      <c r="CB363" s="236"/>
      <c r="CC363" s="236"/>
      <c r="CD363" s="236"/>
      <c r="CE363" s="236"/>
      <c r="CF363" s="236"/>
      <c r="CG363" s="236"/>
      <c r="CH363" s="236"/>
      <c r="CI363" s="236"/>
      <c r="CJ363" s="236"/>
      <c r="CK363" s="236"/>
      <c r="CL363" s="236"/>
      <c r="CM363" s="236"/>
      <c r="CN363" s="236"/>
      <c r="CO363" s="236"/>
      <c r="CP363" s="236"/>
      <c r="CQ363" s="236"/>
      <c r="CR363" s="236"/>
      <c r="CS363" s="236"/>
      <c r="CT363" s="236"/>
      <c r="CU363" s="236"/>
      <c r="CV363" s="236"/>
      <c r="CW363" s="236"/>
      <c r="CX363" s="236"/>
      <c r="CY363" s="236"/>
      <c r="CZ363" s="236"/>
      <c r="DA363" s="236"/>
      <c r="DB363" s="236"/>
      <c r="DC363" s="236"/>
      <c r="DD363" s="236"/>
      <c r="DE363" s="236"/>
      <c r="DF363" s="236"/>
      <c r="DG363" s="236"/>
      <c r="DH363" s="236"/>
      <c r="DI363" s="236"/>
      <c r="DJ363" s="236"/>
      <c r="DK363" s="236"/>
      <c r="DL363" s="236"/>
      <c r="DM363" s="236"/>
      <c r="DN363" s="236"/>
      <c r="DO363" s="236"/>
      <c r="DP363" s="236"/>
      <c r="DQ363" s="236"/>
      <c r="DR363" s="236"/>
      <c r="DS363" s="236"/>
      <c r="DT363" s="236"/>
      <c r="DU363" s="236"/>
      <c r="DV363" s="236"/>
      <c r="DW363" s="236"/>
      <c r="DX363" s="236"/>
      <c r="DY363" s="236"/>
      <c r="DZ363" s="236"/>
      <c r="EA363" s="236"/>
      <c r="EB363" s="237">
        <f t="shared" si="40"/>
        <v>0</v>
      </c>
      <c r="EC363" s="237">
        <f t="shared" si="41"/>
        <v>0</v>
      </c>
      <c r="ED363" s="237">
        <f t="shared" si="42"/>
        <v>0</v>
      </c>
      <c r="EE363" s="237">
        <f t="shared" si="43"/>
        <v>0</v>
      </c>
      <c r="EF363" s="121"/>
      <c r="EG363" s="238">
        <f t="shared" si="44"/>
        <v>0</v>
      </c>
      <c r="EH363" s="121"/>
      <c r="EI363" s="237">
        <f t="shared" si="45"/>
        <v>0</v>
      </c>
      <c r="EJ363" s="121"/>
      <c r="EK363" s="237">
        <f t="shared" si="46"/>
        <v>0</v>
      </c>
      <c r="EL363" s="237"/>
      <c r="EM363" s="5"/>
      <c r="EN363" s="5"/>
      <c r="EO363" s="5"/>
      <c r="EP363" s="5"/>
      <c r="EQ363" s="237">
        <f t="shared" si="47"/>
        <v>0</v>
      </c>
      <c r="ER363" s="239">
        <v>23300</v>
      </c>
      <c r="ES363" s="5">
        <v>7.5</v>
      </c>
    </row>
    <row r="364" spans="1:149" x14ac:dyDescent="0.3">
      <c r="A364" s="124">
        <v>359</v>
      </c>
      <c r="B364" s="121"/>
      <c r="C364" s="121"/>
      <c r="D364" s="121"/>
      <c r="E364" s="121"/>
      <c r="F364" s="121"/>
      <c r="G364" s="121"/>
      <c r="H364" s="121"/>
      <c r="I364" s="121"/>
      <c r="J364" s="121"/>
      <c r="K364" s="121"/>
      <c r="L364" s="121"/>
      <c r="M364" s="121"/>
      <c r="N364" s="121"/>
      <c r="O364" s="235"/>
      <c r="P364" s="121"/>
      <c r="Q364" s="121"/>
      <c r="R364" s="121"/>
      <c r="S364" s="121"/>
      <c r="T364" s="121"/>
      <c r="U364" s="121"/>
      <c r="V364" s="121"/>
      <c r="W364" s="121"/>
      <c r="X364" s="117"/>
      <c r="Y364" s="117"/>
      <c r="Z364" s="121"/>
      <c r="AA364" s="121"/>
      <c r="AB364" s="236"/>
      <c r="AC364" s="236"/>
      <c r="AD364" s="236"/>
      <c r="AE364" s="236"/>
      <c r="AF364" s="236"/>
      <c r="AG364" s="236"/>
      <c r="AH364" s="236"/>
      <c r="AI364" s="236"/>
      <c r="AJ364" s="236"/>
      <c r="AK364" s="236"/>
      <c r="AL364" s="236"/>
      <c r="AM364" s="236"/>
      <c r="AN364" s="236"/>
      <c r="AO364" s="236"/>
      <c r="AP364" s="236"/>
      <c r="AQ364" s="236"/>
      <c r="AR364" s="236"/>
      <c r="AS364" s="236"/>
      <c r="AT364" s="236"/>
      <c r="AU364" s="236"/>
      <c r="AV364" s="236"/>
      <c r="AW364" s="236"/>
      <c r="AX364" s="236"/>
      <c r="AY364" s="236"/>
      <c r="AZ364" s="236"/>
      <c r="BA364" s="236"/>
      <c r="BB364" s="236"/>
      <c r="BC364" s="236"/>
      <c r="BD364" s="236"/>
      <c r="BE364" s="236"/>
      <c r="BF364" s="236"/>
      <c r="BG364" s="236"/>
      <c r="BH364" s="236"/>
      <c r="BI364" s="236"/>
      <c r="BJ364" s="236"/>
      <c r="BK364" s="236"/>
      <c r="BL364" s="236"/>
      <c r="BM364" s="236"/>
      <c r="BN364" s="236"/>
      <c r="BO364" s="236"/>
      <c r="BP364" s="236"/>
      <c r="BQ364" s="236"/>
      <c r="BR364" s="236"/>
      <c r="BS364" s="236"/>
      <c r="BT364" s="236"/>
      <c r="BU364" s="236"/>
      <c r="BV364" s="236"/>
      <c r="BW364" s="236"/>
      <c r="BX364" s="236"/>
      <c r="BY364" s="236"/>
      <c r="BZ364" s="236"/>
      <c r="CA364" s="236"/>
      <c r="CB364" s="236"/>
      <c r="CC364" s="236"/>
      <c r="CD364" s="236"/>
      <c r="CE364" s="236"/>
      <c r="CF364" s="236"/>
      <c r="CG364" s="236"/>
      <c r="CH364" s="236"/>
      <c r="CI364" s="236"/>
      <c r="CJ364" s="236"/>
      <c r="CK364" s="236"/>
      <c r="CL364" s="236"/>
      <c r="CM364" s="236"/>
      <c r="CN364" s="236"/>
      <c r="CO364" s="236"/>
      <c r="CP364" s="236"/>
      <c r="CQ364" s="236"/>
      <c r="CR364" s="236"/>
      <c r="CS364" s="236"/>
      <c r="CT364" s="236"/>
      <c r="CU364" s="236"/>
      <c r="CV364" s="236"/>
      <c r="CW364" s="236"/>
      <c r="CX364" s="236"/>
      <c r="CY364" s="236"/>
      <c r="CZ364" s="236"/>
      <c r="DA364" s="236"/>
      <c r="DB364" s="236"/>
      <c r="DC364" s="236"/>
      <c r="DD364" s="236"/>
      <c r="DE364" s="236"/>
      <c r="DF364" s="236"/>
      <c r="DG364" s="236"/>
      <c r="DH364" s="236"/>
      <c r="DI364" s="236"/>
      <c r="DJ364" s="236"/>
      <c r="DK364" s="236"/>
      <c r="DL364" s="236"/>
      <c r="DM364" s="236"/>
      <c r="DN364" s="236"/>
      <c r="DO364" s="236"/>
      <c r="DP364" s="236"/>
      <c r="DQ364" s="236"/>
      <c r="DR364" s="236"/>
      <c r="DS364" s="236"/>
      <c r="DT364" s="236"/>
      <c r="DU364" s="236"/>
      <c r="DV364" s="236"/>
      <c r="DW364" s="236"/>
      <c r="DX364" s="236"/>
      <c r="DY364" s="236"/>
      <c r="DZ364" s="236"/>
      <c r="EA364" s="236"/>
      <c r="EB364" s="237">
        <f t="shared" si="40"/>
        <v>0</v>
      </c>
      <c r="EC364" s="237">
        <f t="shared" si="41"/>
        <v>0</v>
      </c>
      <c r="ED364" s="237">
        <f t="shared" si="42"/>
        <v>0</v>
      </c>
      <c r="EE364" s="237">
        <f t="shared" si="43"/>
        <v>0</v>
      </c>
      <c r="EF364" s="121"/>
      <c r="EG364" s="238">
        <f t="shared" si="44"/>
        <v>0</v>
      </c>
      <c r="EH364" s="121"/>
      <c r="EI364" s="237">
        <f t="shared" si="45"/>
        <v>0</v>
      </c>
      <c r="EJ364" s="121"/>
      <c r="EK364" s="237">
        <f t="shared" si="46"/>
        <v>0</v>
      </c>
      <c r="EL364" s="237"/>
      <c r="EM364" s="5"/>
      <c r="EN364" s="5"/>
      <c r="EO364" s="5"/>
      <c r="EP364" s="5"/>
      <c r="EQ364" s="237">
        <f t="shared" si="47"/>
        <v>0</v>
      </c>
      <c r="ER364" s="239">
        <v>23300</v>
      </c>
      <c r="ES364" s="5">
        <v>7.5</v>
      </c>
    </row>
    <row r="365" spans="1:149" x14ac:dyDescent="0.3">
      <c r="A365" s="124">
        <v>360</v>
      </c>
      <c r="B365" s="121"/>
      <c r="C365" s="121"/>
      <c r="D365" s="121"/>
      <c r="E365" s="121"/>
      <c r="F365" s="121"/>
      <c r="G365" s="121"/>
      <c r="H365" s="121"/>
      <c r="I365" s="121"/>
      <c r="J365" s="121"/>
      <c r="K365" s="121"/>
      <c r="L365" s="121"/>
      <c r="M365" s="121"/>
      <c r="N365" s="121"/>
      <c r="O365" s="235"/>
      <c r="P365" s="121"/>
      <c r="Q365" s="121"/>
      <c r="R365" s="121"/>
      <c r="S365" s="121"/>
      <c r="T365" s="121"/>
      <c r="U365" s="121"/>
      <c r="V365" s="121"/>
      <c r="W365" s="121"/>
      <c r="X365" s="117"/>
      <c r="Y365" s="117"/>
      <c r="Z365" s="121"/>
      <c r="AA365" s="121"/>
      <c r="AB365" s="236"/>
      <c r="AC365" s="236"/>
      <c r="AD365" s="236"/>
      <c r="AE365" s="236"/>
      <c r="AF365" s="236"/>
      <c r="AG365" s="236"/>
      <c r="AH365" s="236"/>
      <c r="AI365" s="236"/>
      <c r="AJ365" s="236"/>
      <c r="AK365" s="236"/>
      <c r="AL365" s="236"/>
      <c r="AM365" s="236"/>
      <c r="AN365" s="236"/>
      <c r="AO365" s="236"/>
      <c r="AP365" s="236"/>
      <c r="AQ365" s="236"/>
      <c r="AR365" s="236"/>
      <c r="AS365" s="236"/>
      <c r="AT365" s="236"/>
      <c r="AU365" s="236"/>
      <c r="AV365" s="236"/>
      <c r="AW365" s="236"/>
      <c r="AX365" s="236"/>
      <c r="AY365" s="236"/>
      <c r="AZ365" s="236"/>
      <c r="BA365" s="236"/>
      <c r="BB365" s="236"/>
      <c r="BC365" s="236"/>
      <c r="BD365" s="236"/>
      <c r="BE365" s="236"/>
      <c r="BF365" s="236"/>
      <c r="BG365" s="236"/>
      <c r="BH365" s="236"/>
      <c r="BI365" s="236"/>
      <c r="BJ365" s="236"/>
      <c r="BK365" s="236"/>
      <c r="BL365" s="236"/>
      <c r="BM365" s="236"/>
      <c r="BN365" s="236"/>
      <c r="BO365" s="236"/>
      <c r="BP365" s="236"/>
      <c r="BQ365" s="236"/>
      <c r="BR365" s="236"/>
      <c r="BS365" s="236"/>
      <c r="BT365" s="236"/>
      <c r="BU365" s="236"/>
      <c r="BV365" s="236"/>
      <c r="BW365" s="236"/>
      <c r="BX365" s="236"/>
      <c r="BY365" s="236"/>
      <c r="BZ365" s="236"/>
      <c r="CA365" s="236"/>
      <c r="CB365" s="236"/>
      <c r="CC365" s="236"/>
      <c r="CD365" s="236"/>
      <c r="CE365" s="236"/>
      <c r="CF365" s="236"/>
      <c r="CG365" s="236"/>
      <c r="CH365" s="236"/>
      <c r="CI365" s="236"/>
      <c r="CJ365" s="236"/>
      <c r="CK365" s="236"/>
      <c r="CL365" s="236"/>
      <c r="CM365" s="236"/>
      <c r="CN365" s="236"/>
      <c r="CO365" s="236"/>
      <c r="CP365" s="236"/>
      <c r="CQ365" s="236"/>
      <c r="CR365" s="236"/>
      <c r="CS365" s="236"/>
      <c r="CT365" s="236"/>
      <c r="CU365" s="236"/>
      <c r="CV365" s="236"/>
      <c r="CW365" s="236"/>
      <c r="CX365" s="236"/>
      <c r="CY365" s="236"/>
      <c r="CZ365" s="236"/>
      <c r="DA365" s="236"/>
      <c r="DB365" s="236"/>
      <c r="DC365" s="236"/>
      <c r="DD365" s="236"/>
      <c r="DE365" s="236"/>
      <c r="DF365" s="236"/>
      <c r="DG365" s="236"/>
      <c r="DH365" s="236"/>
      <c r="DI365" s="236"/>
      <c r="DJ365" s="236"/>
      <c r="DK365" s="236"/>
      <c r="DL365" s="236"/>
      <c r="DM365" s="236"/>
      <c r="DN365" s="236"/>
      <c r="DO365" s="236"/>
      <c r="DP365" s="236"/>
      <c r="DQ365" s="236"/>
      <c r="DR365" s="236"/>
      <c r="DS365" s="236"/>
      <c r="DT365" s="236"/>
      <c r="DU365" s="236"/>
      <c r="DV365" s="236"/>
      <c r="DW365" s="236"/>
      <c r="DX365" s="236"/>
      <c r="DY365" s="236"/>
      <c r="DZ365" s="236"/>
      <c r="EA365" s="236"/>
      <c r="EB365" s="237">
        <f t="shared" si="40"/>
        <v>0</v>
      </c>
      <c r="EC365" s="237">
        <f t="shared" si="41"/>
        <v>0</v>
      </c>
      <c r="ED365" s="237">
        <f t="shared" si="42"/>
        <v>0</v>
      </c>
      <c r="EE365" s="237">
        <f t="shared" si="43"/>
        <v>0</v>
      </c>
      <c r="EF365" s="121"/>
      <c r="EG365" s="238">
        <f t="shared" si="44"/>
        <v>0</v>
      </c>
      <c r="EH365" s="121"/>
      <c r="EI365" s="237">
        <f t="shared" si="45"/>
        <v>0</v>
      </c>
      <c r="EJ365" s="121"/>
      <c r="EK365" s="237">
        <f t="shared" si="46"/>
        <v>0</v>
      </c>
      <c r="EL365" s="237"/>
      <c r="EM365" s="5"/>
      <c r="EN365" s="5"/>
      <c r="EO365" s="5"/>
      <c r="EP365" s="5"/>
      <c r="EQ365" s="237">
        <f t="shared" si="47"/>
        <v>0</v>
      </c>
      <c r="ER365" s="239">
        <v>23300</v>
      </c>
      <c r="ES365" s="5">
        <v>7.5</v>
      </c>
    </row>
    <row r="366" spans="1:149" x14ac:dyDescent="0.3">
      <c r="A366" s="124">
        <v>361</v>
      </c>
      <c r="B366" s="121"/>
      <c r="C366" s="121"/>
      <c r="D366" s="121"/>
      <c r="E366" s="121"/>
      <c r="F366" s="121"/>
      <c r="G366" s="121"/>
      <c r="H366" s="121"/>
      <c r="I366" s="121"/>
      <c r="J366" s="121"/>
      <c r="K366" s="121"/>
      <c r="L366" s="121"/>
      <c r="M366" s="121"/>
      <c r="N366" s="121"/>
      <c r="O366" s="235"/>
      <c r="P366" s="121"/>
      <c r="Q366" s="121"/>
      <c r="R366" s="121"/>
      <c r="S366" s="121"/>
      <c r="T366" s="121"/>
      <c r="U366" s="121"/>
      <c r="V366" s="121"/>
      <c r="W366" s="121"/>
      <c r="X366" s="117"/>
      <c r="Y366" s="117"/>
      <c r="Z366" s="121"/>
      <c r="AA366" s="121"/>
      <c r="AB366" s="236"/>
      <c r="AC366" s="236"/>
      <c r="AD366" s="236"/>
      <c r="AE366" s="236"/>
      <c r="AF366" s="236"/>
      <c r="AG366" s="236"/>
      <c r="AH366" s="236"/>
      <c r="AI366" s="236"/>
      <c r="AJ366" s="236"/>
      <c r="AK366" s="236"/>
      <c r="AL366" s="236"/>
      <c r="AM366" s="236"/>
      <c r="AN366" s="236"/>
      <c r="AO366" s="236"/>
      <c r="AP366" s="236"/>
      <c r="AQ366" s="236"/>
      <c r="AR366" s="236"/>
      <c r="AS366" s="236"/>
      <c r="AT366" s="236"/>
      <c r="AU366" s="236"/>
      <c r="AV366" s="236"/>
      <c r="AW366" s="236"/>
      <c r="AX366" s="236"/>
      <c r="AY366" s="236"/>
      <c r="AZ366" s="236"/>
      <c r="BA366" s="236"/>
      <c r="BB366" s="236"/>
      <c r="BC366" s="236"/>
      <c r="BD366" s="236"/>
      <c r="BE366" s="236"/>
      <c r="BF366" s="236"/>
      <c r="BG366" s="236"/>
      <c r="BH366" s="236"/>
      <c r="BI366" s="236"/>
      <c r="BJ366" s="236"/>
      <c r="BK366" s="236"/>
      <c r="BL366" s="236"/>
      <c r="BM366" s="236"/>
      <c r="BN366" s="236"/>
      <c r="BO366" s="236"/>
      <c r="BP366" s="236"/>
      <c r="BQ366" s="236"/>
      <c r="BR366" s="236"/>
      <c r="BS366" s="236"/>
      <c r="BT366" s="236"/>
      <c r="BU366" s="236"/>
      <c r="BV366" s="236"/>
      <c r="BW366" s="236"/>
      <c r="BX366" s="236"/>
      <c r="BY366" s="236"/>
      <c r="BZ366" s="236"/>
      <c r="CA366" s="236"/>
      <c r="CB366" s="236"/>
      <c r="CC366" s="236"/>
      <c r="CD366" s="236"/>
      <c r="CE366" s="236"/>
      <c r="CF366" s="236"/>
      <c r="CG366" s="236"/>
      <c r="CH366" s="236"/>
      <c r="CI366" s="236"/>
      <c r="CJ366" s="236"/>
      <c r="CK366" s="236"/>
      <c r="CL366" s="236"/>
      <c r="CM366" s="236"/>
      <c r="CN366" s="236"/>
      <c r="CO366" s="236"/>
      <c r="CP366" s="236"/>
      <c r="CQ366" s="236"/>
      <c r="CR366" s="236"/>
      <c r="CS366" s="236"/>
      <c r="CT366" s="236"/>
      <c r="CU366" s="236"/>
      <c r="CV366" s="236"/>
      <c r="CW366" s="236"/>
      <c r="CX366" s="236"/>
      <c r="CY366" s="236"/>
      <c r="CZ366" s="236"/>
      <c r="DA366" s="236"/>
      <c r="DB366" s="236"/>
      <c r="DC366" s="236"/>
      <c r="DD366" s="236"/>
      <c r="DE366" s="236"/>
      <c r="DF366" s="236"/>
      <c r="DG366" s="236"/>
      <c r="DH366" s="236"/>
      <c r="DI366" s="236"/>
      <c r="DJ366" s="236"/>
      <c r="DK366" s="236"/>
      <c r="DL366" s="236"/>
      <c r="DM366" s="236"/>
      <c r="DN366" s="236"/>
      <c r="DO366" s="236"/>
      <c r="DP366" s="236"/>
      <c r="DQ366" s="236"/>
      <c r="DR366" s="236"/>
      <c r="DS366" s="236"/>
      <c r="DT366" s="236"/>
      <c r="DU366" s="236"/>
      <c r="DV366" s="236"/>
      <c r="DW366" s="236"/>
      <c r="DX366" s="236"/>
      <c r="DY366" s="236"/>
      <c r="DZ366" s="236"/>
      <c r="EA366" s="236"/>
      <c r="EB366" s="237">
        <f t="shared" si="40"/>
        <v>0</v>
      </c>
      <c r="EC366" s="237">
        <f t="shared" si="41"/>
        <v>0</v>
      </c>
      <c r="ED366" s="237">
        <f t="shared" si="42"/>
        <v>0</v>
      </c>
      <c r="EE366" s="237">
        <f t="shared" si="43"/>
        <v>0</v>
      </c>
      <c r="EF366" s="121"/>
      <c r="EG366" s="238">
        <f t="shared" si="44"/>
        <v>0</v>
      </c>
      <c r="EH366" s="121"/>
      <c r="EI366" s="237">
        <f t="shared" si="45"/>
        <v>0</v>
      </c>
      <c r="EJ366" s="121"/>
      <c r="EK366" s="237">
        <f t="shared" si="46"/>
        <v>0</v>
      </c>
      <c r="EL366" s="237"/>
      <c r="EM366" s="5"/>
      <c r="EN366" s="5"/>
      <c r="EO366" s="5"/>
      <c r="EP366" s="5"/>
      <c r="EQ366" s="237">
        <f t="shared" si="47"/>
        <v>0</v>
      </c>
      <c r="ER366" s="239">
        <v>23300</v>
      </c>
      <c r="ES366" s="5">
        <v>7.5</v>
      </c>
    </row>
    <row r="367" spans="1:149" x14ac:dyDescent="0.3">
      <c r="A367" s="124">
        <v>362</v>
      </c>
      <c r="B367" s="121"/>
      <c r="C367" s="121"/>
      <c r="D367" s="121"/>
      <c r="E367" s="121"/>
      <c r="F367" s="121"/>
      <c r="G367" s="121"/>
      <c r="H367" s="121"/>
      <c r="I367" s="121"/>
      <c r="J367" s="121"/>
      <c r="K367" s="121"/>
      <c r="L367" s="121"/>
      <c r="M367" s="121"/>
      <c r="N367" s="121"/>
      <c r="O367" s="235"/>
      <c r="P367" s="121"/>
      <c r="Q367" s="121"/>
      <c r="R367" s="121"/>
      <c r="S367" s="121"/>
      <c r="T367" s="121"/>
      <c r="U367" s="121"/>
      <c r="V367" s="121"/>
      <c r="W367" s="121"/>
      <c r="X367" s="117"/>
      <c r="Y367" s="117"/>
      <c r="Z367" s="121"/>
      <c r="AA367" s="121"/>
      <c r="AB367" s="236"/>
      <c r="AC367" s="236"/>
      <c r="AD367" s="236"/>
      <c r="AE367" s="236"/>
      <c r="AF367" s="236"/>
      <c r="AG367" s="236"/>
      <c r="AH367" s="236"/>
      <c r="AI367" s="236"/>
      <c r="AJ367" s="236"/>
      <c r="AK367" s="236"/>
      <c r="AL367" s="236"/>
      <c r="AM367" s="236"/>
      <c r="AN367" s="236"/>
      <c r="AO367" s="236"/>
      <c r="AP367" s="236"/>
      <c r="AQ367" s="236"/>
      <c r="AR367" s="236"/>
      <c r="AS367" s="236"/>
      <c r="AT367" s="236"/>
      <c r="AU367" s="236"/>
      <c r="AV367" s="236"/>
      <c r="AW367" s="236"/>
      <c r="AX367" s="236"/>
      <c r="AY367" s="236"/>
      <c r="AZ367" s="236"/>
      <c r="BA367" s="236"/>
      <c r="BB367" s="236"/>
      <c r="BC367" s="236"/>
      <c r="BD367" s="236"/>
      <c r="BE367" s="236"/>
      <c r="BF367" s="236"/>
      <c r="BG367" s="236"/>
      <c r="BH367" s="236"/>
      <c r="BI367" s="236"/>
      <c r="BJ367" s="236"/>
      <c r="BK367" s="236"/>
      <c r="BL367" s="236"/>
      <c r="BM367" s="236"/>
      <c r="BN367" s="236"/>
      <c r="BO367" s="236"/>
      <c r="BP367" s="236"/>
      <c r="BQ367" s="236"/>
      <c r="BR367" s="236"/>
      <c r="BS367" s="236"/>
      <c r="BT367" s="236"/>
      <c r="BU367" s="236"/>
      <c r="BV367" s="236"/>
      <c r="BW367" s="236"/>
      <c r="BX367" s="236"/>
      <c r="BY367" s="236"/>
      <c r="BZ367" s="236"/>
      <c r="CA367" s="236"/>
      <c r="CB367" s="236"/>
      <c r="CC367" s="236"/>
      <c r="CD367" s="236"/>
      <c r="CE367" s="236"/>
      <c r="CF367" s="236"/>
      <c r="CG367" s="236"/>
      <c r="CH367" s="236"/>
      <c r="CI367" s="236"/>
      <c r="CJ367" s="236"/>
      <c r="CK367" s="236"/>
      <c r="CL367" s="236"/>
      <c r="CM367" s="236"/>
      <c r="CN367" s="236"/>
      <c r="CO367" s="236"/>
      <c r="CP367" s="236"/>
      <c r="CQ367" s="236"/>
      <c r="CR367" s="236"/>
      <c r="CS367" s="236"/>
      <c r="CT367" s="236"/>
      <c r="CU367" s="236"/>
      <c r="CV367" s="236"/>
      <c r="CW367" s="236"/>
      <c r="CX367" s="236"/>
      <c r="CY367" s="236"/>
      <c r="CZ367" s="236"/>
      <c r="DA367" s="236"/>
      <c r="DB367" s="236"/>
      <c r="DC367" s="236"/>
      <c r="DD367" s="236"/>
      <c r="DE367" s="236"/>
      <c r="DF367" s="236"/>
      <c r="DG367" s="236"/>
      <c r="DH367" s="236"/>
      <c r="DI367" s="236"/>
      <c r="DJ367" s="236"/>
      <c r="DK367" s="236"/>
      <c r="DL367" s="236"/>
      <c r="DM367" s="236"/>
      <c r="DN367" s="236"/>
      <c r="DO367" s="236"/>
      <c r="DP367" s="236"/>
      <c r="DQ367" s="236"/>
      <c r="DR367" s="236"/>
      <c r="DS367" s="236"/>
      <c r="DT367" s="236"/>
      <c r="DU367" s="236"/>
      <c r="DV367" s="236"/>
      <c r="DW367" s="236"/>
      <c r="DX367" s="236"/>
      <c r="DY367" s="236"/>
      <c r="DZ367" s="236"/>
      <c r="EA367" s="236"/>
      <c r="EB367" s="237">
        <f t="shared" si="40"/>
        <v>0</v>
      </c>
      <c r="EC367" s="237">
        <f t="shared" si="41"/>
        <v>0</v>
      </c>
      <c r="ED367" s="237">
        <f t="shared" si="42"/>
        <v>0</v>
      </c>
      <c r="EE367" s="237">
        <f t="shared" si="43"/>
        <v>0</v>
      </c>
      <c r="EF367" s="121"/>
      <c r="EG367" s="238">
        <f t="shared" si="44"/>
        <v>0</v>
      </c>
      <c r="EH367" s="121"/>
      <c r="EI367" s="237">
        <f t="shared" si="45"/>
        <v>0</v>
      </c>
      <c r="EJ367" s="121"/>
      <c r="EK367" s="237">
        <f t="shared" si="46"/>
        <v>0</v>
      </c>
      <c r="EL367" s="237"/>
      <c r="EM367" s="5"/>
      <c r="EN367" s="5"/>
      <c r="EO367" s="5"/>
      <c r="EP367" s="5"/>
      <c r="EQ367" s="237">
        <f t="shared" si="47"/>
        <v>0</v>
      </c>
      <c r="ER367" s="239">
        <v>23300</v>
      </c>
      <c r="ES367" s="5">
        <v>7.5</v>
      </c>
    </row>
    <row r="368" spans="1:149" x14ac:dyDescent="0.3">
      <c r="A368" s="124">
        <v>363</v>
      </c>
      <c r="B368" s="121"/>
      <c r="C368" s="121"/>
      <c r="D368" s="121"/>
      <c r="E368" s="121"/>
      <c r="F368" s="121"/>
      <c r="G368" s="121"/>
      <c r="H368" s="121"/>
      <c r="I368" s="121"/>
      <c r="J368" s="121"/>
      <c r="K368" s="121"/>
      <c r="L368" s="121"/>
      <c r="M368" s="121"/>
      <c r="N368" s="121"/>
      <c r="O368" s="235"/>
      <c r="P368" s="121"/>
      <c r="Q368" s="121"/>
      <c r="R368" s="121"/>
      <c r="S368" s="121"/>
      <c r="T368" s="121"/>
      <c r="U368" s="121"/>
      <c r="V368" s="121"/>
      <c r="W368" s="121"/>
      <c r="X368" s="117"/>
      <c r="Y368" s="117"/>
      <c r="Z368" s="121"/>
      <c r="AA368" s="121"/>
      <c r="AB368" s="236"/>
      <c r="AC368" s="236"/>
      <c r="AD368" s="236"/>
      <c r="AE368" s="236"/>
      <c r="AF368" s="236"/>
      <c r="AG368" s="236"/>
      <c r="AH368" s="236"/>
      <c r="AI368" s="236"/>
      <c r="AJ368" s="236"/>
      <c r="AK368" s="236"/>
      <c r="AL368" s="236"/>
      <c r="AM368" s="236"/>
      <c r="AN368" s="236"/>
      <c r="AO368" s="236"/>
      <c r="AP368" s="236"/>
      <c r="AQ368" s="236"/>
      <c r="AR368" s="236"/>
      <c r="AS368" s="236"/>
      <c r="AT368" s="236"/>
      <c r="AU368" s="236"/>
      <c r="AV368" s="236"/>
      <c r="AW368" s="236"/>
      <c r="AX368" s="236"/>
      <c r="AY368" s="236"/>
      <c r="AZ368" s="236"/>
      <c r="BA368" s="236"/>
      <c r="BB368" s="236"/>
      <c r="BC368" s="236"/>
      <c r="BD368" s="236"/>
      <c r="BE368" s="236"/>
      <c r="BF368" s="236"/>
      <c r="BG368" s="236"/>
      <c r="BH368" s="236"/>
      <c r="BI368" s="236"/>
      <c r="BJ368" s="236"/>
      <c r="BK368" s="236"/>
      <c r="BL368" s="236"/>
      <c r="BM368" s="236"/>
      <c r="BN368" s="236"/>
      <c r="BO368" s="236"/>
      <c r="BP368" s="236"/>
      <c r="BQ368" s="236"/>
      <c r="BR368" s="236"/>
      <c r="BS368" s="236"/>
      <c r="BT368" s="236"/>
      <c r="BU368" s="236"/>
      <c r="BV368" s="236"/>
      <c r="BW368" s="236"/>
      <c r="BX368" s="236"/>
      <c r="BY368" s="236"/>
      <c r="BZ368" s="236"/>
      <c r="CA368" s="236"/>
      <c r="CB368" s="236"/>
      <c r="CC368" s="236"/>
      <c r="CD368" s="236"/>
      <c r="CE368" s="236"/>
      <c r="CF368" s="236"/>
      <c r="CG368" s="236"/>
      <c r="CH368" s="236"/>
      <c r="CI368" s="236"/>
      <c r="CJ368" s="236"/>
      <c r="CK368" s="236"/>
      <c r="CL368" s="236"/>
      <c r="CM368" s="236"/>
      <c r="CN368" s="236"/>
      <c r="CO368" s="236"/>
      <c r="CP368" s="236"/>
      <c r="CQ368" s="236"/>
      <c r="CR368" s="236"/>
      <c r="CS368" s="236"/>
      <c r="CT368" s="236"/>
      <c r="CU368" s="236"/>
      <c r="CV368" s="236"/>
      <c r="CW368" s="236"/>
      <c r="CX368" s="236"/>
      <c r="CY368" s="236"/>
      <c r="CZ368" s="236"/>
      <c r="DA368" s="236"/>
      <c r="DB368" s="236"/>
      <c r="DC368" s="236"/>
      <c r="DD368" s="236"/>
      <c r="DE368" s="236"/>
      <c r="DF368" s="236"/>
      <c r="DG368" s="236"/>
      <c r="DH368" s="236"/>
      <c r="DI368" s="236"/>
      <c r="DJ368" s="236"/>
      <c r="DK368" s="236"/>
      <c r="DL368" s="236"/>
      <c r="DM368" s="236"/>
      <c r="DN368" s="236"/>
      <c r="DO368" s="236"/>
      <c r="DP368" s="236"/>
      <c r="DQ368" s="236"/>
      <c r="DR368" s="236"/>
      <c r="DS368" s="236"/>
      <c r="DT368" s="236"/>
      <c r="DU368" s="236"/>
      <c r="DV368" s="236"/>
      <c r="DW368" s="236"/>
      <c r="DX368" s="236"/>
      <c r="DY368" s="236"/>
      <c r="DZ368" s="236"/>
      <c r="EA368" s="236"/>
      <c r="EB368" s="237">
        <f t="shared" si="40"/>
        <v>0</v>
      </c>
      <c r="EC368" s="237">
        <f t="shared" si="41"/>
        <v>0</v>
      </c>
      <c r="ED368" s="237">
        <f t="shared" si="42"/>
        <v>0</v>
      </c>
      <c r="EE368" s="237">
        <f t="shared" si="43"/>
        <v>0</v>
      </c>
      <c r="EF368" s="121"/>
      <c r="EG368" s="238">
        <f t="shared" si="44"/>
        <v>0</v>
      </c>
      <c r="EH368" s="121"/>
      <c r="EI368" s="237">
        <f t="shared" si="45"/>
        <v>0</v>
      </c>
      <c r="EJ368" s="121"/>
      <c r="EK368" s="237">
        <f t="shared" si="46"/>
        <v>0</v>
      </c>
      <c r="EL368" s="237"/>
      <c r="EM368" s="5"/>
      <c r="EN368" s="5"/>
      <c r="EO368" s="5"/>
      <c r="EP368" s="5"/>
      <c r="EQ368" s="237">
        <f t="shared" si="47"/>
        <v>0</v>
      </c>
      <c r="ER368" s="239">
        <v>23300</v>
      </c>
      <c r="ES368" s="5">
        <v>7.5</v>
      </c>
    </row>
    <row r="369" spans="1:149" x14ac:dyDescent="0.3">
      <c r="A369" s="124">
        <v>364</v>
      </c>
      <c r="B369" s="121"/>
      <c r="C369" s="121"/>
      <c r="D369" s="121"/>
      <c r="E369" s="121"/>
      <c r="F369" s="121"/>
      <c r="G369" s="121"/>
      <c r="H369" s="121"/>
      <c r="I369" s="121"/>
      <c r="J369" s="121"/>
      <c r="K369" s="121"/>
      <c r="L369" s="121"/>
      <c r="M369" s="121"/>
      <c r="N369" s="121"/>
      <c r="O369" s="235"/>
      <c r="P369" s="121"/>
      <c r="Q369" s="121"/>
      <c r="R369" s="121"/>
      <c r="S369" s="121"/>
      <c r="T369" s="121"/>
      <c r="U369" s="121"/>
      <c r="V369" s="121"/>
      <c r="W369" s="121"/>
      <c r="X369" s="117"/>
      <c r="Y369" s="117"/>
      <c r="Z369" s="121"/>
      <c r="AA369" s="121"/>
      <c r="AB369" s="236"/>
      <c r="AC369" s="236"/>
      <c r="AD369" s="236"/>
      <c r="AE369" s="236"/>
      <c r="AF369" s="236"/>
      <c r="AG369" s="236"/>
      <c r="AH369" s="236"/>
      <c r="AI369" s="236"/>
      <c r="AJ369" s="236"/>
      <c r="AK369" s="236"/>
      <c r="AL369" s="236"/>
      <c r="AM369" s="236"/>
      <c r="AN369" s="236"/>
      <c r="AO369" s="236"/>
      <c r="AP369" s="236"/>
      <c r="AQ369" s="236"/>
      <c r="AR369" s="236"/>
      <c r="AS369" s="236"/>
      <c r="AT369" s="236"/>
      <c r="AU369" s="236"/>
      <c r="AV369" s="236"/>
      <c r="AW369" s="236"/>
      <c r="AX369" s="236"/>
      <c r="AY369" s="236"/>
      <c r="AZ369" s="236"/>
      <c r="BA369" s="236"/>
      <c r="BB369" s="236"/>
      <c r="BC369" s="236"/>
      <c r="BD369" s="236"/>
      <c r="BE369" s="236"/>
      <c r="BF369" s="236"/>
      <c r="BG369" s="236"/>
      <c r="BH369" s="236"/>
      <c r="BI369" s="236"/>
      <c r="BJ369" s="236"/>
      <c r="BK369" s="236"/>
      <c r="BL369" s="236"/>
      <c r="BM369" s="236"/>
      <c r="BN369" s="236"/>
      <c r="BO369" s="236"/>
      <c r="BP369" s="236"/>
      <c r="BQ369" s="236"/>
      <c r="BR369" s="236"/>
      <c r="BS369" s="236"/>
      <c r="BT369" s="236"/>
      <c r="BU369" s="236"/>
      <c r="BV369" s="236"/>
      <c r="BW369" s="236"/>
      <c r="BX369" s="236"/>
      <c r="BY369" s="236"/>
      <c r="BZ369" s="236"/>
      <c r="CA369" s="236"/>
      <c r="CB369" s="236"/>
      <c r="CC369" s="236"/>
      <c r="CD369" s="236"/>
      <c r="CE369" s="236"/>
      <c r="CF369" s="236"/>
      <c r="CG369" s="236"/>
      <c r="CH369" s="236"/>
      <c r="CI369" s="236"/>
      <c r="CJ369" s="236"/>
      <c r="CK369" s="236"/>
      <c r="CL369" s="236"/>
      <c r="CM369" s="236"/>
      <c r="CN369" s="236"/>
      <c r="CO369" s="236"/>
      <c r="CP369" s="236"/>
      <c r="CQ369" s="236"/>
      <c r="CR369" s="236"/>
      <c r="CS369" s="236"/>
      <c r="CT369" s="236"/>
      <c r="CU369" s="236"/>
      <c r="CV369" s="236"/>
      <c r="CW369" s="236"/>
      <c r="CX369" s="236"/>
      <c r="CY369" s="236"/>
      <c r="CZ369" s="236"/>
      <c r="DA369" s="236"/>
      <c r="DB369" s="236"/>
      <c r="DC369" s="236"/>
      <c r="DD369" s="236"/>
      <c r="DE369" s="236"/>
      <c r="DF369" s="236"/>
      <c r="DG369" s="236"/>
      <c r="DH369" s="236"/>
      <c r="DI369" s="236"/>
      <c r="DJ369" s="236"/>
      <c r="DK369" s="236"/>
      <c r="DL369" s="236"/>
      <c r="DM369" s="236"/>
      <c r="DN369" s="236"/>
      <c r="DO369" s="236"/>
      <c r="DP369" s="236"/>
      <c r="DQ369" s="236"/>
      <c r="DR369" s="236"/>
      <c r="DS369" s="236"/>
      <c r="DT369" s="236"/>
      <c r="DU369" s="236"/>
      <c r="DV369" s="236"/>
      <c r="DW369" s="236"/>
      <c r="DX369" s="236"/>
      <c r="DY369" s="236"/>
      <c r="DZ369" s="236"/>
      <c r="EA369" s="236"/>
      <c r="EB369" s="237">
        <f t="shared" si="40"/>
        <v>0</v>
      </c>
      <c r="EC369" s="237">
        <f t="shared" si="41"/>
        <v>0</v>
      </c>
      <c r="ED369" s="237">
        <f t="shared" si="42"/>
        <v>0</v>
      </c>
      <c r="EE369" s="237">
        <f t="shared" si="43"/>
        <v>0</v>
      </c>
      <c r="EF369" s="121"/>
      <c r="EG369" s="238">
        <f t="shared" si="44"/>
        <v>0</v>
      </c>
      <c r="EH369" s="121"/>
      <c r="EI369" s="237">
        <f t="shared" si="45"/>
        <v>0</v>
      </c>
      <c r="EJ369" s="121"/>
      <c r="EK369" s="237">
        <f t="shared" si="46"/>
        <v>0</v>
      </c>
      <c r="EL369" s="237"/>
      <c r="EM369" s="5"/>
      <c r="EN369" s="5"/>
      <c r="EO369" s="5"/>
      <c r="EP369" s="5"/>
      <c r="EQ369" s="237">
        <f t="shared" si="47"/>
        <v>0</v>
      </c>
      <c r="ER369" s="239">
        <v>23300</v>
      </c>
      <c r="ES369" s="5">
        <v>7.5</v>
      </c>
    </row>
    <row r="370" spans="1:149" x14ac:dyDescent="0.3">
      <c r="A370" s="124">
        <v>365</v>
      </c>
      <c r="B370" s="121"/>
      <c r="C370" s="121"/>
      <c r="D370" s="121"/>
      <c r="E370" s="121"/>
      <c r="F370" s="121"/>
      <c r="G370" s="121"/>
      <c r="H370" s="121"/>
      <c r="I370" s="121"/>
      <c r="J370" s="121"/>
      <c r="K370" s="121"/>
      <c r="L370" s="121"/>
      <c r="M370" s="121"/>
      <c r="N370" s="121"/>
      <c r="O370" s="235"/>
      <c r="P370" s="121"/>
      <c r="Q370" s="121"/>
      <c r="R370" s="121"/>
      <c r="S370" s="121"/>
      <c r="T370" s="121"/>
      <c r="U370" s="121"/>
      <c r="V370" s="121"/>
      <c r="W370" s="121"/>
      <c r="X370" s="117"/>
      <c r="Y370" s="117"/>
      <c r="Z370" s="121"/>
      <c r="AA370" s="121"/>
      <c r="AB370" s="236"/>
      <c r="AC370" s="236"/>
      <c r="AD370" s="236"/>
      <c r="AE370" s="236"/>
      <c r="AF370" s="236"/>
      <c r="AG370" s="236"/>
      <c r="AH370" s="236"/>
      <c r="AI370" s="236"/>
      <c r="AJ370" s="236"/>
      <c r="AK370" s="236"/>
      <c r="AL370" s="236"/>
      <c r="AM370" s="236"/>
      <c r="AN370" s="236"/>
      <c r="AO370" s="236"/>
      <c r="AP370" s="236"/>
      <c r="AQ370" s="236"/>
      <c r="AR370" s="236"/>
      <c r="AS370" s="236"/>
      <c r="AT370" s="236"/>
      <c r="AU370" s="236"/>
      <c r="AV370" s="236"/>
      <c r="AW370" s="236"/>
      <c r="AX370" s="236"/>
      <c r="AY370" s="236"/>
      <c r="AZ370" s="236"/>
      <c r="BA370" s="236"/>
      <c r="BB370" s="236"/>
      <c r="BC370" s="236"/>
      <c r="BD370" s="236"/>
      <c r="BE370" s="236"/>
      <c r="BF370" s="236"/>
      <c r="BG370" s="236"/>
      <c r="BH370" s="236"/>
      <c r="BI370" s="236"/>
      <c r="BJ370" s="236"/>
      <c r="BK370" s="236"/>
      <c r="BL370" s="236"/>
      <c r="BM370" s="236"/>
      <c r="BN370" s="236"/>
      <c r="BO370" s="236"/>
      <c r="BP370" s="236"/>
      <c r="BQ370" s="236"/>
      <c r="BR370" s="236"/>
      <c r="BS370" s="236"/>
      <c r="BT370" s="236"/>
      <c r="BU370" s="236"/>
      <c r="BV370" s="236"/>
      <c r="BW370" s="236"/>
      <c r="BX370" s="236"/>
      <c r="BY370" s="236"/>
      <c r="BZ370" s="236"/>
      <c r="CA370" s="236"/>
      <c r="CB370" s="236"/>
      <c r="CC370" s="236"/>
      <c r="CD370" s="236"/>
      <c r="CE370" s="236"/>
      <c r="CF370" s="236"/>
      <c r="CG370" s="236"/>
      <c r="CH370" s="236"/>
      <c r="CI370" s="236"/>
      <c r="CJ370" s="236"/>
      <c r="CK370" s="236"/>
      <c r="CL370" s="236"/>
      <c r="CM370" s="236"/>
      <c r="CN370" s="236"/>
      <c r="CO370" s="236"/>
      <c r="CP370" s="236"/>
      <c r="CQ370" s="236"/>
      <c r="CR370" s="236"/>
      <c r="CS370" s="236"/>
      <c r="CT370" s="236"/>
      <c r="CU370" s="236"/>
      <c r="CV370" s="236"/>
      <c r="CW370" s="236"/>
      <c r="CX370" s="236"/>
      <c r="CY370" s="236"/>
      <c r="CZ370" s="236"/>
      <c r="DA370" s="236"/>
      <c r="DB370" s="236"/>
      <c r="DC370" s="236"/>
      <c r="DD370" s="236"/>
      <c r="DE370" s="236"/>
      <c r="DF370" s="236"/>
      <c r="DG370" s="236"/>
      <c r="DH370" s="236"/>
      <c r="DI370" s="236"/>
      <c r="DJ370" s="236"/>
      <c r="DK370" s="236"/>
      <c r="DL370" s="236"/>
      <c r="DM370" s="236"/>
      <c r="DN370" s="236"/>
      <c r="DO370" s="236"/>
      <c r="DP370" s="236"/>
      <c r="DQ370" s="236"/>
      <c r="DR370" s="236"/>
      <c r="DS370" s="236"/>
      <c r="DT370" s="236"/>
      <c r="DU370" s="236"/>
      <c r="DV370" s="236"/>
      <c r="DW370" s="236"/>
      <c r="DX370" s="236"/>
      <c r="DY370" s="236"/>
      <c r="DZ370" s="236"/>
      <c r="EA370" s="236"/>
      <c r="EB370" s="237">
        <f t="shared" si="40"/>
        <v>0</v>
      </c>
      <c r="EC370" s="237">
        <f t="shared" si="41"/>
        <v>0</v>
      </c>
      <c r="ED370" s="237">
        <f t="shared" si="42"/>
        <v>0</v>
      </c>
      <c r="EE370" s="237">
        <f t="shared" si="43"/>
        <v>0</v>
      </c>
      <c r="EF370" s="121"/>
      <c r="EG370" s="238">
        <f t="shared" si="44"/>
        <v>0</v>
      </c>
      <c r="EH370" s="121"/>
      <c r="EI370" s="237">
        <f t="shared" si="45"/>
        <v>0</v>
      </c>
      <c r="EJ370" s="121"/>
      <c r="EK370" s="237">
        <f t="shared" si="46"/>
        <v>0</v>
      </c>
      <c r="EL370" s="237"/>
      <c r="EM370" s="5"/>
      <c r="EN370" s="5"/>
      <c r="EO370" s="5"/>
      <c r="EP370" s="5"/>
      <c r="EQ370" s="237">
        <f t="shared" si="47"/>
        <v>0</v>
      </c>
      <c r="ER370" s="239">
        <v>23300</v>
      </c>
      <c r="ES370" s="5">
        <v>7.5</v>
      </c>
    </row>
    <row r="371" spans="1:149" x14ac:dyDescent="0.3">
      <c r="A371" s="124">
        <v>366</v>
      </c>
      <c r="B371" s="121"/>
      <c r="C371" s="121"/>
      <c r="D371" s="121"/>
      <c r="E371" s="121"/>
      <c r="F371" s="121"/>
      <c r="G371" s="121"/>
      <c r="H371" s="121"/>
      <c r="I371" s="121"/>
      <c r="J371" s="121"/>
      <c r="K371" s="121"/>
      <c r="L371" s="121"/>
      <c r="M371" s="121"/>
      <c r="N371" s="121"/>
      <c r="O371" s="235"/>
      <c r="P371" s="121"/>
      <c r="Q371" s="121"/>
      <c r="R371" s="121"/>
      <c r="S371" s="121"/>
      <c r="T371" s="121"/>
      <c r="U371" s="121"/>
      <c r="V371" s="121"/>
      <c r="W371" s="121"/>
      <c r="X371" s="117"/>
      <c r="Y371" s="117"/>
      <c r="Z371" s="121"/>
      <c r="AA371" s="121"/>
      <c r="AB371" s="236"/>
      <c r="AC371" s="236"/>
      <c r="AD371" s="236"/>
      <c r="AE371" s="236"/>
      <c r="AF371" s="236"/>
      <c r="AG371" s="236"/>
      <c r="AH371" s="236"/>
      <c r="AI371" s="236"/>
      <c r="AJ371" s="236"/>
      <c r="AK371" s="236"/>
      <c r="AL371" s="236"/>
      <c r="AM371" s="236"/>
      <c r="AN371" s="236"/>
      <c r="AO371" s="236"/>
      <c r="AP371" s="236"/>
      <c r="AQ371" s="236"/>
      <c r="AR371" s="236"/>
      <c r="AS371" s="236"/>
      <c r="AT371" s="236"/>
      <c r="AU371" s="236"/>
      <c r="AV371" s="236"/>
      <c r="AW371" s="236"/>
      <c r="AX371" s="236"/>
      <c r="AY371" s="236"/>
      <c r="AZ371" s="236"/>
      <c r="BA371" s="236"/>
      <c r="BB371" s="236"/>
      <c r="BC371" s="236"/>
      <c r="BD371" s="236"/>
      <c r="BE371" s="236"/>
      <c r="BF371" s="236"/>
      <c r="BG371" s="236"/>
      <c r="BH371" s="236"/>
      <c r="BI371" s="236"/>
      <c r="BJ371" s="236"/>
      <c r="BK371" s="236"/>
      <c r="BL371" s="236"/>
      <c r="BM371" s="236"/>
      <c r="BN371" s="236"/>
      <c r="BO371" s="236"/>
      <c r="BP371" s="236"/>
      <c r="BQ371" s="236"/>
      <c r="BR371" s="236"/>
      <c r="BS371" s="236"/>
      <c r="BT371" s="236"/>
      <c r="BU371" s="236"/>
      <c r="BV371" s="236"/>
      <c r="BW371" s="236"/>
      <c r="BX371" s="236"/>
      <c r="BY371" s="236"/>
      <c r="BZ371" s="236"/>
      <c r="CA371" s="236"/>
      <c r="CB371" s="236"/>
      <c r="CC371" s="236"/>
      <c r="CD371" s="236"/>
      <c r="CE371" s="236"/>
      <c r="CF371" s="236"/>
      <c r="CG371" s="236"/>
      <c r="CH371" s="236"/>
      <c r="CI371" s="236"/>
      <c r="CJ371" s="236"/>
      <c r="CK371" s="236"/>
      <c r="CL371" s="236"/>
      <c r="CM371" s="236"/>
      <c r="CN371" s="236"/>
      <c r="CO371" s="236"/>
      <c r="CP371" s="236"/>
      <c r="CQ371" s="236"/>
      <c r="CR371" s="236"/>
      <c r="CS371" s="236"/>
      <c r="CT371" s="236"/>
      <c r="CU371" s="236"/>
      <c r="CV371" s="236"/>
      <c r="CW371" s="236"/>
      <c r="CX371" s="236"/>
      <c r="CY371" s="236"/>
      <c r="CZ371" s="236"/>
      <c r="DA371" s="236"/>
      <c r="DB371" s="236"/>
      <c r="DC371" s="236"/>
      <c r="DD371" s="236"/>
      <c r="DE371" s="236"/>
      <c r="DF371" s="236"/>
      <c r="DG371" s="236"/>
      <c r="DH371" s="236"/>
      <c r="DI371" s="236"/>
      <c r="DJ371" s="236"/>
      <c r="DK371" s="236"/>
      <c r="DL371" s="236"/>
      <c r="DM371" s="236"/>
      <c r="DN371" s="236"/>
      <c r="DO371" s="236"/>
      <c r="DP371" s="236"/>
      <c r="DQ371" s="236"/>
      <c r="DR371" s="236"/>
      <c r="DS371" s="236"/>
      <c r="DT371" s="236"/>
      <c r="DU371" s="236"/>
      <c r="DV371" s="236"/>
      <c r="DW371" s="236"/>
      <c r="DX371" s="236"/>
      <c r="DY371" s="236"/>
      <c r="DZ371" s="236"/>
      <c r="EA371" s="236"/>
      <c r="EB371" s="237">
        <f t="shared" si="40"/>
        <v>0</v>
      </c>
      <c r="EC371" s="237">
        <f t="shared" si="41"/>
        <v>0</v>
      </c>
      <c r="ED371" s="237">
        <f t="shared" si="42"/>
        <v>0</v>
      </c>
      <c r="EE371" s="237">
        <f t="shared" si="43"/>
        <v>0</v>
      </c>
      <c r="EF371" s="121"/>
      <c r="EG371" s="238">
        <f t="shared" si="44"/>
        <v>0</v>
      </c>
      <c r="EH371" s="121"/>
      <c r="EI371" s="237">
        <f t="shared" si="45"/>
        <v>0</v>
      </c>
      <c r="EJ371" s="121"/>
      <c r="EK371" s="237">
        <f t="shared" si="46"/>
        <v>0</v>
      </c>
      <c r="EL371" s="237"/>
      <c r="EM371" s="5"/>
      <c r="EN371" s="5"/>
      <c r="EO371" s="5"/>
      <c r="EP371" s="5"/>
      <c r="EQ371" s="237">
        <f t="shared" si="47"/>
        <v>0</v>
      </c>
      <c r="ER371" s="239">
        <v>23300</v>
      </c>
      <c r="ES371" s="5">
        <v>7.5</v>
      </c>
    </row>
    <row r="372" spans="1:149" x14ac:dyDescent="0.3">
      <c r="A372" s="124">
        <v>367</v>
      </c>
      <c r="B372" s="121"/>
      <c r="C372" s="121"/>
      <c r="D372" s="121"/>
      <c r="E372" s="121"/>
      <c r="F372" s="121"/>
      <c r="G372" s="121"/>
      <c r="H372" s="121"/>
      <c r="I372" s="121"/>
      <c r="J372" s="121"/>
      <c r="K372" s="121"/>
      <c r="L372" s="121"/>
      <c r="M372" s="121"/>
      <c r="N372" s="121"/>
      <c r="O372" s="235"/>
      <c r="P372" s="121"/>
      <c r="Q372" s="121"/>
      <c r="R372" s="121"/>
      <c r="S372" s="121"/>
      <c r="T372" s="121"/>
      <c r="U372" s="121"/>
      <c r="V372" s="121"/>
      <c r="W372" s="121"/>
      <c r="X372" s="117"/>
      <c r="Y372" s="117"/>
      <c r="Z372" s="121"/>
      <c r="AA372" s="121"/>
      <c r="AB372" s="236"/>
      <c r="AC372" s="236"/>
      <c r="AD372" s="236"/>
      <c r="AE372" s="236"/>
      <c r="AF372" s="236"/>
      <c r="AG372" s="236"/>
      <c r="AH372" s="236"/>
      <c r="AI372" s="236"/>
      <c r="AJ372" s="236"/>
      <c r="AK372" s="236"/>
      <c r="AL372" s="236"/>
      <c r="AM372" s="236"/>
      <c r="AN372" s="236"/>
      <c r="AO372" s="236"/>
      <c r="AP372" s="236"/>
      <c r="AQ372" s="236"/>
      <c r="AR372" s="236"/>
      <c r="AS372" s="236"/>
      <c r="AT372" s="236"/>
      <c r="AU372" s="236"/>
      <c r="AV372" s="236"/>
      <c r="AW372" s="236"/>
      <c r="AX372" s="236"/>
      <c r="AY372" s="236"/>
      <c r="AZ372" s="236"/>
      <c r="BA372" s="236"/>
      <c r="BB372" s="236"/>
      <c r="BC372" s="236"/>
      <c r="BD372" s="236"/>
      <c r="BE372" s="236"/>
      <c r="BF372" s="236"/>
      <c r="BG372" s="236"/>
      <c r="BH372" s="236"/>
      <c r="BI372" s="236"/>
      <c r="BJ372" s="236"/>
      <c r="BK372" s="236"/>
      <c r="BL372" s="236"/>
      <c r="BM372" s="236"/>
      <c r="BN372" s="236"/>
      <c r="BO372" s="236"/>
      <c r="BP372" s="236"/>
      <c r="BQ372" s="236"/>
      <c r="BR372" s="236"/>
      <c r="BS372" s="236"/>
      <c r="BT372" s="236"/>
      <c r="BU372" s="236"/>
      <c r="BV372" s="236"/>
      <c r="BW372" s="236"/>
      <c r="BX372" s="236"/>
      <c r="BY372" s="236"/>
      <c r="BZ372" s="236"/>
      <c r="CA372" s="236"/>
      <c r="CB372" s="236"/>
      <c r="CC372" s="236"/>
      <c r="CD372" s="236"/>
      <c r="CE372" s="236"/>
      <c r="CF372" s="236"/>
      <c r="CG372" s="236"/>
      <c r="CH372" s="236"/>
      <c r="CI372" s="236"/>
      <c r="CJ372" s="236"/>
      <c r="CK372" s="236"/>
      <c r="CL372" s="236"/>
      <c r="CM372" s="236"/>
      <c r="CN372" s="236"/>
      <c r="CO372" s="236"/>
      <c r="CP372" s="236"/>
      <c r="CQ372" s="236"/>
      <c r="CR372" s="236"/>
      <c r="CS372" s="236"/>
      <c r="CT372" s="236"/>
      <c r="CU372" s="236"/>
      <c r="CV372" s="236"/>
      <c r="CW372" s="236"/>
      <c r="CX372" s="236"/>
      <c r="CY372" s="236"/>
      <c r="CZ372" s="236"/>
      <c r="DA372" s="236"/>
      <c r="DB372" s="236"/>
      <c r="DC372" s="236"/>
      <c r="DD372" s="236"/>
      <c r="DE372" s="236"/>
      <c r="DF372" s="236"/>
      <c r="DG372" s="236"/>
      <c r="DH372" s="236"/>
      <c r="DI372" s="236"/>
      <c r="DJ372" s="236"/>
      <c r="DK372" s="236"/>
      <c r="DL372" s="236"/>
      <c r="DM372" s="236"/>
      <c r="DN372" s="236"/>
      <c r="DO372" s="236"/>
      <c r="DP372" s="236"/>
      <c r="DQ372" s="236"/>
      <c r="DR372" s="236"/>
      <c r="DS372" s="236"/>
      <c r="DT372" s="236"/>
      <c r="DU372" s="236"/>
      <c r="DV372" s="236"/>
      <c r="DW372" s="236"/>
      <c r="DX372" s="236"/>
      <c r="DY372" s="236"/>
      <c r="DZ372" s="236"/>
      <c r="EA372" s="236"/>
      <c r="EB372" s="237">
        <f t="shared" si="40"/>
        <v>0</v>
      </c>
      <c r="EC372" s="237">
        <f t="shared" si="41"/>
        <v>0</v>
      </c>
      <c r="ED372" s="237">
        <f t="shared" si="42"/>
        <v>0</v>
      </c>
      <c r="EE372" s="237">
        <f t="shared" si="43"/>
        <v>0</v>
      </c>
      <c r="EF372" s="121"/>
      <c r="EG372" s="238">
        <f t="shared" si="44"/>
        <v>0</v>
      </c>
      <c r="EH372" s="121"/>
      <c r="EI372" s="237">
        <f t="shared" si="45"/>
        <v>0</v>
      </c>
      <c r="EJ372" s="121"/>
      <c r="EK372" s="237">
        <f t="shared" si="46"/>
        <v>0</v>
      </c>
      <c r="EL372" s="237"/>
      <c r="EM372" s="5"/>
      <c r="EN372" s="5"/>
      <c r="EO372" s="5"/>
      <c r="EP372" s="5"/>
      <c r="EQ372" s="237">
        <f t="shared" si="47"/>
        <v>0</v>
      </c>
      <c r="ER372" s="239">
        <v>23300</v>
      </c>
      <c r="ES372" s="5">
        <v>7.5</v>
      </c>
    </row>
    <row r="373" spans="1:149" x14ac:dyDescent="0.3">
      <c r="A373" s="124">
        <v>368</v>
      </c>
      <c r="B373" s="121"/>
      <c r="C373" s="121"/>
      <c r="D373" s="121"/>
      <c r="E373" s="121"/>
      <c r="F373" s="121"/>
      <c r="G373" s="121"/>
      <c r="H373" s="121"/>
      <c r="I373" s="121"/>
      <c r="J373" s="121"/>
      <c r="K373" s="121"/>
      <c r="L373" s="121"/>
      <c r="M373" s="121"/>
      <c r="N373" s="121"/>
      <c r="O373" s="235"/>
      <c r="P373" s="121"/>
      <c r="Q373" s="121"/>
      <c r="R373" s="121"/>
      <c r="S373" s="121"/>
      <c r="T373" s="121"/>
      <c r="U373" s="121"/>
      <c r="V373" s="121"/>
      <c r="W373" s="121"/>
      <c r="X373" s="117"/>
      <c r="Y373" s="117"/>
      <c r="Z373" s="121"/>
      <c r="AA373" s="121"/>
      <c r="AB373" s="236"/>
      <c r="AC373" s="236"/>
      <c r="AD373" s="236"/>
      <c r="AE373" s="236"/>
      <c r="AF373" s="236"/>
      <c r="AG373" s="236"/>
      <c r="AH373" s="236"/>
      <c r="AI373" s="236"/>
      <c r="AJ373" s="236"/>
      <c r="AK373" s="236"/>
      <c r="AL373" s="236"/>
      <c r="AM373" s="236"/>
      <c r="AN373" s="236"/>
      <c r="AO373" s="236"/>
      <c r="AP373" s="236"/>
      <c r="AQ373" s="236"/>
      <c r="AR373" s="236"/>
      <c r="AS373" s="236"/>
      <c r="AT373" s="236"/>
      <c r="AU373" s="236"/>
      <c r="AV373" s="236"/>
      <c r="AW373" s="236"/>
      <c r="AX373" s="236"/>
      <c r="AY373" s="236"/>
      <c r="AZ373" s="236"/>
      <c r="BA373" s="236"/>
      <c r="BB373" s="236"/>
      <c r="BC373" s="236"/>
      <c r="BD373" s="236"/>
      <c r="BE373" s="236"/>
      <c r="BF373" s="236"/>
      <c r="BG373" s="236"/>
      <c r="BH373" s="236"/>
      <c r="BI373" s="236"/>
      <c r="BJ373" s="236"/>
      <c r="BK373" s="236"/>
      <c r="BL373" s="236"/>
      <c r="BM373" s="236"/>
      <c r="BN373" s="236"/>
      <c r="BO373" s="236"/>
      <c r="BP373" s="236"/>
      <c r="BQ373" s="236"/>
      <c r="BR373" s="236"/>
      <c r="BS373" s="236"/>
      <c r="BT373" s="236"/>
      <c r="BU373" s="236"/>
      <c r="BV373" s="236"/>
      <c r="BW373" s="236"/>
      <c r="BX373" s="236"/>
      <c r="BY373" s="236"/>
      <c r="BZ373" s="236"/>
      <c r="CA373" s="236"/>
      <c r="CB373" s="236"/>
      <c r="CC373" s="236"/>
      <c r="CD373" s="236"/>
      <c r="CE373" s="236"/>
      <c r="CF373" s="236"/>
      <c r="CG373" s="236"/>
      <c r="CH373" s="236"/>
      <c r="CI373" s="236"/>
      <c r="CJ373" s="236"/>
      <c r="CK373" s="236"/>
      <c r="CL373" s="236"/>
      <c r="CM373" s="236"/>
      <c r="CN373" s="236"/>
      <c r="CO373" s="236"/>
      <c r="CP373" s="236"/>
      <c r="CQ373" s="236"/>
      <c r="CR373" s="236"/>
      <c r="CS373" s="236"/>
      <c r="CT373" s="236"/>
      <c r="CU373" s="236"/>
      <c r="CV373" s="236"/>
      <c r="CW373" s="236"/>
      <c r="CX373" s="236"/>
      <c r="CY373" s="236"/>
      <c r="CZ373" s="236"/>
      <c r="DA373" s="236"/>
      <c r="DB373" s="236"/>
      <c r="DC373" s="236"/>
      <c r="DD373" s="236"/>
      <c r="DE373" s="236"/>
      <c r="DF373" s="236"/>
      <c r="DG373" s="236"/>
      <c r="DH373" s="236"/>
      <c r="DI373" s="236"/>
      <c r="DJ373" s="236"/>
      <c r="DK373" s="236"/>
      <c r="DL373" s="236"/>
      <c r="DM373" s="236"/>
      <c r="DN373" s="236"/>
      <c r="DO373" s="236"/>
      <c r="DP373" s="236"/>
      <c r="DQ373" s="236"/>
      <c r="DR373" s="236"/>
      <c r="DS373" s="236"/>
      <c r="DT373" s="236"/>
      <c r="DU373" s="236"/>
      <c r="DV373" s="236"/>
      <c r="DW373" s="236"/>
      <c r="DX373" s="236"/>
      <c r="DY373" s="236"/>
      <c r="DZ373" s="236"/>
      <c r="EA373" s="236"/>
      <c r="EB373" s="237">
        <f t="shared" si="40"/>
        <v>0</v>
      </c>
      <c r="EC373" s="237">
        <f t="shared" si="41"/>
        <v>0</v>
      </c>
      <c r="ED373" s="237">
        <f t="shared" si="42"/>
        <v>0</v>
      </c>
      <c r="EE373" s="237">
        <f t="shared" si="43"/>
        <v>0</v>
      </c>
      <c r="EF373" s="121"/>
      <c r="EG373" s="238">
        <f t="shared" si="44"/>
        <v>0</v>
      </c>
      <c r="EH373" s="121"/>
      <c r="EI373" s="237">
        <f t="shared" si="45"/>
        <v>0</v>
      </c>
      <c r="EJ373" s="121"/>
      <c r="EK373" s="237">
        <f t="shared" si="46"/>
        <v>0</v>
      </c>
      <c r="EL373" s="237"/>
      <c r="EM373" s="5"/>
      <c r="EN373" s="5"/>
      <c r="EO373" s="5"/>
      <c r="EP373" s="5"/>
      <c r="EQ373" s="237">
        <f t="shared" si="47"/>
        <v>0</v>
      </c>
      <c r="ER373" s="239">
        <v>23300</v>
      </c>
      <c r="ES373" s="5">
        <v>7.5</v>
      </c>
    </row>
    <row r="374" spans="1:149" x14ac:dyDescent="0.3">
      <c r="A374" s="124">
        <v>369</v>
      </c>
      <c r="B374" s="121"/>
      <c r="C374" s="121"/>
      <c r="D374" s="121"/>
      <c r="E374" s="121"/>
      <c r="F374" s="121"/>
      <c r="G374" s="121"/>
      <c r="H374" s="121"/>
      <c r="I374" s="121"/>
      <c r="J374" s="121"/>
      <c r="K374" s="121"/>
      <c r="L374" s="121"/>
      <c r="M374" s="121"/>
      <c r="N374" s="121"/>
      <c r="O374" s="235"/>
      <c r="P374" s="121"/>
      <c r="Q374" s="121"/>
      <c r="R374" s="121"/>
      <c r="S374" s="121"/>
      <c r="T374" s="121"/>
      <c r="U374" s="121"/>
      <c r="V374" s="121"/>
      <c r="W374" s="121"/>
      <c r="X374" s="117"/>
      <c r="Y374" s="117"/>
      <c r="Z374" s="121"/>
      <c r="AA374" s="121"/>
      <c r="AB374" s="236"/>
      <c r="AC374" s="236"/>
      <c r="AD374" s="236"/>
      <c r="AE374" s="236"/>
      <c r="AF374" s="236"/>
      <c r="AG374" s="236"/>
      <c r="AH374" s="236"/>
      <c r="AI374" s="236"/>
      <c r="AJ374" s="236"/>
      <c r="AK374" s="236"/>
      <c r="AL374" s="236"/>
      <c r="AM374" s="236"/>
      <c r="AN374" s="236"/>
      <c r="AO374" s="236"/>
      <c r="AP374" s="236"/>
      <c r="AQ374" s="236"/>
      <c r="AR374" s="236"/>
      <c r="AS374" s="236"/>
      <c r="AT374" s="236"/>
      <c r="AU374" s="236"/>
      <c r="AV374" s="236"/>
      <c r="AW374" s="236"/>
      <c r="AX374" s="236"/>
      <c r="AY374" s="236"/>
      <c r="AZ374" s="236"/>
      <c r="BA374" s="236"/>
      <c r="BB374" s="236"/>
      <c r="BC374" s="236"/>
      <c r="BD374" s="236"/>
      <c r="BE374" s="236"/>
      <c r="BF374" s="236"/>
      <c r="BG374" s="236"/>
      <c r="BH374" s="236"/>
      <c r="BI374" s="236"/>
      <c r="BJ374" s="236"/>
      <c r="BK374" s="236"/>
      <c r="BL374" s="236"/>
      <c r="BM374" s="236"/>
      <c r="BN374" s="236"/>
      <c r="BO374" s="236"/>
      <c r="BP374" s="236"/>
      <c r="BQ374" s="236"/>
      <c r="BR374" s="236"/>
      <c r="BS374" s="236"/>
      <c r="BT374" s="236"/>
      <c r="BU374" s="236"/>
      <c r="BV374" s="236"/>
      <c r="BW374" s="236"/>
      <c r="BX374" s="236"/>
      <c r="BY374" s="236"/>
      <c r="BZ374" s="236"/>
      <c r="CA374" s="236"/>
      <c r="CB374" s="236"/>
      <c r="CC374" s="236"/>
      <c r="CD374" s="236"/>
      <c r="CE374" s="236"/>
      <c r="CF374" s="236"/>
      <c r="CG374" s="236"/>
      <c r="CH374" s="236"/>
      <c r="CI374" s="236"/>
      <c r="CJ374" s="236"/>
      <c r="CK374" s="236"/>
      <c r="CL374" s="236"/>
      <c r="CM374" s="236"/>
      <c r="CN374" s="236"/>
      <c r="CO374" s="236"/>
      <c r="CP374" s="236"/>
      <c r="CQ374" s="236"/>
      <c r="CR374" s="236"/>
      <c r="CS374" s="236"/>
      <c r="CT374" s="236"/>
      <c r="CU374" s="236"/>
      <c r="CV374" s="236"/>
      <c r="CW374" s="236"/>
      <c r="CX374" s="236"/>
      <c r="CY374" s="236"/>
      <c r="CZ374" s="236"/>
      <c r="DA374" s="236"/>
      <c r="DB374" s="236"/>
      <c r="DC374" s="236"/>
      <c r="DD374" s="236"/>
      <c r="DE374" s="236"/>
      <c r="DF374" s="236"/>
      <c r="DG374" s="236"/>
      <c r="DH374" s="236"/>
      <c r="DI374" s="236"/>
      <c r="DJ374" s="236"/>
      <c r="DK374" s="236"/>
      <c r="DL374" s="236"/>
      <c r="DM374" s="236"/>
      <c r="DN374" s="236"/>
      <c r="DO374" s="236"/>
      <c r="DP374" s="236"/>
      <c r="DQ374" s="236"/>
      <c r="DR374" s="236"/>
      <c r="DS374" s="236"/>
      <c r="DT374" s="236"/>
      <c r="DU374" s="236"/>
      <c r="DV374" s="236"/>
      <c r="DW374" s="236"/>
      <c r="DX374" s="236"/>
      <c r="DY374" s="236"/>
      <c r="DZ374" s="236"/>
      <c r="EA374" s="236"/>
      <c r="EB374" s="237">
        <f t="shared" si="40"/>
        <v>0</v>
      </c>
      <c r="EC374" s="237">
        <f t="shared" si="41"/>
        <v>0</v>
      </c>
      <c r="ED374" s="237">
        <f t="shared" si="42"/>
        <v>0</v>
      </c>
      <c r="EE374" s="237">
        <f t="shared" si="43"/>
        <v>0</v>
      </c>
      <c r="EF374" s="121"/>
      <c r="EG374" s="238">
        <f t="shared" si="44"/>
        <v>0</v>
      </c>
      <c r="EH374" s="121"/>
      <c r="EI374" s="237">
        <f t="shared" si="45"/>
        <v>0</v>
      </c>
      <c r="EJ374" s="121"/>
      <c r="EK374" s="237">
        <f t="shared" si="46"/>
        <v>0</v>
      </c>
      <c r="EL374" s="237"/>
      <c r="EM374" s="5"/>
      <c r="EN374" s="5"/>
      <c r="EO374" s="5"/>
      <c r="EP374" s="5"/>
      <c r="EQ374" s="237">
        <f t="shared" si="47"/>
        <v>0</v>
      </c>
      <c r="ER374" s="239">
        <v>23300</v>
      </c>
      <c r="ES374" s="5">
        <v>7.5</v>
      </c>
    </row>
    <row r="375" spans="1:149" x14ac:dyDescent="0.3">
      <c r="A375" s="124">
        <v>370</v>
      </c>
      <c r="B375" s="121"/>
      <c r="C375" s="121"/>
      <c r="D375" s="121"/>
      <c r="E375" s="121"/>
      <c r="F375" s="121"/>
      <c r="G375" s="121"/>
      <c r="H375" s="121"/>
      <c r="I375" s="121"/>
      <c r="J375" s="121"/>
      <c r="K375" s="121"/>
      <c r="L375" s="121"/>
      <c r="M375" s="121"/>
      <c r="N375" s="121"/>
      <c r="O375" s="235"/>
      <c r="P375" s="121"/>
      <c r="Q375" s="121"/>
      <c r="R375" s="121"/>
      <c r="S375" s="121"/>
      <c r="T375" s="121"/>
      <c r="U375" s="121"/>
      <c r="V375" s="121"/>
      <c r="W375" s="121"/>
      <c r="X375" s="117"/>
      <c r="Y375" s="117"/>
      <c r="Z375" s="121"/>
      <c r="AA375" s="121"/>
      <c r="AB375" s="236"/>
      <c r="AC375" s="236"/>
      <c r="AD375" s="236"/>
      <c r="AE375" s="236"/>
      <c r="AF375" s="236"/>
      <c r="AG375" s="236"/>
      <c r="AH375" s="236"/>
      <c r="AI375" s="236"/>
      <c r="AJ375" s="236"/>
      <c r="AK375" s="236"/>
      <c r="AL375" s="236"/>
      <c r="AM375" s="236"/>
      <c r="AN375" s="236"/>
      <c r="AO375" s="236"/>
      <c r="AP375" s="236"/>
      <c r="AQ375" s="236"/>
      <c r="AR375" s="236"/>
      <c r="AS375" s="236"/>
      <c r="AT375" s="236"/>
      <c r="AU375" s="236"/>
      <c r="AV375" s="236"/>
      <c r="AW375" s="236"/>
      <c r="AX375" s="236"/>
      <c r="AY375" s="236"/>
      <c r="AZ375" s="236"/>
      <c r="BA375" s="236"/>
      <c r="BB375" s="236"/>
      <c r="BC375" s="236"/>
      <c r="BD375" s="236"/>
      <c r="BE375" s="236"/>
      <c r="BF375" s="236"/>
      <c r="BG375" s="236"/>
      <c r="BH375" s="236"/>
      <c r="BI375" s="236"/>
      <c r="BJ375" s="236"/>
      <c r="BK375" s="236"/>
      <c r="BL375" s="236"/>
      <c r="BM375" s="236"/>
      <c r="BN375" s="236"/>
      <c r="BO375" s="236"/>
      <c r="BP375" s="236"/>
      <c r="BQ375" s="236"/>
      <c r="BR375" s="236"/>
      <c r="BS375" s="236"/>
      <c r="BT375" s="236"/>
      <c r="BU375" s="236"/>
      <c r="BV375" s="236"/>
      <c r="BW375" s="236"/>
      <c r="BX375" s="236"/>
      <c r="BY375" s="236"/>
      <c r="BZ375" s="236"/>
      <c r="CA375" s="236"/>
      <c r="CB375" s="236"/>
      <c r="CC375" s="236"/>
      <c r="CD375" s="236"/>
      <c r="CE375" s="236"/>
      <c r="CF375" s="236"/>
      <c r="CG375" s="236"/>
      <c r="CH375" s="236"/>
      <c r="CI375" s="236"/>
      <c r="CJ375" s="236"/>
      <c r="CK375" s="236"/>
      <c r="CL375" s="236"/>
      <c r="CM375" s="236"/>
      <c r="CN375" s="236"/>
      <c r="CO375" s="236"/>
      <c r="CP375" s="236"/>
      <c r="CQ375" s="236"/>
      <c r="CR375" s="236"/>
      <c r="CS375" s="236"/>
      <c r="CT375" s="236"/>
      <c r="CU375" s="236"/>
      <c r="CV375" s="236"/>
      <c r="CW375" s="236"/>
      <c r="CX375" s="236"/>
      <c r="CY375" s="236"/>
      <c r="CZ375" s="236"/>
      <c r="DA375" s="236"/>
      <c r="DB375" s="236"/>
      <c r="DC375" s="236"/>
      <c r="DD375" s="236"/>
      <c r="DE375" s="236"/>
      <c r="DF375" s="236"/>
      <c r="DG375" s="236"/>
      <c r="DH375" s="236"/>
      <c r="DI375" s="236"/>
      <c r="DJ375" s="236"/>
      <c r="DK375" s="236"/>
      <c r="DL375" s="236"/>
      <c r="DM375" s="236"/>
      <c r="DN375" s="236"/>
      <c r="DO375" s="236"/>
      <c r="DP375" s="236"/>
      <c r="DQ375" s="236"/>
      <c r="DR375" s="236"/>
      <c r="DS375" s="236"/>
      <c r="DT375" s="236"/>
      <c r="DU375" s="236"/>
      <c r="DV375" s="236"/>
      <c r="DW375" s="236"/>
      <c r="DX375" s="236"/>
      <c r="DY375" s="236"/>
      <c r="DZ375" s="236"/>
      <c r="EA375" s="236"/>
      <c r="EB375" s="237">
        <f t="shared" si="40"/>
        <v>0</v>
      </c>
      <c r="EC375" s="237">
        <f t="shared" si="41"/>
        <v>0</v>
      </c>
      <c r="ED375" s="237">
        <f t="shared" si="42"/>
        <v>0</v>
      </c>
      <c r="EE375" s="237">
        <f t="shared" si="43"/>
        <v>0</v>
      </c>
      <c r="EF375" s="121"/>
      <c r="EG375" s="238">
        <f t="shared" si="44"/>
        <v>0</v>
      </c>
      <c r="EH375" s="121"/>
      <c r="EI375" s="237">
        <f t="shared" si="45"/>
        <v>0</v>
      </c>
      <c r="EJ375" s="121"/>
      <c r="EK375" s="237">
        <f t="shared" si="46"/>
        <v>0</v>
      </c>
      <c r="EL375" s="237"/>
      <c r="EM375" s="5"/>
      <c r="EN375" s="5"/>
      <c r="EO375" s="5"/>
      <c r="EP375" s="5"/>
      <c r="EQ375" s="237">
        <f t="shared" si="47"/>
        <v>0</v>
      </c>
      <c r="ER375" s="239">
        <v>23300</v>
      </c>
      <c r="ES375" s="5">
        <v>7.5</v>
      </c>
    </row>
    <row r="376" spans="1:149" x14ac:dyDescent="0.3">
      <c r="A376" s="124">
        <v>371</v>
      </c>
      <c r="B376" s="121"/>
      <c r="C376" s="121"/>
      <c r="D376" s="121"/>
      <c r="E376" s="121"/>
      <c r="F376" s="121"/>
      <c r="G376" s="121"/>
      <c r="H376" s="121"/>
      <c r="I376" s="121"/>
      <c r="J376" s="121"/>
      <c r="K376" s="121"/>
      <c r="L376" s="121"/>
      <c r="M376" s="121"/>
      <c r="N376" s="121"/>
      <c r="O376" s="235"/>
      <c r="P376" s="121"/>
      <c r="Q376" s="121"/>
      <c r="R376" s="121"/>
      <c r="S376" s="121"/>
      <c r="T376" s="121"/>
      <c r="U376" s="121"/>
      <c r="V376" s="121"/>
      <c r="W376" s="121"/>
      <c r="X376" s="117"/>
      <c r="Y376" s="117"/>
      <c r="Z376" s="121"/>
      <c r="AA376" s="121"/>
      <c r="AB376" s="236"/>
      <c r="AC376" s="236"/>
      <c r="AD376" s="236"/>
      <c r="AE376" s="236"/>
      <c r="AF376" s="236"/>
      <c r="AG376" s="236"/>
      <c r="AH376" s="236"/>
      <c r="AI376" s="236"/>
      <c r="AJ376" s="236"/>
      <c r="AK376" s="236"/>
      <c r="AL376" s="236"/>
      <c r="AM376" s="236"/>
      <c r="AN376" s="236"/>
      <c r="AO376" s="236"/>
      <c r="AP376" s="236"/>
      <c r="AQ376" s="236"/>
      <c r="AR376" s="236"/>
      <c r="AS376" s="236"/>
      <c r="AT376" s="236"/>
      <c r="AU376" s="236"/>
      <c r="AV376" s="236"/>
      <c r="AW376" s="236"/>
      <c r="AX376" s="236"/>
      <c r="AY376" s="236"/>
      <c r="AZ376" s="236"/>
      <c r="BA376" s="236"/>
      <c r="BB376" s="236"/>
      <c r="BC376" s="236"/>
      <c r="BD376" s="236"/>
      <c r="BE376" s="236"/>
      <c r="BF376" s="236"/>
      <c r="BG376" s="236"/>
      <c r="BH376" s="236"/>
      <c r="BI376" s="236"/>
      <c r="BJ376" s="236"/>
      <c r="BK376" s="236"/>
      <c r="BL376" s="236"/>
      <c r="BM376" s="236"/>
      <c r="BN376" s="236"/>
      <c r="BO376" s="236"/>
      <c r="BP376" s="236"/>
      <c r="BQ376" s="236"/>
      <c r="BR376" s="236"/>
      <c r="BS376" s="236"/>
      <c r="BT376" s="236"/>
      <c r="BU376" s="236"/>
      <c r="BV376" s="236"/>
      <c r="BW376" s="236"/>
      <c r="BX376" s="236"/>
      <c r="BY376" s="236"/>
      <c r="BZ376" s="236"/>
      <c r="CA376" s="236"/>
      <c r="CB376" s="236"/>
      <c r="CC376" s="236"/>
      <c r="CD376" s="236"/>
      <c r="CE376" s="236"/>
      <c r="CF376" s="236"/>
      <c r="CG376" s="236"/>
      <c r="CH376" s="236"/>
      <c r="CI376" s="236"/>
      <c r="CJ376" s="236"/>
      <c r="CK376" s="236"/>
      <c r="CL376" s="236"/>
      <c r="CM376" s="236"/>
      <c r="CN376" s="236"/>
      <c r="CO376" s="236"/>
      <c r="CP376" s="236"/>
      <c r="CQ376" s="236"/>
      <c r="CR376" s="236"/>
      <c r="CS376" s="236"/>
      <c r="CT376" s="236"/>
      <c r="CU376" s="236"/>
      <c r="CV376" s="236"/>
      <c r="CW376" s="236"/>
      <c r="CX376" s="236"/>
      <c r="CY376" s="236"/>
      <c r="CZ376" s="236"/>
      <c r="DA376" s="236"/>
      <c r="DB376" s="236"/>
      <c r="DC376" s="236"/>
      <c r="DD376" s="236"/>
      <c r="DE376" s="236"/>
      <c r="DF376" s="236"/>
      <c r="DG376" s="236"/>
      <c r="DH376" s="236"/>
      <c r="DI376" s="236"/>
      <c r="DJ376" s="236"/>
      <c r="DK376" s="236"/>
      <c r="DL376" s="236"/>
      <c r="DM376" s="236"/>
      <c r="DN376" s="236"/>
      <c r="DO376" s="236"/>
      <c r="DP376" s="236"/>
      <c r="DQ376" s="236"/>
      <c r="DR376" s="236"/>
      <c r="DS376" s="236"/>
      <c r="DT376" s="236"/>
      <c r="DU376" s="236"/>
      <c r="DV376" s="236"/>
      <c r="DW376" s="236"/>
      <c r="DX376" s="236"/>
      <c r="DY376" s="236"/>
      <c r="DZ376" s="236"/>
      <c r="EA376" s="236"/>
      <c r="EB376" s="237">
        <f t="shared" si="40"/>
        <v>0</v>
      </c>
      <c r="EC376" s="237">
        <f t="shared" si="41"/>
        <v>0</v>
      </c>
      <c r="ED376" s="237">
        <f t="shared" si="42"/>
        <v>0</v>
      </c>
      <c r="EE376" s="237">
        <f t="shared" si="43"/>
        <v>0</v>
      </c>
      <c r="EF376" s="121"/>
      <c r="EG376" s="238">
        <f t="shared" si="44"/>
        <v>0</v>
      </c>
      <c r="EH376" s="121"/>
      <c r="EI376" s="237">
        <f t="shared" si="45"/>
        <v>0</v>
      </c>
      <c r="EJ376" s="121"/>
      <c r="EK376" s="237">
        <f t="shared" si="46"/>
        <v>0</v>
      </c>
      <c r="EL376" s="237"/>
      <c r="EM376" s="5"/>
      <c r="EN376" s="5"/>
      <c r="EO376" s="5"/>
      <c r="EP376" s="5"/>
      <c r="EQ376" s="237">
        <f t="shared" si="47"/>
        <v>0</v>
      </c>
      <c r="ER376" s="239">
        <v>23300</v>
      </c>
      <c r="ES376" s="5">
        <v>7.5</v>
      </c>
    </row>
    <row r="377" spans="1:149" x14ac:dyDescent="0.3">
      <c r="A377" s="124">
        <v>372</v>
      </c>
      <c r="B377" s="121"/>
      <c r="C377" s="121"/>
      <c r="D377" s="121"/>
      <c r="E377" s="121"/>
      <c r="F377" s="121"/>
      <c r="G377" s="121"/>
      <c r="H377" s="121"/>
      <c r="I377" s="121"/>
      <c r="J377" s="121"/>
      <c r="K377" s="121"/>
      <c r="L377" s="121"/>
      <c r="M377" s="121"/>
      <c r="N377" s="121"/>
      <c r="O377" s="235"/>
      <c r="P377" s="121"/>
      <c r="Q377" s="121"/>
      <c r="R377" s="121"/>
      <c r="S377" s="121"/>
      <c r="T377" s="121"/>
      <c r="U377" s="121"/>
      <c r="V377" s="121"/>
      <c r="W377" s="121"/>
      <c r="X377" s="117"/>
      <c r="Y377" s="117"/>
      <c r="Z377" s="121"/>
      <c r="AA377" s="121"/>
      <c r="AB377" s="236"/>
      <c r="AC377" s="236"/>
      <c r="AD377" s="236"/>
      <c r="AE377" s="236"/>
      <c r="AF377" s="236"/>
      <c r="AG377" s="236"/>
      <c r="AH377" s="236"/>
      <c r="AI377" s="236"/>
      <c r="AJ377" s="236"/>
      <c r="AK377" s="236"/>
      <c r="AL377" s="236"/>
      <c r="AM377" s="236"/>
      <c r="AN377" s="236"/>
      <c r="AO377" s="236"/>
      <c r="AP377" s="236"/>
      <c r="AQ377" s="236"/>
      <c r="AR377" s="236"/>
      <c r="AS377" s="236"/>
      <c r="AT377" s="236"/>
      <c r="AU377" s="236"/>
      <c r="AV377" s="236"/>
      <c r="AW377" s="236"/>
      <c r="AX377" s="236"/>
      <c r="AY377" s="236"/>
      <c r="AZ377" s="236"/>
      <c r="BA377" s="236"/>
      <c r="BB377" s="236"/>
      <c r="BC377" s="236"/>
      <c r="BD377" s="236"/>
      <c r="BE377" s="236"/>
      <c r="BF377" s="236"/>
      <c r="BG377" s="236"/>
      <c r="BH377" s="236"/>
      <c r="BI377" s="236"/>
      <c r="BJ377" s="236"/>
      <c r="BK377" s="236"/>
      <c r="BL377" s="236"/>
      <c r="BM377" s="236"/>
      <c r="BN377" s="236"/>
      <c r="BO377" s="236"/>
      <c r="BP377" s="236"/>
      <c r="BQ377" s="236"/>
      <c r="BR377" s="236"/>
      <c r="BS377" s="236"/>
      <c r="BT377" s="236"/>
      <c r="BU377" s="236"/>
      <c r="BV377" s="236"/>
      <c r="BW377" s="236"/>
      <c r="BX377" s="236"/>
      <c r="BY377" s="236"/>
      <c r="BZ377" s="236"/>
      <c r="CA377" s="236"/>
      <c r="CB377" s="236"/>
      <c r="CC377" s="236"/>
      <c r="CD377" s="236"/>
      <c r="CE377" s="236"/>
      <c r="CF377" s="236"/>
      <c r="CG377" s="236"/>
      <c r="CH377" s="236"/>
      <c r="CI377" s="236"/>
      <c r="CJ377" s="236"/>
      <c r="CK377" s="236"/>
      <c r="CL377" s="236"/>
      <c r="CM377" s="236"/>
      <c r="CN377" s="236"/>
      <c r="CO377" s="236"/>
      <c r="CP377" s="236"/>
      <c r="CQ377" s="236"/>
      <c r="CR377" s="236"/>
      <c r="CS377" s="236"/>
      <c r="CT377" s="236"/>
      <c r="CU377" s="236"/>
      <c r="CV377" s="236"/>
      <c r="CW377" s="236"/>
      <c r="CX377" s="236"/>
      <c r="CY377" s="236"/>
      <c r="CZ377" s="236"/>
      <c r="DA377" s="236"/>
      <c r="DB377" s="236"/>
      <c r="DC377" s="236"/>
      <c r="DD377" s="236"/>
      <c r="DE377" s="236"/>
      <c r="DF377" s="236"/>
      <c r="DG377" s="236"/>
      <c r="DH377" s="236"/>
      <c r="DI377" s="236"/>
      <c r="DJ377" s="236"/>
      <c r="DK377" s="236"/>
      <c r="DL377" s="236"/>
      <c r="DM377" s="236"/>
      <c r="DN377" s="236"/>
      <c r="DO377" s="236"/>
      <c r="DP377" s="236"/>
      <c r="DQ377" s="236"/>
      <c r="DR377" s="236"/>
      <c r="DS377" s="236"/>
      <c r="DT377" s="236"/>
      <c r="DU377" s="236"/>
      <c r="DV377" s="236"/>
      <c r="DW377" s="236"/>
      <c r="DX377" s="236"/>
      <c r="DY377" s="236"/>
      <c r="DZ377" s="236"/>
      <c r="EA377" s="236"/>
      <c r="EB377" s="237">
        <f t="shared" si="40"/>
        <v>0</v>
      </c>
      <c r="EC377" s="237">
        <f t="shared" si="41"/>
        <v>0</v>
      </c>
      <c r="ED377" s="237">
        <f t="shared" si="42"/>
        <v>0</v>
      </c>
      <c r="EE377" s="237">
        <f t="shared" si="43"/>
        <v>0</v>
      </c>
      <c r="EF377" s="121"/>
      <c r="EG377" s="238">
        <f t="shared" si="44"/>
        <v>0</v>
      </c>
      <c r="EH377" s="121"/>
      <c r="EI377" s="237">
        <f t="shared" si="45"/>
        <v>0</v>
      </c>
      <c r="EJ377" s="121"/>
      <c r="EK377" s="237">
        <f t="shared" si="46"/>
        <v>0</v>
      </c>
      <c r="EL377" s="237"/>
      <c r="EM377" s="5"/>
      <c r="EN377" s="5"/>
      <c r="EO377" s="5"/>
      <c r="EP377" s="5"/>
      <c r="EQ377" s="237">
        <f t="shared" si="47"/>
        <v>0</v>
      </c>
      <c r="ER377" s="239">
        <v>23300</v>
      </c>
      <c r="ES377" s="5">
        <v>7.5</v>
      </c>
    </row>
    <row r="378" spans="1:149" x14ac:dyDescent="0.3">
      <c r="A378" s="124">
        <v>373</v>
      </c>
      <c r="B378" s="121"/>
      <c r="C378" s="121"/>
      <c r="D378" s="121"/>
      <c r="E378" s="121"/>
      <c r="F378" s="121"/>
      <c r="G378" s="121"/>
      <c r="H378" s="121"/>
      <c r="I378" s="121"/>
      <c r="J378" s="121"/>
      <c r="K378" s="121"/>
      <c r="L378" s="121"/>
      <c r="M378" s="121"/>
      <c r="N378" s="121"/>
      <c r="O378" s="235"/>
      <c r="P378" s="121"/>
      <c r="Q378" s="121"/>
      <c r="R378" s="121"/>
      <c r="S378" s="121"/>
      <c r="T378" s="121"/>
      <c r="U378" s="121"/>
      <c r="V378" s="121"/>
      <c r="W378" s="121"/>
      <c r="X378" s="117"/>
      <c r="Y378" s="117"/>
      <c r="Z378" s="121"/>
      <c r="AA378" s="121"/>
      <c r="AB378" s="236"/>
      <c r="AC378" s="236"/>
      <c r="AD378" s="236"/>
      <c r="AE378" s="236"/>
      <c r="AF378" s="236"/>
      <c r="AG378" s="236"/>
      <c r="AH378" s="236"/>
      <c r="AI378" s="236"/>
      <c r="AJ378" s="236"/>
      <c r="AK378" s="236"/>
      <c r="AL378" s="236"/>
      <c r="AM378" s="236"/>
      <c r="AN378" s="236"/>
      <c r="AO378" s="236"/>
      <c r="AP378" s="236"/>
      <c r="AQ378" s="236"/>
      <c r="AR378" s="236"/>
      <c r="AS378" s="236"/>
      <c r="AT378" s="236"/>
      <c r="AU378" s="236"/>
      <c r="AV378" s="236"/>
      <c r="AW378" s="236"/>
      <c r="AX378" s="236"/>
      <c r="AY378" s="236"/>
      <c r="AZ378" s="236"/>
      <c r="BA378" s="236"/>
      <c r="BB378" s="236"/>
      <c r="BC378" s="236"/>
      <c r="BD378" s="236"/>
      <c r="BE378" s="236"/>
      <c r="BF378" s="236"/>
      <c r="BG378" s="236"/>
      <c r="BH378" s="236"/>
      <c r="BI378" s="236"/>
      <c r="BJ378" s="236"/>
      <c r="BK378" s="236"/>
      <c r="BL378" s="236"/>
      <c r="BM378" s="236"/>
      <c r="BN378" s="236"/>
      <c r="BO378" s="236"/>
      <c r="BP378" s="236"/>
      <c r="BQ378" s="236"/>
      <c r="BR378" s="236"/>
      <c r="BS378" s="236"/>
      <c r="BT378" s="236"/>
      <c r="BU378" s="236"/>
      <c r="BV378" s="236"/>
      <c r="BW378" s="236"/>
      <c r="BX378" s="236"/>
      <c r="BY378" s="236"/>
      <c r="BZ378" s="236"/>
      <c r="CA378" s="236"/>
      <c r="CB378" s="236"/>
      <c r="CC378" s="236"/>
      <c r="CD378" s="236"/>
      <c r="CE378" s="236"/>
      <c r="CF378" s="236"/>
      <c r="CG378" s="236"/>
      <c r="CH378" s="236"/>
      <c r="CI378" s="236"/>
      <c r="CJ378" s="236"/>
      <c r="CK378" s="236"/>
      <c r="CL378" s="236"/>
      <c r="CM378" s="236"/>
      <c r="CN378" s="236"/>
      <c r="CO378" s="236"/>
      <c r="CP378" s="236"/>
      <c r="CQ378" s="236"/>
      <c r="CR378" s="236"/>
      <c r="CS378" s="236"/>
      <c r="CT378" s="236"/>
      <c r="CU378" s="236"/>
      <c r="CV378" s="236"/>
      <c r="CW378" s="236"/>
      <c r="CX378" s="236"/>
      <c r="CY378" s="236"/>
      <c r="CZ378" s="236"/>
      <c r="DA378" s="236"/>
      <c r="DB378" s="236"/>
      <c r="DC378" s="236"/>
      <c r="DD378" s="236"/>
      <c r="DE378" s="236"/>
      <c r="DF378" s="236"/>
      <c r="DG378" s="236"/>
      <c r="DH378" s="236"/>
      <c r="DI378" s="236"/>
      <c r="DJ378" s="236"/>
      <c r="DK378" s="236"/>
      <c r="DL378" s="236"/>
      <c r="DM378" s="236"/>
      <c r="DN378" s="236"/>
      <c r="DO378" s="236"/>
      <c r="DP378" s="236"/>
      <c r="DQ378" s="236"/>
      <c r="DR378" s="236"/>
      <c r="DS378" s="236"/>
      <c r="DT378" s="236"/>
      <c r="DU378" s="236"/>
      <c r="DV378" s="236"/>
      <c r="DW378" s="236"/>
      <c r="DX378" s="236"/>
      <c r="DY378" s="236"/>
      <c r="DZ378" s="236"/>
      <c r="EA378" s="236"/>
      <c r="EB378" s="237">
        <f t="shared" si="40"/>
        <v>0</v>
      </c>
      <c r="EC378" s="237">
        <f t="shared" si="41"/>
        <v>0</v>
      </c>
      <c r="ED378" s="237">
        <f t="shared" si="42"/>
        <v>0</v>
      </c>
      <c r="EE378" s="237">
        <f t="shared" si="43"/>
        <v>0</v>
      </c>
      <c r="EF378" s="121"/>
      <c r="EG378" s="238">
        <f t="shared" si="44"/>
        <v>0</v>
      </c>
      <c r="EH378" s="121"/>
      <c r="EI378" s="237">
        <f t="shared" si="45"/>
        <v>0</v>
      </c>
      <c r="EJ378" s="121"/>
      <c r="EK378" s="237">
        <f t="shared" si="46"/>
        <v>0</v>
      </c>
      <c r="EL378" s="237"/>
      <c r="EM378" s="5"/>
      <c r="EN378" s="5"/>
      <c r="EO378" s="5"/>
      <c r="EP378" s="5"/>
      <c r="EQ378" s="237">
        <f t="shared" si="47"/>
        <v>0</v>
      </c>
      <c r="ER378" s="239">
        <v>23300</v>
      </c>
      <c r="ES378" s="5">
        <v>7.5</v>
      </c>
    </row>
    <row r="379" spans="1:149" x14ac:dyDescent="0.3">
      <c r="A379" s="124">
        <v>374</v>
      </c>
      <c r="B379" s="121"/>
      <c r="C379" s="121"/>
      <c r="D379" s="121"/>
      <c r="E379" s="121"/>
      <c r="F379" s="121"/>
      <c r="G379" s="121"/>
      <c r="H379" s="121"/>
      <c r="I379" s="121"/>
      <c r="J379" s="121"/>
      <c r="K379" s="121"/>
      <c r="L379" s="121"/>
      <c r="M379" s="121"/>
      <c r="N379" s="121"/>
      <c r="O379" s="235"/>
      <c r="P379" s="121"/>
      <c r="Q379" s="121"/>
      <c r="R379" s="121"/>
      <c r="S379" s="121"/>
      <c r="T379" s="121"/>
      <c r="U379" s="121"/>
      <c r="V379" s="121"/>
      <c r="W379" s="121"/>
      <c r="X379" s="117"/>
      <c r="Y379" s="117"/>
      <c r="Z379" s="121"/>
      <c r="AA379" s="121"/>
      <c r="AB379" s="236"/>
      <c r="AC379" s="236"/>
      <c r="AD379" s="236"/>
      <c r="AE379" s="236"/>
      <c r="AF379" s="236"/>
      <c r="AG379" s="236"/>
      <c r="AH379" s="236"/>
      <c r="AI379" s="236"/>
      <c r="AJ379" s="236"/>
      <c r="AK379" s="236"/>
      <c r="AL379" s="236"/>
      <c r="AM379" s="236"/>
      <c r="AN379" s="236"/>
      <c r="AO379" s="236"/>
      <c r="AP379" s="236"/>
      <c r="AQ379" s="236"/>
      <c r="AR379" s="236"/>
      <c r="AS379" s="236"/>
      <c r="AT379" s="236"/>
      <c r="AU379" s="236"/>
      <c r="AV379" s="236"/>
      <c r="AW379" s="236"/>
      <c r="AX379" s="236"/>
      <c r="AY379" s="236"/>
      <c r="AZ379" s="236"/>
      <c r="BA379" s="236"/>
      <c r="BB379" s="236"/>
      <c r="BC379" s="236"/>
      <c r="BD379" s="236"/>
      <c r="BE379" s="236"/>
      <c r="BF379" s="236"/>
      <c r="BG379" s="236"/>
      <c r="BH379" s="236"/>
      <c r="BI379" s="236"/>
      <c r="BJ379" s="236"/>
      <c r="BK379" s="236"/>
      <c r="BL379" s="236"/>
      <c r="BM379" s="236"/>
      <c r="BN379" s="236"/>
      <c r="BO379" s="236"/>
      <c r="BP379" s="236"/>
      <c r="BQ379" s="236"/>
      <c r="BR379" s="236"/>
      <c r="BS379" s="236"/>
      <c r="BT379" s="236"/>
      <c r="BU379" s="236"/>
      <c r="BV379" s="236"/>
      <c r="BW379" s="236"/>
      <c r="BX379" s="236"/>
      <c r="BY379" s="236"/>
      <c r="BZ379" s="236"/>
      <c r="CA379" s="236"/>
      <c r="CB379" s="236"/>
      <c r="CC379" s="236"/>
      <c r="CD379" s="236"/>
      <c r="CE379" s="236"/>
      <c r="CF379" s="236"/>
      <c r="CG379" s="236"/>
      <c r="CH379" s="236"/>
      <c r="CI379" s="236"/>
      <c r="CJ379" s="236"/>
      <c r="CK379" s="236"/>
      <c r="CL379" s="236"/>
      <c r="CM379" s="236"/>
      <c r="CN379" s="236"/>
      <c r="CO379" s="236"/>
      <c r="CP379" s="236"/>
      <c r="CQ379" s="236"/>
      <c r="CR379" s="236"/>
      <c r="CS379" s="236"/>
      <c r="CT379" s="236"/>
      <c r="CU379" s="236"/>
      <c r="CV379" s="236"/>
      <c r="CW379" s="236"/>
      <c r="CX379" s="236"/>
      <c r="CY379" s="236"/>
      <c r="CZ379" s="236"/>
      <c r="DA379" s="236"/>
      <c r="DB379" s="236"/>
      <c r="DC379" s="236"/>
      <c r="DD379" s="236"/>
      <c r="DE379" s="236"/>
      <c r="DF379" s="236"/>
      <c r="DG379" s="236"/>
      <c r="DH379" s="236"/>
      <c r="DI379" s="236"/>
      <c r="DJ379" s="236"/>
      <c r="DK379" s="236"/>
      <c r="DL379" s="236"/>
      <c r="DM379" s="236"/>
      <c r="DN379" s="236"/>
      <c r="DO379" s="236"/>
      <c r="DP379" s="236"/>
      <c r="DQ379" s="236"/>
      <c r="DR379" s="236"/>
      <c r="DS379" s="236"/>
      <c r="DT379" s="236"/>
      <c r="DU379" s="236"/>
      <c r="DV379" s="236"/>
      <c r="DW379" s="236"/>
      <c r="DX379" s="236"/>
      <c r="DY379" s="236"/>
      <c r="DZ379" s="236"/>
      <c r="EA379" s="236"/>
      <c r="EB379" s="237">
        <f t="shared" si="40"/>
        <v>0</v>
      </c>
      <c r="EC379" s="237">
        <f t="shared" si="41"/>
        <v>0</v>
      </c>
      <c r="ED379" s="237">
        <f t="shared" si="42"/>
        <v>0</v>
      </c>
      <c r="EE379" s="237">
        <f t="shared" si="43"/>
        <v>0</v>
      </c>
      <c r="EF379" s="121"/>
      <c r="EG379" s="238">
        <f t="shared" si="44"/>
        <v>0</v>
      </c>
      <c r="EH379" s="121"/>
      <c r="EI379" s="237">
        <f t="shared" si="45"/>
        <v>0</v>
      </c>
      <c r="EJ379" s="121"/>
      <c r="EK379" s="237">
        <f t="shared" si="46"/>
        <v>0</v>
      </c>
      <c r="EL379" s="237"/>
      <c r="EM379" s="5"/>
      <c r="EN379" s="5"/>
      <c r="EO379" s="5"/>
      <c r="EP379" s="5"/>
      <c r="EQ379" s="237">
        <f t="shared" si="47"/>
        <v>0</v>
      </c>
      <c r="ER379" s="239">
        <v>23300</v>
      </c>
      <c r="ES379" s="5">
        <v>7.5</v>
      </c>
    </row>
    <row r="380" spans="1:149" x14ac:dyDescent="0.3">
      <c r="A380" s="124">
        <v>375</v>
      </c>
      <c r="B380" s="121"/>
      <c r="C380" s="121"/>
      <c r="D380" s="121"/>
      <c r="E380" s="121"/>
      <c r="F380" s="121"/>
      <c r="G380" s="121"/>
      <c r="H380" s="121"/>
      <c r="I380" s="121"/>
      <c r="J380" s="121"/>
      <c r="K380" s="121"/>
      <c r="L380" s="121"/>
      <c r="M380" s="121"/>
      <c r="N380" s="121"/>
      <c r="O380" s="235"/>
      <c r="P380" s="121"/>
      <c r="Q380" s="121"/>
      <c r="R380" s="121"/>
      <c r="S380" s="121"/>
      <c r="T380" s="121"/>
      <c r="U380" s="121"/>
      <c r="V380" s="121"/>
      <c r="W380" s="121"/>
      <c r="X380" s="117"/>
      <c r="Y380" s="117"/>
      <c r="Z380" s="121"/>
      <c r="AA380" s="121"/>
      <c r="AB380" s="236"/>
      <c r="AC380" s="236"/>
      <c r="AD380" s="236"/>
      <c r="AE380" s="236"/>
      <c r="AF380" s="236"/>
      <c r="AG380" s="236"/>
      <c r="AH380" s="236"/>
      <c r="AI380" s="236"/>
      <c r="AJ380" s="236"/>
      <c r="AK380" s="236"/>
      <c r="AL380" s="236"/>
      <c r="AM380" s="236"/>
      <c r="AN380" s="236"/>
      <c r="AO380" s="236"/>
      <c r="AP380" s="236"/>
      <c r="AQ380" s="236"/>
      <c r="AR380" s="236"/>
      <c r="AS380" s="236"/>
      <c r="AT380" s="236"/>
      <c r="AU380" s="236"/>
      <c r="AV380" s="236"/>
      <c r="AW380" s="236"/>
      <c r="AX380" s="236"/>
      <c r="AY380" s="236"/>
      <c r="AZ380" s="236"/>
      <c r="BA380" s="236"/>
      <c r="BB380" s="236"/>
      <c r="BC380" s="236"/>
      <c r="BD380" s="236"/>
      <c r="BE380" s="236"/>
      <c r="BF380" s="236"/>
      <c r="BG380" s="236"/>
      <c r="BH380" s="236"/>
      <c r="BI380" s="236"/>
      <c r="BJ380" s="236"/>
      <c r="BK380" s="236"/>
      <c r="BL380" s="236"/>
      <c r="BM380" s="236"/>
      <c r="BN380" s="236"/>
      <c r="BO380" s="236"/>
      <c r="BP380" s="236"/>
      <c r="BQ380" s="236"/>
      <c r="BR380" s="236"/>
      <c r="BS380" s="236"/>
      <c r="BT380" s="236"/>
      <c r="BU380" s="236"/>
      <c r="BV380" s="236"/>
      <c r="BW380" s="236"/>
      <c r="BX380" s="236"/>
      <c r="BY380" s="236"/>
      <c r="BZ380" s="236"/>
      <c r="CA380" s="236"/>
      <c r="CB380" s="236"/>
      <c r="CC380" s="236"/>
      <c r="CD380" s="236"/>
      <c r="CE380" s="236"/>
      <c r="CF380" s="236"/>
      <c r="CG380" s="236"/>
      <c r="CH380" s="236"/>
      <c r="CI380" s="236"/>
      <c r="CJ380" s="236"/>
      <c r="CK380" s="236"/>
      <c r="CL380" s="236"/>
      <c r="CM380" s="236"/>
      <c r="CN380" s="236"/>
      <c r="CO380" s="236"/>
      <c r="CP380" s="236"/>
      <c r="CQ380" s="236"/>
      <c r="CR380" s="236"/>
      <c r="CS380" s="236"/>
      <c r="CT380" s="236"/>
      <c r="CU380" s="236"/>
      <c r="CV380" s="236"/>
      <c r="CW380" s="236"/>
      <c r="CX380" s="236"/>
      <c r="CY380" s="236"/>
      <c r="CZ380" s="236"/>
      <c r="DA380" s="236"/>
      <c r="DB380" s="236"/>
      <c r="DC380" s="236"/>
      <c r="DD380" s="236"/>
      <c r="DE380" s="236"/>
      <c r="DF380" s="236"/>
      <c r="DG380" s="236"/>
      <c r="DH380" s="236"/>
      <c r="DI380" s="236"/>
      <c r="DJ380" s="236"/>
      <c r="DK380" s="236"/>
      <c r="DL380" s="236"/>
      <c r="DM380" s="236"/>
      <c r="DN380" s="236"/>
      <c r="DO380" s="236"/>
      <c r="DP380" s="236"/>
      <c r="DQ380" s="236"/>
      <c r="DR380" s="236"/>
      <c r="DS380" s="236"/>
      <c r="DT380" s="236"/>
      <c r="DU380" s="236"/>
      <c r="DV380" s="236"/>
      <c r="DW380" s="236"/>
      <c r="DX380" s="236"/>
      <c r="DY380" s="236"/>
      <c r="DZ380" s="236"/>
      <c r="EA380" s="236"/>
      <c r="EB380" s="237">
        <f t="shared" si="40"/>
        <v>0</v>
      </c>
      <c r="EC380" s="237">
        <f t="shared" si="41"/>
        <v>0</v>
      </c>
      <c r="ED380" s="237">
        <f t="shared" si="42"/>
        <v>0</v>
      </c>
      <c r="EE380" s="237">
        <f t="shared" si="43"/>
        <v>0</v>
      </c>
      <c r="EF380" s="121"/>
      <c r="EG380" s="238">
        <f t="shared" si="44"/>
        <v>0</v>
      </c>
      <c r="EH380" s="121"/>
      <c r="EI380" s="237">
        <f t="shared" si="45"/>
        <v>0</v>
      </c>
      <c r="EJ380" s="121"/>
      <c r="EK380" s="237">
        <f t="shared" si="46"/>
        <v>0</v>
      </c>
      <c r="EL380" s="237"/>
      <c r="EM380" s="5"/>
      <c r="EN380" s="5"/>
      <c r="EO380" s="5"/>
      <c r="EP380" s="5"/>
      <c r="EQ380" s="237">
        <f t="shared" si="47"/>
        <v>0</v>
      </c>
      <c r="ER380" s="239">
        <v>23300</v>
      </c>
      <c r="ES380" s="5">
        <v>7.5</v>
      </c>
    </row>
    <row r="381" spans="1:149" x14ac:dyDescent="0.3">
      <c r="A381" s="124">
        <v>376</v>
      </c>
      <c r="B381" s="121"/>
      <c r="C381" s="121"/>
      <c r="D381" s="121"/>
      <c r="E381" s="121"/>
      <c r="F381" s="121"/>
      <c r="G381" s="121"/>
      <c r="H381" s="121"/>
      <c r="I381" s="121"/>
      <c r="J381" s="121"/>
      <c r="K381" s="121"/>
      <c r="L381" s="121"/>
      <c r="M381" s="121"/>
      <c r="N381" s="121"/>
      <c r="O381" s="235"/>
      <c r="P381" s="121"/>
      <c r="Q381" s="121"/>
      <c r="R381" s="121"/>
      <c r="S381" s="121"/>
      <c r="T381" s="121"/>
      <c r="U381" s="121"/>
      <c r="V381" s="121"/>
      <c r="W381" s="121"/>
      <c r="X381" s="117"/>
      <c r="Y381" s="117"/>
      <c r="Z381" s="121"/>
      <c r="AA381" s="121"/>
      <c r="AB381" s="236"/>
      <c r="AC381" s="236"/>
      <c r="AD381" s="236"/>
      <c r="AE381" s="236"/>
      <c r="AF381" s="236"/>
      <c r="AG381" s="236"/>
      <c r="AH381" s="236"/>
      <c r="AI381" s="236"/>
      <c r="AJ381" s="236"/>
      <c r="AK381" s="236"/>
      <c r="AL381" s="236"/>
      <c r="AM381" s="236"/>
      <c r="AN381" s="236"/>
      <c r="AO381" s="236"/>
      <c r="AP381" s="236"/>
      <c r="AQ381" s="236"/>
      <c r="AR381" s="236"/>
      <c r="AS381" s="236"/>
      <c r="AT381" s="236"/>
      <c r="AU381" s="236"/>
      <c r="AV381" s="236"/>
      <c r="AW381" s="236"/>
      <c r="AX381" s="236"/>
      <c r="AY381" s="236"/>
      <c r="AZ381" s="236"/>
      <c r="BA381" s="236"/>
      <c r="BB381" s="236"/>
      <c r="BC381" s="236"/>
      <c r="BD381" s="236"/>
      <c r="BE381" s="236"/>
      <c r="BF381" s="236"/>
      <c r="BG381" s="236"/>
      <c r="BH381" s="236"/>
      <c r="BI381" s="236"/>
      <c r="BJ381" s="236"/>
      <c r="BK381" s="236"/>
      <c r="BL381" s="236"/>
      <c r="BM381" s="236"/>
      <c r="BN381" s="236"/>
      <c r="BO381" s="236"/>
      <c r="BP381" s="236"/>
      <c r="BQ381" s="236"/>
      <c r="BR381" s="236"/>
      <c r="BS381" s="236"/>
      <c r="BT381" s="236"/>
      <c r="BU381" s="236"/>
      <c r="BV381" s="236"/>
      <c r="BW381" s="236"/>
      <c r="BX381" s="236"/>
      <c r="BY381" s="236"/>
      <c r="BZ381" s="236"/>
      <c r="CA381" s="236"/>
      <c r="CB381" s="236"/>
      <c r="CC381" s="236"/>
      <c r="CD381" s="236"/>
      <c r="CE381" s="236"/>
      <c r="CF381" s="236"/>
      <c r="CG381" s="236"/>
      <c r="CH381" s="236"/>
      <c r="CI381" s="236"/>
      <c r="CJ381" s="236"/>
      <c r="CK381" s="236"/>
      <c r="CL381" s="236"/>
      <c r="CM381" s="236"/>
      <c r="CN381" s="236"/>
      <c r="CO381" s="236"/>
      <c r="CP381" s="236"/>
      <c r="CQ381" s="236"/>
      <c r="CR381" s="236"/>
      <c r="CS381" s="236"/>
      <c r="CT381" s="236"/>
      <c r="CU381" s="236"/>
      <c r="CV381" s="236"/>
      <c r="CW381" s="236"/>
      <c r="CX381" s="236"/>
      <c r="CY381" s="236"/>
      <c r="CZ381" s="236"/>
      <c r="DA381" s="236"/>
      <c r="DB381" s="236"/>
      <c r="DC381" s="236"/>
      <c r="DD381" s="236"/>
      <c r="DE381" s="236"/>
      <c r="DF381" s="236"/>
      <c r="DG381" s="236"/>
      <c r="DH381" s="236"/>
      <c r="DI381" s="236"/>
      <c r="DJ381" s="236"/>
      <c r="DK381" s="236"/>
      <c r="DL381" s="236"/>
      <c r="DM381" s="236"/>
      <c r="DN381" s="236"/>
      <c r="DO381" s="236"/>
      <c r="DP381" s="236"/>
      <c r="DQ381" s="236"/>
      <c r="DR381" s="236"/>
      <c r="DS381" s="236"/>
      <c r="DT381" s="236"/>
      <c r="DU381" s="236"/>
      <c r="DV381" s="236"/>
      <c r="DW381" s="236"/>
      <c r="DX381" s="236"/>
      <c r="DY381" s="236"/>
      <c r="DZ381" s="236"/>
      <c r="EA381" s="236"/>
      <c r="EB381" s="237">
        <f t="shared" si="40"/>
        <v>0</v>
      </c>
      <c r="EC381" s="237">
        <f t="shared" si="41"/>
        <v>0</v>
      </c>
      <c r="ED381" s="237">
        <f t="shared" si="42"/>
        <v>0</v>
      </c>
      <c r="EE381" s="237">
        <f t="shared" si="43"/>
        <v>0</v>
      </c>
      <c r="EF381" s="121"/>
      <c r="EG381" s="238">
        <f t="shared" si="44"/>
        <v>0</v>
      </c>
      <c r="EH381" s="121"/>
      <c r="EI381" s="237">
        <f t="shared" si="45"/>
        <v>0</v>
      </c>
      <c r="EJ381" s="121"/>
      <c r="EK381" s="237">
        <f t="shared" si="46"/>
        <v>0</v>
      </c>
      <c r="EL381" s="237"/>
      <c r="EM381" s="5"/>
      <c r="EN381" s="5"/>
      <c r="EO381" s="5"/>
      <c r="EP381" s="5"/>
      <c r="EQ381" s="237">
        <f t="shared" si="47"/>
        <v>0</v>
      </c>
      <c r="ER381" s="239">
        <v>23300</v>
      </c>
      <c r="ES381" s="5">
        <v>7.5</v>
      </c>
    </row>
    <row r="382" spans="1:149" x14ac:dyDescent="0.3">
      <c r="A382" s="124">
        <v>377</v>
      </c>
      <c r="B382" s="121"/>
      <c r="C382" s="121"/>
      <c r="D382" s="121"/>
      <c r="E382" s="121"/>
      <c r="F382" s="121"/>
      <c r="G382" s="121"/>
      <c r="H382" s="121"/>
      <c r="I382" s="121"/>
      <c r="J382" s="121"/>
      <c r="K382" s="121"/>
      <c r="L382" s="121"/>
      <c r="M382" s="121"/>
      <c r="N382" s="121"/>
      <c r="O382" s="235"/>
      <c r="P382" s="121"/>
      <c r="Q382" s="121"/>
      <c r="R382" s="121"/>
      <c r="S382" s="121"/>
      <c r="T382" s="121"/>
      <c r="U382" s="121"/>
      <c r="V382" s="121"/>
      <c r="W382" s="121"/>
      <c r="X382" s="117"/>
      <c r="Y382" s="117"/>
      <c r="Z382" s="121"/>
      <c r="AA382" s="121"/>
      <c r="AB382" s="236"/>
      <c r="AC382" s="236"/>
      <c r="AD382" s="236"/>
      <c r="AE382" s="236"/>
      <c r="AF382" s="236"/>
      <c r="AG382" s="236"/>
      <c r="AH382" s="236"/>
      <c r="AI382" s="236"/>
      <c r="AJ382" s="236"/>
      <c r="AK382" s="236"/>
      <c r="AL382" s="236"/>
      <c r="AM382" s="236"/>
      <c r="AN382" s="236"/>
      <c r="AO382" s="236"/>
      <c r="AP382" s="236"/>
      <c r="AQ382" s="236"/>
      <c r="AR382" s="236"/>
      <c r="AS382" s="236"/>
      <c r="AT382" s="236"/>
      <c r="AU382" s="236"/>
      <c r="AV382" s="236"/>
      <c r="AW382" s="236"/>
      <c r="AX382" s="236"/>
      <c r="AY382" s="236"/>
      <c r="AZ382" s="236"/>
      <c r="BA382" s="236"/>
      <c r="BB382" s="236"/>
      <c r="BC382" s="236"/>
      <c r="BD382" s="236"/>
      <c r="BE382" s="236"/>
      <c r="BF382" s="236"/>
      <c r="BG382" s="236"/>
      <c r="BH382" s="236"/>
      <c r="BI382" s="236"/>
      <c r="BJ382" s="236"/>
      <c r="BK382" s="236"/>
      <c r="BL382" s="236"/>
      <c r="BM382" s="236"/>
      <c r="BN382" s="236"/>
      <c r="BO382" s="236"/>
      <c r="BP382" s="236"/>
      <c r="BQ382" s="236"/>
      <c r="BR382" s="236"/>
      <c r="BS382" s="236"/>
      <c r="BT382" s="236"/>
      <c r="BU382" s="236"/>
      <c r="BV382" s="236"/>
      <c r="BW382" s="236"/>
      <c r="BX382" s="236"/>
      <c r="BY382" s="236"/>
      <c r="BZ382" s="236"/>
      <c r="CA382" s="236"/>
      <c r="CB382" s="236"/>
      <c r="CC382" s="236"/>
      <c r="CD382" s="236"/>
      <c r="CE382" s="236"/>
      <c r="CF382" s="236"/>
      <c r="CG382" s="236"/>
      <c r="CH382" s="236"/>
      <c r="CI382" s="236"/>
      <c r="CJ382" s="236"/>
      <c r="CK382" s="236"/>
      <c r="CL382" s="236"/>
      <c r="CM382" s="236"/>
      <c r="CN382" s="236"/>
      <c r="CO382" s="236"/>
      <c r="CP382" s="236"/>
      <c r="CQ382" s="236"/>
      <c r="CR382" s="236"/>
      <c r="CS382" s="236"/>
      <c r="CT382" s="236"/>
      <c r="CU382" s="236"/>
      <c r="CV382" s="236"/>
      <c r="CW382" s="236"/>
      <c r="CX382" s="236"/>
      <c r="CY382" s="236"/>
      <c r="CZ382" s="236"/>
      <c r="DA382" s="236"/>
      <c r="DB382" s="236"/>
      <c r="DC382" s="236"/>
      <c r="DD382" s="236"/>
      <c r="DE382" s="236"/>
      <c r="DF382" s="236"/>
      <c r="DG382" s="236"/>
      <c r="DH382" s="236"/>
      <c r="DI382" s="236"/>
      <c r="DJ382" s="236"/>
      <c r="DK382" s="236"/>
      <c r="DL382" s="236"/>
      <c r="DM382" s="236"/>
      <c r="DN382" s="236"/>
      <c r="DO382" s="236"/>
      <c r="DP382" s="236"/>
      <c r="DQ382" s="236"/>
      <c r="DR382" s="236"/>
      <c r="DS382" s="236"/>
      <c r="DT382" s="236"/>
      <c r="DU382" s="236"/>
      <c r="DV382" s="236"/>
      <c r="DW382" s="236"/>
      <c r="DX382" s="236"/>
      <c r="DY382" s="236"/>
      <c r="DZ382" s="236"/>
      <c r="EA382" s="236"/>
      <c r="EB382" s="237">
        <f t="shared" si="40"/>
        <v>0</v>
      </c>
      <c r="EC382" s="237">
        <f t="shared" si="41"/>
        <v>0</v>
      </c>
      <c r="ED382" s="237">
        <f t="shared" si="42"/>
        <v>0</v>
      </c>
      <c r="EE382" s="237">
        <f t="shared" si="43"/>
        <v>0</v>
      </c>
      <c r="EF382" s="121"/>
      <c r="EG382" s="238">
        <f t="shared" si="44"/>
        <v>0</v>
      </c>
      <c r="EH382" s="121"/>
      <c r="EI382" s="237">
        <f t="shared" si="45"/>
        <v>0</v>
      </c>
      <c r="EJ382" s="121"/>
      <c r="EK382" s="237">
        <f t="shared" si="46"/>
        <v>0</v>
      </c>
      <c r="EL382" s="237"/>
      <c r="EM382" s="5"/>
      <c r="EN382" s="5"/>
      <c r="EO382" s="5"/>
      <c r="EP382" s="5"/>
      <c r="EQ382" s="237">
        <f t="shared" si="47"/>
        <v>0</v>
      </c>
      <c r="ER382" s="239">
        <v>23300</v>
      </c>
      <c r="ES382" s="5">
        <v>7.5</v>
      </c>
    </row>
    <row r="383" spans="1:149" x14ac:dyDescent="0.3">
      <c r="A383" s="124">
        <v>378</v>
      </c>
      <c r="B383" s="121"/>
      <c r="C383" s="121"/>
      <c r="D383" s="121"/>
      <c r="E383" s="121"/>
      <c r="F383" s="121"/>
      <c r="G383" s="121"/>
      <c r="H383" s="121"/>
      <c r="I383" s="121"/>
      <c r="J383" s="121"/>
      <c r="K383" s="121"/>
      <c r="L383" s="121"/>
      <c r="M383" s="121"/>
      <c r="N383" s="121"/>
      <c r="O383" s="235"/>
      <c r="P383" s="121"/>
      <c r="Q383" s="121"/>
      <c r="R383" s="121"/>
      <c r="S383" s="121"/>
      <c r="T383" s="121"/>
      <c r="U383" s="121"/>
      <c r="V383" s="121"/>
      <c r="W383" s="121"/>
      <c r="X383" s="117"/>
      <c r="Y383" s="117"/>
      <c r="Z383" s="121"/>
      <c r="AA383" s="121"/>
      <c r="AB383" s="236"/>
      <c r="AC383" s="236"/>
      <c r="AD383" s="236"/>
      <c r="AE383" s="236"/>
      <c r="AF383" s="236"/>
      <c r="AG383" s="236"/>
      <c r="AH383" s="236"/>
      <c r="AI383" s="236"/>
      <c r="AJ383" s="236"/>
      <c r="AK383" s="236"/>
      <c r="AL383" s="236"/>
      <c r="AM383" s="236"/>
      <c r="AN383" s="236"/>
      <c r="AO383" s="236"/>
      <c r="AP383" s="236"/>
      <c r="AQ383" s="236"/>
      <c r="AR383" s="236"/>
      <c r="AS383" s="236"/>
      <c r="AT383" s="236"/>
      <c r="AU383" s="236"/>
      <c r="AV383" s="236"/>
      <c r="AW383" s="236"/>
      <c r="AX383" s="236"/>
      <c r="AY383" s="236"/>
      <c r="AZ383" s="236"/>
      <c r="BA383" s="236"/>
      <c r="BB383" s="236"/>
      <c r="BC383" s="236"/>
      <c r="BD383" s="236"/>
      <c r="BE383" s="236"/>
      <c r="BF383" s="236"/>
      <c r="BG383" s="236"/>
      <c r="BH383" s="236"/>
      <c r="BI383" s="236"/>
      <c r="BJ383" s="236"/>
      <c r="BK383" s="236"/>
      <c r="BL383" s="236"/>
      <c r="BM383" s="236"/>
      <c r="BN383" s="236"/>
      <c r="BO383" s="236"/>
      <c r="BP383" s="236"/>
      <c r="BQ383" s="236"/>
      <c r="BR383" s="236"/>
      <c r="BS383" s="236"/>
      <c r="BT383" s="236"/>
      <c r="BU383" s="236"/>
      <c r="BV383" s="236"/>
      <c r="BW383" s="236"/>
      <c r="BX383" s="236"/>
      <c r="BY383" s="236"/>
      <c r="BZ383" s="236"/>
      <c r="CA383" s="236"/>
      <c r="CB383" s="236"/>
      <c r="CC383" s="236"/>
      <c r="CD383" s="236"/>
      <c r="CE383" s="236"/>
      <c r="CF383" s="236"/>
      <c r="CG383" s="236"/>
      <c r="CH383" s="236"/>
      <c r="CI383" s="236"/>
      <c r="CJ383" s="236"/>
      <c r="CK383" s="236"/>
      <c r="CL383" s="236"/>
      <c r="CM383" s="236"/>
      <c r="CN383" s="236"/>
      <c r="CO383" s="236"/>
      <c r="CP383" s="236"/>
      <c r="CQ383" s="236"/>
      <c r="CR383" s="236"/>
      <c r="CS383" s="236"/>
      <c r="CT383" s="236"/>
      <c r="CU383" s="236"/>
      <c r="CV383" s="236"/>
      <c r="CW383" s="236"/>
      <c r="CX383" s="236"/>
      <c r="CY383" s="236"/>
      <c r="CZ383" s="236"/>
      <c r="DA383" s="236"/>
      <c r="DB383" s="236"/>
      <c r="DC383" s="236"/>
      <c r="DD383" s="236"/>
      <c r="DE383" s="236"/>
      <c r="DF383" s="236"/>
      <c r="DG383" s="236"/>
      <c r="DH383" s="236"/>
      <c r="DI383" s="236"/>
      <c r="DJ383" s="236"/>
      <c r="DK383" s="236"/>
      <c r="DL383" s="236"/>
      <c r="DM383" s="236"/>
      <c r="DN383" s="236"/>
      <c r="DO383" s="236"/>
      <c r="DP383" s="236"/>
      <c r="DQ383" s="236"/>
      <c r="DR383" s="236"/>
      <c r="DS383" s="236"/>
      <c r="DT383" s="236"/>
      <c r="DU383" s="236"/>
      <c r="DV383" s="236"/>
      <c r="DW383" s="236"/>
      <c r="DX383" s="236"/>
      <c r="DY383" s="236"/>
      <c r="DZ383" s="236"/>
      <c r="EA383" s="236"/>
      <c r="EB383" s="237">
        <f t="shared" si="40"/>
        <v>0</v>
      </c>
      <c r="EC383" s="237">
        <f t="shared" si="41"/>
        <v>0</v>
      </c>
      <c r="ED383" s="237">
        <f t="shared" si="42"/>
        <v>0</v>
      </c>
      <c r="EE383" s="237">
        <f t="shared" si="43"/>
        <v>0</v>
      </c>
      <c r="EF383" s="121"/>
      <c r="EG383" s="238">
        <f t="shared" si="44"/>
        <v>0</v>
      </c>
      <c r="EH383" s="121"/>
      <c r="EI383" s="237">
        <f t="shared" si="45"/>
        <v>0</v>
      </c>
      <c r="EJ383" s="121"/>
      <c r="EK383" s="237">
        <f t="shared" si="46"/>
        <v>0</v>
      </c>
      <c r="EL383" s="237"/>
      <c r="EM383" s="5"/>
      <c r="EN383" s="5"/>
      <c r="EO383" s="5"/>
      <c r="EP383" s="5"/>
      <c r="EQ383" s="237">
        <f t="shared" si="47"/>
        <v>0</v>
      </c>
      <c r="ER383" s="239">
        <v>23300</v>
      </c>
      <c r="ES383" s="5">
        <v>7.5</v>
      </c>
    </row>
    <row r="384" spans="1:149" x14ac:dyDescent="0.3">
      <c r="A384" s="124">
        <v>379</v>
      </c>
      <c r="B384" s="121"/>
      <c r="C384" s="121"/>
      <c r="D384" s="121"/>
      <c r="E384" s="121"/>
      <c r="F384" s="121"/>
      <c r="G384" s="121"/>
      <c r="H384" s="121"/>
      <c r="I384" s="121"/>
      <c r="J384" s="121"/>
      <c r="K384" s="121"/>
      <c r="L384" s="121"/>
      <c r="M384" s="121"/>
      <c r="N384" s="121"/>
      <c r="O384" s="235"/>
      <c r="P384" s="121"/>
      <c r="Q384" s="121"/>
      <c r="R384" s="121"/>
      <c r="S384" s="121"/>
      <c r="T384" s="121"/>
      <c r="U384" s="121"/>
      <c r="V384" s="121"/>
      <c r="W384" s="121"/>
      <c r="X384" s="117"/>
      <c r="Y384" s="117"/>
      <c r="Z384" s="121"/>
      <c r="AA384" s="121"/>
      <c r="AB384" s="236"/>
      <c r="AC384" s="236"/>
      <c r="AD384" s="236"/>
      <c r="AE384" s="236"/>
      <c r="AF384" s="236"/>
      <c r="AG384" s="236"/>
      <c r="AH384" s="236"/>
      <c r="AI384" s="236"/>
      <c r="AJ384" s="236"/>
      <c r="AK384" s="236"/>
      <c r="AL384" s="236"/>
      <c r="AM384" s="236"/>
      <c r="AN384" s="236"/>
      <c r="AO384" s="236"/>
      <c r="AP384" s="236"/>
      <c r="AQ384" s="236"/>
      <c r="AR384" s="236"/>
      <c r="AS384" s="236"/>
      <c r="AT384" s="236"/>
      <c r="AU384" s="236"/>
      <c r="AV384" s="236"/>
      <c r="AW384" s="236"/>
      <c r="AX384" s="236"/>
      <c r="AY384" s="236"/>
      <c r="AZ384" s="236"/>
      <c r="BA384" s="236"/>
      <c r="BB384" s="236"/>
      <c r="BC384" s="236"/>
      <c r="BD384" s="236"/>
      <c r="BE384" s="236"/>
      <c r="BF384" s="236"/>
      <c r="BG384" s="236"/>
      <c r="BH384" s="236"/>
      <c r="BI384" s="236"/>
      <c r="BJ384" s="236"/>
      <c r="BK384" s="236"/>
      <c r="BL384" s="236"/>
      <c r="BM384" s="236"/>
      <c r="BN384" s="236"/>
      <c r="BO384" s="236"/>
      <c r="BP384" s="236"/>
      <c r="BQ384" s="236"/>
      <c r="BR384" s="236"/>
      <c r="BS384" s="236"/>
      <c r="BT384" s="236"/>
      <c r="BU384" s="236"/>
      <c r="BV384" s="236"/>
      <c r="BW384" s="236"/>
      <c r="BX384" s="236"/>
      <c r="BY384" s="236"/>
      <c r="BZ384" s="236"/>
      <c r="CA384" s="236"/>
      <c r="CB384" s="236"/>
      <c r="CC384" s="236"/>
      <c r="CD384" s="236"/>
      <c r="CE384" s="236"/>
      <c r="CF384" s="236"/>
      <c r="CG384" s="236"/>
      <c r="CH384" s="236"/>
      <c r="CI384" s="236"/>
      <c r="CJ384" s="236"/>
      <c r="CK384" s="236"/>
      <c r="CL384" s="236"/>
      <c r="CM384" s="236"/>
      <c r="CN384" s="236"/>
      <c r="CO384" s="236"/>
      <c r="CP384" s="236"/>
      <c r="CQ384" s="236"/>
      <c r="CR384" s="236"/>
      <c r="CS384" s="236"/>
      <c r="CT384" s="236"/>
      <c r="CU384" s="236"/>
      <c r="CV384" s="236"/>
      <c r="CW384" s="236"/>
      <c r="CX384" s="236"/>
      <c r="CY384" s="236"/>
      <c r="CZ384" s="236"/>
      <c r="DA384" s="236"/>
      <c r="DB384" s="236"/>
      <c r="DC384" s="236"/>
      <c r="DD384" s="236"/>
      <c r="DE384" s="236"/>
      <c r="DF384" s="236"/>
      <c r="DG384" s="236"/>
      <c r="DH384" s="236"/>
      <c r="DI384" s="236"/>
      <c r="DJ384" s="236"/>
      <c r="DK384" s="236"/>
      <c r="DL384" s="236"/>
      <c r="DM384" s="236"/>
      <c r="DN384" s="236"/>
      <c r="DO384" s="236"/>
      <c r="DP384" s="236"/>
      <c r="DQ384" s="236"/>
      <c r="DR384" s="236"/>
      <c r="DS384" s="236"/>
      <c r="DT384" s="236"/>
      <c r="DU384" s="236"/>
      <c r="DV384" s="236"/>
      <c r="DW384" s="236"/>
      <c r="DX384" s="236"/>
      <c r="DY384" s="236"/>
      <c r="DZ384" s="236"/>
      <c r="EA384" s="236"/>
      <c r="EB384" s="237">
        <f t="shared" si="40"/>
        <v>0</v>
      </c>
      <c r="EC384" s="237">
        <f t="shared" si="41"/>
        <v>0</v>
      </c>
      <c r="ED384" s="237">
        <f t="shared" si="42"/>
        <v>0</v>
      </c>
      <c r="EE384" s="237">
        <f t="shared" si="43"/>
        <v>0</v>
      </c>
      <c r="EF384" s="121"/>
      <c r="EG384" s="238">
        <f t="shared" si="44"/>
        <v>0</v>
      </c>
      <c r="EH384" s="121"/>
      <c r="EI384" s="237">
        <f t="shared" si="45"/>
        <v>0</v>
      </c>
      <c r="EJ384" s="121"/>
      <c r="EK384" s="237">
        <f t="shared" si="46"/>
        <v>0</v>
      </c>
      <c r="EL384" s="237"/>
      <c r="EM384" s="5"/>
      <c r="EN384" s="5"/>
      <c r="EO384" s="5"/>
      <c r="EP384" s="5"/>
      <c r="EQ384" s="237">
        <f t="shared" si="47"/>
        <v>0</v>
      </c>
      <c r="ER384" s="239">
        <v>23300</v>
      </c>
      <c r="ES384" s="5">
        <v>7.5</v>
      </c>
    </row>
    <row r="385" spans="1:149" x14ac:dyDescent="0.3">
      <c r="A385" s="124">
        <v>380</v>
      </c>
      <c r="B385" s="121"/>
      <c r="C385" s="121"/>
      <c r="D385" s="121"/>
      <c r="E385" s="121"/>
      <c r="F385" s="121"/>
      <c r="G385" s="121"/>
      <c r="H385" s="121"/>
      <c r="I385" s="121"/>
      <c r="J385" s="121"/>
      <c r="K385" s="121"/>
      <c r="L385" s="121"/>
      <c r="M385" s="121"/>
      <c r="N385" s="121"/>
      <c r="O385" s="235"/>
      <c r="P385" s="121"/>
      <c r="Q385" s="121"/>
      <c r="R385" s="121"/>
      <c r="S385" s="121"/>
      <c r="T385" s="121"/>
      <c r="U385" s="121"/>
      <c r="V385" s="121"/>
      <c r="W385" s="121"/>
      <c r="X385" s="117"/>
      <c r="Y385" s="117"/>
      <c r="Z385" s="121"/>
      <c r="AA385" s="121"/>
      <c r="AB385" s="236"/>
      <c r="AC385" s="236"/>
      <c r="AD385" s="236"/>
      <c r="AE385" s="236"/>
      <c r="AF385" s="236"/>
      <c r="AG385" s="236"/>
      <c r="AH385" s="236"/>
      <c r="AI385" s="236"/>
      <c r="AJ385" s="236"/>
      <c r="AK385" s="236"/>
      <c r="AL385" s="236"/>
      <c r="AM385" s="236"/>
      <c r="AN385" s="236"/>
      <c r="AO385" s="236"/>
      <c r="AP385" s="236"/>
      <c r="AQ385" s="236"/>
      <c r="AR385" s="236"/>
      <c r="AS385" s="236"/>
      <c r="AT385" s="236"/>
      <c r="AU385" s="236"/>
      <c r="AV385" s="236"/>
      <c r="AW385" s="236"/>
      <c r="AX385" s="236"/>
      <c r="AY385" s="236"/>
      <c r="AZ385" s="236"/>
      <c r="BA385" s="236"/>
      <c r="BB385" s="236"/>
      <c r="BC385" s="236"/>
      <c r="BD385" s="236"/>
      <c r="BE385" s="236"/>
      <c r="BF385" s="236"/>
      <c r="BG385" s="236"/>
      <c r="BH385" s="236"/>
      <c r="BI385" s="236"/>
      <c r="BJ385" s="236"/>
      <c r="BK385" s="236"/>
      <c r="BL385" s="236"/>
      <c r="BM385" s="236"/>
      <c r="BN385" s="236"/>
      <c r="BO385" s="236"/>
      <c r="BP385" s="236"/>
      <c r="BQ385" s="236"/>
      <c r="BR385" s="236"/>
      <c r="BS385" s="236"/>
      <c r="BT385" s="236"/>
      <c r="BU385" s="236"/>
      <c r="BV385" s="236"/>
      <c r="BW385" s="236"/>
      <c r="BX385" s="236"/>
      <c r="BY385" s="236"/>
      <c r="BZ385" s="236"/>
      <c r="CA385" s="236"/>
      <c r="CB385" s="236"/>
      <c r="CC385" s="236"/>
      <c r="CD385" s="236"/>
      <c r="CE385" s="236"/>
      <c r="CF385" s="236"/>
      <c r="CG385" s="236"/>
      <c r="CH385" s="236"/>
      <c r="CI385" s="236"/>
      <c r="CJ385" s="236"/>
      <c r="CK385" s="236"/>
      <c r="CL385" s="236"/>
      <c r="CM385" s="236"/>
      <c r="CN385" s="236"/>
      <c r="CO385" s="236"/>
      <c r="CP385" s="236"/>
      <c r="CQ385" s="236"/>
      <c r="CR385" s="236"/>
      <c r="CS385" s="236"/>
      <c r="CT385" s="236"/>
      <c r="CU385" s="236"/>
      <c r="CV385" s="236"/>
      <c r="CW385" s="236"/>
      <c r="CX385" s="236"/>
      <c r="CY385" s="236"/>
      <c r="CZ385" s="236"/>
      <c r="DA385" s="236"/>
      <c r="DB385" s="236"/>
      <c r="DC385" s="236"/>
      <c r="DD385" s="236"/>
      <c r="DE385" s="236"/>
      <c r="DF385" s="236"/>
      <c r="DG385" s="236"/>
      <c r="DH385" s="236"/>
      <c r="DI385" s="236"/>
      <c r="DJ385" s="236"/>
      <c r="DK385" s="236"/>
      <c r="DL385" s="236"/>
      <c r="DM385" s="236"/>
      <c r="DN385" s="236"/>
      <c r="DO385" s="236"/>
      <c r="DP385" s="236"/>
      <c r="DQ385" s="236"/>
      <c r="DR385" s="236"/>
      <c r="DS385" s="236"/>
      <c r="DT385" s="236"/>
      <c r="DU385" s="236"/>
      <c r="DV385" s="236"/>
      <c r="DW385" s="236"/>
      <c r="DX385" s="236"/>
      <c r="DY385" s="236"/>
      <c r="DZ385" s="236"/>
      <c r="EA385" s="236"/>
      <c r="EB385" s="237">
        <f t="shared" si="40"/>
        <v>0</v>
      </c>
      <c r="EC385" s="237">
        <f t="shared" si="41"/>
        <v>0</v>
      </c>
      <c r="ED385" s="237">
        <f t="shared" si="42"/>
        <v>0</v>
      </c>
      <c r="EE385" s="237">
        <f t="shared" si="43"/>
        <v>0</v>
      </c>
      <c r="EF385" s="121"/>
      <c r="EG385" s="238">
        <f t="shared" si="44"/>
        <v>0</v>
      </c>
      <c r="EH385" s="121"/>
      <c r="EI385" s="237">
        <f t="shared" si="45"/>
        <v>0</v>
      </c>
      <c r="EJ385" s="121"/>
      <c r="EK385" s="237">
        <f t="shared" si="46"/>
        <v>0</v>
      </c>
      <c r="EL385" s="237"/>
      <c r="EM385" s="5"/>
      <c r="EN385" s="5"/>
      <c r="EO385" s="5"/>
      <c r="EP385" s="5"/>
      <c r="EQ385" s="237">
        <f t="shared" si="47"/>
        <v>0</v>
      </c>
      <c r="ER385" s="239">
        <v>23300</v>
      </c>
      <c r="ES385" s="5">
        <v>7.5</v>
      </c>
    </row>
    <row r="386" spans="1:149" x14ac:dyDescent="0.3">
      <c r="A386" s="124"/>
      <c r="B386" s="121"/>
      <c r="C386" s="121"/>
      <c r="D386" s="121"/>
      <c r="E386" s="121"/>
      <c r="F386" s="121"/>
      <c r="G386" s="121"/>
      <c r="H386" s="121"/>
      <c r="I386" s="121"/>
      <c r="J386" s="121"/>
      <c r="K386" s="121"/>
      <c r="L386" s="121"/>
      <c r="M386" s="121"/>
      <c r="N386" s="121"/>
      <c r="O386" s="235"/>
      <c r="P386" s="121"/>
      <c r="Q386" s="121"/>
      <c r="R386" s="121"/>
      <c r="S386" s="121"/>
      <c r="T386" s="121"/>
      <c r="U386" s="121"/>
      <c r="V386" s="121"/>
      <c r="W386" s="121"/>
      <c r="X386" s="117"/>
      <c r="Y386" s="117"/>
      <c r="Z386" s="121"/>
      <c r="AA386" s="121"/>
      <c r="AB386" s="236"/>
      <c r="AC386" s="236"/>
      <c r="AD386" s="236"/>
      <c r="AE386" s="236"/>
      <c r="AF386" s="236"/>
      <c r="AG386" s="236"/>
      <c r="AH386" s="236"/>
      <c r="AI386" s="236"/>
      <c r="AJ386" s="236"/>
      <c r="AK386" s="236"/>
      <c r="AL386" s="236"/>
      <c r="AM386" s="236"/>
      <c r="AN386" s="236"/>
      <c r="AO386" s="236"/>
      <c r="AP386" s="236"/>
      <c r="AQ386" s="236"/>
      <c r="AR386" s="236"/>
      <c r="AS386" s="236"/>
      <c r="AT386" s="236"/>
      <c r="AU386" s="236"/>
      <c r="AV386" s="236"/>
      <c r="AW386" s="236"/>
      <c r="AX386" s="236"/>
      <c r="AY386" s="236"/>
      <c r="AZ386" s="236"/>
      <c r="BA386" s="236"/>
      <c r="BB386" s="236"/>
      <c r="BC386" s="236"/>
      <c r="BD386" s="236"/>
      <c r="BE386" s="236"/>
      <c r="BF386" s="236"/>
      <c r="BG386" s="236"/>
      <c r="BH386" s="236"/>
      <c r="BI386" s="236"/>
      <c r="BJ386" s="236"/>
      <c r="BK386" s="236"/>
      <c r="BL386" s="236"/>
      <c r="BM386" s="236"/>
      <c r="BN386" s="236"/>
      <c r="BO386" s="236"/>
      <c r="BP386" s="236"/>
      <c r="BQ386" s="236"/>
      <c r="BR386" s="236"/>
      <c r="BS386" s="236"/>
      <c r="BT386" s="236"/>
      <c r="BU386" s="236"/>
      <c r="BV386" s="236"/>
      <c r="BW386" s="236"/>
      <c r="BX386" s="236"/>
      <c r="BY386" s="236"/>
      <c r="BZ386" s="236"/>
      <c r="CA386" s="236"/>
      <c r="CB386" s="236"/>
      <c r="CC386" s="236"/>
      <c r="CD386" s="236"/>
      <c r="CE386" s="236"/>
      <c r="CF386" s="236"/>
      <c r="CG386" s="236"/>
      <c r="CH386" s="236"/>
      <c r="CI386" s="236"/>
      <c r="CJ386" s="236"/>
      <c r="CK386" s="236"/>
      <c r="CL386" s="236"/>
      <c r="CM386" s="236"/>
      <c r="CN386" s="236"/>
      <c r="CO386" s="236"/>
      <c r="CP386" s="236"/>
      <c r="CQ386" s="236"/>
      <c r="CR386" s="236"/>
      <c r="CS386" s="236"/>
      <c r="CT386" s="236"/>
      <c r="CU386" s="236"/>
      <c r="CV386" s="236"/>
      <c r="CW386" s="236"/>
      <c r="CX386" s="236"/>
      <c r="CY386" s="236"/>
      <c r="CZ386" s="236"/>
      <c r="DA386" s="236"/>
      <c r="DB386" s="236"/>
      <c r="DC386" s="236"/>
      <c r="DD386" s="236"/>
      <c r="DE386" s="236"/>
      <c r="DF386" s="236"/>
      <c r="DG386" s="236"/>
      <c r="DH386" s="236"/>
      <c r="DI386" s="236"/>
      <c r="DJ386" s="236"/>
      <c r="DK386" s="236"/>
      <c r="DL386" s="236"/>
      <c r="DM386" s="236"/>
      <c r="DN386" s="236"/>
      <c r="DO386" s="236"/>
      <c r="DP386" s="236"/>
      <c r="DQ386" s="236"/>
      <c r="DR386" s="236"/>
      <c r="DS386" s="236"/>
      <c r="DT386" s="236"/>
      <c r="DU386" s="236"/>
      <c r="DV386" s="236"/>
      <c r="DW386" s="236"/>
      <c r="DX386" s="236"/>
      <c r="DY386" s="236"/>
      <c r="DZ386" s="236"/>
      <c r="EA386" s="236"/>
      <c r="EB386" s="237">
        <f t="shared" si="40"/>
        <v>0</v>
      </c>
      <c r="EC386" s="237">
        <f t="shared" si="41"/>
        <v>0</v>
      </c>
      <c r="ED386" s="237">
        <f t="shared" si="42"/>
        <v>0</v>
      </c>
      <c r="EE386" s="237">
        <f t="shared" si="43"/>
        <v>0</v>
      </c>
      <c r="EF386" s="121"/>
      <c r="EG386" s="238">
        <f t="shared" si="44"/>
        <v>0</v>
      </c>
      <c r="EH386" s="121"/>
      <c r="EI386" s="237">
        <f t="shared" si="45"/>
        <v>0</v>
      </c>
      <c r="EJ386" s="121"/>
      <c r="EK386" s="237">
        <f t="shared" si="46"/>
        <v>0</v>
      </c>
      <c r="EL386" s="237"/>
      <c r="EM386" s="5"/>
      <c r="EN386" s="5"/>
      <c r="EO386" s="5"/>
      <c r="EP386" s="5"/>
      <c r="EQ386" s="237">
        <f t="shared" si="47"/>
        <v>0</v>
      </c>
      <c r="ER386" s="239">
        <v>23300</v>
      </c>
      <c r="ES386" s="5">
        <v>7.5</v>
      </c>
    </row>
    <row r="387" spans="1:149" x14ac:dyDescent="0.3">
      <c r="A387" s="124"/>
      <c r="B387" s="121"/>
      <c r="C387" s="121"/>
      <c r="D387" s="121"/>
      <c r="E387" s="121"/>
      <c r="F387" s="121"/>
      <c r="G387" s="121"/>
      <c r="H387" s="121"/>
      <c r="I387" s="121"/>
      <c r="J387" s="121"/>
      <c r="K387" s="121"/>
      <c r="L387" s="121"/>
      <c r="M387" s="121"/>
      <c r="N387" s="121"/>
      <c r="O387" s="235"/>
      <c r="P387" s="121"/>
      <c r="Q387" s="121"/>
      <c r="R387" s="121"/>
      <c r="S387" s="121"/>
      <c r="T387" s="121"/>
      <c r="U387" s="121"/>
      <c r="V387" s="121"/>
      <c r="W387" s="121"/>
      <c r="X387" s="117"/>
      <c r="Y387" s="117"/>
      <c r="Z387" s="121"/>
      <c r="AA387" s="121"/>
      <c r="AB387" s="236"/>
      <c r="AC387" s="236"/>
      <c r="AD387" s="236"/>
      <c r="AE387" s="236"/>
      <c r="AF387" s="236"/>
      <c r="AG387" s="236"/>
      <c r="AH387" s="236"/>
      <c r="AI387" s="236"/>
      <c r="AJ387" s="236"/>
      <c r="AK387" s="236"/>
      <c r="AL387" s="236"/>
      <c r="AM387" s="236"/>
      <c r="AN387" s="236"/>
      <c r="AO387" s="236"/>
      <c r="AP387" s="236"/>
      <c r="AQ387" s="236"/>
      <c r="AR387" s="236"/>
      <c r="AS387" s="236"/>
      <c r="AT387" s="236"/>
      <c r="AU387" s="236"/>
      <c r="AV387" s="236"/>
      <c r="AW387" s="236"/>
      <c r="AX387" s="236"/>
      <c r="AY387" s="236"/>
      <c r="AZ387" s="236"/>
      <c r="BA387" s="236"/>
      <c r="BB387" s="236"/>
      <c r="BC387" s="236"/>
      <c r="BD387" s="236"/>
      <c r="BE387" s="236"/>
      <c r="BF387" s="236"/>
      <c r="BG387" s="236"/>
      <c r="BH387" s="236"/>
      <c r="BI387" s="236"/>
      <c r="BJ387" s="236"/>
      <c r="BK387" s="236"/>
      <c r="BL387" s="236"/>
      <c r="BM387" s="236"/>
      <c r="BN387" s="236"/>
      <c r="BO387" s="236"/>
      <c r="BP387" s="236"/>
      <c r="BQ387" s="236"/>
      <c r="BR387" s="236"/>
      <c r="BS387" s="236"/>
      <c r="BT387" s="236"/>
      <c r="BU387" s="236"/>
      <c r="BV387" s="236"/>
      <c r="BW387" s="236"/>
      <c r="BX387" s="236"/>
      <c r="BY387" s="236"/>
      <c r="BZ387" s="236"/>
      <c r="CA387" s="236"/>
      <c r="CB387" s="236"/>
      <c r="CC387" s="236"/>
      <c r="CD387" s="236"/>
      <c r="CE387" s="236"/>
      <c r="CF387" s="236"/>
      <c r="CG387" s="236"/>
      <c r="CH387" s="236"/>
      <c r="CI387" s="236"/>
      <c r="CJ387" s="236"/>
      <c r="CK387" s="236"/>
      <c r="CL387" s="236"/>
      <c r="CM387" s="236"/>
      <c r="CN387" s="236"/>
      <c r="CO387" s="236"/>
      <c r="CP387" s="236"/>
      <c r="CQ387" s="236"/>
      <c r="CR387" s="236"/>
      <c r="CS387" s="236"/>
      <c r="CT387" s="236"/>
      <c r="CU387" s="236"/>
      <c r="CV387" s="236"/>
      <c r="CW387" s="236"/>
      <c r="CX387" s="236"/>
      <c r="CY387" s="236"/>
      <c r="CZ387" s="236"/>
      <c r="DA387" s="236"/>
      <c r="DB387" s="236"/>
      <c r="DC387" s="236"/>
      <c r="DD387" s="236"/>
      <c r="DE387" s="236"/>
      <c r="DF387" s="236"/>
      <c r="DG387" s="236"/>
      <c r="DH387" s="236"/>
      <c r="DI387" s="236"/>
      <c r="DJ387" s="236"/>
      <c r="DK387" s="236"/>
      <c r="DL387" s="236"/>
      <c r="DM387" s="236"/>
      <c r="DN387" s="236"/>
      <c r="DO387" s="236"/>
      <c r="DP387" s="236"/>
      <c r="DQ387" s="236"/>
      <c r="DR387" s="236"/>
      <c r="DS387" s="236"/>
      <c r="DT387" s="236"/>
      <c r="DU387" s="236"/>
      <c r="DV387" s="236"/>
      <c r="DW387" s="236"/>
      <c r="DX387" s="236"/>
      <c r="DY387" s="236"/>
      <c r="DZ387" s="236"/>
      <c r="EA387" s="236"/>
      <c r="EB387" s="237">
        <f t="shared" si="40"/>
        <v>0</v>
      </c>
      <c r="EC387" s="237">
        <f t="shared" si="41"/>
        <v>0</v>
      </c>
      <c r="ED387" s="237">
        <f t="shared" si="42"/>
        <v>0</v>
      </c>
      <c r="EE387" s="237">
        <f t="shared" si="43"/>
        <v>0</v>
      </c>
      <c r="EF387" s="121"/>
      <c r="EG387" s="238">
        <f t="shared" si="44"/>
        <v>0</v>
      </c>
      <c r="EH387" s="121"/>
      <c r="EI387" s="237">
        <f t="shared" si="45"/>
        <v>0</v>
      </c>
      <c r="EJ387" s="121"/>
      <c r="EK387" s="237">
        <f t="shared" si="46"/>
        <v>0</v>
      </c>
      <c r="EL387" s="237"/>
      <c r="EM387" s="5"/>
      <c r="EN387" s="5"/>
      <c r="EO387" s="5"/>
      <c r="EP387" s="5"/>
      <c r="EQ387" s="237">
        <f t="shared" si="47"/>
        <v>0</v>
      </c>
      <c r="ER387" s="239">
        <v>23300</v>
      </c>
      <c r="ES387" s="5">
        <v>7.5</v>
      </c>
    </row>
    <row r="388" spans="1:149" x14ac:dyDescent="0.3">
      <c r="A388" s="124"/>
      <c r="B388" s="121"/>
      <c r="C388" s="121"/>
      <c r="D388" s="121"/>
      <c r="E388" s="121"/>
      <c r="F388" s="121"/>
      <c r="G388" s="121"/>
      <c r="H388" s="121"/>
      <c r="I388" s="121"/>
      <c r="J388" s="121"/>
      <c r="K388" s="121"/>
      <c r="L388" s="121"/>
      <c r="M388" s="121"/>
      <c r="N388" s="121"/>
      <c r="O388" s="235"/>
      <c r="P388" s="121"/>
      <c r="Q388" s="121"/>
      <c r="R388" s="121"/>
      <c r="S388" s="121"/>
      <c r="T388" s="121"/>
      <c r="U388" s="121"/>
      <c r="V388" s="121"/>
      <c r="W388" s="121"/>
      <c r="X388" s="117"/>
      <c r="Y388" s="117"/>
      <c r="Z388" s="121"/>
      <c r="AA388" s="121"/>
      <c r="AB388" s="236"/>
      <c r="AC388" s="236"/>
      <c r="AD388" s="236"/>
      <c r="AE388" s="236"/>
      <c r="AF388" s="236"/>
      <c r="AG388" s="236"/>
      <c r="AH388" s="236"/>
      <c r="AI388" s="236"/>
      <c r="AJ388" s="236"/>
      <c r="AK388" s="236"/>
      <c r="AL388" s="236"/>
      <c r="AM388" s="236"/>
      <c r="AN388" s="236"/>
      <c r="AO388" s="236"/>
      <c r="AP388" s="236"/>
      <c r="AQ388" s="236"/>
      <c r="AR388" s="236"/>
      <c r="AS388" s="236"/>
      <c r="AT388" s="236"/>
      <c r="AU388" s="236"/>
      <c r="AV388" s="236"/>
      <c r="AW388" s="236"/>
      <c r="AX388" s="236"/>
      <c r="AY388" s="236"/>
      <c r="AZ388" s="236"/>
      <c r="BA388" s="236"/>
      <c r="BB388" s="236"/>
      <c r="BC388" s="236"/>
      <c r="BD388" s="236"/>
      <c r="BE388" s="236"/>
      <c r="BF388" s="236"/>
      <c r="BG388" s="236"/>
      <c r="BH388" s="236"/>
      <c r="BI388" s="236"/>
      <c r="BJ388" s="236"/>
      <c r="BK388" s="236"/>
      <c r="BL388" s="236"/>
      <c r="BM388" s="236"/>
      <c r="BN388" s="236"/>
      <c r="BO388" s="236"/>
      <c r="BP388" s="236"/>
      <c r="BQ388" s="236"/>
      <c r="BR388" s="236"/>
      <c r="BS388" s="236"/>
      <c r="BT388" s="236"/>
      <c r="BU388" s="236"/>
      <c r="BV388" s="236"/>
      <c r="BW388" s="236"/>
      <c r="BX388" s="236"/>
      <c r="BY388" s="236"/>
      <c r="BZ388" s="236"/>
      <c r="CA388" s="236"/>
      <c r="CB388" s="236"/>
      <c r="CC388" s="236"/>
      <c r="CD388" s="236"/>
      <c r="CE388" s="236"/>
      <c r="CF388" s="236"/>
      <c r="CG388" s="236"/>
      <c r="CH388" s="236"/>
      <c r="CI388" s="236"/>
      <c r="CJ388" s="236"/>
      <c r="CK388" s="236"/>
      <c r="CL388" s="236"/>
      <c r="CM388" s="236"/>
      <c r="CN388" s="236"/>
      <c r="CO388" s="236"/>
      <c r="CP388" s="236"/>
      <c r="CQ388" s="236"/>
      <c r="CR388" s="236"/>
      <c r="CS388" s="236"/>
      <c r="CT388" s="236"/>
      <c r="CU388" s="236"/>
      <c r="CV388" s="236"/>
      <c r="CW388" s="236"/>
      <c r="CX388" s="236"/>
      <c r="CY388" s="236"/>
      <c r="CZ388" s="236"/>
      <c r="DA388" s="236"/>
      <c r="DB388" s="236"/>
      <c r="DC388" s="236"/>
      <c r="DD388" s="236"/>
      <c r="DE388" s="236"/>
      <c r="DF388" s="236"/>
      <c r="DG388" s="236"/>
      <c r="DH388" s="236"/>
      <c r="DI388" s="236"/>
      <c r="DJ388" s="236"/>
      <c r="DK388" s="236"/>
      <c r="DL388" s="236"/>
      <c r="DM388" s="236"/>
      <c r="DN388" s="236"/>
      <c r="DO388" s="236"/>
      <c r="DP388" s="236"/>
      <c r="DQ388" s="236"/>
      <c r="DR388" s="236"/>
      <c r="DS388" s="236"/>
      <c r="DT388" s="236"/>
      <c r="DU388" s="236"/>
      <c r="DV388" s="236"/>
      <c r="DW388" s="236"/>
      <c r="DX388" s="236"/>
      <c r="DY388" s="236"/>
      <c r="DZ388" s="236"/>
      <c r="EA388" s="236"/>
      <c r="EB388" s="237">
        <f t="shared" si="40"/>
        <v>0</v>
      </c>
      <c r="EC388" s="237">
        <f t="shared" si="41"/>
        <v>0</v>
      </c>
      <c r="ED388" s="237">
        <f t="shared" si="42"/>
        <v>0</v>
      </c>
      <c r="EE388" s="237">
        <f t="shared" si="43"/>
        <v>0</v>
      </c>
      <c r="EF388" s="121"/>
      <c r="EG388" s="238">
        <f t="shared" si="44"/>
        <v>0</v>
      </c>
      <c r="EH388" s="121"/>
      <c r="EI388" s="237">
        <f t="shared" si="45"/>
        <v>0</v>
      </c>
      <c r="EJ388" s="121"/>
      <c r="EK388" s="237">
        <f t="shared" si="46"/>
        <v>0</v>
      </c>
      <c r="EL388" s="237"/>
      <c r="EM388" s="5"/>
      <c r="EN388" s="5"/>
      <c r="EO388" s="5"/>
      <c r="EP388" s="5"/>
      <c r="EQ388" s="237">
        <f t="shared" si="47"/>
        <v>0</v>
      </c>
      <c r="ER388" s="239">
        <v>23300</v>
      </c>
      <c r="ES388" s="5">
        <v>7.5</v>
      </c>
    </row>
    <row r="389" spans="1:149" x14ac:dyDescent="0.3">
      <c r="A389" s="124"/>
      <c r="B389" s="121"/>
      <c r="C389" s="121"/>
      <c r="D389" s="121"/>
      <c r="E389" s="121"/>
      <c r="F389" s="121"/>
      <c r="G389" s="121"/>
      <c r="H389" s="121"/>
      <c r="I389" s="121"/>
      <c r="J389" s="121"/>
      <c r="K389" s="121"/>
      <c r="L389" s="121"/>
      <c r="M389" s="121"/>
      <c r="N389" s="121"/>
      <c r="O389" s="235"/>
      <c r="P389" s="121"/>
      <c r="Q389" s="121"/>
      <c r="R389" s="121"/>
      <c r="S389" s="121"/>
      <c r="T389" s="121"/>
      <c r="U389" s="121"/>
      <c r="V389" s="121"/>
      <c r="W389" s="121"/>
      <c r="X389" s="117"/>
      <c r="Y389" s="117"/>
      <c r="Z389" s="121"/>
      <c r="AA389" s="121"/>
      <c r="AB389" s="236"/>
      <c r="AC389" s="236"/>
      <c r="AD389" s="236"/>
      <c r="AE389" s="236"/>
      <c r="AF389" s="236"/>
      <c r="AG389" s="236"/>
      <c r="AH389" s="236"/>
      <c r="AI389" s="236"/>
      <c r="AJ389" s="236"/>
      <c r="AK389" s="236"/>
      <c r="AL389" s="236"/>
      <c r="AM389" s="236"/>
      <c r="AN389" s="236"/>
      <c r="AO389" s="236"/>
      <c r="AP389" s="236"/>
      <c r="AQ389" s="236"/>
      <c r="AR389" s="236"/>
      <c r="AS389" s="236"/>
      <c r="AT389" s="236"/>
      <c r="AU389" s="236"/>
      <c r="AV389" s="236"/>
      <c r="AW389" s="236"/>
      <c r="AX389" s="236"/>
      <c r="AY389" s="236"/>
      <c r="AZ389" s="236"/>
      <c r="BA389" s="236"/>
      <c r="BB389" s="236"/>
      <c r="BC389" s="236"/>
      <c r="BD389" s="236"/>
      <c r="BE389" s="236"/>
      <c r="BF389" s="236"/>
      <c r="BG389" s="236"/>
      <c r="BH389" s="236"/>
      <c r="BI389" s="236"/>
      <c r="BJ389" s="236"/>
      <c r="BK389" s="236"/>
      <c r="BL389" s="236"/>
      <c r="BM389" s="236"/>
      <c r="BN389" s="236"/>
      <c r="BO389" s="236"/>
      <c r="BP389" s="236"/>
      <c r="BQ389" s="236"/>
      <c r="BR389" s="236"/>
      <c r="BS389" s="236"/>
      <c r="BT389" s="236"/>
      <c r="BU389" s="236"/>
      <c r="BV389" s="236"/>
      <c r="BW389" s="236"/>
      <c r="BX389" s="236"/>
      <c r="BY389" s="236"/>
      <c r="BZ389" s="236"/>
      <c r="CA389" s="236"/>
      <c r="CB389" s="236"/>
      <c r="CC389" s="236"/>
      <c r="CD389" s="236"/>
      <c r="CE389" s="236"/>
      <c r="CF389" s="236"/>
      <c r="CG389" s="236"/>
      <c r="CH389" s="236"/>
      <c r="CI389" s="236"/>
      <c r="CJ389" s="236"/>
      <c r="CK389" s="236"/>
      <c r="CL389" s="236"/>
      <c r="CM389" s="236"/>
      <c r="CN389" s="236"/>
      <c r="CO389" s="236"/>
      <c r="CP389" s="236"/>
      <c r="CQ389" s="236"/>
      <c r="CR389" s="236"/>
      <c r="CS389" s="236"/>
      <c r="CT389" s="236"/>
      <c r="CU389" s="236"/>
      <c r="CV389" s="236"/>
      <c r="CW389" s="236"/>
      <c r="CX389" s="236"/>
      <c r="CY389" s="236"/>
      <c r="CZ389" s="236"/>
      <c r="DA389" s="236"/>
      <c r="DB389" s="236"/>
      <c r="DC389" s="236"/>
      <c r="DD389" s="236"/>
      <c r="DE389" s="236"/>
      <c r="DF389" s="236"/>
      <c r="DG389" s="236"/>
      <c r="DH389" s="236"/>
      <c r="DI389" s="236"/>
      <c r="DJ389" s="236"/>
      <c r="DK389" s="236"/>
      <c r="DL389" s="236"/>
      <c r="DM389" s="236"/>
      <c r="DN389" s="236"/>
      <c r="DO389" s="236"/>
      <c r="DP389" s="236"/>
      <c r="DQ389" s="236"/>
      <c r="DR389" s="236"/>
      <c r="DS389" s="236"/>
      <c r="DT389" s="236"/>
      <c r="DU389" s="236"/>
      <c r="DV389" s="236"/>
      <c r="DW389" s="236"/>
      <c r="DX389" s="236"/>
      <c r="DY389" s="236"/>
      <c r="DZ389" s="236"/>
      <c r="EA389" s="236"/>
      <c r="EB389" s="237">
        <f t="shared" si="40"/>
        <v>0</v>
      </c>
      <c r="EC389" s="237">
        <f t="shared" si="41"/>
        <v>0</v>
      </c>
      <c r="ED389" s="237">
        <f t="shared" si="42"/>
        <v>0</v>
      </c>
      <c r="EE389" s="237">
        <f t="shared" si="43"/>
        <v>0</v>
      </c>
      <c r="EF389" s="121"/>
      <c r="EG389" s="238">
        <f t="shared" si="44"/>
        <v>0</v>
      </c>
      <c r="EH389" s="121"/>
      <c r="EI389" s="237">
        <f t="shared" si="45"/>
        <v>0</v>
      </c>
      <c r="EJ389" s="121"/>
      <c r="EK389" s="237">
        <f t="shared" si="46"/>
        <v>0</v>
      </c>
      <c r="EL389" s="237"/>
      <c r="EM389" s="5"/>
      <c r="EN389" s="5"/>
      <c r="EO389" s="5"/>
      <c r="EP389" s="5"/>
      <c r="EQ389" s="237">
        <f t="shared" si="47"/>
        <v>0</v>
      </c>
      <c r="ER389" s="239">
        <v>23300</v>
      </c>
      <c r="ES389" s="5">
        <v>7.5</v>
      </c>
    </row>
    <row r="390" spans="1:149" x14ac:dyDescent="0.3">
      <c r="A390" s="124"/>
      <c r="B390" s="121"/>
      <c r="C390" s="121"/>
      <c r="D390" s="121"/>
      <c r="E390" s="121"/>
      <c r="F390" s="121"/>
      <c r="G390" s="121"/>
      <c r="H390" s="121"/>
      <c r="I390" s="121"/>
      <c r="J390" s="121"/>
      <c r="K390" s="121"/>
      <c r="L390" s="121"/>
      <c r="M390" s="121"/>
      <c r="N390" s="121"/>
      <c r="O390" s="235"/>
      <c r="P390" s="121"/>
      <c r="Q390" s="121"/>
      <c r="R390" s="121"/>
      <c r="S390" s="121"/>
      <c r="T390" s="121"/>
      <c r="U390" s="121"/>
      <c r="V390" s="121"/>
      <c r="W390" s="121"/>
      <c r="X390" s="117"/>
      <c r="Y390" s="117"/>
      <c r="Z390" s="121"/>
      <c r="AA390" s="121"/>
      <c r="AB390" s="236"/>
      <c r="AC390" s="236"/>
      <c r="AD390" s="236"/>
      <c r="AE390" s="236"/>
      <c r="AF390" s="236"/>
      <c r="AG390" s="236"/>
      <c r="AH390" s="236"/>
      <c r="AI390" s="236"/>
      <c r="AJ390" s="236"/>
      <c r="AK390" s="236"/>
      <c r="AL390" s="236"/>
      <c r="AM390" s="236"/>
      <c r="AN390" s="236"/>
      <c r="AO390" s="236"/>
      <c r="AP390" s="236"/>
      <c r="AQ390" s="236"/>
      <c r="AR390" s="236"/>
      <c r="AS390" s="236"/>
      <c r="AT390" s="236"/>
      <c r="AU390" s="236"/>
      <c r="AV390" s="236"/>
      <c r="AW390" s="236"/>
      <c r="AX390" s="236"/>
      <c r="AY390" s="236"/>
      <c r="AZ390" s="236"/>
      <c r="BA390" s="236"/>
      <c r="BB390" s="236"/>
      <c r="BC390" s="236"/>
      <c r="BD390" s="236"/>
      <c r="BE390" s="236"/>
      <c r="BF390" s="236"/>
      <c r="BG390" s="236"/>
      <c r="BH390" s="236"/>
      <c r="BI390" s="236"/>
      <c r="BJ390" s="236"/>
      <c r="BK390" s="236"/>
      <c r="BL390" s="236"/>
      <c r="BM390" s="236"/>
      <c r="BN390" s="236"/>
      <c r="BO390" s="236"/>
      <c r="BP390" s="236"/>
      <c r="BQ390" s="236"/>
      <c r="BR390" s="236"/>
      <c r="BS390" s="236"/>
      <c r="BT390" s="236"/>
      <c r="BU390" s="236"/>
      <c r="BV390" s="236"/>
      <c r="BW390" s="236"/>
      <c r="BX390" s="236"/>
      <c r="BY390" s="236"/>
      <c r="BZ390" s="236"/>
      <c r="CA390" s="236"/>
      <c r="CB390" s="236"/>
      <c r="CC390" s="236"/>
      <c r="CD390" s="236"/>
      <c r="CE390" s="236"/>
      <c r="CF390" s="236"/>
      <c r="CG390" s="236"/>
      <c r="CH390" s="236"/>
      <c r="CI390" s="236"/>
      <c r="CJ390" s="236"/>
      <c r="CK390" s="236"/>
      <c r="CL390" s="236"/>
      <c r="CM390" s="236"/>
      <c r="CN390" s="236"/>
      <c r="CO390" s="236"/>
      <c r="CP390" s="236"/>
      <c r="CQ390" s="236"/>
      <c r="CR390" s="236"/>
      <c r="CS390" s="236"/>
      <c r="CT390" s="236"/>
      <c r="CU390" s="236"/>
      <c r="CV390" s="236"/>
      <c r="CW390" s="236"/>
      <c r="CX390" s="236"/>
      <c r="CY390" s="236"/>
      <c r="CZ390" s="236"/>
      <c r="DA390" s="236"/>
      <c r="DB390" s="236"/>
      <c r="DC390" s="236"/>
      <c r="DD390" s="236"/>
      <c r="DE390" s="236"/>
      <c r="DF390" s="236"/>
      <c r="DG390" s="236"/>
      <c r="DH390" s="236"/>
      <c r="DI390" s="236"/>
      <c r="DJ390" s="236"/>
      <c r="DK390" s="236"/>
      <c r="DL390" s="236"/>
      <c r="DM390" s="236"/>
      <c r="DN390" s="236"/>
      <c r="DO390" s="236"/>
      <c r="DP390" s="236"/>
      <c r="DQ390" s="236"/>
      <c r="DR390" s="236"/>
      <c r="DS390" s="236"/>
      <c r="DT390" s="236"/>
      <c r="DU390" s="236"/>
      <c r="DV390" s="236"/>
      <c r="DW390" s="236"/>
      <c r="DX390" s="236"/>
      <c r="DY390" s="236"/>
      <c r="DZ390" s="236"/>
      <c r="EA390" s="236"/>
      <c r="EB390" s="237">
        <f t="shared" ref="EB390:EB453" si="48">AB390+AC390*K390+AD390*K390+((AF390+AG390+AH390+AJ390+AK390)*K390+AE390+AI390+AL390*K390+AM390*K390)+AP390+AQ390*L390+AR390*L390+((AT390+AU390+AV390+AX390+AY390)*L390+AS390+AW390+AZ390*L390+BA390*L390)+IF(AND(M390&gt;0,MAX(M390,N390/1000)&lt;1),BD390+1*(BE390+BF390)+(1*(BH390+BI390+BJ390+BL390+BM390)+BG390+BK390+BN390+BO390),IF(AND(M390&gt;0,MAX(M390,N390/1000)&gt;1),BD390+MAX(M390,N390/1000)*(BE390+BF390)+(MAX(M390,N390/1000)*(BH390+BI390+BJ390+BL390+BM390)+BG390+BK390+BN390+BO390),IF(AND(K390="",L390="",M390=""),BD390+N390*(BE390+BF390)+((BH390+BI390+BJ390+BL390+BM390)*N390+BG390+BK390+BN390+BO390),0)))</f>
        <v>0</v>
      </c>
      <c r="EC390" s="237">
        <f t="shared" ref="EC390:EC453" si="49">BR390+BS390*K390+BT390*K390+((BV390+BW390+BX390+BZ390+CA390)*K390+BU390+BY390+CB390*K390+CC390*K390)+CJ390+CK390*L390+CL390*L390+((CN390+CO390+CP390+CR390+CS390)*L390+CM390+CQ390+CT390*L390+CU390*L390)+IF(AND(M390&gt;0,MAX(M390,N390/1000)&lt;1),DB390+1*(DC390+DD390)+(1*(DF390+DG390+DH390+DJ390+DK390)+DE390+DI390+DL390+DM390),IF(AND(M390&gt;0,MAX(M390,N390/1000)&gt;1),DB390+MAX(M390,N390/1000)*(DC390+DD390)+(MAX(M390,N390/1000)*(DF390+DG390+DH390+DJ390+DK390)+DE390+DI390+DL390+DM390),IF(AND(K390="",L390="",M390=""),DB390+N390*(DC390+DD390)+((DF390+DG390+DH390+DJ390+DK390)*N390+DE390+DI390+DL390+DM390),0)))</f>
        <v>0</v>
      </c>
      <c r="ED390" s="237">
        <f t="shared" ref="ED390:ED453" si="50">AN390*K390*(1-AO390%)+BB390*L390*(1-BC390%)+BP390*IF(AND(M390&gt;0,M390&lt;1),1,IF(M390&gt;1,MAX(M390,N390/1000),N390))*(1-BQ390%)</f>
        <v>0</v>
      </c>
      <c r="EE390" s="237">
        <f t="shared" ref="EE390:EE453" si="51">(CD390+CE390*K390)*(1-CF390%)+(CG390+CH390*K390)*(1-CI390%)+(CV390+CW390*L390)*(1-CX390%)+(CY390+CZ390*L390)*(1-DA390%)+(DN390+DO390*IF(AND(M390&gt;0,M390&lt;1),1,IF(M390&gt;1,MAX(M390,N390/1000),N390)))*(1-DP390%)+(DQ390+DR390*IF(AND(M390&gt;0,M390&lt;1),1,IF(M390&gt;1,MAX(M390,N390/1000),N390)))*(1-DS390%)</f>
        <v>0</v>
      </c>
      <c r="EF390" s="121"/>
      <c r="EG390" s="238">
        <f t="shared" ref="EG390:EG453" si="52">((BR390+BS390*K390+BT390*K390)+(CJ390+CK390*L390*+CL390*L390)+IF(AND(M390&gt;0,MAX(M390,N390/1000)&lt;1),DB390+DC390+DD390,IF(AND(M390&gt;0,MAX(M390,N390/1000)&gt;1),DB390+DC390*M390+DD390*M390,IF(AND(M390&gt;0,MAX(M390,N390/1000)&gt;1),DB390+MAX(M390,N390/1000)*DC390+MAX(M390,N390/1000)*DD390+IF(AND(K390="",L390="",M390=""),DB390+DC390*N390+DD390*N390,0)))))*EF390/365*ES390%</f>
        <v>0</v>
      </c>
      <c r="EH390" s="121"/>
      <c r="EI390" s="237">
        <f t="shared" ref="EI390:EI453" si="53">(((BV390+BW390+BX390+BZ390+CA390)*K390+BU390+BY390)*1.08+CJ390+CK390*L390+CL390*L390+((CN390+CO390+CP390+CR390+CS390)*L390+CM390+CQ390)*1.08+IF(AND(M390&gt;0,MAX(M390,N390/1000)&lt;1),DB390+1*(DC390+DD390)+(1*(DF390+DG390+DH390+DJ390+DK390)+DE390+DI390)*1.08,IF(AND(M390&gt;0,MAX(M390,N390/1000)&gt;1),DB390+MAX(M390,N390/1000)*(DC390+DD390)+(MAX(M390,N390/1000)*(DF390+DG390+DH390+DJ390+DK390)+DE390+DI390)*1.08,IF(AND(K390="",L390="",M390=""),DB390+N390*(DC390+DD390)+((DF390+DG390+DH390+DJ390+DK390)*N390+DE390+DI390)*1.08,0))))*EH390/365*ES390%</f>
        <v>0</v>
      </c>
      <c r="EJ390" s="121"/>
      <c r="EK390" s="237">
        <f t="shared" ref="EK390:EK453" si="54">((CB390*K390+CC390*K390)*1.1+(CT390*L390+CU390*L390)*1.1+(DL390+DM390)*1.1)*EJ390/365*ES390%</f>
        <v>0</v>
      </c>
      <c r="EL390" s="237"/>
      <c r="EM390" s="5"/>
      <c r="EN390" s="5"/>
      <c r="EO390" s="5"/>
      <c r="EP390" s="5"/>
      <c r="EQ390" s="237">
        <f t="shared" ref="EQ390:EQ453" si="55">EC390-EB390-EG390-EI390-EK390-(AN390*K390+BB390*L390+BP390*IF(AND(M390&gt;0,M390&lt;1),1,IF(M390&gt;1,MAX(M390,N390/1000),N390))+CD390+CE390*K390+CV390+CW390*L390+DN390+DO390*IF(AND(M390&gt;0,M390&lt;1),1,IF(M390&gt;1,MAX(M390,N390/1000),N390))+CG390+CH390*K390+CY390+CZ390*L390+DQ390+DR390*IF(AND(M390&gt;0,M390&lt;1),1,IF(M390&gt;1,MAX(M390,N390/1000),N390)))-EL390-EM390*EN390/365*ES390%-EO390*EP390/365*ES390%</f>
        <v>0</v>
      </c>
      <c r="ER390" s="239">
        <v>23300</v>
      </c>
      <c r="ES390" s="5">
        <v>7.5</v>
      </c>
    </row>
    <row r="391" spans="1:149" x14ac:dyDescent="0.3">
      <c r="A391" s="124"/>
      <c r="B391" s="121"/>
      <c r="C391" s="121"/>
      <c r="D391" s="121"/>
      <c r="E391" s="121"/>
      <c r="F391" s="121"/>
      <c r="G391" s="121"/>
      <c r="H391" s="121"/>
      <c r="I391" s="121"/>
      <c r="J391" s="121"/>
      <c r="K391" s="121"/>
      <c r="L391" s="121"/>
      <c r="M391" s="121"/>
      <c r="N391" s="121"/>
      <c r="O391" s="235"/>
      <c r="P391" s="121"/>
      <c r="Q391" s="121"/>
      <c r="R391" s="121"/>
      <c r="S391" s="121"/>
      <c r="T391" s="121"/>
      <c r="U391" s="121"/>
      <c r="V391" s="121"/>
      <c r="W391" s="121"/>
      <c r="X391" s="117"/>
      <c r="Y391" s="117"/>
      <c r="Z391" s="121"/>
      <c r="AA391" s="121"/>
      <c r="AB391" s="236"/>
      <c r="AC391" s="236"/>
      <c r="AD391" s="236"/>
      <c r="AE391" s="236"/>
      <c r="AF391" s="236"/>
      <c r="AG391" s="236"/>
      <c r="AH391" s="236"/>
      <c r="AI391" s="236"/>
      <c r="AJ391" s="236"/>
      <c r="AK391" s="236"/>
      <c r="AL391" s="236"/>
      <c r="AM391" s="236"/>
      <c r="AN391" s="236"/>
      <c r="AO391" s="236"/>
      <c r="AP391" s="236"/>
      <c r="AQ391" s="236"/>
      <c r="AR391" s="236"/>
      <c r="AS391" s="236"/>
      <c r="AT391" s="236"/>
      <c r="AU391" s="236"/>
      <c r="AV391" s="236"/>
      <c r="AW391" s="236"/>
      <c r="AX391" s="236"/>
      <c r="AY391" s="236"/>
      <c r="AZ391" s="236"/>
      <c r="BA391" s="236"/>
      <c r="BB391" s="236"/>
      <c r="BC391" s="236"/>
      <c r="BD391" s="236"/>
      <c r="BE391" s="236"/>
      <c r="BF391" s="236"/>
      <c r="BG391" s="236"/>
      <c r="BH391" s="236"/>
      <c r="BI391" s="236"/>
      <c r="BJ391" s="236"/>
      <c r="BK391" s="236"/>
      <c r="BL391" s="236"/>
      <c r="BM391" s="236"/>
      <c r="BN391" s="236"/>
      <c r="BO391" s="236"/>
      <c r="BP391" s="236"/>
      <c r="BQ391" s="236"/>
      <c r="BR391" s="236"/>
      <c r="BS391" s="236"/>
      <c r="BT391" s="236"/>
      <c r="BU391" s="236"/>
      <c r="BV391" s="236"/>
      <c r="BW391" s="236"/>
      <c r="BX391" s="236"/>
      <c r="BY391" s="236"/>
      <c r="BZ391" s="236"/>
      <c r="CA391" s="236"/>
      <c r="CB391" s="236"/>
      <c r="CC391" s="236"/>
      <c r="CD391" s="236"/>
      <c r="CE391" s="236"/>
      <c r="CF391" s="236"/>
      <c r="CG391" s="236"/>
      <c r="CH391" s="236"/>
      <c r="CI391" s="236"/>
      <c r="CJ391" s="236"/>
      <c r="CK391" s="236"/>
      <c r="CL391" s="236"/>
      <c r="CM391" s="236"/>
      <c r="CN391" s="236"/>
      <c r="CO391" s="236"/>
      <c r="CP391" s="236"/>
      <c r="CQ391" s="236"/>
      <c r="CR391" s="236"/>
      <c r="CS391" s="236"/>
      <c r="CT391" s="236"/>
      <c r="CU391" s="236"/>
      <c r="CV391" s="236"/>
      <c r="CW391" s="236"/>
      <c r="CX391" s="236"/>
      <c r="CY391" s="236"/>
      <c r="CZ391" s="236"/>
      <c r="DA391" s="236"/>
      <c r="DB391" s="236"/>
      <c r="DC391" s="236"/>
      <c r="DD391" s="236"/>
      <c r="DE391" s="236"/>
      <c r="DF391" s="236"/>
      <c r="DG391" s="236"/>
      <c r="DH391" s="236"/>
      <c r="DI391" s="236"/>
      <c r="DJ391" s="236"/>
      <c r="DK391" s="236"/>
      <c r="DL391" s="236"/>
      <c r="DM391" s="236"/>
      <c r="DN391" s="236"/>
      <c r="DO391" s="236"/>
      <c r="DP391" s="236"/>
      <c r="DQ391" s="236"/>
      <c r="DR391" s="236"/>
      <c r="DS391" s="236"/>
      <c r="DT391" s="236"/>
      <c r="DU391" s="236"/>
      <c r="DV391" s="236"/>
      <c r="DW391" s="236"/>
      <c r="DX391" s="236"/>
      <c r="DY391" s="236"/>
      <c r="DZ391" s="236"/>
      <c r="EA391" s="236"/>
      <c r="EB391" s="237">
        <f t="shared" si="48"/>
        <v>0</v>
      </c>
      <c r="EC391" s="237">
        <f t="shared" si="49"/>
        <v>0</v>
      </c>
      <c r="ED391" s="237">
        <f t="shared" si="50"/>
        <v>0</v>
      </c>
      <c r="EE391" s="237">
        <f t="shared" si="51"/>
        <v>0</v>
      </c>
      <c r="EF391" s="121"/>
      <c r="EG391" s="238">
        <f t="shared" si="52"/>
        <v>0</v>
      </c>
      <c r="EH391" s="121"/>
      <c r="EI391" s="237">
        <f t="shared" si="53"/>
        <v>0</v>
      </c>
      <c r="EJ391" s="121"/>
      <c r="EK391" s="237">
        <f t="shared" si="54"/>
        <v>0</v>
      </c>
      <c r="EL391" s="237"/>
      <c r="EM391" s="5"/>
      <c r="EN391" s="5"/>
      <c r="EO391" s="5"/>
      <c r="EP391" s="5"/>
      <c r="EQ391" s="237">
        <f t="shared" si="55"/>
        <v>0</v>
      </c>
      <c r="ER391" s="239">
        <v>23300</v>
      </c>
      <c r="ES391" s="5">
        <v>7.5</v>
      </c>
    </row>
    <row r="392" spans="1:149" x14ac:dyDescent="0.3">
      <c r="A392" s="124"/>
      <c r="B392" s="121"/>
      <c r="C392" s="121"/>
      <c r="D392" s="121"/>
      <c r="E392" s="121"/>
      <c r="F392" s="121"/>
      <c r="G392" s="121"/>
      <c r="H392" s="121"/>
      <c r="I392" s="121"/>
      <c r="J392" s="121"/>
      <c r="K392" s="121"/>
      <c r="L392" s="121"/>
      <c r="M392" s="121"/>
      <c r="N392" s="121"/>
      <c r="O392" s="235"/>
      <c r="P392" s="121"/>
      <c r="Q392" s="121"/>
      <c r="R392" s="121"/>
      <c r="S392" s="121"/>
      <c r="T392" s="121"/>
      <c r="U392" s="121"/>
      <c r="V392" s="121"/>
      <c r="W392" s="121"/>
      <c r="X392" s="117"/>
      <c r="Y392" s="117"/>
      <c r="Z392" s="121"/>
      <c r="AA392" s="121"/>
      <c r="AB392" s="236"/>
      <c r="AC392" s="236"/>
      <c r="AD392" s="236"/>
      <c r="AE392" s="236"/>
      <c r="AF392" s="236"/>
      <c r="AG392" s="236"/>
      <c r="AH392" s="236"/>
      <c r="AI392" s="236"/>
      <c r="AJ392" s="236"/>
      <c r="AK392" s="236"/>
      <c r="AL392" s="236"/>
      <c r="AM392" s="236"/>
      <c r="AN392" s="236"/>
      <c r="AO392" s="236"/>
      <c r="AP392" s="236"/>
      <c r="AQ392" s="236"/>
      <c r="AR392" s="236"/>
      <c r="AS392" s="236"/>
      <c r="AT392" s="236"/>
      <c r="AU392" s="236"/>
      <c r="AV392" s="236"/>
      <c r="AW392" s="236"/>
      <c r="AX392" s="236"/>
      <c r="AY392" s="236"/>
      <c r="AZ392" s="236"/>
      <c r="BA392" s="236"/>
      <c r="BB392" s="236"/>
      <c r="BC392" s="236"/>
      <c r="BD392" s="236"/>
      <c r="BE392" s="236"/>
      <c r="BF392" s="236"/>
      <c r="BG392" s="236"/>
      <c r="BH392" s="236"/>
      <c r="BI392" s="236"/>
      <c r="BJ392" s="236"/>
      <c r="BK392" s="236"/>
      <c r="BL392" s="236"/>
      <c r="BM392" s="236"/>
      <c r="BN392" s="236"/>
      <c r="BO392" s="236"/>
      <c r="BP392" s="236"/>
      <c r="BQ392" s="236"/>
      <c r="BR392" s="236"/>
      <c r="BS392" s="236"/>
      <c r="BT392" s="236"/>
      <c r="BU392" s="236"/>
      <c r="BV392" s="236"/>
      <c r="BW392" s="236"/>
      <c r="BX392" s="236"/>
      <c r="BY392" s="236"/>
      <c r="BZ392" s="236"/>
      <c r="CA392" s="236"/>
      <c r="CB392" s="236"/>
      <c r="CC392" s="236"/>
      <c r="CD392" s="236"/>
      <c r="CE392" s="236"/>
      <c r="CF392" s="236"/>
      <c r="CG392" s="236"/>
      <c r="CH392" s="236"/>
      <c r="CI392" s="236"/>
      <c r="CJ392" s="236"/>
      <c r="CK392" s="236"/>
      <c r="CL392" s="236"/>
      <c r="CM392" s="236"/>
      <c r="CN392" s="236"/>
      <c r="CO392" s="236"/>
      <c r="CP392" s="236"/>
      <c r="CQ392" s="236"/>
      <c r="CR392" s="236"/>
      <c r="CS392" s="236"/>
      <c r="CT392" s="236"/>
      <c r="CU392" s="236"/>
      <c r="CV392" s="236"/>
      <c r="CW392" s="236"/>
      <c r="CX392" s="236"/>
      <c r="CY392" s="236"/>
      <c r="CZ392" s="236"/>
      <c r="DA392" s="236"/>
      <c r="DB392" s="236"/>
      <c r="DC392" s="236"/>
      <c r="DD392" s="236"/>
      <c r="DE392" s="236"/>
      <c r="DF392" s="236"/>
      <c r="DG392" s="236"/>
      <c r="DH392" s="236"/>
      <c r="DI392" s="236"/>
      <c r="DJ392" s="236"/>
      <c r="DK392" s="236"/>
      <c r="DL392" s="236"/>
      <c r="DM392" s="236"/>
      <c r="DN392" s="236"/>
      <c r="DO392" s="236"/>
      <c r="DP392" s="236"/>
      <c r="DQ392" s="236"/>
      <c r="DR392" s="236"/>
      <c r="DS392" s="236"/>
      <c r="DT392" s="236"/>
      <c r="DU392" s="236"/>
      <c r="DV392" s="236"/>
      <c r="DW392" s="236"/>
      <c r="DX392" s="236"/>
      <c r="DY392" s="236"/>
      <c r="DZ392" s="236"/>
      <c r="EA392" s="236"/>
      <c r="EB392" s="237">
        <f t="shared" si="48"/>
        <v>0</v>
      </c>
      <c r="EC392" s="237">
        <f t="shared" si="49"/>
        <v>0</v>
      </c>
      <c r="ED392" s="237">
        <f t="shared" si="50"/>
        <v>0</v>
      </c>
      <c r="EE392" s="237">
        <f t="shared" si="51"/>
        <v>0</v>
      </c>
      <c r="EF392" s="121"/>
      <c r="EG392" s="238">
        <f t="shared" si="52"/>
        <v>0</v>
      </c>
      <c r="EH392" s="121"/>
      <c r="EI392" s="237">
        <f t="shared" si="53"/>
        <v>0</v>
      </c>
      <c r="EJ392" s="121"/>
      <c r="EK392" s="237">
        <f t="shared" si="54"/>
        <v>0</v>
      </c>
      <c r="EL392" s="237"/>
      <c r="EM392" s="5"/>
      <c r="EN392" s="5"/>
      <c r="EO392" s="5"/>
      <c r="EP392" s="5"/>
      <c r="EQ392" s="237">
        <f t="shared" si="55"/>
        <v>0</v>
      </c>
      <c r="ER392" s="239">
        <v>23300</v>
      </c>
      <c r="ES392" s="5">
        <v>7.5</v>
      </c>
    </row>
    <row r="393" spans="1:149" x14ac:dyDescent="0.3">
      <c r="A393" s="124"/>
      <c r="B393" s="121"/>
      <c r="C393" s="121"/>
      <c r="D393" s="121"/>
      <c r="E393" s="121"/>
      <c r="F393" s="121"/>
      <c r="G393" s="121"/>
      <c r="H393" s="121"/>
      <c r="I393" s="121"/>
      <c r="J393" s="121"/>
      <c r="K393" s="121"/>
      <c r="L393" s="121"/>
      <c r="M393" s="121"/>
      <c r="N393" s="121"/>
      <c r="O393" s="235"/>
      <c r="P393" s="121"/>
      <c r="Q393" s="121"/>
      <c r="R393" s="121"/>
      <c r="S393" s="121"/>
      <c r="T393" s="121"/>
      <c r="U393" s="121"/>
      <c r="V393" s="121"/>
      <c r="W393" s="121"/>
      <c r="X393" s="117"/>
      <c r="Y393" s="117"/>
      <c r="Z393" s="121"/>
      <c r="AA393" s="121"/>
      <c r="AB393" s="236"/>
      <c r="AC393" s="236"/>
      <c r="AD393" s="236"/>
      <c r="AE393" s="236"/>
      <c r="AF393" s="236"/>
      <c r="AG393" s="236"/>
      <c r="AH393" s="236"/>
      <c r="AI393" s="236"/>
      <c r="AJ393" s="236"/>
      <c r="AK393" s="236"/>
      <c r="AL393" s="236"/>
      <c r="AM393" s="236"/>
      <c r="AN393" s="236"/>
      <c r="AO393" s="236"/>
      <c r="AP393" s="236"/>
      <c r="AQ393" s="236"/>
      <c r="AR393" s="236"/>
      <c r="AS393" s="236"/>
      <c r="AT393" s="236"/>
      <c r="AU393" s="236"/>
      <c r="AV393" s="236"/>
      <c r="AW393" s="236"/>
      <c r="AX393" s="236"/>
      <c r="AY393" s="236"/>
      <c r="AZ393" s="236"/>
      <c r="BA393" s="236"/>
      <c r="BB393" s="236"/>
      <c r="BC393" s="236"/>
      <c r="BD393" s="236"/>
      <c r="BE393" s="236"/>
      <c r="BF393" s="236"/>
      <c r="BG393" s="236"/>
      <c r="BH393" s="236"/>
      <c r="BI393" s="236"/>
      <c r="BJ393" s="236"/>
      <c r="BK393" s="236"/>
      <c r="BL393" s="236"/>
      <c r="BM393" s="236"/>
      <c r="BN393" s="236"/>
      <c r="BO393" s="236"/>
      <c r="BP393" s="236"/>
      <c r="BQ393" s="236"/>
      <c r="BR393" s="236"/>
      <c r="BS393" s="236"/>
      <c r="BT393" s="236"/>
      <c r="BU393" s="236"/>
      <c r="BV393" s="236"/>
      <c r="BW393" s="236"/>
      <c r="BX393" s="236"/>
      <c r="BY393" s="236"/>
      <c r="BZ393" s="236"/>
      <c r="CA393" s="236"/>
      <c r="CB393" s="236"/>
      <c r="CC393" s="236"/>
      <c r="CD393" s="236"/>
      <c r="CE393" s="236"/>
      <c r="CF393" s="236"/>
      <c r="CG393" s="236"/>
      <c r="CH393" s="236"/>
      <c r="CI393" s="236"/>
      <c r="CJ393" s="236"/>
      <c r="CK393" s="236"/>
      <c r="CL393" s="236"/>
      <c r="CM393" s="236"/>
      <c r="CN393" s="236"/>
      <c r="CO393" s="236"/>
      <c r="CP393" s="236"/>
      <c r="CQ393" s="236"/>
      <c r="CR393" s="236"/>
      <c r="CS393" s="236"/>
      <c r="CT393" s="236"/>
      <c r="CU393" s="236"/>
      <c r="CV393" s="236"/>
      <c r="CW393" s="236"/>
      <c r="CX393" s="236"/>
      <c r="CY393" s="236"/>
      <c r="CZ393" s="236"/>
      <c r="DA393" s="236"/>
      <c r="DB393" s="236"/>
      <c r="DC393" s="236"/>
      <c r="DD393" s="236"/>
      <c r="DE393" s="236"/>
      <c r="DF393" s="236"/>
      <c r="DG393" s="236"/>
      <c r="DH393" s="236"/>
      <c r="DI393" s="236"/>
      <c r="DJ393" s="236"/>
      <c r="DK393" s="236"/>
      <c r="DL393" s="236"/>
      <c r="DM393" s="236"/>
      <c r="DN393" s="236"/>
      <c r="DO393" s="236"/>
      <c r="DP393" s="236"/>
      <c r="DQ393" s="236"/>
      <c r="DR393" s="236"/>
      <c r="DS393" s="236"/>
      <c r="DT393" s="236"/>
      <c r="DU393" s="236"/>
      <c r="DV393" s="236"/>
      <c r="DW393" s="236"/>
      <c r="DX393" s="236"/>
      <c r="DY393" s="236"/>
      <c r="DZ393" s="236"/>
      <c r="EA393" s="236"/>
      <c r="EB393" s="237">
        <f t="shared" si="48"/>
        <v>0</v>
      </c>
      <c r="EC393" s="237">
        <f t="shared" si="49"/>
        <v>0</v>
      </c>
      <c r="ED393" s="237">
        <f t="shared" si="50"/>
        <v>0</v>
      </c>
      <c r="EE393" s="237">
        <f t="shared" si="51"/>
        <v>0</v>
      </c>
      <c r="EF393" s="121"/>
      <c r="EG393" s="238">
        <f t="shared" si="52"/>
        <v>0</v>
      </c>
      <c r="EH393" s="121"/>
      <c r="EI393" s="237">
        <f t="shared" si="53"/>
        <v>0</v>
      </c>
      <c r="EJ393" s="121"/>
      <c r="EK393" s="237">
        <f t="shared" si="54"/>
        <v>0</v>
      </c>
      <c r="EL393" s="237"/>
      <c r="EM393" s="5"/>
      <c r="EN393" s="5"/>
      <c r="EO393" s="5"/>
      <c r="EP393" s="5"/>
      <c r="EQ393" s="237">
        <f t="shared" si="55"/>
        <v>0</v>
      </c>
      <c r="ER393" s="239">
        <v>23300</v>
      </c>
      <c r="ES393" s="5">
        <v>7.5</v>
      </c>
    </row>
    <row r="394" spans="1:149" x14ac:dyDescent="0.3">
      <c r="A394" s="124"/>
      <c r="B394" s="121"/>
      <c r="C394" s="121"/>
      <c r="D394" s="121"/>
      <c r="E394" s="121"/>
      <c r="F394" s="121"/>
      <c r="G394" s="121"/>
      <c r="H394" s="121"/>
      <c r="I394" s="121"/>
      <c r="J394" s="121"/>
      <c r="K394" s="121"/>
      <c r="L394" s="121"/>
      <c r="M394" s="121"/>
      <c r="N394" s="121"/>
      <c r="O394" s="235"/>
      <c r="P394" s="121"/>
      <c r="Q394" s="121"/>
      <c r="R394" s="121"/>
      <c r="S394" s="121"/>
      <c r="T394" s="121"/>
      <c r="U394" s="121"/>
      <c r="V394" s="121"/>
      <c r="W394" s="121"/>
      <c r="X394" s="117"/>
      <c r="Y394" s="117"/>
      <c r="Z394" s="121"/>
      <c r="AA394" s="121"/>
      <c r="AB394" s="236"/>
      <c r="AC394" s="236"/>
      <c r="AD394" s="236"/>
      <c r="AE394" s="236"/>
      <c r="AF394" s="236"/>
      <c r="AG394" s="236"/>
      <c r="AH394" s="236"/>
      <c r="AI394" s="236"/>
      <c r="AJ394" s="236"/>
      <c r="AK394" s="236"/>
      <c r="AL394" s="236"/>
      <c r="AM394" s="236"/>
      <c r="AN394" s="236"/>
      <c r="AO394" s="236"/>
      <c r="AP394" s="236"/>
      <c r="AQ394" s="236"/>
      <c r="AR394" s="236"/>
      <c r="AS394" s="236"/>
      <c r="AT394" s="236"/>
      <c r="AU394" s="236"/>
      <c r="AV394" s="236"/>
      <c r="AW394" s="236"/>
      <c r="AX394" s="236"/>
      <c r="AY394" s="236"/>
      <c r="AZ394" s="236"/>
      <c r="BA394" s="236"/>
      <c r="BB394" s="236"/>
      <c r="BC394" s="236"/>
      <c r="BD394" s="236"/>
      <c r="BE394" s="236"/>
      <c r="BF394" s="236"/>
      <c r="BG394" s="236"/>
      <c r="BH394" s="236"/>
      <c r="BI394" s="236"/>
      <c r="BJ394" s="236"/>
      <c r="BK394" s="236"/>
      <c r="BL394" s="236"/>
      <c r="BM394" s="236"/>
      <c r="BN394" s="236"/>
      <c r="BO394" s="236"/>
      <c r="BP394" s="236"/>
      <c r="BQ394" s="236"/>
      <c r="BR394" s="236"/>
      <c r="BS394" s="236"/>
      <c r="BT394" s="236"/>
      <c r="BU394" s="236"/>
      <c r="BV394" s="236"/>
      <c r="BW394" s="236"/>
      <c r="BX394" s="236"/>
      <c r="BY394" s="236"/>
      <c r="BZ394" s="236"/>
      <c r="CA394" s="236"/>
      <c r="CB394" s="236"/>
      <c r="CC394" s="236"/>
      <c r="CD394" s="236"/>
      <c r="CE394" s="236"/>
      <c r="CF394" s="236"/>
      <c r="CG394" s="236"/>
      <c r="CH394" s="236"/>
      <c r="CI394" s="236"/>
      <c r="CJ394" s="236"/>
      <c r="CK394" s="236"/>
      <c r="CL394" s="236"/>
      <c r="CM394" s="236"/>
      <c r="CN394" s="236"/>
      <c r="CO394" s="236"/>
      <c r="CP394" s="236"/>
      <c r="CQ394" s="236"/>
      <c r="CR394" s="236"/>
      <c r="CS394" s="236"/>
      <c r="CT394" s="236"/>
      <c r="CU394" s="236"/>
      <c r="CV394" s="236"/>
      <c r="CW394" s="236"/>
      <c r="CX394" s="236"/>
      <c r="CY394" s="236"/>
      <c r="CZ394" s="236"/>
      <c r="DA394" s="236"/>
      <c r="DB394" s="236"/>
      <c r="DC394" s="236"/>
      <c r="DD394" s="236"/>
      <c r="DE394" s="236"/>
      <c r="DF394" s="236"/>
      <c r="DG394" s="236"/>
      <c r="DH394" s="236"/>
      <c r="DI394" s="236"/>
      <c r="DJ394" s="236"/>
      <c r="DK394" s="236"/>
      <c r="DL394" s="236"/>
      <c r="DM394" s="236"/>
      <c r="DN394" s="236"/>
      <c r="DO394" s="236"/>
      <c r="DP394" s="236"/>
      <c r="DQ394" s="236"/>
      <c r="DR394" s="236"/>
      <c r="DS394" s="236"/>
      <c r="DT394" s="236"/>
      <c r="DU394" s="236"/>
      <c r="DV394" s="236"/>
      <c r="DW394" s="236"/>
      <c r="DX394" s="236"/>
      <c r="DY394" s="236"/>
      <c r="DZ394" s="236"/>
      <c r="EA394" s="236"/>
      <c r="EB394" s="237">
        <f t="shared" si="48"/>
        <v>0</v>
      </c>
      <c r="EC394" s="237">
        <f t="shared" si="49"/>
        <v>0</v>
      </c>
      <c r="ED394" s="237">
        <f t="shared" si="50"/>
        <v>0</v>
      </c>
      <c r="EE394" s="237">
        <f t="shared" si="51"/>
        <v>0</v>
      </c>
      <c r="EF394" s="121"/>
      <c r="EG394" s="238">
        <f t="shared" si="52"/>
        <v>0</v>
      </c>
      <c r="EH394" s="121"/>
      <c r="EI394" s="237">
        <f t="shared" si="53"/>
        <v>0</v>
      </c>
      <c r="EJ394" s="121"/>
      <c r="EK394" s="237">
        <f t="shared" si="54"/>
        <v>0</v>
      </c>
      <c r="EL394" s="237"/>
      <c r="EM394" s="5"/>
      <c r="EN394" s="5"/>
      <c r="EO394" s="5"/>
      <c r="EP394" s="5"/>
      <c r="EQ394" s="237">
        <f t="shared" si="55"/>
        <v>0</v>
      </c>
      <c r="ER394" s="239">
        <v>23300</v>
      </c>
      <c r="ES394" s="5">
        <v>7.5</v>
      </c>
    </row>
    <row r="395" spans="1:149" x14ac:dyDescent="0.3">
      <c r="A395" s="124"/>
      <c r="B395" s="121"/>
      <c r="C395" s="121"/>
      <c r="D395" s="121"/>
      <c r="E395" s="121"/>
      <c r="F395" s="121"/>
      <c r="G395" s="121"/>
      <c r="H395" s="121"/>
      <c r="I395" s="121"/>
      <c r="J395" s="121"/>
      <c r="K395" s="121"/>
      <c r="L395" s="121"/>
      <c r="M395" s="121"/>
      <c r="N395" s="121"/>
      <c r="O395" s="235"/>
      <c r="P395" s="121"/>
      <c r="Q395" s="121"/>
      <c r="R395" s="121"/>
      <c r="S395" s="121"/>
      <c r="T395" s="121"/>
      <c r="U395" s="121"/>
      <c r="V395" s="121"/>
      <c r="W395" s="121"/>
      <c r="X395" s="117"/>
      <c r="Y395" s="117"/>
      <c r="Z395" s="121"/>
      <c r="AA395" s="121"/>
      <c r="AB395" s="236"/>
      <c r="AC395" s="236"/>
      <c r="AD395" s="236"/>
      <c r="AE395" s="236"/>
      <c r="AF395" s="236"/>
      <c r="AG395" s="236"/>
      <c r="AH395" s="236"/>
      <c r="AI395" s="236"/>
      <c r="AJ395" s="236"/>
      <c r="AK395" s="236"/>
      <c r="AL395" s="236"/>
      <c r="AM395" s="236"/>
      <c r="AN395" s="236"/>
      <c r="AO395" s="236"/>
      <c r="AP395" s="236"/>
      <c r="AQ395" s="236"/>
      <c r="AR395" s="236"/>
      <c r="AS395" s="236"/>
      <c r="AT395" s="236"/>
      <c r="AU395" s="236"/>
      <c r="AV395" s="236"/>
      <c r="AW395" s="236"/>
      <c r="AX395" s="236"/>
      <c r="AY395" s="236"/>
      <c r="AZ395" s="236"/>
      <c r="BA395" s="236"/>
      <c r="BB395" s="236"/>
      <c r="BC395" s="236"/>
      <c r="BD395" s="236"/>
      <c r="BE395" s="236"/>
      <c r="BF395" s="236"/>
      <c r="BG395" s="236"/>
      <c r="BH395" s="236"/>
      <c r="BI395" s="236"/>
      <c r="BJ395" s="236"/>
      <c r="BK395" s="236"/>
      <c r="BL395" s="236"/>
      <c r="BM395" s="236"/>
      <c r="BN395" s="236"/>
      <c r="BO395" s="236"/>
      <c r="BP395" s="236"/>
      <c r="BQ395" s="236"/>
      <c r="BR395" s="236"/>
      <c r="BS395" s="236"/>
      <c r="BT395" s="236"/>
      <c r="BU395" s="236"/>
      <c r="BV395" s="236"/>
      <c r="BW395" s="236"/>
      <c r="BX395" s="236"/>
      <c r="BY395" s="236"/>
      <c r="BZ395" s="236"/>
      <c r="CA395" s="236"/>
      <c r="CB395" s="236"/>
      <c r="CC395" s="236"/>
      <c r="CD395" s="236"/>
      <c r="CE395" s="236"/>
      <c r="CF395" s="236"/>
      <c r="CG395" s="236"/>
      <c r="CH395" s="236"/>
      <c r="CI395" s="236"/>
      <c r="CJ395" s="236"/>
      <c r="CK395" s="236"/>
      <c r="CL395" s="236"/>
      <c r="CM395" s="236"/>
      <c r="CN395" s="236"/>
      <c r="CO395" s="236"/>
      <c r="CP395" s="236"/>
      <c r="CQ395" s="236"/>
      <c r="CR395" s="236"/>
      <c r="CS395" s="236"/>
      <c r="CT395" s="236"/>
      <c r="CU395" s="236"/>
      <c r="CV395" s="236"/>
      <c r="CW395" s="236"/>
      <c r="CX395" s="236"/>
      <c r="CY395" s="236"/>
      <c r="CZ395" s="236"/>
      <c r="DA395" s="236"/>
      <c r="DB395" s="236"/>
      <c r="DC395" s="236"/>
      <c r="DD395" s="236"/>
      <c r="DE395" s="236"/>
      <c r="DF395" s="236"/>
      <c r="DG395" s="236"/>
      <c r="DH395" s="236"/>
      <c r="DI395" s="236"/>
      <c r="DJ395" s="236"/>
      <c r="DK395" s="236"/>
      <c r="DL395" s="236"/>
      <c r="DM395" s="236"/>
      <c r="DN395" s="236"/>
      <c r="DO395" s="236"/>
      <c r="DP395" s="236"/>
      <c r="DQ395" s="236"/>
      <c r="DR395" s="236"/>
      <c r="DS395" s="236"/>
      <c r="DT395" s="236"/>
      <c r="DU395" s="236"/>
      <c r="DV395" s="236"/>
      <c r="DW395" s="236"/>
      <c r="DX395" s="236"/>
      <c r="DY395" s="236"/>
      <c r="DZ395" s="236"/>
      <c r="EA395" s="236"/>
      <c r="EB395" s="237">
        <f t="shared" si="48"/>
        <v>0</v>
      </c>
      <c r="EC395" s="237">
        <f t="shared" si="49"/>
        <v>0</v>
      </c>
      <c r="ED395" s="237">
        <f t="shared" si="50"/>
        <v>0</v>
      </c>
      <c r="EE395" s="237">
        <f t="shared" si="51"/>
        <v>0</v>
      </c>
      <c r="EF395" s="121"/>
      <c r="EG395" s="238">
        <f t="shared" si="52"/>
        <v>0</v>
      </c>
      <c r="EH395" s="121"/>
      <c r="EI395" s="237">
        <f t="shared" si="53"/>
        <v>0</v>
      </c>
      <c r="EJ395" s="121"/>
      <c r="EK395" s="237">
        <f t="shared" si="54"/>
        <v>0</v>
      </c>
      <c r="EL395" s="237"/>
      <c r="EM395" s="5"/>
      <c r="EN395" s="5"/>
      <c r="EO395" s="5"/>
      <c r="EP395" s="5"/>
      <c r="EQ395" s="237">
        <f t="shared" si="55"/>
        <v>0</v>
      </c>
      <c r="ER395" s="239">
        <v>23300</v>
      </c>
      <c r="ES395" s="5">
        <v>7.5</v>
      </c>
    </row>
    <row r="396" spans="1:149" x14ac:dyDescent="0.3">
      <c r="A396" s="124"/>
      <c r="B396" s="121"/>
      <c r="C396" s="121"/>
      <c r="D396" s="121"/>
      <c r="E396" s="121"/>
      <c r="F396" s="121"/>
      <c r="G396" s="121"/>
      <c r="H396" s="121"/>
      <c r="I396" s="121"/>
      <c r="J396" s="121"/>
      <c r="K396" s="121"/>
      <c r="L396" s="121"/>
      <c r="M396" s="121"/>
      <c r="N396" s="121"/>
      <c r="O396" s="235"/>
      <c r="P396" s="121"/>
      <c r="Q396" s="121"/>
      <c r="R396" s="121"/>
      <c r="S396" s="121"/>
      <c r="T396" s="121"/>
      <c r="U396" s="121"/>
      <c r="V396" s="121"/>
      <c r="W396" s="121"/>
      <c r="X396" s="117"/>
      <c r="Y396" s="117"/>
      <c r="Z396" s="121"/>
      <c r="AA396" s="121"/>
      <c r="AB396" s="236"/>
      <c r="AC396" s="236"/>
      <c r="AD396" s="236"/>
      <c r="AE396" s="236"/>
      <c r="AF396" s="236"/>
      <c r="AG396" s="236"/>
      <c r="AH396" s="236"/>
      <c r="AI396" s="236"/>
      <c r="AJ396" s="236"/>
      <c r="AK396" s="236"/>
      <c r="AL396" s="236"/>
      <c r="AM396" s="236"/>
      <c r="AN396" s="236"/>
      <c r="AO396" s="236"/>
      <c r="AP396" s="236"/>
      <c r="AQ396" s="236"/>
      <c r="AR396" s="236"/>
      <c r="AS396" s="236"/>
      <c r="AT396" s="236"/>
      <c r="AU396" s="236"/>
      <c r="AV396" s="236"/>
      <c r="AW396" s="236"/>
      <c r="AX396" s="236"/>
      <c r="AY396" s="236"/>
      <c r="AZ396" s="236"/>
      <c r="BA396" s="236"/>
      <c r="BB396" s="236"/>
      <c r="BC396" s="236"/>
      <c r="BD396" s="236"/>
      <c r="BE396" s="236"/>
      <c r="BF396" s="236"/>
      <c r="BG396" s="236"/>
      <c r="BH396" s="236"/>
      <c r="BI396" s="236"/>
      <c r="BJ396" s="236"/>
      <c r="BK396" s="236"/>
      <c r="BL396" s="236"/>
      <c r="BM396" s="236"/>
      <c r="BN396" s="236"/>
      <c r="BO396" s="236"/>
      <c r="BP396" s="236"/>
      <c r="BQ396" s="236"/>
      <c r="BR396" s="236"/>
      <c r="BS396" s="236"/>
      <c r="BT396" s="236"/>
      <c r="BU396" s="236"/>
      <c r="BV396" s="236"/>
      <c r="BW396" s="236"/>
      <c r="BX396" s="236"/>
      <c r="BY396" s="236"/>
      <c r="BZ396" s="236"/>
      <c r="CA396" s="236"/>
      <c r="CB396" s="236"/>
      <c r="CC396" s="236"/>
      <c r="CD396" s="236"/>
      <c r="CE396" s="236"/>
      <c r="CF396" s="236"/>
      <c r="CG396" s="236"/>
      <c r="CH396" s="236"/>
      <c r="CI396" s="236"/>
      <c r="CJ396" s="236"/>
      <c r="CK396" s="236"/>
      <c r="CL396" s="236"/>
      <c r="CM396" s="236"/>
      <c r="CN396" s="236"/>
      <c r="CO396" s="236"/>
      <c r="CP396" s="236"/>
      <c r="CQ396" s="236"/>
      <c r="CR396" s="236"/>
      <c r="CS396" s="236"/>
      <c r="CT396" s="236"/>
      <c r="CU396" s="236"/>
      <c r="CV396" s="236"/>
      <c r="CW396" s="236"/>
      <c r="CX396" s="236"/>
      <c r="CY396" s="236"/>
      <c r="CZ396" s="236"/>
      <c r="DA396" s="236"/>
      <c r="DB396" s="236"/>
      <c r="DC396" s="236"/>
      <c r="DD396" s="236"/>
      <c r="DE396" s="236"/>
      <c r="DF396" s="236"/>
      <c r="DG396" s="236"/>
      <c r="DH396" s="236"/>
      <c r="DI396" s="236"/>
      <c r="DJ396" s="236"/>
      <c r="DK396" s="236"/>
      <c r="DL396" s="236"/>
      <c r="DM396" s="236"/>
      <c r="DN396" s="236"/>
      <c r="DO396" s="236"/>
      <c r="DP396" s="236"/>
      <c r="DQ396" s="236"/>
      <c r="DR396" s="236"/>
      <c r="DS396" s="236"/>
      <c r="DT396" s="236"/>
      <c r="DU396" s="236"/>
      <c r="DV396" s="236"/>
      <c r="DW396" s="236"/>
      <c r="DX396" s="236"/>
      <c r="DY396" s="236"/>
      <c r="DZ396" s="236"/>
      <c r="EA396" s="236"/>
      <c r="EB396" s="237">
        <f t="shared" si="48"/>
        <v>0</v>
      </c>
      <c r="EC396" s="237">
        <f t="shared" si="49"/>
        <v>0</v>
      </c>
      <c r="ED396" s="237">
        <f t="shared" si="50"/>
        <v>0</v>
      </c>
      <c r="EE396" s="237">
        <f t="shared" si="51"/>
        <v>0</v>
      </c>
      <c r="EF396" s="121"/>
      <c r="EG396" s="238">
        <f t="shared" si="52"/>
        <v>0</v>
      </c>
      <c r="EH396" s="121"/>
      <c r="EI396" s="237">
        <f t="shared" si="53"/>
        <v>0</v>
      </c>
      <c r="EJ396" s="121"/>
      <c r="EK396" s="237">
        <f t="shared" si="54"/>
        <v>0</v>
      </c>
      <c r="EL396" s="237"/>
      <c r="EM396" s="5"/>
      <c r="EN396" s="5"/>
      <c r="EO396" s="5"/>
      <c r="EP396" s="5"/>
      <c r="EQ396" s="237">
        <f t="shared" si="55"/>
        <v>0</v>
      </c>
      <c r="ER396" s="239">
        <v>23300</v>
      </c>
      <c r="ES396" s="5">
        <v>7.5</v>
      </c>
    </row>
    <row r="397" spans="1:149" x14ac:dyDescent="0.3">
      <c r="A397" s="124"/>
      <c r="B397" s="121"/>
      <c r="C397" s="121"/>
      <c r="D397" s="121"/>
      <c r="E397" s="121"/>
      <c r="F397" s="121"/>
      <c r="G397" s="121"/>
      <c r="H397" s="121"/>
      <c r="I397" s="121"/>
      <c r="J397" s="121"/>
      <c r="K397" s="121"/>
      <c r="L397" s="121"/>
      <c r="M397" s="121"/>
      <c r="N397" s="121"/>
      <c r="O397" s="235"/>
      <c r="P397" s="121"/>
      <c r="Q397" s="121"/>
      <c r="R397" s="121"/>
      <c r="S397" s="121"/>
      <c r="T397" s="121"/>
      <c r="U397" s="121"/>
      <c r="V397" s="121"/>
      <c r="W397" s="121"/>
      <c r="X397" s="117"/>
      <c r="Y397" s="117"/>
      <c r="Z397" s="121"/>
      <c r="AA397" s="121"/>
      <c r="AB397" s="236"/>
      <c r="AC397" s="236"/>
      <c r="AD397" s="236"/>
      <c r="AE397" s="236"/>
      <c r="AF397" s="236"/>
      <c r="AG397" s="236"/>
      <c r="AH397" s="236"/>
      <c r="AI397" s="236"/>
      <c r="AJ397" s="236"/>
      <c r="AK397" s="236"/>
      <c r="AL397" s="236"/>
      <c r="AM397" s="236"/>
      <c r="AN397" s="236"/>
      <c r="AO397" s="236"/>
      <c r="AP397" s="236"/>
      <c r="AQ397" s="236"/>
      <c r="AR397" s="236"/>
      <c r="AS397" s="236"/>
      <c r="AT397" s="236"/>
      <c r="AU397" s="236"/>
      <c r="AV397" s="236"/>
      <c r="AW397" s="236"/>
      <c r="AX397" s="236"/>
      <c r="AY397" s="236"/>
      <c r="AZ397" s="236"/>
      <c r="BA397" s="236"/>
      <c r="BB397" s="236"/>
      <c r="BC397" s="236"/>
      <c r="BD397" s="236"/>
      <c r="BE397" s="236"/>
      <c r="BF397" s="236"/>
      <c r="BG397" s="236"/>
      <c r="BH397" s="236"/>
      <c r="BI397" s="236"/>
      <c r="BJ397" s="236"/>
      <c r="BK397" s="236"/>
      <c r="BL397" s="236"/>
      <c r="BM397" s="236"/>
      <c r="BN397" s="236"/>
      <c r="BO397" s="236"/>
      <c r="BP397" s="236"/>
      <c r="BQ397" s="236"/>
      <c r="BR397" s="236"/>
      <c r="BS397" s="236"/>
      <c r="BT397" s="236"/>
      <c r="BU397" s="236"/>
      <c r="BV397" s="236"/>
      <c r="BW397" s="236"/>
      <c r="BX397" s="236"/>
      <c r="BY397" s="236"/>
      <c r="BZ397" s="236"/>
      <c r="CA397" s="236"/>
      <c r="CB397" s="236"/>
      <c r="CC397" s="236"/>
      <c r="CD397" s="236"/>
      <c r="CE397" s="236"/>
      <c r="CF397" s="236"/>
      <c r="CG397" s="236"/>
      <c r="CH397" s="236"/>
      <c r="CI397" s="236"/>
      <c r="CJ397" s="236"/>
      <c r="CK397" s="236"/>
      <c r="CL397" s="236"/>
      <c r="CM397" s="236"/>
      <c r="CN397" s="236"/>
      <c r="CO397" s="236"/>
      <c r="CP397" s="236"/>
      <c r="CQ397" s="236"/>
      <c r="CR397" s="236"/>
      <c r="CS397" s="236"/>
      <c r="CT397" s="236"/>
      <c r="CU397" s="236"/>
      <c r="CV397" s="236"/>
      <c r="CW397" s="236"/>
      <c r="CX397" s="236"/>
      <c r="CY397" s="236"/>
      <c r="CZ397" s="236"/>
      <c r="DA397" s="236"/>
      <c r="DB397" s="236"/>
      <c r="DC397" s="236"/>
      <c r="DD397" s="236"/>
      <c r="DE397" s="236"/>
      <c r="DF397" s="236"/>
      <c r="DG397" s="236"/>
      <c r="DH397" s="236"/>
      <c r="DI397" s="236"/>
      <c r="DJ397" s="236"/>
      <c r="DK397" s="236"/>
      <c r="DL397" s="236"/>
      <c r="DM397" s="236"/>
      <c r="DN397" s="236"/>
      <c r="DO397" s="236"/>
      <c r="DP397" s="236"/>
      <c r="DQ397" s="236"/>
      <c r="DR397" s="236"/>
      <c r="DS397" s="236"/>
      <c r="DT397" s="236"/>
      <c r="DU397" s="236"/>
      <c r="DV397" s="236"/>
      <c r="DW397" s="236"/>
      <c r="DX397" s="236"/>
      <c r="DY397" s="236"/>
      <c r="DZ397" s="236"/>
      <c r="EA397" s="236"/>
      <c r="EB397" s="237">
        <f t="shared" si="48"/>
        <v>0</v>
      </c>
      <c r="EC397" s="237">
        <f t="shared" si="49"/>
        <v>0</v>
      </c>
      <c r="ED397" s="237">
        <f t="shared" si="50"/>
        <v>0</v>
      </c>
      <c r="EE397" s="237">
        <f t="shared" si="51"/>
        <v>0</v>
      </c>
      <c r="EF397" s="121"/>
      <c r="EG397" s="238">
        <f t="shared" si="52"/>
        <v>0</v>
      </c>
      <c r="EH397" s="121"/>
      <c r="EI397" s="237">
        <f t="shared" si="53"/>
        <v>0</v>
      </c>
      <c r="EJ397" s="121"/>
      <c r="EK397" s="237">
        <f t="shared" si="54"/>
        <v>0</v>
      </c>
      <c r="EL397" s="237"/>
      <c r="EM397" s="5"/>
      <c r="EN397" s="5"/>
      <c r="EO397" s="5"/>
      <c r="EP397" s="5"/>
      <c r="EQ397" s="237">
        <f t="shared" si="55"/>
        <v>0</v>
      </c>
      <c r="ER397" s="239">
        <v>23300</v>
      </c>
      <c r="ES397" s="5">
        <v>7.5</v>
      </c>
    </row>
    <row r="398" spans="1:149" x14ac:dyDescent="0.3">
      <c r="A398" s="124"/>
      <c r="B398" s="121"/>
      <c r="C398" s="121"/>
      <c r="D398" s="121"/>
      <c r="E398" s="121"/>
      <c r="F398" s="121"/>
      <c r="G398" s="121"/>
      <c r="H398" s="121"/>
      <c r="I398" s="121"/>
      <c r="J398" s="121"/>
      <c r="K398" s="121"/>
      <c r="L398" s="121"/>
      <c r="M398" s="121"/>
      <c r="N398" s="121"/>
      <c r="O398" s="235"/>
      <c r="P398" s="121"/>
      <c r="Q398" s="121"/>
      <c r="R398" s="121"/>
      <c r="S398" s="121"/>
      <c r="T398" s="121"/>
      <c r="U398" s="121"/>
      <c r="V398" s="121"/>
      <c r="W398" s="121"/>
      <c r="X398" s="117"/>
      <c r="Y398" s="117"/>
      <c r="Z398" s="121"/>
      <c r="AA398" s="121"/>
      <c r="AB398" s="236"/>
      <c r="AC398" s="236"/>
      <c r="AD398" s="236"/>
      <c r="AE398" s="236"/>
      <c r="AF398" s="236"/>
      <c r="AG398" s="236"/>
      <c r="AH398" s="236"/>
      <c r="AI398" s="236"/>
      <c r="AJ398" s="236"/>
      <c r="AK398" s="236"/>
      <c r="AL398" s="236"/>
      <c r="AM398" s="236"/>
      <c r="AN398" s="236"/>
      <c r="AO398" s="236"/>
      <c r="AP398" s="236"/>
      <c r="AQ398" s="236"/>
      <c r="AR398" s="236"/>
      <c r="AS398" s="236"/>
      <c r="AT398" s="236"/>
      <c r="AU398" s="236"/>
      <c r="AV398" s="236"/>
      <c r="AW398" s="236"/>
      <c r="AX398" s="236"/>
      <c r="AY398" s="236"/>
      <c r="AZ398" s="236"/>
      <c r="BA398" s="236"/>
      <c r="BB398" s="236"/>
      <c r="BC398" s="236"/>
      <c r="BD398" s="236"/>
      <c r="BE398" s="236"/>
      <c r="BF398" s="236"/>
      <c r="BG398" s="236"/>
      <c r="BH398" s="236"/>
      <c r="BI398" s="236"/>
      <c r="BJ398" s="236"/>
      <c r="BK398" s="236"/>
      <c r="BL398" s="236"/>
      <c r="BM398" s="236"/>
      <c r="BN398" s="236"/>
      <c r="BO398" s="236"/>
      <c r="BP398" s="236"/>
      <c r="BQ398" s="236"/>
      <c r="BR398" s="236"/>
      <c r="BS398" s="236"/>
      <c r="BT398" s="236"/>
      <c r="BU398" s="236"/>
      <c r="BV398" s="236"/>
      <c r="BW398" s="236"/>
      <c r="BX398" s="236"/>
      <c r="BY398" s="236"/>
      <c r="BZ398" s="236"/>
      <c r="CA398" s="236"/>
      <c r="CB398" s="236"/>
      <c r="CC398" s="236"/>
      <c r="CD398" s="236"/>
      <c r="CE398" s="236"/>
      <c r="CF398" s="236"/>
      <c r="CG398" s="236"/>
      <c r="CH398" s="236"/>
      <c r="CI398" s="236"/>
      <c r="CJ398" s="236"/>
      <c r="CK398" s="236"/>
      <c r="CL398" s="236"/>
      <c r="CM398" s="236"/>
      <c r="CN398" s="236"/>
      <c r="CO398" s="236"/>
      <c r="CP398" s="236"/>
      <c r="CQ398" s="236"/>
      <c r="CR398" s="236"/>
      <c r="CS398" s="236"/>
      <c r="CT398" s="236"/>
      <c r="CU398" s="236"/>
      <c r="CV398" s="236"/>
      <c r="CW398" s="236"/>
      <c r="CX398" s="236"/>
      <c r="CY398" s="236"/>
      <c r="CZ398" s="236"/>
      <c r="DA398" s="236"/>
      <c r="DB398" s="236"/>
      <c r="DC398" s="236"/>
      <c r="DD398" s="236"/>
      <c r="DE398" s="236"/>
      <c r="DF398" s="236"/>
      <c r="DG398" s="236"/>
      <c r="DH398" s="236"/>
      <c r="DI398" s="236"/>
      <c r="DJ398" s="236"/>
      <c r="DK398" s="236"/>
      <c r="DL398" s="236"/>
      <c r="DM398" s="236"/>
      <c r="DN398" s="236"/>
      <c r="DO398" s="236"/>
      <c r="DP398" s="236"/>
      <c r="DQ398" s="236"/>
      <c r="DR398" s="236"/>
      <c r="DS398" s="236"/>
      <c r="DT398" s="236"/>
      <c r="DU398" s="236"/>
      <c r="DV398" s="236"/>
      <c r="DW398" s="236"/>
      <c r="DX398" s="236"/>
      <c r="DY398" s="236"/>
      <c r="DZ398" s="236"/>
      <c r="EA398" s="236"/>
      <c r="EB398" s="237">
        <f t="shared" si="48"/>
        <v>0</v>
      </c>
      <c r="EC398" s="237">
        <f t="shared" si="49"/>
        <v>0</v>
      </c>
      <c r="ED398" s="237">
        <f t="shared" si="50"/>
        <v>0</v>
      </c>
      <c r="EE398" s="237">
        <f t="shared" si="51"/>
        <v>0</v>
      </c>
      <c r="EF398" s="121"/>
      <c r="EG398" s="238">
        <f t="shared" si="52"/>
        <v>0</v>
      </c>
      <c r="EH398" s="121"/>
      <c r="EI398" s="237">
        <f t="shared" si="53"/>
        <v>0</v>
      </c>
      <c r="EJ398" s="121"/>
      <c r="EK398" s="237">
        <f t="shared" si="54"/>
        <v>0</v>
      </c>
      <c r="EL398" s="237"/>
      <c r="EM398" s="5"/>
      <c r="EN398" s="5"/>
      <c r="EO398" s="5"/>
      <c r="EP398" s="5"/>
      <c r="EQ398" s="237">
        <f t="shared" si="55"/>
        <v>0</v>
      </c>
      <c r="ER398" s="239">
        <v>23300</v>
      </c>
      <c r="ES398" s="5">
        <v>7.5</v>
      </c>
    </row>
    <row r="399" spans="1:149" x14ac:dyDescent="0.3">
      <c r="A399" s="124"/>
      <c r="B399" s="121"/>
      <c r="C399" s="121"/>
      <c r="D399" s="121"/>
      <c r="E399" s="121"/>
      <c r="F399" s="121"/>
      <c r="G399" s="121"/>
      <c r="H399" s="121"/>
      <c r="I399" s="121"/>
      <c r="J399" s="121"/>
      <c r="K399" s="121"/>
      <c r="L399" s="121"/>
      <c r="M399" s="121"/>
      <c r="N399" s="121"/>
      <c r="O399" s="235"/>
      <c r="P399" s="121"/>
      <c r="Q399" s="121"/>
      <c r="R399" s="121"/>
      <c r="S399" s="121"/>
      <c r="T399" s="121"/>
      <c r="U399" s="121"/>
      <c r="V399" s="121"/>
      <c r="W399" s="121"/>
      <c r="X399" s="117"/>
      <c r="Y399" s="117"/>
      <c r="Z399" s="121"/>
      <c r="AA399" s="121"/>
      <c r="AB399" s="236"/>
      <c r="AC399" s="236"/>
      <c r="AD399" s="236"/>
      <c r="AE399" s="236"/>
      <c r="AF399" s="236"/>
      <c r="AG399" s="236"/>
      <c r="AH399" s="236"/>
      <c r="AI399" s="236"/>
      <c r="AJ399" s="236"/>
      <c r="AK399" s="236"/>
      <c r="AL399" s="236"/>
      <c r="AM399" s="236"/>
      <c r="AN399" s="236"/>
      <c r="AO399" s="236"/>
      <c r="AP399" s="236"/>
      <c r="AQ399" s="236"/>
      <c r="AR399" s="236"/>
      <c r="AS399" s="236"/>
      <c r="AT399" s="236"/>
      <c r="AU399" s="236"/>
      <c r="AV399" s="236"/>
      <c r="AW399" s="236"/>
      <c r="AX399" s="236"/>
      <c r="AY399" s="236"/>
      <c r="AZ399" s="236"/>
      <c r="BA399" s="236"/>
      <c r="BB399" s="236"/>
      <c r="BC399" s="236"/>
      <c r="BD399" s="236"/>
      <c r="BE399" s="236"/>
      <c r="BF399" s="236"/>
      <c r="BG399" s="236"/>
      <c r="BH399" s="236"/>
      <c r="BI399" s="236"/>
      <c r="BJ399" s="236"/>
      <c r="BK399" s="236"/>
      <c r="BL399" s="236"/>
      <c r="BM399" s="236"/>
      <c r="BN399" s="236"/>
      <c r="BO399" s="236"/>
      <c r="BP399" s="236"/>
      <c r="BQ399" s="236"/>
      <c r="BR399" s="236"/>
      <c r="BS399" s="236"/>
      <c r="BT399" s="236"/>
      <c r="BU399" s="236"/>
      <c r="BV399" s="236"/>
      <c r="BW399" s="236"/>
      <c r="BX399" s="236"/>
      <c r="BY399" s="236"/>
      <c r="BZ399" s="236"/>
      <c r="CA399" s="236"/>
      <c r="CB399" s="236"/>
      <c r="CC399" s="236"/>
      <c r="CD399" s="236"/>
      <c r="CE399" s="236"/>
      <c r="CF399" s="236"/>
      <c r="CG399" s="236"/>
      <c r="CH399" s="236"/>
      <c r="CI399" s="236"/>
      <c r="CJ399" s="236"/>
      <c r="CK399" s="236"/>
      <c r="CL399" s="236"/>
      <c r="CM399" s="236"/>
      <c r="CN399" s="236"/>
      <c r="CO399" s="236"/>
      <c r="CP399" s="236"/>
      <c r="CQ399" s="236"/>
      <c r="CR399" s="236"/>
      <c r="CS399" s="236"/>
      <c r="CT399" s="236"/>
      <c r="CU399" s="236"/>
      <c r="CV399" s="236"/>
      <c r="CW399" s="236"/>
      <c r="CX399" s="236"/>
      <c r="CY399" s="236"/>
      <c r="CZ399" s="236"/>
      <c r="DA399" s="236"/>
      <c r="DB399" s="236"/>
      <c r="DC399" s="236"/>
      <c r="DD399" s="236"/>
      <c r="DE399" s="236"/>
      <c r="DF399" s="236"/>
      <c r="DG399" s="236"/>
      <c r="DH399" s="236"/>
      <c r="DI399" s="236"/>
      <c r="DJ399" s="236"/>
      <c r="DK399" s="236"/>
      <c r="DL399" s="236"/>
      <c r="DM399" s="236"/>
      <c r="DN399" s="236"/>
      <c r="DO399" s="236"/>
      <c r="DP399" s="236"/>
      <c r="DQ399" s="236"/>
      <c r="DR399" s="236"/>
      <c r="DS399" s="236"/>
      <c r="DT399" s="236"/>
      <c r="DU399" s="236"/>
      <c r="DV399" s="236"/>
      <c r="DW399" s="236"/>
      <c r="DX399" s="236"/>
      <c r="DY399" s="236"/>
      <c r="DZ399" s="236"/>
      <c r="EA399" s="236"/>
      <c r="EB399" s="237">
        <f t="shared" si="48"/>
        <v>0</v>
      </c>
      <c r="EC399" s="237">
        <f t="shared" si="49"/>
        <v>0</v>
      </c>
      <c r="ED399" s="237">
        <f t="shared" si="50"/>
        <v>0</v>
      </c>
      <c r="EE399" s="237">
        <f t="shared" si="51"/>
        <v>0</v>
      </c>
      <c r="EF399" s="121"/>
      <c r="EG399" s="238">
        <f t="shared" si="52"/>
        <v>0</v>
      </c>
      <c r="EH399" s="121"/>
      <c r="EI399" s="237">
        <f t="shared" si="53"/>
        <v>0</v>
      </c>
      <c r="EJ399" s="121"/>
      <c r="EK399" s="237">
        <f t="shared" si="54"/>
        <v>0</v>
      </c>
      <c r="EL399" s="237"/>
      <c r="EM399" s="5"/>
      <c r="EN399" s="5"/>
      <c r="EO399" s="5"/>
      <c r="EP399" s="5"/>
      <c r="EQ399" s="237">
        <f t="shared" si="55"/>
        <v>0</v>
      </c>
      <c r="ER399" s="239">
        <v>23300</v>
      </c>
      <c r="ES399" s="5">
        <v>7.5</v>
      </c>
    </row>
    <row r="400" spans="1:149" x14ac:dyDescent="0.3">
      <c r="A400" s="124"/>
      <c r="B400" s="121"/>
      <c r="C400" s="121"/>
      <c r="D400" s="121"/>
      <c r="E400" s="121"/>
      <c r="F400" s="121"/>
      <c r="G400" s="121"/>
      <c r="H400" s="121"/>
      <c r="I400" s="121"/>
      <c r="J400" s="121"/>
      <c r="K400" s="121"/>
      <c r="L400" s="121"/>
      <c r="M400" s="121"/>
      <c r="N400" s="121"/>
      <c r="O400" s="235"/>
      <c r="P400" s="121"/>
      <c r="Q400" s="121"/>
      <c r="R400" s="121"/>
      <c r="S400" s="121"/>
      <c r="T400" s="121"/>
      <c r="U400" s="121"/>
      <c r="V400" s="121"/>
      <c r="W400" s="121"/>
      <c r="X400" s="117"/>
      <c r="Y400" s="117"/>
      <c r="Z400" s="121"/>
      <c r="AA400" s="121"/>
      <c r="AB400" s="236"/>
      <c r="AC400" s="236"/>
      <c r="AD400" s="236"/>
      <c r="AE400" s="236"/>
      <c r="AF400" s="236"/>
      <c r="AG400" s="236"/>
      <c r="AH400" s="236"/>
      <c r="AI400" s="236"/>
      <c r="AJ400" s="236"/>
      <c r="AK400" s="236"/>
      <c r="AL400" s="236"/>
      <c r="AM400" s="236"/>
      <c r="AN400" s="236"/>
      <c r="AO400" s="236"/>
      <c r="AP400" s="236"/>
      <c r="AQ400" s="236"/>
      <c r="AR400" s="236"/>
      <c r="AS400" s="236"/>
      <c r="AT400" s="236"/>
      <c r="AU400" s="236"/>
      <c r="AV400" s="236"/>
      <c r="AW400" s="236"/>
      <c r="AX400" s="236"/>
      <c r="AY400" s="236"/>
      <c r="AZ400" s="236"/>
      <c r="BA400" s="236"/>
      <c r="BB400" s="236"/>
      <c r="BC400" s="236"/>
      <c r="BD400" s="236"/>
      <c r="BE400" s="236"/>
      <c r="BF400" s="236"/>
      <c r="BG400" s="236"/>
      <c r="BH400" s="236"/>
      <c r="BI400" s="236"/>
      <c r="BJ400" s="236"/>
      <c r="BK400" s="236"/>
      <c r="BL400" s="236"/>
      <c r="BM400" s="236"/>
      <c r="BN400" s="236"/>
      <c r="BO400" s="236"/>
      <c r="BP400" s="236"/>
      <c r="BQ400" s="236"/>
      <c r="BR400" s="236"/>
      <c r="BS400" s="236"/>
      <c r="BT400" s="236"/>
      <c r="BU400" s="236"/>
      <c r="BV400" s="236"/>
      <c r="BW400" s="236"/>
      <c r="BX400" s="236"/>
      <c r="BY400" s="236"/>
      <c r="BZ400" s="236"/>
      <c r="CA400" s="236"/>
      <c r="CB400" s="236"/>
      <c r="CC400" s="236"/>
      <c r="CD400" s="236"/>
      <c r="CE400" s="236"/>
      <c r="CF400" s="236"/>
      <c r="CG400" s="236"/>
      <c r="CH400" s="236"/>
      <c r="CI400" s="236"/>
      <c r="CJ400" s="236"/>
      <c r="CK400" s="236"/>
      <c r="CL400" s="236"/>
      <c r="CM400" s="236"/>
      <c r="CN400" s="236"/>
      <c r="CO400" s="236"/>
      <c r="CP400" s="236"/>
      <c r="CQ400" s="236"/>
      <c r="CR400" s="236"/>
      <c r="CS400" s="236"/>
      <c r="CT400" s="236"/>
      <c r="CU400" s="236"/>
      <c r="CV400" s="236"/>
      <c r="CW400" s="236"/>
      <c r="CX400" s="236"/>
      <c r="CY400" s="236"/>
      <c r="CZ400" s="236"/>
      <c r="DA400" s="236"/>
      <c r="DB400" s="236"/>
      <c r="DC400" s="236"/>
      <c r="DD400" s="236"/>
      <c r="DE400" s="236"/>
      <c r="DF400" s="236"/>
      <c r="DG400" s="236"/>
      <c r="DH400" s="236"/>
      <c r="DI400" s="236"/>
      <c r="DJ400" s="236"/>
      <c r="DK400" s="236"/>
      <c r="DL400" s="236"/>
      <c r="DM400" s="236"/>
      <c r="DN400" s="236"/>
      <c r="DO400" s="236"/>
      <c r="DP400" s="236"/>
      <c r="DQ400" s="236"/>
      <c r="DR400" s="236"/>
      <c r="DS400" s="236"/>
      <c r="DT400" s="236"/>
      <c r="DU400" s="236"/>
      <c r="DV400" s="236"/>
      <c r="DW400" s="236"/>
      <c r="DX400" s="236"/>
      <c r="DY400" s="236"/>
      <c r="DZ400" s="236"/>
      <c r="EA400" s="236"/>
      <c r="EB400" s="237">
        <f t="shared" si="48"/>
        <v>0</v>
      </c>
      <c r="EC400" s="237">
        <f t="shared" si="49"/>
        <v>0</v>
      </c>
      <c r="ED400" s="237">
        <f t="shared" si="50"/>
        <v>0</v>
      </c>
      <c r="EE400" s="237">
        <f t="shared" si="51"/>
        <v>0</v>
      </c>
      <c r="EF400" s="121"/>
      <c r="EG400" s="238">
        <f t="shared" si="52"/>
        <v>0</v>
      </c>
      <c r="EH400" s="121"/>
      <c r="EI400" s="237">
        <f t="shared" si="53"/>
        <v>0</v>
      </c>
      <c r="EJ400" s="121"/>
      <c r="EK400" s="237">
        <f t="shared" si="54"/>
        <v>0</v>
      </c>
      <c r="EL400" s="237"/>
      <c r="EM400" s="5"/>
      <c r="EN400" s="5"/>
      <c r="EO400" s="5"/>
      <c r="EP400" s="5"/>
      <c r="EQ400" s="237">
        <f t="shared" si="55"/>
        <v>0</v>
      </c>
      <c r="ER400" s="239">
        <v>23300</v>
      </c>
      <c r="ES400" s="5">
        <v>7.5</v>
      </c>
    </row>
    <row r="401" spans="1:149" x14ac:dyDescent="0.3">
      <c r="A401" s="124"/>
      <c r="B401" s="121"/>
      <c r="C401" s="121"/>
      <c r="D401" s="121"/>
      <c r="E401" s="121"/>
      <c r="F401" s="121"/>
      <c r="G401" s="121"/>
      <c r="H401" s="121"/>
      <c r="I401" s="121"/>
      <c r="J401" s="121"/>
      <c r="K401" s="121"/>
      <c r="L401" s="121"/>
      <c r="M401" s="121"/>
      <c r="N401" s="121"/>
      <c r="O401" s="235"/>
      <c r="P401" s="121"/>
      <c r="Q401" s="121"/>
      <c r="R401" s="121"/>
      <c r="S401" s="121"/>
      <c r="T401" s="121"/>
      <c r="U401" s="121"/>
      <c r="V401" s="121"/>
      <c r="W401" s="121"/>
      <c r="X401" s="117"/>
      <c r="Y401" s="117"/>
      <c r="Z401" s="121"/>
      <c r="AA401" s="121"/>
      <c r="AB401" s="236"/>
      <c r="AC401" s="236"/>
      <c r="AD401" s="236"/>
      <c r="AE401" s="236"/>
      <c r="AF401" s="236"/>
      <c r="AG401" s="236"/>
      <c r="AH401" s="236"/>
      <c r="AI401" s="236"/>
      <c r="AJ401" s="236"/>
      <c r="AK401" s="236"/>
      <c r="AL401" s="236"/>
      <c r="AM401" s="236"/>
      <c r="AN401" s="236"/>
      <c r="AO401" s="236"/>
      <c r="AP401" s="236"/>
      <c r="AQ401" s="236"/>
      <c r="AR401" s="236"/>
      <c r="AS401" s="236"/>
      <c r="AT401" s="236"/>
      <c r="AU401" s="236"/>
      <c r="AV401" s="236"/>
      <c r="AW401" s="236"/>
      <c r="AX401" s="236"/>
      <c r="AY401" s="236"/>
      <c r="AZ401" s="236"/>
      <c r="BA401" s="236"/>
      <c r="BB401" s="236"/>
      <c r="BC401" s="236"/>
      <c r="BD401" s="236"/>
      <c r="BE401" s="236"/>
      <c r="BF401" s="236"/>
      <c r="BG401" s="236"/>
      <c r="BH401" s="236"/>
      <c r="BI401" s="236"/>
      <c r="BJ401" s="236"/>
      <c r="BK401" s="236"/>
      <c r="BL401" s="236"/>
      <c r="BM401" s="236"/>
      <c r="BN401" s="236"/>
      <c r="BO401" s="236"/>
      <c r="BP401" s="236"/>
      <c r="BQ401" s="236"/>
      <c r="BR401" s="236"/>
      <c r="BS401" s="236"/>
      <c r="BT401" s="236"/>
      <c r="BU401" s="236"/>
      <c r="BV401" s="236"/>
      <c r="BW401" s="236"/>
      <c r="BX401" s="236"/>
      <c r="BY401" s="236"/>
      <c r="BZ401" s="236"/>
      <c r="CA401" s="236"/>
      <c r="CB401" s="236"/>
      <c r="CC401" s="236"/>
      <c r="CD401" s="236"/>
      <c r="CE401" s="236"/>
      <c r="CF401" s="236"/>
      <c r="CG401" s="236"/>
      <c r="CH401" s="236"/>
      <c r="CI401" s="236"/>
      <c r="CJ401" s="236"/>
      <c r="CK401" s="236"/>
      <c r="CL401" s="236"/>
      <c r="CM401" s="236"/>
      <c r="CN401" s="236"/>
      <c r="CO401" s="236"/>
      <c r="CP401" s="236"/>
      <c r="CQ401" s="236"/>
      <c r="CR401" s="236"/>
      <c r="CS401" s="236"/>
      <c r="CT401" s="236"/>
      <c r="CU401" s="236"/>
      <c r="CV401" s="236"/>
      <c r="CW401" s="236"/>
      <c r="CX401" s="236"/>
      <c r="CY401" s="236"/>
      <c r="CZ401" s="236"/>
      <c r="DA401" s="236"/>
      <c r="DB401" s="236"/>
      <c r="DC401" s="236"/>
      <c r="DD401" s="236"/>
      <c r="DE401" s="236"/>
      <c r="DF401" s="236"/>
      <c r="DG401" s="236"/>
      <c r="DH401" s="236"/>
      <c r="DI401" s="236"/>
      <c r="DJ401" s="236"/>
      <c r="DK401" s="236"/>
      <c r="DL401" s="236"/>
      <c r="DM401" s="236"/>
      <c r="DN401" s="236"/>
      <c r="DO401" s="236"/>
      <c r="DP401" s="236"/>
      <c r="DQ401" s="236"/>
      <c r="DR401" s="236"/>
      <c r="DS401" s="236"/>
      <c r="DT401" s="236"/>
      <c r="DU401" s="236"/>
      <c r="DV401" s="236"/>
      <c r="DW401" s="236"/>
      <c r="DX401" s="236"/>
      <c r="DY401" s="236"/>
      <c r="DZ401" s="236"/>
      <c r="EA401" s="236"/>
      <c r="EB401" s="237">
        <f t="shared" si="48"/>
        <v>0</v>
      </c>
      <c r="EC401" s="237">
        <f t="shared" si="49"/>
        <v>0</v>
      </c>
      <c r="ED401" s="237">
        <f t="shared" si="50"/>
        <v>0</v>
      </c>
      <c r="EE401" s="237">
        <f t="shared" si="51"/>
        <v>0</v>
      </c>
      <c r="EF401" s="121"/>
      <c r="EG401" s="238">
        <f t="shared" si="52"/>
        <v>0</v>
      </c>
      <c r="EH401" s="121"/>
      <c r="EI401" s="237">
        <f t="shared" si="53"/>
        <v>0</v>
      </c>
      <c r="EJ401" s="121"/>
      <c r="EK401" s="237">
        <f t="shared" si="54"/>
        <v>0</v>
      </c>
      <c r="EL401" s="237"/>
      <c r="EM401" s="5"/>
      <c r="EN401" s="5"/>
      <c r="EO401" s="5"/>
      <c r="EP401" s="5"/>
      <c r="EQ401" s="237">
        <f t="shared" si="55"/>
        <v>0</v>
      </c>
      <c r="ER401" s="239">
        <v>23300</v>
      </c>
      <c r="ES401" s="5">
        <v>7.5</v>
      </c>
    </row>
    <row r="402" spans="1:149" x14ac:dyDescent="0.3">
      <c r="A402" s="124"/>
      <c r="B402" s="121"/>
      <c r="C402" s="121"/>
      <c r="D402" s="121"/>
      <c r="E402" s="121"/>
      <c r="F402" s="121"/>
      <c r="G402" s="121"/>
      <c r="H402" s="121"/>
      <c r="I402" s="121"/>
      <c r="J402" s="121"/>
      <c r="K402" s="121"/>
      <c r="L402" s="121"/>
      <c r="M402" s="121"/>
      <c r="N402" s="121"/>
      <c r="O402" s="235"/>
      <c r="P402" s="121"/>
      <c r="Q402" s="121"/>
      <c r="R402" s="121"/>
      <c r="S402" s="121"/>
      <c r="T402" s="121"/>
      <c r="U402" s="121"/>
      <c r="V402" s="121"/>
      <c r="W402" s="121"/>
      <c r="X402" s="117"/>
      <c r="Y402" s="117"/>
      <c r="Z402" s="121"/>
      <c r="AA402" s="121"/>
      <c r="AB402" s="236"/>
      <c r="AC402" s="236"/>
      <c r="AD402" s="236"/>
      <c r="AE402" s="236"/>
      <c r="AF402" s="236"/>
      <c r="AG402" s="236"/>
      <c r="AH402" s="236"/>
      <c r="AI402" s="236"/>
      <c r="AJ402" s="236"/>
      <c r="AK402" s="236"/>
      <c r="AL402" s="236"/>
      <c r="AM402" s="236"/>
      <c r="AN402" s="236"/>
      <c r="AO402" s="236"/>
      <c r="AP402" s="236"/>
      <c r="AQ402" s="236"/>
      <c r="AR402" s="236"/>
      <c r="AS402" s="236"/>
      <c r="AT402" s="236"/>
      <c r="AU402" s="236"/>
      <c r="AV402" s="236"/>
      <c r="AW402" s="236"/>
      <c r="AX402" s="236"/>
      <c r="AY402" s="236"/>
      <c r="AZ402" s="236"/>
      <c r="BA402" s="236"/>
      <c r="BB402" s="236"/>
      <c r="BC402" s="236"/>
      <c r="BD402" s="236"/>
      <c r="BE402" s="236"/>
      <c r="BF402" s="236"/>
      <c r="BG402" s="236"/>
      <c r="BH402" s="236"/>
      <c r="BI402" s="236"/>
      <c r="BJ402" s="236"/>
      <c r="BK402" s="236"/>
      <c r="BL402" s="236"/>
      <c r="BM402" s="236"/>
      <c r="BN402" s="236"/>
      <c r="BO402" s="236"/>
      <c r="BP402" s="236"/>
      <c r="BQ402" s="236"/>
      <c r="BR402" s="236"/>
      <c r="BS402" s="236"/>
      <c r="BT402" s="236"/>
      <c r="BU402" s="236"/>
      <c r="BV402" s="236"/>
      <c r="BW402" s="236"/>
      <c r="BX402" s="236"/>
      <c r="BY402" s="236"/>
      <c r="BZ402" s="236"/>
      <c r="CA402" s="236"/>
      <c r="CB402" s="236"/>
      <c r="CC402" s="236"/>
      <c r="CD402" s="236"/>
      <c r="CE402" s="236"/>
      <c r="CF402" s="236"/>
      <c r="CG402" s="236"/>
      <c r="CH402" s="236"/>
      <c r="CI402" s="236"/>
      <c r="CJ402" s="236"/>
      <c r="CK402" s="236"/>
      <c r="CL402" s="236"/>
      <c r="CM402" s="236"/>
      <c r="CN402" s="236"/>
      <c r="CO402" s="236"/>
      <c r="CP402" s="236"/>
      <c r="CQ402" s="236"/>
      <c r="CR402" s="236"/>
      <c r="CS402" s="236"/>
      <c r="CT402" s="236"/>
      <c r="CU402" s="236"/>
      <c r="CV402" s="236"/>
      <c r="CW402" s="236"/>
      <c r="CX402" s="236"/>
      <c r="CY402" s="236"/>
      <c r="CZ402" s="236"/>
      <c r="DA402" s="236"/>
      <c r="DB402" s="236"/>
      <c r="DC402" s="236"/>
      <c r="DD402" s="236"/>
      <c r="DE402" s="236"/>
      <c r="DF402" s="236"/>
      <c r="DG402" s="236"/>
      <c r="DH402" s="236"/>
      <c r="DI402" s="236"/>
      <c r="DJ402" s="236"/>
      <c r="DK402" s="236"/>
      <c r="DL402" s="236"/>
      <c r="DM402" s="236"/>
      <c r="DN402" s="236"/>
      <c r="DO402" s="236"/>
      <c r="DP402" s="236"/>
      <c r="DQ402" s="236"/>
      <c r="DR402" s="236"/>
      <c r="DS402" s="236"/>
      <c r="DT402" s="236"/>
      <c r="DU402" s="236"/>
      <c r="DV402" s="236"/>
      <c r="DW402" s="236"/>
      <c r="DX402" s="236"/>
      <c r="DY402" s="236"/>
      <c r="DZ402" s="236"/>
      <c r="EA402" s="236"/>
      <c r="EB402" s="237">
        <f t="shared" si="48"/>
        <v>0</v>
      </c>
      <c r="EC402" s="237">
        <f t="shared" si="49"/>
        <v>0</v>
      </c>
      <c r="ED402" s="237">
        <f t="shared" si="50"/>
        <v>0</v>
      </c>
      <c r="EE402" s="237">
        <f t="shared" si="51"/>
        <v>0</v>
      </c>
      <c r="EF402" s="121"/>
      <c r="EG402" s="238">
        <f t="shared" si="52"/>
        <v>0</v>
      </c>
      <c r="EH402" s="121"/>
      <c r="EI402" s="237">
        <f t="shared" si="53"/>
        <v>0</v>
      </c>
      <c r="EJ402" s="121"/>
      <c r="EK402" s="237">
        <f t="shared" si="54"/>
        <v>0</v>
      </c>
      <c r="EL402" s="237"/>
      <c r="EM402" s="5"/>
      <c r="EN402" s="5"/>
      <c r="EO402" s="5"/>
      <c r="EP402" s="5"/>
      <c r="EQ402" s="237">
        <f t="shared" si="55"/>
        <v>0</v>
      </c>
      <c r="ER402" s="239">
        <v>23300</v>
      </c>
      <c r="ES402" s="5">
        <v>7.5</v>
      </c>
    </row>
    <row r="403" spans="1:149" x14ac:dyDescent="0.3">
      <c r="A403" s="124"/>
      <c r="B403" s="121"/>
      <c r="C403" s="121"/>
      <c r="D403" s="121"/>
      <c r="E403" s="121"/>
      <c r="F403" s="121"/>
      <c r="G403" s="121"/>
      <c r="H403" s="121"/>
      <c r="I403" s="121"/>
      <c r="J403" s="121"/>
      <c r="K403" s="121"/>
      <c r="L403" s="121"/>
      <c r="M403" s="121"/>
      <c r="N403" s="121"/>
      <c r="O403" s="235"/>
      <c r="P403" s="121"/>
      <c r="Q403" s="121"/>
      <c r="R403" s="121"/>
      <c r="S403" s="121"/>
      <c r="T403" s="121"/>
      <c r="U403" s="121"/>
      <c r="V403" s="121"/>
      <c r="W403" s="121"/>
      <c r="X403" s="117"/>
      <c r="Y403" s="117"/>
      <c r="Z403" s="121"/>
      <c r="AA403" s="121"/>
      <c r="AB403" s="236"/>
      <c r="AC403" s="236"/>
      <c r="AD403" s="236"/>
      <c r="AE403" s="236"/>
      <c r="AF403" s="236"/>
      <c r="AG403" s="236"/>
      <c r="AH403" s="236"/>
      <c r="AI403" s="236"/>
      <c r="AJ403" s="236"/>
      <c r="AK403" s="236"/>
      <c r="AL403" s="236"/>
      <c r="AM403" s="236"/>
      <c r="AN403" s="236"/>
      <c r="AO403" s="236"/>
      <c r="AP403" s="236"/>
      <c r="AQ403" s="236"/>
      <c r="AR403" s="236"/>
      <c r="AS403" s="236"/>
      <c r="AT403" s="236"/>
      <c r="AU403" s="236"/>
      <c r="AV403" s="236"/>
      <c r="AW403" s="236"/>
      <c r="AX403" s="236"/>
      <c r="AY403" s="236"/>
      <c r="AZ403" s="236"/>
      <c r="BA403" s="236"/>
      <c r="BB403" s="236"/>
      <c r="BC403" s="236"/>
      <c r="BD403" s="236"/>
      <c r="BE403" s="236"/>
      <c r="BF403" s="236"/>
      <c r="BG403" s="236"/>
      <c r="BH403" s="236"/>
      <c r="BI403" s="236"/>
      <c r="BJ403" s="236"/>
      <c r="BK403" s="236"/>
      <c r="BL403" s="236"/>
      <c r="BM403" s="236"/>
      <c r="BN403" s="236"/>
      <c r="BO403" s="236"/>
      <c r="BP403" s="236"/>
      <c r="BQ403" s="236"/>
      <c r="BR403" s="236"/>
      <c r="BS403" s="236"/>
      <c r="BT403" s="236"/>
      <c r="BU403" s="236"/>
      <c r="BV403" s="236"/>
      <c r="BW403" s="236"/>
      <c r="BX403" s="236"/>
      <c r="BY403" s="236"/>
      <c r="BZ403" s="236"/>
      <c r="CA403" s="236"/>
      <c r="CB403" s="236"/>
      <c r="CC403" s="236"/>
      <c r="CD403" s="236"/>
      <c r="CE403" s="236"/>
      <c r="CF403" s="236"/>
      <c r="CG403" s="236"/>
      <c r="CH403" s="236"/>
      <c r="CI403" s="236"/>
      <c r="CJ403" s="236"/>
      <c r="CK403" s="236"/>
      <c r="CL403" s="236"/>
      <c r="CM403" s="236"/>
      <c r="CN403" s="236"/>
      <c r="CO403" s="236"/>
      <c r="CP403" s="236"/>
      <c r="CQ403" s="236"/>
      <c r="CR403" s="236"/>
      <c r="CS403" s="236"/>
      <c r="CT403" s="236"/>
      <c r="CU403" s="236"/>
      <c r="CV403" s="236"/>
      <c r="CW403" s="236"/>
      <c r="CX403" s="236"/>
      <c r="CY403" s="236"/>
      <c r="CZ403" s="236"/>
      <c r="DA403" s="236"/>
      <c r="DB403" s="236"/>
      <c r="DC403" s="236"/>
      <c r="DD403" s="236"/>
      <c r="DE403" s="236"/>
      <c r="DF403" s="236"/>
      <c r="DG403" s="236"/>
      <c r="DH403" s="236"/>
      <c r="DI403" s="236"/>
      <c r="DJ403" s="236"/>
      <c r="DK403" s="236"/>
      <c r="DL403" s="236"/>
      <c r="DM403" s="236"/>
      <c r="DN403" s="236"/>
      <c r="DO403" s="236"/>
      <c r="DP403" s="236"/>
      <c r="DQ403" s="236"/>
      <c r="DR403" s="236"/>
      <c r="DS403" s="236"/>
      <c r="DT403" s="236"/>
      <c r="DU403" s="236"/>
      <c r="DV403" s="236"/>
      <c r="DW403" s="236"/>
      <c r="DX403" s="236"/>
      <c r="DY403" s="236"/>
      <c r="DZ403" s="236"/>
      <c r="EA403" s="236"/>
      <c r="EB403" s="237">
        <f t="shared" si="48"/>
        <v>0</v>
      </c>
      <c r="EC403" s="237">
        <f t="shared" si="49"/>
        <v>0</v>
      </c>
      <c r="ED403" s="237">
        <f t="shared" si="50"/>
        <v>0</v>
      </c>
      <c r="EE403" s="237">
        <f t="shared" si="51"/>
        <v>0</v>
      </c>
      <c r="EF403" s="121"/>
      <c r="EG403" s="238">
        <f t="shared" si="52"/>
        <v>0</v>
      </c>
      <c r="EH403" s="121"/>
      <c r="EI403" s="237">
        <f t="shared" si="53"/>
        <v>0</v>
      </c>
      <c r="EJ403" s="121"/>
      <c r="EK403" s="237">
        <f t="shared" si="54"/>
        <v>0</v>
      </c>
      <c r="EL403" s="237"/>
      <c r="EM403" s="5"/>
      <c r="EN403" s="5"/>
      <c r="EO403" s="5"/>
      <c r="EP403" s="5"/>
      <c r="EQ403" s="237">
        <f t="shared" si="55"/>
        <v>0</v>
      </c>
      <c r="ER403" s="239">
        <v>23300</v>
      </c>
      <c r="ES403" s="5">
        <v>7.5</v>
      </c>
    </row>
    <row r="404" spans="1:149" x14ac:dyDescent="0.3">
      <c r="A404" s="124"/>
      <c r="B404" s="121"/>
      <c r="C404" s="121"/>
      <c r="D404" s="121"/>
      <c r="E404" s="121"/>
      <c r="F404" s="121"/>
      <c r="G404" s="121"/>
      <c r="H404" s="121"/>
      <c r="I404" s="121"/>
      <c r="J404" s="121"/>
      <c r="K404" s="121"/>
      <c r="L404" s="121"/>
      <c r="M404" s="121"/>
      <c r="N404" s="121"/>
      <c r="O404" s="235"/>
      <c r="P404" s="121"/>
      <c r="Q404" s="121"/>
      <c r="R404" s="121"/>
      <c r="S404" s="121"/>
      <c r="T404" s="121"/>
      <c r="U404" s="121"/>
      <c r="V404" s="121"/>
      <c r="W404" s="121"/>
      <c r="X404" s="117"/>
      <c r="Y404" s="117"/>
      <c r="Z404" s="121"/>
      <c r="AA404" s="121"/>
      <c r="AB404" s="236"/>
      <c r="AC404" s="236"/>
      <c r="AD404" s="236"/>
      <c r="AE404" s="236"/>
      <c r="AF404" s="236"/>
      <c r="AG404" s="236"/>
      <c r="AH404" s="236"/>
      <c r="AI404" s="236"/>
      <c r="AJ404" s="236"/>
      <c r="AK404" s="236"/>
      <c r="AL404" s="236"/>
      <c r="AM404" s="236"/>
      <c r="AN404" s="236"/>
      <c r="AO404" s="236"/>
      <c r="AP404" s="236"/>
      <c r="AQ404" s="236"/>
      <c r="AR404" s="236"/>
      <c r="AS404" s="236"/>
      <c r="AT404" s="236"/>
      <c r="AU404" s="236"/>
      <c r="AV404" s="236"/>
      <c r="AW404" s="236"/>
      <c r="AX404" s="236"/>
      <c r="AY404" s="236"/>
      <c r="AZ404" s="236"/>
      <c r="BA404" s="236"/>
      <c r="BB404" s="236"/>
      <c r="BC404" s="236"/>
      <c r="BD404" s="236"/>
      <c r="BE404" s="236"/>
      <c r="BF404" s="236"/>
      <c r="BG404" s="236"/>
      <c r="BH404" s="236"/>
      <c r="BI404" s="236"/>
      <c r="BJ404" s="236"/>
      <c r="BK404" s="236"/>
      <c r="BL404" s="236"/>
      <c r="BM404" s="236"/>
      <c r="BN404" s="236"/>
      <c r="BO404" s="236"/>
      <c r="BP404" s="236"/>
      <c r="BQ404" s="236"/>
      <c r="BR404" s="236"/>
      <c r="BS404" s="236"/>
      <c r="BT404" s="236"/>
      <c r="BU404" s="236"/>
      <c r="BV404" s="236"/>
      <c r="BW404" s="236"/>
      <c r="BX404" s="236"/>
      <c r="BY404" s="236"/>
      <c r="BZ404" s="236"/>
      <c r="CA404" s="236"/>
      <c r="CB404" s="236"/>
      <c r="CC404" s="236"/>
      <c r="CD404" s="236"/>
      <c r="CE404" s="236"/>
      <c r="CF404" s="236"/>
      <c r="CG404" s="236"/>
      <c r="CH404" s="236"/>
      <c r="CI404" s="236"/>
      <c r="CJ404" s="236"/>
      <c r="CK404" s="236"/>
      <c r="CL404" s="236"/>
      <c r="CM404" s="236"/>
      <c r="CN404" s="236"/>
      <c r="CO404" s="236"/>
      <c r="CP404" s="236"/>
      <c r="CQ404" s="236"/>
      <c r="CR404" s="236"/>
      <c r="CS404" s="236"/>
      <c r="CT404" s="236"/>
      <c r="CU404" s="236"/>
      <c r="CV404" s="236"/>
      <c r="CW404" s="236"/>
      <c r="CX404" s="236"/>
      <c r="CY404" s="236"/>
      <c r="CZ404" s="236"/>
      <c r="DA404" s="236"/>
      <c r="DB404" s="236"/>
      <c r="DC404" s="236"/>
      <c r="DD404" s="236"/>
      <c r="DE404" s="236"/>
      <c r="DF404" s="236"/>
      <c r="DG404" s="236"/>
      <c r="DH404" s="236"/>
      <c r="DI404" s="236"/>
      <c r="DJ404" s="236"/>
      <c r="DK404" s="236"/>
      <c r="DL404" s="236"/>
      <c r="DM404" s="236"/>
      <c r="DN404" s="236"/>
      <c r="DO404" s="236"/>
      <c r="DP404" s="236"/>
      <c r="DQ404" s="236"/>
      <c r="DR404" s="236"/>
      <c r="DS404" s="236"/>
      <c r="DT404" s="236"/>
      <c r="DU404" s="236"/>
      <c r="DV404" s="236"/>
      <c r="DW404" s="236"/>
      <c r="DX404" s="236"/>
      <c r="DY404" s="236"/>
      <c r="DZ404" s="236"/>
      <c r="EA404" s="236"/>
      <c r="EB404" s="237">
        <f t="shared" si="48"/>
        <v>0</v>
      </c>
      <c r="EC404" s="237">
        <f t="shared" si="49"/>
        <v>0</v>
      </c>
      <c r="ED404" s="237">
        <f t="shared" si="50"/>
        <v>0</v>
      </c>
      <c r="EE404" s="237">
        <f t="shared" si="51"/>
        <v>0</v>
      </c>
      <c r="EF404" s="121"/>
      <c r="EG404" s="238">
        <f t="shared" si="52"/>
        <v>0</v>
      </c>
      <c r="EH404" s="121"/>
      <c r="EI404" s="237">
        <f t="shared" si="53"/>
        <v>0</v>
      </c>
      <c r="EJ404" s="121"/>
      <c r="EK404" s="237">
        <f t="shared" si="54"/>
        <v>0</v>
      </c>
      <c r="EL404" s="237"/>
      <c r="EM404" s="5"/>
      <c r="EN404" s="5"/>
      <c r="EO404" s="5"/>
      <c r="EP404" s="5"/>
      <c r="EQ404" s="237">
        <f t="shared" si="55"/>
        <v>0</v>
      </c>
      <c r="ER404" s="239">
        <v>23300</v>
      </c>
      <c r="ES404" s="5">
        <v>7.5</v>
      </c>
    </row>
    <row r="405" spans="1:149" x14ac:dyDescent="0.3">
      <c r="A405" s="124"/>
      <c r="B405" s="121"/>
      <c r="C405" s="121"/>
      <c r="D405" s="121"/>
      <c r="E405" s="121"/>
      <c r="F405" s="121"/>
      <c r="G405" s="121"/>
      <c r="H405" s="121"/>
      <c r="I405" s="121"/>
      <c r="J405" s="121"/>
      <c r="K405" s="121"/>
      <c r="L405" s="121"/>
      <c r="M405" s="121"/>
      <c r="N405" s="121"/>
      <c r="O405" s="235"/>
      <c r="P405" s="121"/>
      <c r="Q405" s="121"/>
      <c r="R405" s="121"/>
      <c r="S405" s="121"/>
      <c r="T405" s="121"/>
      <c r="U405" s="121"/>
      <c r="V405" s="121"/>
      <c r="W405" s="121"/>
      <c r="X405" s="117"/>
      <c r="Y405" s="117"/>
      <c r="Z405" s="121"/>
      <c r="AA405" s="121"/>
      <c r="AB405" s="236"/>
      <c r="AC405" s="236"/>
      <c r="AD405" s="236"/>
      <c r="AE405" s="236"/>
      <c r="AF405" s="236"/>
      <c r="AG405" s="236"/>
      <c r="AH405" s="236"/>
      <c r="AI405" s="236"/>
      <c r="AJ405" s="236"/>
      <c r="AK405" s="236"/>
      <c r="AL405" s="236"/>
      <c r="AM405" s="236"/>
      <c r="AN405" s="236"/>
      <c r="AO405" s="236"/>
      <c r="AP405" s="236"/>
      <c r="AQ405" s="236"/>
      <c r="AR405" s="236"/>
      <c r="AS405" s="236"/>
      <c r="AT405" s="236"/>
      <c r="AU405" s="236"/>
      <c r="AV405" s="236"/>
      <c r="AW405" s="236"/>
      <c r="AX405" s="236"/>
      <c r="AY405" s="236"/>
      <c r="AZ405" s="236"/>
      <c r="BA405" s="236"/>
      <c r="BB405" s="236"/>
      <c r="BC405" s="236"/>
      <c r="BD405" s="236"/>
      <c r="BE405" s="236"/>
      <c r="BF405" s="236"/>
      <c r="BG405" s="236"/>
      <c r="BH405" s="236"/>
      <c r="BI405" s="236"/>
      <c r="BJ405" s="236"/>
      <c r="BK405" s="236"/>
      <c r="BL405" s="236"/>
      <c r="BM405" s="236"/>
      <c r="BN405" s="236"/>
      <c r="BO405" s="236"/>
      <c r="BP405" s="236"/>
      <c r="BQ405" s="236"/>
      <c r="BR405" s="236"/>
      <c r="BS405" s="236"/>
      <c r="BT405" s="236"/>
      <c r="BU405" s="236"/>
      <c r="BV405" s="236"/>
      <c r="BW405" s="236"/>
      <c r="BX405" s="236"/>
      <c r="BY405" s="236"/>
      <c r="BZ405" s="236"/>
      <c r="CA405" s="236"/>
      <c r="CB405" s="236"/>
      <c r="CC405" s="236"/>
      <c r="CD405" s="236"/>
      <c r="CE405" s="236"/>
      <c r="CF405" s="236"/>
      <c r="CG405" s="236"/>
      <c r="CH405" s="236"/>
      <c r="CI405" s="236"/>
      <c r="CJ405" s="236"/>
      <c r="CK405" s="236"/>
      <c r="CL405" s="236"/>
      <c r="CM405" s="236"/>
      <c r="CN405" s="236"/>
      <c r="CO405" s="236"/>
      <c r="CP405" s="236"/>
      <c r="CQ405" s="236"/>
      <c r="CR405" s="236"/>
      <c r="CS405" s="236"/>
      <c r="CT405" s="236"/>
      <c r="CU405" s="236"/>
      <c r="CV405" s="236"/>
      <c r="CW405" s="236"/>
      <c r="CX405" s="236"/>
      <c r="CY405" s="236"/>
      <c r="CZ405" s="236"/>
      <c r="DA405" s="236"/>
      <c r="DB405" s="236"/>
      <c r="DC405" s="236"/>
      <c r="DD405" s="236"/>
      <c r="DE405" s="236"/>
      <c r="DF405" s="236"/>
      <c r="DG405" s="236"/>
      <c r="DH405" s="236"/>
      <c r="DI405" s="236"/>
      <c r="DJ405" s="236"/>
      <c r="DK405" s="236"/>
      <c r="DL405" s="236"/>
      <c r="DM405" s="236"/>
      <c r="DN405" s="236"/>
      <c r="DO405" s="236"/>
      <c r="DP405" s="236"/>
      <c r="DQ405" s="236"/>
      <c r="DR405" s="236"/>
      <c r="DS405" s="236"/>
      <c r="DT405" s="236"/>
      <c r="DU405" s="236"/>
      <c r="DV405" s="236"/>
      <c r="DW405" s="236"/>
      <c r="DX405" s="236"/>
      <c r="DY405" s="236"/>
      <c r="DZ405" s="236"/>
      <c r="EA405" s="236"/>
      <c r="EB405" s="237">
        <f t="shared" si="48"/>
        <v>0</v>
      </c>
      <c r="EC405" s="237">
        <f t="shared" si="49"/>
        <v>0</v>
      </c>
      <c r="ED405" s="237">
        <f t="shared" si="50"/>
        <v>0</v>
      </c>
      <c r="EE405" s="237">
        <f t="shared" si="51"/>
        <v>0</v>
      </c>
      <c r="EF405" s="121"/>
      <c r="EG405" s="238">
        <f t="shared" si="52"/>
        <v>0</v>
      </c>
      <c r="EH405" s="121"/>
      <c r="EI405" s="237">
        <f t="shared" si="53"/>
        <v>0</v>
      </c>
      <c r="EJ405" s="121"/>
      <c r="EK405" s="237">
        <f t="shared" si="54"/>
        <v>0</v>
      </c>
      <c r="EL405" s="237"/>
      <c r="EM405" s="5"/>
      <c r="EN405" s="5"/>
      <c r="EO405" s="5"/>
      <c r="EP405" s="5"/>
      <c r="EQ405" s="237">
        <f t="shared" si="55"/>
        <v>0</v>
      </c>
      <c r="ER405" s="239">
        <v>23300</v>
      </c>
      <c r="ES405" s="5">
        <v>7.5</v>
      </c>
    </row>
    <row r="406" spans="1:149" x14ac:dyDescent="0.3">
      <c r="A406" s="124"/>
      <c r="B406" s="121"/>
      <c r="C406" s="121"/>
      <c r="D406" s="121"/>
      <c r="E406" s="121"/>
      <c r="F406" s="121"/>
      <c r="G406" s="121"/>
      <c r="H406" s="121"/>
      <c r="I406" s="121"/>
      <c r="J406" s="121"/>
      <c r="K406" s="121"/>
      <c r="L406" s="121"/>
      <c r="M406" s="121"/>
      <c r="N406" s="121"/>
      <c r="O406" s="235"/>
      <c r="P406" s="121"/>
      <c r="Q406" s="121"/>
      <c r="R406" s="121"/>
      <c r="S406" s="121"/>
      <c r="T406" s="121"/>
      <c r="U406" s="121"/>
      <c r="V406" s="121"/>
      <c r="W406" s="121"/>
      <c r="X406" s="117"/>
      <c r="Y406" s="117"/>
      <c r="Z406" s="121"/>
      <c r="AA406" s="121"/>
      <c r="AB406" s="236"/>
      <c r="AC406" s="236"/>
      <c r="AD406" s="236"/>
      <c r="AE406" s="236"/>
      <c r="AF406" s="236"/>
      <c r="AG406" s="236"/>
      <c r="AH406" s="236"/>
      <c r="AI406" s="236"/>
      <c r="AJ406" s="236"/>
      <c r="AK406" s="236"/>
      <c r="AL406" s="236"/>
      <c r="AM406" s="236"/>
      <c r="AN406" s="236"/>
      <c r="AO406" s="236"/>
      <c r="AP406" s="236"/>
      <c r="AQ406" s="236"/>
      <c r="AR406" s="236"/>
      <c r="AS406" s="236"/>
      <c r="AT406" s="236"/>
      <c r="AU406" s="236"/>
      <c r="AV406" s="236"/>
      <c r="AW406" s="236"/>
      <c r="AX406" s="236"/>
      <c r="AY406" s="236"/>
      <c r="AZ406" s="236"/>
      <c r="BA406" s="236"/>
      <c r="BB406" s="236"/>
      <c r="BC406" s="236"/>
      <c r="BD406" s="236"/>
      <c r="BE406" s="236"/>
      <c r="BF406" s="236"/>
      <c r="BG406" s="236"/>
      <c r="BH406" s="236"/>
      <c r="BI406" s="236"/>
      <c r="BJ406" s="236"/>
      <c r="BK406" s="236"/>
      <c r="BL406" s="236"/>
      <c r="BM406" s="236"/>
      <c r="BN406" s="236"/>
      <c r="BO406" s="236"/>
      <c r="BP406" s="236"/>
      <c r="BQ406" s="236"/>
      <c r="BR406" s="236"/>
      <c r="BS406" s="236"/>
      <c r="BT406" s="236"/>
      <c r="BU406" s="236"/>
      <c r="BV406" s="236"/>
      <c r="BW406" s="236"/>
      <c r="BX406" s="236"/>
      <c r="BY406" s="236"/>
      <c r="BZ406" s="236"/>
      <c r="CA406" s="236"/>
      <c r="CB406" s="236"/>
      <c r="CC406" s="236"/>
      <c r="CD406" s="236"/>
      <c r="CE406" s="236"/>
      <c r="CF406" s="236"/>
      <c r="CG406" s="236"/>
      <c r="CH406" s="236"/>
      <c r="CI406" s="236"/>
      <c r="CJ406" s="236"/>
      <c r="CK406" s="236"/>
      <c r="CL406" s="236"/>
      <c r="CM406" s="236"/>
      <c r="CN406" s="236"/>
      <c r="CO406" s="236"/>
      <c r="CP406" s="236"/>
      <c r="CQ406" s="236"/>
      <c r="CR406" s="236"/>
      <c r="CS406" s="236"/>
      <c r="CT406" s="236"/>
      <c r="CU406" s="236"/>
      <c r="CV406" s="236"/>
      <c r="CW406" s="236"/>
      <c r="CX406" s="236"/>
      <c r="CY406" s="236"/>
      <c r="CZ406" s="236"/>
      <c r="DA406" s="236"/>
      <c r="DB406" s="236"/>
      <c r="DC406" s="236"/>
      <c r="DD406" s="236"/>
      <c r="DE406" s="236"/>
      <c r="DF406" s="236"/>
      <c r="DG406" s="236"/>
      <c r="DH406" s="236"/>
      <c r="DI406" s="236"/>
      <c r="DJ406" s="236"/>
      <c r="DK406" s="236"/>
      <c r="DL406" s="236"/>
      <c r="DM406" s="236"/>
      <c r="DN406" s="236"/>
      <c r="DO406" s="236"/>
      <c r="DP406" s="236"/>
      <c r="DQ406" s="236"/>
      <c r="DR406" s="236"/>
      <c r="DS406" s="236"/>
      <c r="DT406" s="236"/>
      <c r="DU406" s="236"/>
      <c r="DV406" s="236"/>
      <c r="DW406" s="236"/>
      <c r="DX406" s="236"/>
      <c r="DY406" s="236"/>
      <c r="DZ406" s="236"/>
      <c r="EA406" s="236"/>
      <c r="EB406" s="237">
        <f t="shared" si="48"/>
        <v>0</v>
      </c>
      <c r="EC406" s="237">
        <f t="shared" si="49"/>
        <v>0</v>
      </c>
      <c r="ED406" s="237">
        <f t="shared" si="50"/>
        <v>0</v>
      </c>
      <c r="EE406" s="237">
        <f t="shared" si="51"/>
        <v>0</v>
      </c>
      <c r="EF406" s="121"/>
      <c r="EG406" s="238">
        <f t="shared" si="52"/>
        <v>0</v>
      </c>
      <c r="EH406" s="121"/>
      <c r="EI406" s="237">
        <f t="shared" si="53"/>
        <v>0</v>
      </c>
      <c r="EJ406" s="121"/>
      <c r="EK406" s="237">
        <f t="shared" si="54"/>
        <v>0</v>
      </c>
      <c r="EL406" s="237"/>
      <c r="EM406" s="5"/>
      <c r="EN406" s="5"/>
      <c r="EO406" s="5"/>
      <c r="EP406" s="5"/>
      <c r="EQ406" s="237">
        <f t="shared" si="55"/>
        <v>0</v>
      </c>
      <c r="ER406" s="239">
        <v>23300</v>
      </c>
      <c r="ES406" s="5">
        <v>7.5</v>
      </c>
    </row>
    <row r="407" spans="1:149" x14ac:dyDescent="0.3">
      <c r="A407" s="124"/>
      <c r="B407" s="121"/>
      <c r="C407" s="121"/>
      <c r="D407" s="121"/>
      <c r="E407" s="121"/>
      <c r="F407" s="121"/>
      <c r="G407" s="121"/>
      <c r="H407" s="121"/>
      <c r="I407" s="121"/>
      <c r="J407" s="121"/>
      <c r="K407" s="121"/>
      <c r="L407" s="121"/>
      <c r="M407" s="121"/>
      <c r="N407" s="121"/>
      <c r="O407" s="235"/>
      <c r="P407" s="121"/>
      <c r="Q407" s="121"/>
      <c r="R407" s="121"/>
      <c r="S407" s="121"/>
      <c r="T407" s="121"/>
      <c r="U407" s="121"/>
      <c r="V407" s="121"/>
      <c r="W407" s="121"/>
      <c r="X407" s="117"/>
      <c r="Y407" s="117"/>
      <c r="Z407" s="121"/>
      <c r="AA407" s="121"/>
      <c r="AB407" s="236"/>
      <c r="AC407" s="236"/>
      <c r="AD407" s="236"/>
      <c r="AE407" s="236"/>
      <c r="AF407" s="236"/>
      <c r="AG407" s="236"/>
      <c r="AH407" s="236"/>
      <c r="AI407" s="236"/>
      <c r="AJ407" s="236"/>
      <c r="AK407" s="236"/>
      <c r="AL407" s="236"/>
      <c r="AM407" s="236"/>
      <c r="AN407" s="236"/>
      <c r="AO407" s="236"/>
      <c r="AP407" s="236"/>
      <c r="AQ407" s="236"/>
      <c r="AR407" s="236"/>
      <c r="AS407" s="236"/>
      <c r="AT407" s="236"/>
      <c r="AU407" s="236"/>
      <c r="AV407" s="236"/>
      <c r="AW407" s="236"/>
      <c r="AX407" s="236"/>
      <c r="AY407" s="236"/>
      <c r="AZ407" s="236"/>
      <c r="BA407" s="236"/>
      <c r="BB407" s="236"/>
      <c r="BC407" s="236"/>
      <c r="BD407" s="236"/>
      <c r="BE407" s="236"/>
      <c r="BF407" s="236"/>
      <c r="BG407" s="236"/>
      <c r="BH407" s="236"/>
      <c r="BI407" s="236"/>
      <c r="BJ407" s="236"/>
      <c r="BK407" s="236"/>
      <c r="BL407" s="236"/>
      <c r="BM407" s="236"/>
      <c r="BN407" s="236"/>
      <c r="BO407" s="236"/>
      <c r="BP407" s="236"/>
      <c r="BQ407" s="236"/>
      <c r="BR407" s="236"/>
      <c r="BS407" s="236"/>
      <c r="BT407" s="236"/>
      <c r="BU407" s="236"/>
      <c r="BV407" s="236"/>
      <c r="BW407" s="236"/>
      <c r="BX407" s="236"/>
      <c r="BY407" s="236"/>
      <c r="BZ407" s="236"/>
      <c r="CA407" s="236"/>
      <c r="CB407" s="236"/>
      <c r="CC407" s="236"/>
      <c r="CD407" s="236"/>
      <c r="CE407" s="236"/>
      <c r="CF407" s="236"/>
      <c r="CG407" s="236"/>
      <c r="CH407" s="236"/>
      <c r="CI407" s="236"/>
      <c r="CJ407" s="236"/>
      <c r="CK407" s="236"/>
      <c r="CL407" s="236"/>
      <c r="CM407" s="236"/>
      <c r="CN407" s="236"/>
      <c r="CO407" s="236"/>
      <c r="CP407" s="236"/>
      <c r="CQ407" s="236"/>
      <c r="CR407" s="236"/>
      <c r="CS407" s="236"/>
      <c r="CT407" s="236"/>
      <c r="CU407" s="236"/>
      <c r="CV407" s="236"/>
      <c r="CW407" s="236"/>
      <c r="CX407" s="236"/>
      <c r="CY407" s="236"/>
      <c r="CZ407" s="236"/>
      <c r="DA407" s="236"/>
      <c r="DB407" s="236"/>
      <c r="DC407" s="236"/>
      <c r="DD407" s="236"/>
      <c r="DE407" s="236"/>
      <c r="DF407" s="236"/>
      <c r="DG407" s="236"/>
      <c r="DH407" s="236"/>
      <c r="DI407" s="236"/>
      <c r="DJ407" s="236"/>
      <c r="DK407" s="236"/>
      <c r="DL407" s="236"/>
      <c r="DM407" s="236"/>
      <c r="DN407" s="236"/>
      <c r="DO407" s="236"/>
      <c r="DP407" s="236"/>
      <c r="DQ407" s="236"/>
      <c r="DR407" s="236"/>
      <c r="DS407" s="236"/>
      <c r="DT407" s="236"/>
      <c r="DU407" s="236"/>
      <c r="DV407" s="236"/>
      <c r="DW407" s="236"/>
      <c r="DX407" s="236"/>
      <c r="DY407" s="236"/>
      <c r="DZ407" s="236"/>
      <c r="EA407" s="236"/>
      <c r="EB407" s="237">
        <f t="shared" si="48"/>
        <v>0</v>
      </c>
      <c r="EC407" s="237">
        <f t="shared" si="49"/>
        <v>0</v>
      </c>
      <c r="ED407" s="237">
        <f t="shared" si="50"/>
        <v>0</v>
      </c>
      <c r="EE407" s="237">
        <f t="shared" si="51"/>
        <v>0</v>
      </c>
      <c r="EF407" s="121"/>
      <c r="EG407" s="238">
        <f t="shared" si="52"/>
        <v>0</v>
      </c>
      <c r="EH407" s="121"/>
      <c r="EI407" s="237">
        <f t="shared" si="53"/>
        <v>0</v>
      </c>
      <c r="EJ407" s="121"/>
      <c r="EK407" s="237">
        <f t="shared" si="54"/>
        <v>0</v>
      </c>
      <c r="EL407" s="237"/>
      <c r="EM407" s="5"/>
      <c r="EN407" s="5"/>
      <c r="EO407" s="5"/>
      <c r="EP407" s="5"/>
      <c r="EQ407" s="237">
        <f t="shared" si="55"/>
        <v>0</v>
      </c>
      <c r="ER407" s="239">
        <v>23300</v>
      </c>
      <c r="ES407" s="5">
        <v>7.5</v>
      </c>
    </row>
    <row r="408" spans="1:149" x14ac:dyDescent="0.3">
      <c r="A408" s="124"/>
      <c r="B408" s="121"/>
      <c r="C408" s="121"/>
      <c r="D408" s="121"/>
      <c r="E408" s="121"/>
      <c r="F408" s="121"/>
      <c r="G408" s="121"/>
      <c r="H408" s="121"/>
      <c r="I408" s="121"/>
      <c r="J408" s="121"/>
      <c r="K408" s="121"/>
      <c r="L408" s="121"/>
      <c r="M408" s="121"/>
      <c r="N408" s="121"/>
      <c r="O408" s="235"/>
      <c r="P408" s="121"/>
      <c r="Q408" s="121"/>
      <c r="R408" s="121"/>
      <c r="S408" s="121"/>
      <c r="T408" s="121"/>
      <c r="U408" s="121"/>
      <c r="V408" s="121"/>
      <c r="W408" s="121"/>
      <c r="X408" s="117"/>
      <c r="Y408" s="117"/>
      <c r="Z408" s="121"/>
      <c r="AA408" s="121"/>
      <c r="AB408" s="236"/>
      <c r="AC408" s="236"/>
      <c r="AD408" s="236"/>
      <c r="AE408" s="236"/>
      <c r="AF408" s="236"/>
      <c r="AG408" s="236"/>
      <c r="AH408" s="236"/>
      <c r="AI408" s="236"/>
      <c r="AJ408" s="236"/>
      <c r="AK408" s="236"/>
      <c r="AL408" s="236"/>
      <c r="AM408" s="236"/>
      <c r="AN408" s="236"/>
      <c r="AO408" s="236"/>
      <c r="AP408" s="236"/>
      <c r="AQ408" s="236"/>
      <c r="AR408" s="236"/>
      <c r="AS408" s="236"/>
      <c r="AT408" s="236"/>
      <c r="AU408" s="236"/>
      <c r="AV408" s="236"/>
      <c r="AW408" s="236"/>
      <c r="AX408" s="236"/>
      <c r="AY408" s="236"/>
      <c r="AZ408" s="236"/>
      <c r="BA408" s="236"/>
      <c r="BB408" s="236"/>
      <c r="BC408" s="236"/>
      <c r="BD408" s="236"/>
      <c r="BE408" s="236"/>
      <c r="BF408" s="236"/>
      <c r="BG408" s="236"/>
      <c r="BH408" s="236"/>
      <c r="BI408" s="236"/>
      <c r="BJ408" s="236"/>
      <c r="BK408" s="236"/>
      <c r="BL408" s="236"/>
      <c r="BM408" s="236"/>
      <c r="BN408" s="236"/>
      <c r="BO408" s="236"/>
      <c r="BP408" s="236"/>
      <c r="BQ408" s="236"/>
      <c r="BR408" s="236"/>
      <c r="BS408" s="236"/>
      <c r="BT408" s="236"/>
      <c r="BU408" s="236"/>
      <c r="BV408" s="236"/>
      <c r="BW408" s="236"/>
      <c r="BX408" s="236"/>
      <c r="BY408" s="236"/>
      <c r="BZ408" s="236"/>
      <c r="CA408" s="236"/>
      <c r="CB408" s="236"/>
      <c r="CC408" s="236"/>
      <c r="CD408" s="236"/>
      <c r="CE408" s="236"/>
      <c r="CF408" s="236"/>
      <c r="CG408" s="236"/>
      <c r="CH408" s="236"/>
      <c r="CI408" s="236"/>
      <c r="CJ408" s="236"/>
      <c r="CK408" s="236"/>
      <c r="CL408" s="236"/>
      <c r="CM408" s="236"/>
      <c r="CN408" s="236"/>
      <c r="CO408" s="236"/>
      <c r="CP408" s="236"/>
      <c r="CQ408" s="236"/>
      <c r="CR408" s="236"/>
      <c r="CS408" s="236"/>
      <c r="CT408" s="236"/>
      <c r="CU408" s="236"/>
      <c r="CV408" s="236"/>
      <c r="CW408" s="236"/>
      <c r="CX408" s="236"/>
      <c r="CY408" s="236"/>
      <c r="CZ408" s="236"/>
      <c r="DA408" s="236"/>
      <c r="DB408" s="236"/>
      <c r="DC408" s="236"/>
      <c r="DD408" s="236"/>
      <c r="DE408" s="236"/>
      <c r="DF408" s="236"/>
      <c r="DG408" s="236"/>
      <c r="DH408" s="236"/>
      <c r="DI408" s="236"/>
      <c r="DJ408" s="236"/>
      <c r="DK408" s="236"/>
      <c r="DL408" s="236"/>
      <c r="DM408" s="236"/>
      <c r="DN408" s="236"/>
      <c r="DO408" s="236"/>
      <c r="DP408" s="236"/>
      <c r="DQ408" s="236"/>
      <c r="DR408" s="236"/>
      <c r="DS408" s="236"/>
      <c r="DT408" s="236"/>
      <c r="DU408" s="236"/>
      <c r="DV408" s="236"/>
      <c r="DW408" s="236"/>
      <c r="DX408" s="236"/>
      <c r="DY408" s="236"/>
      <c r="DZ408" s="236"/>
      <c r="EA408" s="236"/>
      <c r="EB408" s="237">
        <f t="shared" si="48"/>
        <v>0</v>
      </c>
      <c r="EC408" s="237">
        <f t="shared" si="49"/>
        <v>0</v>
      </c>
      <c r="ED408" s="237">
        <f t="shared" si="50"/>
        <v>0</v>
      </c>
      <c r="EE408" s="237">
        <f t="shared" si="51"/>
        <v>0</v>
      </c>
      <c r="EF408" s="121"/>
      <c r="EG408" s="238">
        <f t="shared" si="52"/>
        <v>0</v>
      </c>
      <c r="EH408" s="121"/>
      <c r="EI408" s="237">
        <f t="shared" si="53"/>
        <v>0</v>
      </c>
      <c r="EJ408" s="121"/>
      <c r="EK408" s="237">
        <f t="shared" si="54"/>
        <v>0</v>
      </c>
      <c r="EL408" s="237"/>
      <c r="EM408" s="5"/>
      <c r="EN408" s="5"/>
      <c r="EO408" s="5"/>
      <c r="EP408" s="5"/>
      <c r="EQ408" s="237">
        <f t="shared" si="55"/>
        <v>0</v>
      </c>
      <c r="ER408" s="239">
        <v>23300</v>
      </c>
      <c r="ES408" s="5">
        <v>7.5</v>
      </c>
    </row>
    <row r="409" spans="1:149" x14ac:dyDescent="0.3">
      <c r="A409" s="124"/>
      <c r="B409" s="121"/>
      <c r="C409" s="121"/>
      <c r="D409" s="121"/>
      <c r="E409" s="121"/>
      <c r="F409" s="121"/>
      <c r="G409" s="121"/>
      <c r="H409" s="121"/>
      <c r="I409" s="121"/>
      <c r="J409" s="121"/>
      <c r="K409" s="121"/>
      <c r="L409" s="121"/>
      <c r="M409" s="121"/>
      <c r="N409" s="121"/>
      <c r="O409" s="235"/>
      <c r="P409" s="121"/>
      <c r="Q409" s="121"/>
      <c r="R409" s="121"/>
      <c r="S409" s="121"/>
      <c r="T409" s="121"/>
      <c r="U409" s="121"/>
      <c r="V409" s="121"/>
      <c r="W409" s="121"/>
      <c r="X409" s="117"/>
      <c r="Y409" s="117"/>
      <c r="Z409" s="121"/>
      <c r="AA409" s="121"/>
      <c r="AB409" s="236"/>
      <c r="AC409" s="236"/>
      <c r="AD409" s="236"/>
      <c r="AE409" s="236"/>
      <c r="AF409" s="236"/>
      <c r="AG409" s="236"/>
      <c r="AH409" s="236"/>
      <c r="AI409" s="236"/>
      <c r="AJ409" s="236"/>
      <c r="AK409" s="236"/>
      <c r="AL409" s="236"/>
      <c r="AM409" s="236"/>
      <c r="AN409" s="236"/>
      <c r="AO409" s="236"/>
      <c r="AP409" s="236"/>
      <c r="AQ409" s="236"/>
      <c r="AR409" s="236"/>
      <c r="AS409" s="236"/>
      <c r="AT409" s="236"/>
      <c r="AU409" s="236"/>
      <c r="AV409" s="236"/>
      <c r="AW409" s="236"/>
      <c r="AX409" s="236"/>
      <c r="AY409" s="236"/>
      <c r="AZ409" s="236"/>
      <c r="BA409" s="236"/>
      <c r="BB409" s="236"/>
      <c r="BC409" s="236"/>
      <c r="BD409" s="236"/>
      <c r="BE409" s="236"/>
      <c r="BF409" s="236"/>
      <c r="BG409" s="236"/>
      <c r="BH409" s="236"/>
      <c r="BI409" s="236"/>
      <c r="BJ409" s="236"/>
      <c r="BK409" s="236"/>
      <c r="BL409" s="236"/>
      <c r="BM409" s="236"/>
      <c r="BN409" s="236"/>
      <c r="BO409" s="236"/>
      <c r="BP409" s="236"/>
      <c r="BQ409" s="236"/>
      <c r="BR409" s="236"/>
      <c r="BS409" s="236"/>
      <c r="BT409" s="236"/>
      <c r="BU409" s="236"/>
      <c r="BV409" s="236"/>
      <c r="BW409" s="236"/>
      <c r="BX409" s="236"/>
      <c r="BY409" s="236"/>
      <c r="BZ409" s="236"/>
      <c r="CA409" s="236"/>
      <c r="CB409" s="236"/>
      <c r="CC409" s="236"/>
      <c r="CD409" s="236"/>
      <c r="CE409" s="236"/>
      <c r="CF409" s="236"/>
      <c r="CG409" s="236"/>
      <c r="CH409" s="236"/>
      <c r="CI409" s="236"/>
      <c r="CJ409" s="236"/>
      <c r="CK409" s="236"/>
      <c r="CL409" s="236"/>
      <c r="CM409" s="236"/>
      <c r="CN409" s="236"/>
      <c r="CO409" s="236"/>
      <c r="CP409" s="236"/>
      <c r="CQ409" s="236"/>
      <c r="CR409" s="236"/>
      <c r="CS409" s="236"/>
      <c r="CT409" s="236"/>
      <c r="CU409" s="236"/>
      <c r="CV409" s="236"/>
      <c r="CW409" s="236"/>
      <c r="CX409" s="236"/>
      <c r="CY409" s="236"/>
      <c r="CZ409" s="236"/>
      <c r="DA409" s="236"/>
      <c r="DB409" s="236"/>
      <c r="DC409" s="236"/>
      <c r="DD409" s="236"/>
      <c r="DE409" s="236"/>
      <c r="DF409" s="236"/>
      <c r="DG409" s="236"/>
      <c r="DH409" s="236"/>
      <c r="DI409" s="236"/>
      <c r="DJ409" s="236"/>
      <c r="DK409" s="236"/>
      <c r="DL409" s="236"/>
      <c r="DM409" s="236"/>
      <c r="DN409" s="236"/>
      <c r="DO409" s="236"/>
      <c r="DP409" s="236"/>
      <c r="DQ409" s="236"/>
      <c r="DR409" s="236"/>
      <c r="DS409" s="236"/>
      <c r="DT409" s="236"/>
      <c r="DU409" s="236"/>
      <c r="DV409" s="236"/>
      <c r="DW409" s="236"/>
      <c r="DX409" s="236"/>
      <c r="DY409" s="236"/>
      <c r="DZ409" s="236"/>
      <c r="EA409" s="236"/>
      <c r="EB409" s="237">
        <f t="shared" si="48"/>
        <v>0</v>
      </c>
      <c r="EC409" s="237">
        <f t="shared" si="49"/>
        <v>0</v>
      </c>
      <c r="ED409" s="237">
        <f t="shared" si="50"/>
        <v>0</v>
      </c>
      <c r="EE409" s="237">
        <f t="shared" si="51"/>
        <v>0</v>
      </c>
      <c r="EF409" s="121"/>
      <c r="EG409" s="238">
        <f t="shared" si="52"/>
        <v>0</v>
      </c>
      <c r="EH409" s="121"/>
      <c r="EI409" s="237">
        <f t="shared" si="53"/>
        <v>0</v>
      </c>
      <c r="EJ409" s="121"/>
      <c r="EK409" s="237">
        <f t="shared" si="54"/>
        <v>0</v>
      </c>
      <c r="EL409" s="237"/>
      <c r="EM409" s="5"/>
      <c r="EN409" s="5"/>
      <c r="EO409" s="5"/>
      <c r="EP409" s="5"/>
      <c r="EQ409" s="237">
        <f t="shared" si="55"/>
        <v>0</v>
      </c>
      <c r="ER409" s="239">
        <v>23300</v>
      </c>
      <c r="ES409" s="5">
        <v>7.5</v>
      </c>
    </row>
    <row r="410" spans="1:149" x14ac:dyDescent="0.3">
      <c r="A410" s="124"/>
      <c r="B410" s="121"/>
      <c r="C410" s="121"/>
      <c r="D410" s="121"/>
      <c r="E410" s="121"/>
      <c r="F410" s="121"/>
      <c r="G410" s="121"/>
      <c r="H410" s="121"/>
      <c r="I410" s="121"/>
      <c r="J410" s="121"/>
      <c r="K410" s="121"/>
      <c r="L410" s="121"/>
      <c r="M410" s="121"/>
      <c r="N410" s="121"/>
      <c r="O410" s="235"/>
      <c r="P410" s="121"/>
      <c r="Q410" s="121"/>
      <c r="R410" s="121"/>
      <c r="S410" s="121"/>
      <c r="T410" s="121"/>
      <c r="U410" s="121"/>
      <c r="V410" s="121"/>
      <c r="W410" s="121"/>
      <c r="X410" s="117"/>
      <c r="Y410" s="117"/>
      <c r="Z410" s="121"/>
      <c r="AA410" s="121"/>
      <c r="AB410" s="236"/>
      <c r="AC410" s="236"/>
      <c r="AD410" s="236"/>
      <c r="AE410" s="236"/>
      <c r="AF410" s="236"/>
      <c r="AG410" s="236"/>
      <c r="AH410" s="236"/>
      <c r="AI410" s="236"/>
      <c r="AJ410" s="236"/>
      <c r="AK410" s="236"/>
      <c r="AL410" s="236"/>
      <c r="AM410" s="236"/>
      <c r="AN410" s="236"/>
      <c r="AO410" s="236"/>
      <c r="AP410" s="236"/>
      <c r="AQ410" s="236"/>
      <c r="AR410" s="236"/>
      <c r="AS410" s="236"/>
      <c r="AT410" s="236"/>
      <c r="AU410" s="236"/>
      <c r="AV410" s="236"/>
      <c r="AW410" s="236"/>
      <c r="AX410" s="236"/>
      <c r="AY410" s="236"/>
      <c r="AZ410" s="236"/>
      <c r="BA410" s="236"/>
      <c r="BB410" s="236"/>
      <c r="BC410" s="236"/>
      <c r="BD410" s="236"/>
      <c r="BE410" s="236"/>
      <c r="BF410" s="236"/>
      <c r="BG410" s="236"/>
      <c r="BH410" s="236"/>
      <c r="BI410" s="236"/>
      <c r="BJ410" s="236"/>
      <c r="BK410" s="236"/>
      <c r="BL410" s="236"/>
      <c r="BM410" s="236"/>
      <c r="BN410" s="236"/>
      <c r="BO410" s="236"/>
      <c r="BP410" s="236"/>
      <c r="BQ410" s="236"/>
      <c r="BR410" s="236"/>
      <c r="BS410" s="236"/>
      <c r="BT410" s="236"/>
      <c r="BU410" s="236"/>
      <c r="BV410" s="236"/>
      <c r="BW410" s="236"/>
      <c r="BX410" s="236"/>
      <c r="BY410" s="236"/>
      <c r="BZ410" s="236"/>
      <c r="CA410" s="236"/>
      <c r="CB410" s="236"/>
      <c r="CC410" s="236"/>
      <c r="CD410" s="236"/>
      <c r="CE410" s="236"/>
      <c r="CF410" s="236"/>
      <c r="CG410" s="236"/>
      <c r="CH410" s="236"/>
      <c r="CI410" s="236"/>
      <c r="CJ410" s="236"/>
      <c r="CK410" s="236"/>
      <c r="CL410" s="236"/>
      <c r="CM410" s="236"/>
      <c r="CN410" s="236"/>
      <c r="CO410" s="236"/>
      <c r="CP410" s="236"/>
      <c r="CQ410" s="236"/>
      <c r="CR410" s="236"/>
      <c r="CS410" s="236"/>
      <c r="CT410" s="236"/>
      <c r="CU410" s="236"/>
      <c r="CV410" s="236"/>
      <c r="CW410" s="236"/>
      <c r="CX410" s="236"/>
      <c r="CY410" s="236"/>
      <c r="CZ410" s="236"/>
      <c r="DA410" s="236"/>
      <c r="DB410" s="236"/>
      <c r="DC410" s="236"/>
      <c r="DD410" s="236"/>
      <c r="DE410" s="236"/>
      <c r="DF410" s="236"/>
      <c r="DG410" s="236"/>
      <c r="DH410" s="236"/>
      <c r="DI410" s="236"/>
      <c r="DJ410" s="236"/>
      <c r="DK410" s="236"/>
      <c r="DL410" s="236"/>
      <c r="DM410" s="236"/>
      <c r="DN410" s="236"/>
      <c r="DO410" s="236"/>
      <c r="DP410" s="236"/>
      <c r="DQ410" s="236"/>
      <c r="DR410" s="236"/>
      <c r="DS410" s="236"/>
      <c r="DT410" s="236"/>
      <c r="DU410" s="236"/>
      <c r="DV410" s="236"/>
      <c r="DW410" s="236"/>
      <c r="DX410" s="236"/>
      <c r="DY410" s="236"/>
      <c r="DZ410" s="236"/>
      <c r="EA410" s="236"/>
      <c r="EB410" s="237">
        <f t="shared" si="48"/>
        <v>0</v>
      </c>
      <c r="EC410" s="237">
        <f t="shared" si="49"/>
        <v>0</v>
      </c>
      <c r="ED410" s="237">
        <f t="shared" si="50"/>
        <v>0</v>
      </c>
      <c r="EE410" s="237">
        <f t="shared" si="51"/>
        <v>0</v>
      </c>
      <c r="EF410" s="121"/>
      <c r="EG410" s="238">
        <f t="shared" si="52"/>
        <v>0</v>
      </c>
      <c r="EH410" s="121"/>
      <c r="EI410" s="237">
        <f t="shared" si="53"/>
        <v>0</v>
      </c>
      <c r="EJ410" s="121"/>
      <c r="EK410" s="237">
        <f t="shared" si="54"/>
        <v>0</v>
      </c>
      <c r="EL410" s="237"/>
      <c r="EM410" s="5"/>
      <c r="EN410" s="5"/>
      <c r="EO410" s="5"/>
      <c r="EP410" s="5"/>
      <c r="EQ410" s="237">
        <f t="shared" si="55"/>
        <v>0</v>
      </c>
      <c r="ER410" s="239">
        <v>23300</v>
      </c>
      <c r="ES410" s="5">
        <v>7.5</v>
      </c>
    </row>
    <row r="411" spans="1:149" x14ac:dyDescent="0.3">
      <c r="A411" s="124"/>
      <c r="B411" s="121"/>
      <c r="C411" s="121"/>
      <c r="D411" s="121"/>
      <c r="E411" s="121"/>
      <c r="F411" s="121"/>
      <c r="G411" s="121"/>
      <c r="H411" s="121"/>
      <c r="I411" s="121"/>
      <c r="J411" s="121"/>
      <c r="K411" s="121"/>
      <c r="L411" s="121"/>
      <c r="M411" s="121"/>
      <c r="N411" s="121"/>
      <c r="O411" s="235"/>
      <c r="P411" s="121"/>
      <c r="Q411" s="121"/>
      <c r="R411" s="121"/>
      <c r="S411" s="121"/>
      <c r="T411" s="121"/>
      <c r="U411" s="121"/>
      <c r="V411" s="121"/>
      <c r="W411" s="121"/>
      <c r="X411" s="117"/>
      <c r="Y411" s="117"/>
      <c r="Z411" s="121"/>
      <c r="AA411" s="121"/>
      <c r="AB411" s="236"/>
      <c r="AC411" s="236"/>
      <c r="AD411" s="236"/>
      <c r="AE411" s="236"/>
      <c r="AF411" s="236"/>
      <c r="AG411" s="236"/>
      <c r="AH411" s="236"/>
      <c r="AI411" s="236"/>
      <c r="AJ411" s="236"/>
      <c r="AK411" s="236"/>
      <c r="AL411" s="236"/>
      <c r="AM411" s="236"/>
      <c r="AN411" s="236"/>
      <c r="AO411" s="236"/>
      <c r="AP411" s="236"/>
      <c r="AQ411" s="236"/>
      <c r="AR411" s="236"/>
      <c r="AS411" s="236"/>
      <c r="AT411" s="236"/>
      <c r="AU411" s="236"/>
      <c r="AV411" s="236"/>
      <c r="AW411" s="236"/>
      <c r="AX411" s="236"/>
      <c r="AY411" s="236"/>
      <c r="AZ411" s="236"/>
      <c r="BA411" s="236"/>
      <c r="BB411" s="236"/>
      <c r="BC411" s="236"/>
      <c r="BD411" s="236"/>
      <c r="BE411" s="236"/>
      <c r="BF411" s="236"/>
      <c r="BG411" s="236"/>
      <c r="BH411" s="236"/>
      <c r="BI411" s="236"/>
      <c r="BJ411" s="236"/>
      <c r="BK411" s="236"/>
      <c r="BL411" s="236"/>
      <c r="BM411" s="236"/>
      <c r="BN411" s="236"/>
      <c r="BO411" s="236"/>
      <c r="BP411" s="236"/>
      <c r="BQ411" s="236"/>
      <c r="BR411" s="236"/>
      <c r="BS411" s="236"/>
      <c r="BT411" s="236"/>
      <c r="BU411" s="236"/>
      <c r="BV411" s="236"/>
      <c r="BW411" s="236"/>
      <c r="BX411" s="236"/>
      <c r="BY411" s="236"/>
      <c r="BZ411" s="236"/>
      <c r="CA411" s="236"/>
      <c r="CB411" s="236"/>
      <c r="CC411" s="236"/>
      <c r="CD411" s="236"/>
      <c r="CE411" s="236"/>
      <c r="CF411" s="236"/>
      <c r="CG411" s="236"/>
      <c r="CH411" s="236"/>
      <c r="CI411" s="236"/>
      <c r="CJ411" s="236"/>
      <c r="CK411" s="236"/>
      <c r="CL411" s="236"/>
      <c r="CM411" s="236"/>
      <c r="CN411" s="236"/>
      <c r="CO411" s="236"/>
      <c r="CP411" s="236"/>
      <c r="CQ411" s="236"/>
      <c r="CR411" s="236"/>
      <c r="CS411" s="236"/>
      <c r="CT411" s="236"/>
      <c r="CU411" s="236"/>
      <c r="CV411" s="236"/>
      <c r="CW411" s="236"/>
      <c r="CX411" s="236"/>
      <c r="CY411" s="236"/>
      <c r="CZ411" s="236"/>
      <c r="DA411" s="236"/>
      <c r="DB411" s="236"/>
      <c r="DC411" s="236"/>
      <c r="DD411" s="236"/>
      <c r="DE411" s="236"/>
      <c r="DF411" s="236"/>
      <c r="DG411" s="236"/>
      <c r="DH411" s="236"/>
      <c r="DI411" s="236"/>
      <c r="DJ411" s="236"/>
      <c r="DK411" s="236"/>
      <c r="DL411" s="236"/>
      <c r="DM411" s="236"/>
      <c r="DN411" s="236"/>
      <c r="DO411" s="236"/>
      <c r="DP411" s="236"/>
      <c r="DQ411" s="236"/>
      <c r="DR411" s="236"/>
      <c r="DS411" s="236"/>
      <c r="DT411" s="236"/>
      <c r="DU411" s="236"/>
      <c r="DV411" s="236"/>
      <c r="DW411" s="236"/>
      <c r="DX411" s="236"/>
      <c r="DY411" s="236"/>
      <c r="DZ411" s="236"/>
      <c r="EA411" s="236"/>
      <c r="EB411" s="237">
        <f t="shared" si="48"/>
        <v>0</v>
      </c>
      <c r="EC411" s="237">
        <f t="shared" si="49"/>
        <v>0</v>
      </c>
      <c r="ED411" s="237">
        <f t="shared" si="50"/>
        <v>0</v>
      </c>
      <c r="EE411" s="237">
        <f t="shared" si="51"/>
        <v>0</v>
      </c>
      <c r="EF411" s="121"/>
      <c r="EG411" s="238">
        <f t="shared" si="52"/>
        <v>0</v>
      </c>
      <c r="EH411" s="121"/>
      <c r="EI411" s="237">
        <f t="shared" si="53"/>
        <v>0</v>
      </c>
      <c r="EJ411" s="121"/>
      <c r="EK411" s="237">
        <f t="shared" si="54"/>
        <v>0</v>
      </c>
      <c r="EL411" s="237"/>
      <c r="EM411" s="5"/>
      <c r="EN411" s="5"/>
      <c r="EO411" s="5"/>
      <c r="EP411" s="5"/>
      <c r="EQ411" s="237">
        <f t="shared" si="55"/>
        <v>0</v>
      </c>
      <c r="ER411" s="239">
        <v>23300</v>
      </c>
      <c r="ES411" s="5">
        <v>7.5</v>
      </c>
    </row>
    <row r="412" spans="1:149" x14ac:dyDescent="0.3">
      <c r="A412" s="124"/>
      <c r="B412" s="121"/>
      <c r="C412" s="121"/>
      <c r="D412" s="121"/>
      <c r="E412" s="121"/>
      <c r="F412" s="121"/>
      <c r="G412" s="121"/>
      <c r="H412" s="121"/>
      <c r="I412" s="121"/>
      <c r="J412" s="121"/>
      <c r="K412" s="121"/>
      <c r="L412" s="121"/>
      <c r="M412" s="121"/>
      <c r="N412" s="121"/>
      <c r="O412" s="235"/>
      <c r="P412" s="121"/>
      <c r="Q412" s="121"/>
      <c r="R412" s="121"/>
      <c r="S412" s="121"/>
      <c r="T412" s="121"/>
      <c r="U412" s="121"/>
      <c r="V412" s="121"/>
      <c r="W412" s="121"/>
      <c r="X412" s="117"/>
      <c r="Y412" s="117"/>
      <c r="Z412" s="121"/>
      <c r="AA412" s="121"/>
      <c r="AB412" s="236"/>
      <c r="AC412" s="236"/>
      <c r="AD412" s="236"/>
      <c r="AE412" s="236"/>
      <c r="AF412" s="236"/>
      <c r="AG412" s="236"/>
      <c r="AH412" s="236"/>
      <c r="AI412" s="236"/>
      <c r="AJ412" s="236"/>
      <c r="AK412" s="236"/>
      <c r="AL412" s="236"/>
      <c r="AM412" s="236"/>
      <c r="AN412" s="236"/>
      <c r="AO412" s="236"/>
      <c r="AP412" s="236"/>
      <c r="AQ412" s="236"/>
      <c r="AR412" s="236"/>
      <c r="AS412" s="236"/>
      <c r="AT412" s="236"/>
      <c r="AU412" s="236"/>
      <c r="AV412" s="236"/>
      <c r="AW412" s="236"/>
      <c r="AX412" s="236"/>
      <c r="AY412" s="236"/>
      <c r="AZ412" s="236"/>
      <c r="BA412" s="236"/>
      <c r="BB412" s="236"/>
      <c r="BC412" s="236"/>
      <c r="BD412" s="236"/>
      <c r="BE412" s="236"/>
      <c r="BF412" s="236"/>
      <c r="BG412" s="236"/>
      <c r="BH412" s="236"/>
      <c r="BI412" s="236"/>
      <c r="BJ412" s="236"/>
      <c r="BK412" s="236"/>
      <c r="BL412" s="236"/>
      <c r="BM412" s="236"/>
      <c r="BN412" s="236"/>
      <c r="BO412" s="236"/>
      <c r="BP412" s="236"/>
      <c r="BQ412" s="236"/>
      <c r="BR412" s="236"/>
      <c r="BS412" s="236"/>
      <c r="BT412" s="236"/>
      <c r="BU412" s="236"/>
      <c r="BV412" s="236"/>
      <c r="BW412" s="236"/>
      <c r="BX412" s="236"/>
      <c r="BY412" s="236"/>
      <c r="BZ412" s="236"/>
      <c r="CA412" s="236"/>
      <c r="CB412" s="236"/>
      <c r="CC412" s="236"/>
      <c r="CD412" s="236"/>
      <c r="CE412" s="236"/>
      <c r="CF412" s="236"/>
      <c r="CG412" s="236"/>
      <c r="CH412" s="236"/>
      <c r="CI412" s="236"/>
      <c r="CJ412" s="236"/>
      <c r="CK412" s="236"/>
      <c r="CL412" s="236"/>
      <c r="CM412" s="236"/>
      <c r="CN412" s="236"/>
      <c r="CO412" s="236"/>
      <c r="CP412" s="236"/>
      <c r="CQ412" s="236"/>
      <c r="CR412" s="236"/>
      <c r="CS412" s="236"/>
      <c r="CT412" s="236"/>
      <c r="CU412" s="236"/>
      <c r="CV412" s="236"/>
      <c r="CW412" s="236"/>
      <c r="CX412" s="236"/>
      <c r="CY412" s="236"/>
      <c r="CZ412" s="236"/>
      <c r="DA412" s="236"/>
      <c r="DB412" s="236"/>
      <c r="DC412" s="236"/>
      <c r="DD412" s="236"/>
      <c r="DE412" s="236"/>
      <c r="DF412" s="236"/>
      <c r="DG412" s="236"/>
      <c r="DH412" s="236"/>
      <c r="DI412" s="236"/>
      <c r="DJ412" s="236"/>
      <c r="DK412" s="236"/>
      <c r="DL412" s="236"/>
      <c r="DM412" s="236"/>
      <c r="DN412" s="236"/>
      <c r="DO412" s="236"/>
      <c r="DP412" s="236"/>
      <c r="DQ412" s="236"/>
      <c r="DR412" s="236"/>
      <c r="DS412" s="236"/>
      <c r="DT412" s="236"/>
      <c r="DU412" s="236"/>
      <c r="DV412" s="236"/>
      <c r="DW412" s="236"/>
      <c r="DX412" s="236"/>
      <c r="DY412" s="236"/>
      <c r="DZ412" s="236"/>
      <c r="EA412" s="236"/>
      <c r="EB412" s="237">
        <f t="shared" si="48"/>
        <v>0</v>
      </c>
      <c r="EC412" s="237">
        <f t="shared" si="49"/>
        <v>0</v>
      </c>
      <c r="ED412" s="237">
        <f t="shared" si="50"/>
        <v>0</v>
      </c>
      <c r="EE412" s="237">
        <f t="shared" si="51"/>
        <v>0</v>
      </c>
      <c r="EF412" s="121"/>
      <c r="EG412" s="238">
        <f t="shared" si="52"/>
        <v>0</v>
      </c>
      <c r="EH412" s="121"/>
      <c r="EI412" s="237">
        <f t="shared" si="53"/>
        <v>0</v>
      </c>
      <c r="EJ412" s="121"/>
      <c r="EK412" s="237">
        <f t="shared" si="54"/>
        <v>0</v>
      </c>
      <c r="EL412" s="237"/>
      <c r="EM412" s="5"/>
      <c r="EN412" s="5"/>
      <c r="EO412" s="5"/>
      <c r="EP412" s="5"/>
      <c r="EQ412" s="237">
        <f t="shared" si="55"/>
        <v>0</v>
      </c>
      <c r="ER412" s="239">
        <v>23300</v>
      </c>
      <c r="ES412" s="5">
        <v>7.5</v>
      </c>
    </row>
    <row r="413" spans="1:149" x14ac:dyDescent="0.3">
      <c r="A413" s="124"/>
      <c r="B413" s="121"/>
      <c r="C413" s="121"/>
      <c r="D413" s="121"/>
      <c r="E413" s="121"/>
      <c r="F413" s="121"/>
      <c r="G413" s="121"/>
      <c r="H413" s="121"/>
      <c r="I413" s="121"/>
      <c r="J413" s="121"/>
      <c r="K413" s="121"/>
      <c r="L413" s="121"/>
      <c r="M413" s="121"/>
      <c r="N413" s="121"/>
      <c r="O413" s="235"/>
      <c r="P413" s="121"/>
      <c r="Q413" s="121"/>
      <c r="R413" s="121"/>
      <c r="S413" s="121"/>
      <c r="T413" s="121"/>
      <c r="U413" s="121"/>
      <c r="V413" s="121"/>
      <c r="W413" s="121"/>
      <c r="X413" s="117"/>
      <c r="Y413" s="117"/>
      <c r="Z413" s="121"/>
      <c r="AA413" s="121"/>
      <c r="AB413" s="236"/>
      <c r="AC413" s="236"/>
      <c r="AD413" s="236"/>
      <c r="AE413" s="236"/>
      <c r="AF413" s="236"/>
      <c r="AG413" s="236"/>
      <c r="AH413" s="236"/>
      <c r="AI413" s="236"/>
      <c r="AJ413" s="236"/>
      <c r="AK413" s="236"/>
      <c r="AL413" s="236"/>
      <c r="AM413" s="236"/>
      <c r="AN413" s="236"/>
      <c r="AO413" s="236"/>
      <c r="AP413" s="236"/>
      <c r="AQ413" s="236"/>
      <c r="AR413" s="236"/>
      <c r="AS413" s="236"/>
      <c r="AT413" s="236"/>
      <c r="AU413" s="236"/>
      <c r="AV413" s="236"/>
      <c r="AW413" s="236"/>
      <c r="AX413" s="236"/>
      <c r="AY413" s="236"/>
      <c r="AZ413" s="236"/>
      <c r="BA413" s="236"/>
      <c r="BB413" s="236"/>
      <c r="BC413" s="236"/>
      <c r="BD413" s="236"/>
      <c r="BE413" s="236"/>
      <c r="BF413" s="236"/>
      <c r="BG413" s="236"/>
      <c r="BH413" s="236"/>
      <c r="BI413" s="236"/>
      <c r="BJ413" s="236"/>
      <c r="BK413" s="236"/>
      <c r="BL413" s="236"/>
      <c r="BM413" s="236"/>
      <c r="BN413" s="236"/>
      <c r="BO413" s="236"/>
      <c r="BP413" s="236"/>
      <c r="BQ413" s="236"/>
      <c r="BR413" s="236"/>
      <c r="BS413" s="236"/>
      <c r="BT413" s="236"/>
      <c r="BU413" s="236"/>
      <c r="BV413" s="236"/>
      <c r="BW413" s="236"/>
      <c r="BX413" s="236"/>
      <c r="BY413" s="236"/>
      <c r="BZ413" s="236"/>
      <c r="CA413" s="236"/>
      <c r="CB413" s="236"/>
      <c r="CC413" s="236"/>
      <c r="CD413" s="236"/>
      <c r="CE413" s="236"/>
      <c r="CF413" s="236"/>
      <c r="CG413" s="236"/>
      <c r="CH413" s="236"/>
      <c r="CI413" s="236"/>
      <c r="CJ413" s="236"/>
      <c r="CK413" s="236"/>
      <c r="CL413" s="236"/>
      <c r="CM413" s="236"/>
      <c r="CN413" s="236"/>
      <c r="CO413" s="236"/>
      <c r="CP413" s="236"/>
      <c r="CQ413" s="236"/>
      <c r="CR413" s="236"/>
      <c r="CS413" s="236"/>
      <c r="CT413" s="236"/>
      <c r="CU413" s="236"/>
      <c r="CV413" s="236"/>
      <c r="CW413" s="236"/>
      <c r="CX413" s="236"/>
      <c r="CY413" s="236"/>
      <c r="CZ413" s="236"/>
      <c r="DA413" s="236"/>
      <c r="DB413" s="236"/>
      <c r="DC413" s="236"/>
      <c r="DD413" s="236"/>
      <c r="DE413" s="236"/>
      <c r="DF413" s="236"/>
      <c r="DG413" s="236"/>
      <c r="DH413" s="236"/>
      <c r="DI413" s="236"/>
      <c r="DJ413" s="236"/>
      <c r="DK413" s="236"/>
      <c r="DL413" s="236"/>
      <c r="DM413" s="236"/>
      <c r="DN413" s="236"/>
      <c r="DO413" s="236"/>
      <c r="DP413" s="236"/>
      <c r="DQ413" s="236"/>
      <c r="DR413" s="236"/>
      <c r="DS413" s="236"/>
      <c r="DT413" s="236"/>
      <c r="DU413" s="236"/>
      <c r="DV413" s="236"/>
      <c r="DW413" s="236"/>
      <c r="DX413" s="236"/>
      <c r="DY413" s="236"/>
      <c r="DZ413" s="236"/>
      <c r="EA413" s="236"/>
      <c r="EB413" s="237">
        <f t="shared" si="48"/>
        <v>0</v>
      </c>
      <c r="EC413" s="237">
        <f t="shared" si="49"/>
        <v>0</v>
      </c>
      <c r="ED413" s="237">
        <f t="shared" si="50"/>
        <v>0</v>
      </c>
      <c r="EE413" s="237">
        <f t="shared" si="51"/>
        <v>0</v>
      </c>
      <c r="EF413" s="121"/>
      <c r="EG413" s="238">
        <f t="shared" si="52"/>
        <v>0</v>
      </c>
      <c r="EH413" s="121"/>
      <c r="EI413" s="237">
        <f t="shared" si="53"/>
        <v>0</v>
      </c>
      <c r="EJ413" s="121"/>
      <c r="EK413" s="237">
        <f t="shared" si="54"/>
        <v>0</v>
      </c>
      <c r="EL413" s="237"/>
      <c r="EM413" s="5"/>
      <c r="EN413" s="5"/>
      <c r="EO413" s="5"/>
      <c r="EP413" s="5"/>
      <c r="EQ413" s="237">
        <f t="shared" si="55"/>
        <v>0</v>
      </c>
      <c r="ER413" s="239">
        <v>23300</v>
      </c>
      <c r="ES413" s="5">
        <v>7.5</v>
      </c>
    </row>
    <row r="414" spans="1:149" x14ac:dyDescent="0.3">
      <c r="A414" s="124"/>
      <c r="B414" s="121"/>
      <c r="C414" s="121"/>
      <c r="D414" s="121"/>
      <c r="E414" s="121"/>
      <c r="F414" s="121"/>
      <c r="G414" s="121"/>
      <c r="H414" s="121"/>
      <c r="I414" s="121"/>
      <c r="J414" s="121"/>
      <c r="K414" s="121"/>
      <c r="L414" s="121"/>
      <c r="M414" s="121"/>
      <c r="N414" s="121"/>
      <c r="O414" s="235"/>
      <c r="P414" s="121"/>
      <c r="Q414" s="121"/>
      <c r="R414" s="121"/>
      <c r="S414" s="121"/>
      <c r="T414" s="121"/>
      <c r="U414" s="121"/>
      <c r="V414" s="121"/>
      <c r="W414" s="121"/>
      <c r="X414" s="117"/>
      <c r="Y414" s="117"/>
      <c r="Z414" s="121"/>
      <c r="AA414" s="121"/>
      <c r="AB414" s="236"/>
      <c r="AC414" s="236"/>
      <c r="AD414" s="236"/>
      <c r="AE414" s="236"/>
      <c r="AF414" s="236"/>
      <c r="AG414" s="236"/>
      <c r="AH414" s="236"/>
      <c r="AI414" s="236"/>
      <c r="AJ414" s="236"/>
      <c r="AK414" s="236"/>
      <c r="AL414" s="236"/>
      <c r="AM414" s="236"/>
      <c r="AN414" s="236"/>
      <c r="AO414" s="236"/>
      <c r="AP414" s="236"/>
      <c r="AQ414" s="236"/>
      <c r="AR414" s="236"/>
      <c r="AS414" s="236"/>
      <c r="AT414" s="236"/>
      <c r="AU414" s="236"/>
      <c r="AV414" s="236"/>
      <c r="AW414" s="236"/>
      <c r="AX414" s="236"/>
      <c r="AY414" s="236"/>
      <c r="AZ414" s="236"/>
      <c r="BA414" s="236"/>
      <c r="BB414" s="236"/>
      <c r="BC414" s="236"/>
      <c r="BD414" s="236"/>
      <c r="BE414" s="236"/>
      <c r="BF414" s="236"/>
      <c r="BG414" s="236"/>
      <c r="BH414" s="236"/>
      <c r="BI414" s="236"/>
      <c r="BJ414" s="236"/>
      <c r="BK414" s="236"/>
      <c r="BL414" s="236"/>
      <c r="BM414" s="236"/>
      <c r="BN414" s="236"/>
      <c r="BO414" s="236"/>
      <c r="BP414" s="236"/>
      <c r="BQ414" s="236"/>
      <c r="BR414" s="236"/>
      <c r="BS414" s="236"/>
      <c r="BT414" s="236"/>
      <c r="BU414" s="236"/>
      <c r="BV414" s="236"/>
      <c r="BW414" s="236"/>
      <c r="BX414" s="236"/>
      <c r="BY414" s="236"/>
      <c r="BZ414" s="236"/>
      <c r="CA414" s="236"/>
      <c r="CB414" s="236"/>
      <c r="CC414" s="236"/>
      <c r="CD414" s="236"/>
      <c r="CE414" s="236"/>
      <c r="CF414" s="236"/>
      <c r="CG414" s="236"/>
      <c r="CH414" s="236"/>
      <c r="CI414" s="236"/>
      <c r="CJ414" s="236"/>
      <c r="CK414" s="236"/>
      <c r="CL414" s="236"/>
      <c r="CM414" s="236"/>
      <c r="CN414" s="236"/>
      <c r="CO414" s="236"/>
      <c r="CP414" s="236"/>
      <c r="CQ414" s="236"/>
      <c r="CR414" s="236"/>
      <c r="CS414" s="236"/>
      <c r="CT414" s="236"/>
      <c r="CU414" s="236"/>
      <c r="CV414" s="236"/>
      <c r="CW414" s="236"/>
      <c r="CX414" s="236"/>
      <c r="CY414" s="236"/>
      <c r="CZ414" s="236"/>
      <c r="DA414" s="236"/>
      <c r="DB414" s="236"/>
      <c r="DC414" s="236"/>
      <c r="DD414" s="236"/>
      <c r="DE414" s="236"/>
      <c r="DF414" s="236"/>
      <c r="DG414" s="236"/>
      <c r="DH414" s="236"/>
      <c r="DI414" s="236"/>
      <c r="DJ414" s="236"/>
      <c r="DK414" s="236"/>
      <c r="DL414" s="236"/>
      <c r="DM414" s="236"/>
      <c r="DN414" s="236"/>
      <c r="DO414" s="236"/>
      <c r="DP414" s="236"/>
      <c r="DQ414" s="236"/>
      <c r="DR414" s="236"/>
      <c r="DS414" s="236"/>
      <c r="DT414" s="236"/>
      <c r="DU414" s="236"/>
      <c r="DV414" s="236"/>
      <c r="DW414" s="236"/>
      <c r="DX414" s="236"/>
      <c r="DY414" s="236"/>
      <c r="DZ414" s="236"/>
      <c r="EA414" s="236"/>
      <c r="EB414" s="237">
        <f t="shared" si="48"/>
        <v>0</v>
      </c>
      <c r="EC414" s="237">
        <f t="shared" si="49"/>
        <v>0</v>
      </c>
      <c r="ED414" s="237">
        <f t="shared" si="50"/>
        <v>0</v>
      </c>
      <c r="EE414" s="237">
        <f t="shared" si="51"/>
        <v>0</v>
      </c>
      <c r="EF414" s="121"/>
      <c r="EG414" s="238">
        <f t="shared" si="52"/>
        <v>0</v>
      </c>
      <c r="EH414" s="121"/>
      <c r="EI414" s="237">
        <f t="shared" si="53"/>
        <v>0</v>
      </c>
      <c r="EJ414" s="121"/>
      <c r="EK414" s="237">
        <f t="shared" si="54"/>
        <v>0</v>
      </c>
      <c r="EL414" s="237"/>
      <c r="EM414" s="5"/>
      <c r="EN414" s="5"/>
      <c r="EO414" s="5"/>
      <c r="EP414" s="5"/>
      <c r="EQ414" s="237">
        <f t="shared" si="55"/>
        <v>0</v>
      </c>
      <c r="ER414" s="239">
        <v>23300</v>
      </c>
      <c r="ES414" s="5">
        <v>7.5</v>
      </c>
    </row>
    <row r="415" spans="1:149" x14ac:dyDescent="0.3">
      <c r="A415" s="124"/>
      <c r="B415" s="121"/>
      <c r="C415" s="121"/>
      <c r="D415" s="121"/>
      <c r="E415" s="121"/>
      <c r="F415" s="121"/>
      <c r="G415" s="121"/>
      <c r="H415" s="121"/>
      <c r="I415" s="121"/>
      <c r="J415" s="121"/>
      <c r="K415" s="121"/>
      <c r="L415" s="121"/>
      <c r="M415" s="121"/>
      <c r="N415" s="121"/>
      <c r="O415" s="235"/>
      <c r="P415" s="121"/>
      <c r="Q415" s="121"/>
      <c r="R415" s="121"/>
      <c r="S415" s="121"/>
      <c r="T415" s="121"/>
      <c r="U415" s="121"/>
      <c r="V415" s="121"/>
      <c r="W415" s="121"/>
      <c r="X415" s="117"/>
      <c r="Y415" s="117"/>
      <c r="Z415" s="121"/>
      <c r="AA415" s="121"/>
      <c r="AB415" s="236"/>
      <c r="AC415" s="236"/>
      <c r="AD415" s="236"/>
      <c r="AE415" s="236"/>
      <c r="AF415" s="236"/>
      <c r="AG415" s="236"/>
      <c r="AH415" s="236"/>
      <c r="AI415" s="236"/>
      <c r="AJ415" s="236"/>
      <c r="AK415" s="236"/>
      <c r="AL415" s="236"/>
      <c r="AM415" s="236"/>
      <c r="AN415" s="236"/>
      <c r="AO415" s="236"/>
      <c r="AP415" s="236"/>
      <c r="AQ415" s="236"/>
      <c r="AR415" s="236"/>
      <c r="AS415" s="236"/>
      <c r="AT415" s="236"/>
      <c r="AU415" s="236"/>
      <c r="AV415" s="236"/>
      <c r="AW415" s="236"/>
      <c r="AX415" s="236"/>
      <c r="AY415" s="236"/>
      <c r="AZ415" s="236"/>
      <c r="BA415" s="236"/>
      <c r="BB415" s="236"/>
      <c r="BC415" s="236"/>
      <c r="BD415" s="236"/>
      <c r="BE415" s="236"/>
      <c r="BF415" s="236"/>
      <c r="BG415" s="236"/>
      <c r="BH415" s="236"/>
      <c r="BI415" s="236"/>
      <c r="BJ415" s="236"/>
      <c r="BK415" s="236"/>
      <c r="BL415" s="236"/>
      <c r="BM415" s="236"/>
      <c r="BN415" s="236"/>
      <c r="BO415" s="236"/>
      <c r="BP415" s="236"/>
      <c r="BQ415" s="236"/>
      <c r="BR415" s="236"/>
      <c r="BS415" s="236"/>
      <c r="BT415" s="236"/>
      <c r="BU415" s="236"/>
      <c r="BV415" s="236"/>
      <c r="BW415" s="236"/>
      <c r="BX415" s="236"/>
      <c r="BY415" s="236"/>
      <c r="BZ415" s="236"/>
      <c r="CA415" s="236"/>
      <c r="CB415" s="236"/>
      <c r="CC415" s="236"/>
      <c r="CD415" s="236"/>
      <c r="CE415" s="236"/>
      <c r="CF415" s="236"/>
      <c r="CG415" s="236"/>
      <c r="CH415" s="236"/>
      <c r="CI415" s="236"/>
      <c r="CJ415" s="236"/>
      <c r="CK415" s="236"/>
      <c r="CL415" s="236"/>
      <c r="CM415" s="236"/>
      <c r="CN415" s="236"/>
      <c r="CO415" s="236"/>
      <c r="CP415" s="236"/>
      <c r="CQ415" s="236"/>
      <c r="CR415" s="236"/>
      <c r="CS415" s="236"/>
      <c r="CT415" s="236"/>
      <c r="CU415" s="236"/>
      <c r="CV415" s="236"/>
      <c r="CW415" s="236"/>
      <c r="CX415" s="236"/>
      <c r="CY415" s="236"/>
      <c r="CZ415" s="236"/>
      <c r="DA415" s="236"/>
      <c r="DB415" s="236"/>
      <c r="DC415" s="236"/>
      <c r="DD415" s="236"/>
      <c r="DE415" s="236"/>
      <c r="DF415" s="236"/>
      <c r="DG415" s="236"/>
      <c r="DH415" s="236"/>
      <c r="DI415" s="236"/>
      <c r="DJ415" s="236"/>
      <c r="DK415" s="236"/>
      <c r="DL415" s="236"/>
      <c r="DM415" s="236"/>
      <c r="DN415" s="236"/>
      <c r="DO415" s="236"/>
      <c r="DP415" s="236"/>
      <c r="DQ415" s="236"/>
      <c r="DR415" s="236"/>
      <c r="DS415" s="236"/>
      <c r="DT415" s="236"/>
      <c r="DU415" s="236"/>
      <c r="DV415" s="236"/>
      <c r="DW415" s="236"/>
      <c r="DX415" s="236"/>
      <c r="DY415" s="236"/>
      <c r="DZ415" s="236"/>
      <c r="EA415" s="236"/>
      <c r="EB415" s="237">
        <f t="shared" si="48"/>
        <v>0</v>
      </c>
      <c r="EC415" s="237">
        <f t="shared" si="49"/>
        <v>0</v>
      </c>
      <c r="ED415" s="237">
        <f t="shared" si="50"/>
        <v>0</v>
      </c>
      <c r="EE415" s="237">
        <f t="shared" si="51"/>
        <v>0</v>
      </c>
      <c r="EF415" s="121"/>
      <c r="EG415" s="238">
        <f t="shared" si="52"/>
        <v>0</v>
      </c>
      <c r="EH415" s="121"/>
      <c r="EI415" s="237">
        <f t="shared" si="53"/>
        <v>0</v>
      </c>
      <c r="EJ415" s="121"/>
      <c r="EK415" s="237">
        <f t="shared" si="54"/>
        <v>0</v>
      </c>
      <c r="EL415" s="237"/>
      <c r="EM415" s="5"/>
      <c r="EN415" s="5"/>
      <c r="EO415" s="5"/>
      <c r="EP415" s="5"/>
      <c r="EQ415" s="237">
        <f t="shared" si="55"/>
        <v>0</v>
      </c>
      <c r="ER415" s="239">
        <v>23300</v>
      </c>
      <c r="ES415" s="5">
        <v>7.5</v>
      </c>
    </row>
    <row r="416" spans="1:149" x14ac:dyDescent="0.3">
      <c r="A416" s="124"/>
      <c r="B416" s="121"/>
      <c r="C416" s="121"/>
      <c r="D416" s="121"/>
      <c r="E416" s="121"/>
      <c r="F416" s="121"/>
      <c r="G416" s="121"/>
      <c r="H416" s="121"/>
      <c r="I416" s="121"/>
      <c r="J416" s="121"/>
      <c r="K416" s="121"/>
      <c r="L416" s="121"/>
      <c r="M416" s="121"/>
      <c r="N416" s="121"/>
      <c r="O416" s="235"/>
      <c r="P416" s="121"/>
      <c r="Q416" s="121"/>
      <c r="R416" s="121"/>
      <c r="S416" s="121"/>
      <c r="T416" s="121"/>
      <c r="U416" s="121"/>
      <c r="V416" s="121"/>
      <c r="W416" s="121"/>
      <c r="X416" s="117"/>
      <c r="Y416" s="117"/>
      <c r="Z416" s="121"/>
      <c r="AA416" s="121"/>
      <c r="AB416" s="236"/>
      <c r="AC416" s="236"/>
      <c r="AD416" s="236"/>
      <c r="AE416" s="236"/>
      <c r="AF416" s="236"/>
      <c r="AG416" s="236"/>
      <c r="AH416" s="236"/>
      <c r="AI416" s="236"/>
      <c r="AJ416" s="236"/>
      <c r="AK416" s="236"/>
      <c r="AL416" s="236"/>
      <c r="AM416" s="236"/>
      <c r="AN416" s="236"/>
      <c r="AO416" s="236"/>
      <c r="AP416" s="236"/>
      <c r="AQ416" s="236"/>
      <c r="AR416" s="236"/>
      <c r="AS416" s="236"/>
      <c r="AT416" s="236"/>
      <c r="AU416" s="236"/>
      <c r="AV416" s="236"/>
      <c r="AW416" s="236"/>
      <c r="AX416" s="236"/>
      <c r="AY416" s="236"/>
      <c r="AZ416" s="236"/>
      <c r="BA416" s="236"/>
      <c r="BB416" s="236"/>
      <c r="BC416" s="236"/>
      <c r="BD416" s="236"/>
      <c r="BE416" s="236"/>
      <c r="BF416" s="236"/>
      <c r="BG416" s="236"/>
      <c r="BH416" s="236"/>
      <c r="BI416" s="236"/>
      <c r="BJ416" s="236"/>
      <c r="BK416" s="236"/>
      <c r="BL416" s="236"/>
      <c r="BM416" s="236"/>
      <c r="BN416" s="236"/>
      <c r="BO416" s="236"/>
      <c r="BP416" s="236"/>
      <c r="BQ416" s="236"/>
      <c r="BR416" s="236"/>
      <c r="BS416" s="236"/>
      <c r="BT416" s="236"/>
      <c r="BU416" s="236"/>
      <c r="BV416" s="236"/>
      <c r="BW416" s="236"/>
      <c r="BX416" s="236"/>
      <c r="BY416" s="236"/>
      <c r="BZ416" s="236"/>
      <c r="CA416" s="236"/>
      <c r="CB416" s="236"/>
      <c r="CC416" s="236"/>
      <c r="CD416" s="236"/>
      <c r="CE416" s="236"/>
      <c r="CF416" s="236"/>
      <c r="CG416" s="236"/>
      <c r="CH416" s="236"/>
      <c r="CI416" s="236"/>
      <c r="CJ416" s="236"/>
      <c r="CK416" s="236"/>
      <c r="CL416" s="236"/>
      <c r="CM416" s="236"/>
      <c r="CN416" s="236"/>
      <c r="CO416" s="236"/>
      <c r="CP416" s="236"/>
      <c r="CQ416" s="236"/>
      <c r="CR416" s="236"/>
      <c r="CS416" s="236"/>
      <c r="CT416" s="236"/>
      <c r="CU416" s="236"/>
      <c r="CV416" s="236"/>
      <c r="CW416" s="236"/>
      <c r="CX416" s="236"/>
      <c r="CY416" s="236"/>
      <c r="CZ416" s="236"/>
      <c r="DA416" s="236"/>
      <c r="DB416" s="236"/>
      <c r="DC416" s="236"/>
      <c r="DD416" s="236"/>
      <c r="DE416" s="236"/>
      <c r="DF416" s="236"/>
      <c r="DG416" s="236"/>
      <c r="DH416" s="236"/>
      <c r="DI416" s="236"/>
      <c r="DJ416" s="236"/>
      <c r="DK416" s="236"/>
      <c r="DL416" s="236"/>
      <c r="DM416" s="236"/>
      <c r="DN416" s="236"/>
      <c r="DO416" s="236"/>
      <c r="DP416" s="236"/>
      <c r="DQ416" s="236"/>
      <c r="DR416" s="236"/>
      <c r="DS416" s="236"/>
      <c r="DT416" s="236"/>
      <c r="DU416" s="236"/>
      <c r="DV416" s="236"/>
      <c r="DW416" s="236"/>
      <c r="DX416" s="236"/>
      <c r="DY416" s="236"/>
      <c r="DZ416" s="236"/>
      <c r="EA416" s="236"/>
      <c r="EB416" s="237">
        <f t="shared" si="48"/>
        <v>0</v>
      </c>
      <c r="EC416" s="237">
        <f t="shared" si="49"/>
        <v>0</v>
      </c>
      <c r="ED416" s="237">
        <f t="shared" si="50"/>
        <v>0</v>
      </c>
      <c r="EE416" s="237">
        <f t="shared" si="51"/>
        <v>0</v>
      </c>
      <c r="EF416" s="121"/>
      <c r="EG416" s="238">
        <f t="shared" si="52"/>
        <v>0</v>
      </c>
      <c r="EH416" s="121"/>
      <c r="EI416" s="237">
        <f t="shared" si="53"/>
        <v>0</v>
      </c>
      <c r="EJ416" s="121"/>
      <c r="EK416" s="237">
        <f t="shared" si="54"/>
        <v>0</v>
      </c>
      <c r="EL416" s="237"/>
      <c r="EM416" s="5"/>
      <c r="EN416" s="5"/>
      <c r="EO416" s="5"/>
      <c r="EP416" s="5"/>
      <c r="EQ416" s="237">
        <f t="shared" si="55"/>
        <v>0</v>
      </c>
      <c r="ER416" s="239">
        <v>23300</v>
      </c>
      <c r="ES416" s="5">
        <v>7.5</v>
      </c>
    </row>
    <row r="417" spans="1:149" x14ac:dyDescent="0.3">
      <c r="A417" s="124"/>
      <c r="B417" s="121"/>
      <c r="C417" s="121"/>
      <c r="D417" s="121"/>
      <c r="E417" s="121"/>
      <c r="F417" s="121"/>
      <c r="G417" s="121"/>
      <c r="H417" s="121"/>
      <c r="I417" s="121"/>
      <c r="J417" s="121"/>
      <c r="K417" s="121"/>
      <c r="L417" s="121"/>
      <c r="M417" s="121"/>
      <c r="N417" s="121"/>
      <c r="O417" s="235"/>
      <c r="P417" s="121"/>
      <c r="Q417" s="121"/>
      <c r="R417" s="121"/>
      <c r="S417" s="121"/>
      <c r="T417" s="121"/>
      <c r="U417" s="121"/>
      <c r="V417" s="121"/>
      <c r="W417" s="121"/>
      <c r="X417" s="117"/>
      <c r="Y417" s="117"/>
      <c r="Z417" s="121"/>
      <c r="AA417" s="121"/>
      <c r="AB417" s="236"/>
      <c r="AC417" s="236"/>
      <c r="AD417" s="236"/>
      <c r="AE417" s="236"/>
      <c r="AF417" s="236"/>
      <c r="AG417" s="236"/>
      <c r="AH417" s="236"/>
      <c r="AI417" s="236"/>
      <c r="AJ417" s="236"/>
      <c r="AK417" s="236"/>
      <c r="AL417" s="236"/>
      <c r="AM417" s="236"/>
      <c r="AN417" s="236"/>
      <c r="AO417" s="236"/>
      <c r="AP417" s="236"/>
      <c r="AQ417" s="236"/>
      <c r="AR417" s="236"/>
      <c r="AS417" s="236"/>
      <c r="AT417" s="236"/>
      <c r="AU417" s="236"/>
      <c r="AV417" s="236"/>
      <c r="AW417" s="236"/>
      <c r="AX417" s="236"/>
      <c r="AY417" s="236"/>
      <c r="AZ417" s="236"/>
      <c r="BA417" s="236"/>
      <c r="BB417" s="236"/>
      <c r="BC417" s="236"/>
      <c r="BD417" s="236"/>
      <c r="BE417" s="236"/>
      <c r="BF417" s="236"/>
      <c r="BG417" s="236"/>
      <c r="BH417" s="236"/>
      <c r="BI417" s="236"/>
      <c r="BJ417" s="236"/>
      <c r="BK417" s="236"/>
      <c r="BL417" s="236"/>
      <c r="BM417" s="236"/>
      <c r="BN417" s="236"/>
      <c r="BO417" s="236"/>
      <c r="BP417" s="236"/>
      <c r="BQ417" s="236"/>
      <c r="BR417" s="236"/>
      <c r="BS417" s="236"/>
      <c r="BT417" s="236"/>
      <c r="BU417" s="236"/>
      <c r="BV417" s="236"/>
      <c r="BW417" s="236"/>
      <c r="BX417" s="236"/>
      <c r="BY417" s="236"/>
      <c r="BZ417" s="236"/>
      <c r="CA417" s="236"/>
      <c r="CB417" s="236"/>
      <c r="CC417" s="236"/>
      <c r="CD417" s="236"/>
      <c r="CE417" s="236"/>
      <c r="CF417" s="236"/>
      <c r="CG417" s="236"/>
      <c r="CH417" s="236"/>
      <c r="CI417" s="236"/>
      <c r="CJ417" s="236"/>
      <c r="CK417" s="236"/>
      <c r="CL417" s="236"/>
      <c r="CM417" s="236"/>
      <c r="CN417" s="236"/>
      <c r="CO417" s="236"/>
      <c r="CP417" s="236"/>
      <c r="CQ417" s="236"/>
      <c r="CR417" s="236"/>
      <c r="CS417" s="236"/>
      <c r="CT417" s="236"/>
      <c r="CU417" s="236"/>
      <c r="CV417" s="236"/>
      <c r="CW417" s="236"/>
      <c r="CX417" s="236"/>
      <c r="CY417" s="236"/>
      <c r="CZ417" s="236"/>
      <c r="DA417" s="236"/>
      <c r="DB417" s="236"/>
      <c r="DC417" s="236"/>
      <c r="DD417" s="236"/>
      <c r="DE417" s="236"/>
      <c r="DF417" s="236"/>
      <c r="DG417" s="236"/>
      <c r="DH417" s="236"/>
      <c r="DI417" s="236"/>
      <c r="DJ417" s="236"/>
      <c r="DK417" s="236"/>
      <c r="DL417" s="236"/>
      <c r="DM417" s="236"/>
      <c r="DN417" s="236"/>
      <c r="DO417" s="236"/>
      <c r="DP417" s="236"/>
      <c r="DQ417" s="236"/>
      <c r="DR417" s="236"/>
      <c r="DS417" s="236"/>
      <c r="DT417" s="236"/>
      <c r="DU417" s="236"/>
      <c r="DV417" s="236"/>
      <c r="DW417" s="236"/>
      <c r="DX417" s="236"/>
      <c r="DY417" s="236"/>
      <c r="DZ417" s="236"/>
      <c r="EA417" s="236"/>
      <c r="EB417" s="237">
        <f t="shared" si="48"/>
        <v>0</v>
      </c>
      <c r="EC417" s="237">
        <f t="shared" si="49"/>
        <v>0</v>
      </c>
      <c r="ED417" s="237">
        <f t="shared" si="50"/>
        <v>0</v>
      </c>
      <c r="EE417" s="237">
        <f t="shared" si="51"/>
        <v>0</v>
      </c>
      <c r="EF417" s="121"/>
      <c r="EG417" s="238">
        <f t="shared" si="52"/>
        <v>0</v>
      </c>
      <c r="EH417" s="121"/>
      <c r="EI417" s="237">
        <f t="shared" si="53"/>
        <v>0</v>
      </c>
      <c r="EJ417" s="121"/>
      <c r="EK417" s="237">
        <f t="shared" si="54"/>
        <v>0</v>
      </c>
      <c r="EL417" s="237"/>
      <c r="EM417" s="5"/>
      <c r="EN417" s="5"/>
      <c r="EO417" s="5"/>
      <c r="EP417" s="5"/>
      <c r="EQ417" s="237">
        <f t="shared" si="55"/>
        <v>0</v>
      </c>
      <c r="ER417" s="239">
        <v>23300</v>
      </c>
      <c r="ES417" s="5">
        <v>7.5</v>
      </c>
    </row>
    <row r="418" spans="1:149" x14ac:dyDescent="0.3">
      <c r="A418" s="124"/>
      <c r="B418" s="121"/>
      <c r="C418" s="121"/>
      <c r="D418" s="121"/>
      <c r="E418" s="121"/>
      <c r="F418" s="121"/>
      <c r="G418" s="121"/>
      <c r="H418" s="121"/>
      <c r="I418" s="121"/>
      <c r="J418" s="121"/>
      <c r="K418" s="121"/>
      <c r="L418" s="121"/>
      <c r="M418" s="121"/>
      <c r="N418" s="121"/>
      <c r="O418" s="235"/>
      <c r="P418" s="121"/>
      <c r="Q418" s="121"/>
      <c r="R418" s="121"/>
      <c r="S418" s="121"/>
      <c r="T418" s="121"/>
      <c r="U418" s="121"/>
      <c r="V418" s="121"/>
      <c r="W418" s="121"/>
      <c r="X418" s="117"/>
      <c r="Y418" s="117"/>
      <c r="Z418" s="121"/>
      <c r="AA418" s="121"/>
      <c r="AB418" s="236"/>
      <c r="AC418" s="236"/>
      <c r="AD418" s="236"/>
      <c r="AE418" s="236"/>
      <c r="AF418" s="236"/>
      <c r="AG418" s="236"/>
      <c r="AH418" s="236"/>
      <c r="AI418" s="236"/>
      <c r="AJ418" s="236"/>
      <c r="AK418" s="236"/>
      <c r="AL418" s="236"/>
      <c r="AM418" s="236"/>
      <c r="AN418" s="236"/>
      <c r="AO418" s="236"/>
      <c r="AP418" s="236"/>
      <c r="AQ418" s="236"/>
      <c r="AR418" s="236"/>
      <c r="AS418" s="236"/>
      <c r="AT418" s="236"/>
      <c r="AU418" s="236"/>
      <c r="AV418" s="236"/>
      <c r="AW418" s="236"/>
      <c r="AX418" s="236"/>
      <c r="AY418" s="236"/>
      <c r="AZ418" s="236"/>
      <c r="BA418" s="236"/>
      <c r="BB418" s="236"/>
      <c r="BC418" s="236"/>
      <c r="BD418" s="236"/>
      <c r="BE418" s="236"/>
      <c r="BF418" s="236"/>
      <c r="BG418" s="236"/>
      <c r="BH418" s="236"/>
      <c r="BI418" s="236"/>
      <c r="BJ418" s="236"/>
      <c r="BK418" s="236"/>
      <c r="BL418" s="236"/>
      <c r="BM418" s="236"/>
      <c r="BN418" s="236"/>
      <c r="BO418" s="236"/>
      <c r="BP418" s="236"/>
      <c r="BQ418" s="236"/>
      <c r="BR418" s="236"/>
      <c r="BS418" s="236"/>
      <c r="BT418" s="236"/>
      <c r="BU418" s="236"/>
      <c r="BV418" s="236"/>
      <c r="BW418" s="236"/>
      <c r="BX418" s="236"/>
      <c r="BY418" s="236"/>
      <c r="BZ418" s="236"/>
      <c r="CA418" s="236"/>
      <c r="CB418" s="236"/>
      <c r="CC418" s="236"/>
      <c r="CD418" s="236"/>
      <c r="CE418" s="236"/>
      <c r="CF418" s="236"/>
      <c r="CG418" s="236"/>
      <c r="CH418" s="236"/>
      <c r="CI418" s="236"/>
      <c r="CJ418" s="236"/>
      <c r="CK418" s="236"/>
      <c r="CL418" s="236"/>
      <c r="CM418" s="236"/>
      <c r="CN418" s="236"/>
      <c r="CO418" s="236"/>
      <c r="CP418" s="236"/>
      <c r="CQ418" s="236"/>
      <c r="CR418" s="236"/>
      <c r="CS418" s="236"/>
      <c r="CT418" s="236"/>
      <c r="CU418" s="236"/>
      <c r="CV418" s="236"/>
      <c r="CW418" s="236"/>
      <c r="CX418" s="236"/>
      <c r="CY418" s="236"/>
      <c r="CZ418" s="236"/>
      <c r="DA418" s="236"/>
      <c r="DB418" s="236"/>
      <c r="DC418" s="236"/>
      <c r="DD418" s="236"/>
      <c r="DE418" s="236"/>
      <c r="DF418" s="236"/>
      <c r="DG418" s="236"/>
      <c r="DH418" s="236"/>
      <c r="DI418" s="236"/>
      <c r="DJ418" s="236"/>
      <c r="DK418" s="236"/>
      <c r="DL418" s="236"/>
      <c r="DM418" s="236"/>
      <c r="DN418" s="236"/>
      <c r="DO418" s="236"/>
      <c r="DP418" s="236"/>
      <c r="DQ418" s="236"/>
      <c r="DR418" s="236"/>
      <c r="DS418" s="236"/>
      <c r="DT418" s="236"/>
      <c r="DU418" s="236"/>
      <c r="DV418" s="236"/>
      <c r="DW418" s="236"/>
      <c r="DX418" s="236"/>
      <c r="DY418" s="236"/>
      <c r="DZ418" s="236"/>
      <c r="EA418" s="236"/>
      <c r="EB418" s="237">
        <f t="shared" si="48"/>
        <v>0</v>
      </c>
      <c r="EC418" s="237">
        <f t="shared" si="49"/>
        <v>0</v>
      </c>
      <c r="ED418" s="237">
        <f t="shared" si="50"/>
        <v>0</v>
      </c>
      <c r="EE418" s="237">
        <f t="shared" si="51"/>
        <v>0</v>
      </c>
      <c r="EF418" s="121"/>
      <c r="EG418" s="238">
        <f t="shared" si="52"/>
        <v>0</v>
      </c>
      <c r="EH418" s="121"/>
      <c r="EI418" s="237">
        <f t="shared" si="53"/>
        <v>0</v>
      </c>
      <c r="EJ418" s="121"/>
      <c r="EK418" s="237">
        <f t="shared" si="54"/>
        <v>0</v>
      </c>
      <c r="EL418" s="237"/>
      <c r="EM418" s="5"/>
      <c r="EN418" s="5"/>
      <c r="EO418" s="5"/>
      <c r="EP418" s="5"/>
      <c r="EQ418" s="237">
        <f t="shared" si="55"/>
        <v>0</v>
      </c>
      <c r="ER418" s="239">
        <v>23300</v>
      </c>
      <c r="ES418" s="5">
        <v>7.5</v>
      </c>
    </row>
    <row r="419" spans="1:149" x14ac:dyDescent="0.3">
      <c r="A419" s="124"/>
      <c r="B419" s="121"/>
      <c r="C419" s="121"/>
      <c r="D419" s="121"/>
      <c r="E419" s="121"/>
      <c r="F419" s="121"/>
      <c r="G419" s="121"/>
      <c r="H419" s="121"/>
      <c r="I419" s="121"/>
      <c r="J419" s="121"/>
      <c r="K419" s="121"/>
      <c r="L419" s="121"/>
      <c r="M419" s="121"/>
      <c r="N419" s="121"/>
      <c r="O419" s="235"/>
      <c r="P419" s="121"/>
      <c r="Q419" s="121"/>
      <c r="R419" s="121"/>
      <c r="S419" s="121"/>
      <c r="T419" s="121"/>
      <c r="U419" s="121"/>
      <c r="V419" s="121"/>
      <c r="W419" s="121"/>
      <c r="X419" s="117"/>
      <c r="Y419" s="117"/>
      <c r="Z419" s="121"/>
      <c r="AA419" s="121"/>
      <c r="AB419" s="236"/>
      <c r="AC419" s="236"/>
      <c r="AD419" s="236"/>
      <c r="AE419" s="236"/>
      <c r="AF419" s="236"/>
      <c r="AG419" s="236"/>
      <c r="AH419" s="236"/>
      <c r="AI419" s="236"/>
      <c r="AJ419" s="236"/>
      <c r="AK419" s="236"/>
      <c r="AL419" s="236"/>
      <c r="AM419" s="236"/>
      <c r="AN419" s="236"/>
      <c r="AO419" s="236"/>
      <c r="AP419" s="236"/>
      <c r="AQ419" s="236"/>
      <c r="AR419" s="236"/>
      <c r="AS419" s="236"/>
      <c r="AT419" s="236"/>
      <c r="AU419" s="236"/>
      <c r="AV419" s="236"/>
      <c r="AW419" s="236"/>
      <c r="AX419" s="236"/>
      <c r="AY419" s="236"/>
      <c r="AZ419" s="236"/>
      <c r="BA419" s="236"/>
      <c r="BB419" s="236"/>
      <c r="BC419" s="236"/>
      <c r="BD419" s="236"/>
      <c r="BE419" s="236"/>
      <c r="BF419" s="236"/>
      <c r="BG419" s="236"/>
      <c r="BH419" s="236"/>
      <c r="BI419" s="236"/>
      <c r="BJ419" s="236"/>
      <c r="BK419" s="236"/>
      <c r="BL419" s="236"/>
      <c r="BM419" s="236"/>
      <c r="BN419" s="236"/>
      <c r="BO419" s="236"/>
      <c r="BP419" s="236"/>
      <c r="BQ419" s="236"/>
      <c r="BR419" s="236"/>
      <c r="BS419" s="236"/>
      <c r="BT419" s="236"/>
      <c r="BU419" s="236"/>
      <c r="BV419" s="236"/>
      <c r="BW419" s="236"/>
      <c r="BX419" s="236"/>
      <c r="BY419" s="236"/>
      <c r="BZ419" s="236"/>
      <c r="CA419" s="236"/>
      <c r="CB419" s="236"/>
      <c r="CC419" s="236"/>
      <c r="CD419" s="236"/>
      <c r="CE419" s="236"/>
      <c r="CF419" s="236"/>
      <c r="CG419" s="236"/>
      <c r="CH419" s="236"/>
      <c r="CI419" s="236"/>
      <c r="CJ419" s="236"/>
      <c r="CK419" s="236"/>
      <c r="CL419" s="236"/>
      <c r="CM419" s="236"/>
      <c r="CN419" s="236"/>
      <c r="CO419" s="236"/>
      <c r="CP419" s="236"/>
      <c r="CQ419" s="236"/>
      <c r="CR419" s="236"/>
      <c r="CS419" s="236"/>
      <c r="CT419" s="236"/>
      <c r="CU419" s="236"/>
      <c r="CV419" s="236"/>
      <c r="CW419" s="236"/>
      <c r="CX419" s="236"/>
      <c r="CY419" s="236"/>
      <c r="CZ419" s="236"/>
      <c r="DA419" s="236"/>
      <c r="DB419" s="236"/>
      <c r="DC419" s="236"/>
      <c r="DD419" s="236"/>
      <c r="DE419" s="236"/>
      <c r="DF419" s="236"/>
      <c r="DG419" s="236"/>
      <c r="DH419" s="236"/>
      <c r="DI419" s="236"/>
      <c r="DJ419" s="236"/>
      <c r="DK419" s="236"/>
      <c r="DL419" s="236"/>
      <c r="DM419" s="236"/>
      <c r="DN419" s="236"/>
      <c r="DO419" s="236"/>
      <c r="DP419" s="236"/>
      <c r="DQ419" s="236"/>
      <c r="DR419" s="236"/>
      <c r="DS419" s="236"/>
      <c r="DT419" s="236"/>
      <c r="DU419" s="236"/>
      <c r="DV419" s="236"/>
      <c r="DW419" s="236"/>
      <c r="DX419" s="236"/>
      <c r="DY419" s="236"/>
      <c r="DZ419" s="236"/>
      <c r="EA419" s="236"/>
      <c r="EB419" s="237">
        <f t="shared" si="48"/>
        <v>0</v>
      </c>
      <c r="EC419" s="237">
        <f t="shared" si="49"/>
        <v>0</v>
      </c>
      <c r="ED419" s="237">
        <f t="shared" si="50"/>
        <v>0</v>
      </c>
      <c r="EE419" s="237">
        <f t="shared" si="51"/>
        <v>0</v>
      </c>
      <c r="EF419" s="121"/>
      <c r="EG419" s="238">
        <f t="shared" si="52"/>
        <v>0</v>
      </c>
      <c r="EH419" s="121"/>
      <c r="EI419" s="237">
        <f t="shared" si="53"/>
        <v>0</v>
      </c>
      <c r="EJ419" s="121"/>
      <c r="EK419" s="237">
        <f t="shared" si="54"/>
        <v>0</v>
      </c>
      <c r="EL419" s="237"/>
      <c r="EM419" s="5"/>
      <c r="EN419" s="5"/>
      <c r="EO419" s="5"/>
      <c r="EP419" s="5"/>
      <c r="EQ419" s="237">
        <f t="shared" si="55"/>
        <v>0</v>
      </c>
      <c r="ER419" s="239">
        <v>23300</v>
      </c>
      <c r="ES419" s="5">
        <v>7.5</v>
      </c>
    </row>
    <row r="420" spans="1:149" x14ac:dyDescent="0.3">
      <c r="A420" s="124"/>
      <c r="B420" s="121"/>
      <c r="C420" s="121"/>
      <c r="D420" s="121"/>
      <c r="E420" s="121"/>
      <c r="F420" s="121"/>
      <c r="G420" s="121"/>
      <c r="H420" s="121"/>
      <c r="I420" s="121"/>
      <c r="J420" s="121"/>
      <c r="K420" s="121"/>
      <c r="L420" s="121"/>
      <c r="M420" s="121"/>
      <c r="N420" s="121"/>
      <c r="O420" s="235"/>
      <c r="P420" s="121"/>
      <c r="Q420" s="121"/>
      <c r="R420" s="121"/>
      <c r="S420" s="121"/>
      <c r="T420" s="121"/>
      <c r="U420" s="121"/>
      <c r="V420" s="121"/>
      <c r="W420" s="121"/>
      <c r="X420" s="117"/>
      <c r="Y420" s="117"/>
      <c r="Z420" s="121"/>
      <c r="AA420" s="121"/>
      <c r="AB420" s="236"/>
      <c r="AC420" s="236"/>
      <c r="AD420" s="236"/>
      <c r="AE420" s="236"/>
      <c r="AF420" s="236"/>
      <c r="AG420" s="236"/>
      <c r="AH420" s="236"/>
      <c r="AI420" s="236"/>
      <c r="AJ420" s="236"/>
      <c r="AK420" s="236"/>
      <c r="AL420" s="236"/>
      <c r="AM420" s="236"/>
      <c r="AN420" s="236"/>
      <c r="AO420" s="236"/>
      <c r="AP420" s="236"/>
      <c r="AQ420" s="236"/>
      <c r="AR420" s="236"/>
      <c r="AS420" s="236"/>
      <c r="AT420" s="236"/>
      <c r="AU420" s="236"/>
      <c r="AV420" s="236"/>
      <c r="AW420" s="236"/>
      <c r="AX420" s="236"/>
      <c r="AY420" s="236"/>
      <c r="AZ420" s="236"/>
      <c r="BA420" s="236"/>
      <c r="BB420" s="236"/>
      <c r="BC420" s="236"/>
      <c r="BD420" s="236"/>
      <c r="BE420" s="236"/>
      <c r="BF420" s="236"/>
      <c r="BG420" s="236"/>
      <c r="BH420" s="236"/>
      <c r="BI420" s="236"/>
      <c r="BJ420" s="236"/>
      <c r="BK420" s="236"/>
      <c r="BL420" s="236"/>
      <c r="BM420" s="236"/>
      <c r="BN420" s="236"/>
      <c r="BO420" s="236"/>
      <c r="BP420" s="236"/>
      <c r="BQ420" s="236"/>
      <c r="BR420" s="236"/>
      <c r="BS420" s="236"/>
      <c r="BT420" s="236"/>
      <c r="BU420" s="236"/>
      <c r="BV420" s="236"/>
      <c r="BW420" s="236"/>
      <c r="BX420" s="236"/>
      <c r="BY420" s="236"/>
      <c r="BZ420" s="236"/>
      <c r="CA420" s="236"/>
      <c r="CB420" s="236"/>
      <c r="CC420" s="236"/>
      <c r="CD420" s="236"/>
      <c r="CE420" s="236"/>
      <c r="CF420" s="236"/>
      <c r="CG420" s="236"/>
      <c r="CH420" s="236"/>
      <c r="CI420" s="236"/>
      <c r="CJ420" s="236"/>
      <c r="CK420" s="236"/>
      <c r="CL420" s="236"/>
      <c r="CM420" s="236"/>
      <c r="CN420" s="236"/>
      <c r="CO420" s="236"/>
      <c r="CP420" s="236"/>
      <c r="CQ420" s="236"/>
      <c r="CR420" s="236"/>
      <c r="CS420" s="236"/>
      <c r="CT420" s="236"/>
      <c r="CU420" s="236"/>
      <c r="CV420" s="236"/>
      <c r="CW420" s="236"/>
      <c r="CX420" s="236"/>
      <c r="CY420" s="236"/>
      <c r="CZ420" s="236"/>
      <c r="DA420" s="236"/>
      <c r="DB420" s="236"/>
      <c r="DC420" s="236"/>
      <c r="DD420" s="236"/>
      <c r="DE420" s="236"/>
      <c r="DF420" s="236"/>
      <c r="DG420" s="236"/>
      <c r="DH420" s="236"/>
      <c r="DI420" s="236"/>
      <c r="DJ420" s="236"/>
      <c r="DK420" s="236"/>
      <c r="DL420" s="236"/>
      <c r="DM420" s="236"/>
      <c r="DN420" s="236"/>
      <c r="DO420" s="236"/>
      <c r="DP420" s="236"/>
      <c r="DQ420" s="236"/>
      <c r="DR420" s="236"/>
      <c r="DS420" s="236"/>
      <c r="DT420" s="236"/>
      <c r="DU420" s="236"/>
      <c r="DV420" s="236"/>
      <c r="DW420" s="236"/>
      <c r="DX420" s="236"/>
      <c r="DY420" s="236"/>
      <c r="DZ420" s="236"/>
      <c r="EA420" s="236"/>
      <c r="EB420" s="237">
        <f t="shared" si="48"/>
        <v>0</v>
      </c>
      <c r="EC420" s="237">
        <f t="shared" si="49"/>
        <v>0</v>
      </c>
      <c r="ED420" s="237">
        <f t="shared" si="50"/>
        <v>0</v>
      </c>
      <c r="EE420" s="237">
        <f t="shared" si="51"/>
        <v>0</v>
      </c>
      <c r="EF420" s="121"/>
      <c r="EG420" s="238">
        <f t="shared" si="52"/>
        <v>0</v>
      </c>
      <c r="EH420" s="121"/>
      <c r="EI420" s="237">
        <f t="shared" si="53"/>
        <v>0</v>
      </c>
      <c r="EJ420" s="121"/>
      <c r="EK420" s="237">
        <f t="shared" si="54"/>
        <v>0</v>
      </c>
      <c r="EL420" s="237"/>
      <c r="EM420" s="5"/>
      <c r="EN420" s="5"/>
      <c r="EO420" s="5"/>
      <c r="EP420" s="5"/>
      <c r="EQ420" s="237">
        <f t="shared" si="55"/>
        <v>0</v>
      </c>
      <c r="ER420" s="239">
        <v>23300</v>
      </c>
      <c r="ES420" s="5">
        <v>7.5</v>
      </c>
    </row>
    <row r="421" spans="1:149" x14ac:dyDescent="0.3">
      <c r="A421" s="124"/>
      <c r="B421" s="121"/>
      <c r="C421" s="121"/>
      <c r="D421" s="121"/>
      <c r="E421" s="121"/>
      <c r="F421" s="121"/>
      <c r="G421" s="121"/>
      <c r="H421" s="121"/>
      <c r="I421" s="121"/>
      <c r="J421" s="121"/>
      <c r="K421" s="121"/>
      <c r="L421" s="121"/>
      <c r="M421" s="121"/>
      <c r="N421" s="121"/>
      <c r="O421" s="235"/>
      <c r="P421" s="121"/>
      <c r="Q421" s="121"/>
      <c r="R421" s="121"/>
      <c r="S421" s="121"/>
      <c r="T421" s="121"/>
      <c r="U421" s="121"/>
      <c r="V421" s="121"/>
      <c r="W421" s="121"/>
      <c r="X421" s="117"/>
      <c r="Y421" s="117"/>
      <c r="Z421" s="121"/>
      <c r="AA421" s="121"/>
      <c r="AB421" s="236"/>
      <c r="AC421" s="236"/>
      <c r="AD421" s="236"/>
      <c r="AE421" s="236"/>
      <c r="AF421" s="236"/>
      <c r="AG421" s="236"/>
      <c r="AH421" s="236"/>
      <c r="AI421" s="236"/>
      <c r="AJ421" s="236"/>
      <c r="AK421" s="236"/>
      <c r="AL421" s="236"/>
      <c r="AM421" s="236"/>
      <c r="AN421" s="236"/>
      <c r="AO421" s="236"/>
      <c r="AP421" s="236"/>
      <c r="AQ421" s="236"/>
      <c r="AR421" s="236"/>
      <c r="AS421" s="236"/>
      <c r="AT421" s="236"/>
      <c r="AU421" s="236"/>
      <c r="AV421" s="236"/>
      <c r="AW421" s="236"/>
      <c r="AX421" s="236"/>
      <c r="AY421" s="236"/>
      <c r="AZ421" s="236"/>
      <c r="BA421" s="236"/>
      <c r="BB421" s="236"/>
      <c r="BC421" s="236"/>
      <c r="BD421" s="236"/>
      <c r="BE421" s="236"/>
      <c r="BF421" s="236"/>
      <c r="BG421" s="236"/>
      <c r="BH421" s="236"/>
      <c r="BI421" s="236"/>
      <c r="BJ421" s="236"/>
      <c r="BK421" s="236"/>
      <c r="BL421" s="236"/>
      <c r="BM421" s="236"/>
      <c r="BN421" s="236"/>
      <c r="BO421" s="236"/>
      <c r="BP421" s="236"/>
      <c r="BQ421" s="236"/>
      <c r="BR421" s="236"/>
      <c r="BS421" s="236"/>
      <c r="BT421" s="236"/>
      <c r="BU421" s="236"/>
      <c r="BV421" s="236"/>
      <c r="BW421" s="236"/>
      <c r="BX421" s="236"/>
      <c r="BY421" s="236"/>
      <c r="BZ421" s="236"/>
      <c r="CA421" s="236"/>
      <c r="CB421" s="236"/>
      <c r="CC421" s="236"/>
      <c r="CD421" s="236"/>
      <c r="CE421" s="236"/>
      <c r="CF421" s="236"/>
      <c r="CG421" s="236"/>
      <c r="CH421" s="236"/>
      <c r="CI421" s="236"/>
      <c r="CJ421" s="236"/>
      <c r="CK421" s="236"/>
      <c r="CL421" s="236"/>
      <c r="CM421" s="236"/>
      <c r="CN421" s="236"/>
      <c r="CO421" s="236"/>
      <c r="CP421" s="236"/>
      <c r="CQ421" s="236"/>
      <c r="CR421" s="236"/>
      <c r="CS421" s="236"/>
      <c r="CT421" s="236"/>
      <c r="CU421" s="236"/>
      <c r="CV421" s="236"/>
      <c r="CW421" s="236"/>
      <c r="CX421" s="236"/>
      <c r="CY421" s="236"/>
      <c r="CZ421" s="236"/>
      <c r="DA421" s="236"/>
      <c r="DB421" s="236"/>
      <c r="DC421" s="236"/>
      <c r="DD421" s="236"/>
      <c r="DE421" s="236"/>
      <c r="DF421" s="236"/>
      <c r="DG421" s="236"/>
      <c r="DH421" s="236"/>
      <c r="DI421" s="236"/>
      <c r="DJ421" s="236"/>
      <c r="DK421" s="236"/>
      <c r="DL421" s="236"/>
      <c r="DM421" s="236"/>
      <c r="DN421" s="236"/>
      <c r="DO421" s="236"/>
      <c r="DP421" s="236"/>
      <c r="DQ421" s="236"/>
      <c r="DR421" s="236"/>
      <c r="DS421" s="236"/>
      <c r="DT421" s="236"/>
      <c r="DU421" s="236"/>
      <c r="DV421" s="236"/>
      <c r="DW421" s="236"/>
      <c r="DX421" s="236"/>
      <c r="DY421" s="236"/>
      <c r="DZ421" s="236"/>
      <c r="EA421" s="236"/>
      <c r="EB421" s="237">
        <f t="shared" si="48"/>
        <v>0</v>
      </c>
      <c r="EC421" s="237">
        <f t="shared" si="49"/>
        <v>0</v>
      </c>
      <c r="ED421" s="237">
        <f t="shared" si="50"/>
        <v>0</v>
      </c>
      <c r="EE421" s="237">
        <f t="shared" si="51"/>
        <v>0</v>
      </c>
      <c r="EF421" s="121"/>
      <c r="EG421" s="238">
        <f t="shared" si="52"/>
        <v>0</v>
      </c>
      <c r="EH421" s="121"/>
      <c r="EI421" s="237">
        <f t="shared" si="53"/>
        <v>0</v>
      </c>
      <c r="EJ421" s="121"/>
      <c r="EK421" s="237">
        <f t="shared" si="54"/>
        <v>0</v>
      </c>
      <c r="EL421" s="237"/>
      <c r="EM421" s="5"/>
      <c r="EN421" s="5"/>
      <c r="EO421" s="5"/>
      <c r="EP421" s="5"/>
      <c r="EQ421" s="237">
        <f t="shared" si="55"/>
        <v>0</v>
      </c>
      <c r="ER421" s="239">
        <v>23300</v>
      </c>
      <c r="ES421" s="5">
        <v>7.5</v>
      </c>
    </row>
    <row r="422" spans="1:149" x14ac:dyDescent="0.3">
      <c r="A422" s="124"/>
      <c r="B422" s="121"/>
      <c r="C422" s="121"/>
      <c r="D422" s="121"/>
      <c r="E422" s="121"/>
      <c r="F422" s="121"/>
      <c r="G422" s="121"/>
      <c r="H422" s="121"/>
      <c r="I422" s="121"/>
      <c r="J422" s="121"/>
      <c r="K422" s="121"/>
      <c r="L422" s="121"/>
      <c r="M422" s="121"/>
      <c r="N422" s="121"/>
      <c r="O422" s="235"/>
      <c r="P422" s="121"/>
      <c r="Q422" s="121"/>
      <c r="R422" s="121"/>
      <c r="S422" s="121"/>
      <c r="T422" s="121"/>
      <c r="U422" s="121"/>
      <c r="V422" s="121"/>
      <c r="W422" s="121"/>
      <c r="X422" s="117"/>
      <c r="Y422" s="117"/>
      <c r="Z422" s="121"/>
      <c r="AA422" s="121"/>
      <c r="AB422" s="236"/>
      <c r="AC422" s="236"/>
      <c r="AD422" s="236"/>
      <c r="AE422" s="236"/>
      <c r="AF422" s="236"/>
      <c r="AG422" s="236"/>
      <c r="AH422" s="236"/>
      <c r="AI422" s="236"/>
      <c r="AJ422" s="236"/>
      <c r="AK422" s="236"/>
      <c r="AL422" s="236"/>
      <c r="AM422" s="236"/>
      <c r="AN422" s="236"/>
      <c r="AO422" s="236"/>
      <c r="AP422" s="236"/>
      <c r="AQ422" s="236"/>
      <c r="AR422" s="236"/>
      <c r="AS422" s="236"/>
      <c r="AT422" s="236"/>
      <c r="AU422" s="236"/>
      <c r="AV422" s="236"/>
      <c r="AW422" s="236"/>
      <c r="AX422" s="236"/>
      <c r="AY422" s="236"/>
      <c r="AZ422" s="236"/>
      <c r="BA422" s="236"/>
      <c r="BB422" s="236"/>
      <c r="BC422" s="236"/>
      <c r="BD422" s="236"/>
      <c r="BE422" s="236"/>
      <c r="BF422" s="236"/>
      <c r="BG422" s="236"/>
      <c r="BH422" s="236"/>
      <c r="BI422" s="236"/>
      <c r="BJ422" s="236"/>
      <c r="BK422" s="236"/>
      <c r="BL422" s="236"/>
      <c r="BM422" s="236"/>
      <c r="BN422" s="236"/>
      <c r="BO422" s="236"/>
      <c r="BP422" s="236"/>
      <c r="BQ422" s="236"/>
      <c r="BR422" s="236"/>
      <c r="BS422" s="236"/>
      <c r="BT422" s="236"/>
      <c r="BU422" s="236"/>
      <c r="BV422" s="236"/>
      <c r="BW422" s="236"/>
      <c r="BX422" s="236"/>
      <c r="BY422" s="236"/>
      <c r="BZ422" s="236"/>
      <c r="CA422" s="236"/>
      <c r="CB422" s="236"/>
      <c r="CC422" s="236"/>
      <c r="CD422" s="236"/>
      <c r="CE422" s="236"/>
      <c r="CF422" s="236"/>
      <c r="CG422" s="236"/>
      <c r="CH422" s="236"/>
      <c r="CI422" s="236"/>
      <c r="CJ422" s="236"/>
      <c r="CK422" s="236"/>
      <c r="CL422" s="236"/>
      <c r="CM422" s="236"/>
      <c r="CN422" s="236"/>
      <c r="CO422" s="236"/>
      <c r="CP422" s="236"/>
      <c r="CQ422" s="236"/>
      <c r="CR422" s="236"/>
      <c r="CS422" s="236"/>
      <c r="CT422" s="236"/>
      <c r="CU422" s="236"/>
      <c r="CV422" s="236"/>
      <c r="CW422" s="236"/>
      <c r="CX422" s="236"/>
      <c r="CY422" s="236"/>
      <c r="CZ422" s="236"/>
      <c r="DA422" s="236"/>
      <c r="DB422" s="236"/>
      <c r="DC422" s="236"/>
      <c r="DD422" s="236"/>
      <c r="DE422" s="236"/>
      <c r="DF422" s="236"/>
      <c r="DG422" s="236"/>
      <c r="DH422" s="236"/>
      <c r="DI422" s="236"/>
      <c r="DJ422" s="236"/>
      <c r="DK422" s="236"/>
      <c r="DL422" s="236"/>
      <c r="DM422" s="236"/>
      <c r="DN422" s="236"/>
      <c r="DO422" s="236"/>
      <c r="DP422" s="236"/>
      <c r="DQ422" s="236"/>
      <c r="DR422" s="236"/>
      <c r="DS422" s="236"/>
      <c r="DT422" s="236"/>
      <c r="DU422" s="236"/>
      <c r="DV422" s="236"/>
      <c r="DW422" s="236"/>
      <c r="DX422" s="236"/>
      <c r="DY422" s="236"/>
      <c r="DZ422" s="236"/>
      <c r="EA422" s="236"/>
      <c r="EB422" s="237">
        <f t="shared" si="48"/>
        <v>0</v>
      </c>
      <c r="EC422" s="237">
        <f t="shared" si="49"/>
        <v>0</v>
      </c>
      <c r="ED422" s="237">
        <f t="shared" si="50"/>
        <v>0</v>
      </c>
      <c r="EE422" s="237">
        <f t="shared" si="51"/>
        <v>0</v>
      </c>
      <c r="EF422" s="121"/>
      <c r="EG422" s="238">
        <f t="shared" si="52"/>
        <v>0</v>
      </c>
      <c r="EH422" s="121"/>
      <c r="EI422" s="237">
        <f t="shared" si="53"/>
        <v>0</v>
      </c>
      <c r="EJ422" s="121"/>
      <c r="EK422" s="237">
        <f t="shared" si="54"/>
        <v>0</v>
      </c>
      <c r="EL422" s="237"/>
      <c r="EM422" s="5"/>
      <c r="EN422" s="5"/>
      <c r="EO422" s="5"/>
      <c r="EP422" s="5"/>
      <c r="EQ422" s="237">
        <f t="shared" si="55"/>
        <v>0</v>
      </c>
      <c r="ER422" s="239">
        <v>23300</v>
      </c>
      <c r="ES422" s="5">
        <v>7.5</v>
      </c>
    </row>
    <row r="423" spans="1:149" x14ac:dyDescent="0.3">
      <c r="A423" s="124"/>
      <c r="B423" s="121"/>
      <c r="C423" s="121"/>
      <c r="D423" s="121"/>
      <c r="E423" s="121"/>
      <c r="F423" s="121"/>
      <c r="G423" s="121"/>
      <c r="H423" s="121"/>
      <c r="I423" s="121"/>
      <c r="J423" s="121"/>
      <c r="K423" s="121"/>
      <c r="L423" s="121"/>
      <c r="M423" s="121"/>
      <c r="N423" s="121"/>
      <c r="O423" s="235"/>
      <c r="P423" s="121"/>
      <c r="Q423" s="121"/>
      <c r="R423" s="121"/>
      <c r="S423" s="121"/>
      <c r="T423" s="121"/>
      <c r="U423" s="121"/>
      <c r="V423" s="121"/>
      <c r="W423" s="121"/>
      <c r="X423" s="117"/>
      <c r="Y423" s="117"/>
      <c r="Z423" s="121"/>
      <c r="AA423" s="121"/>
      <c r="AB423" s="236"/>
      <c r="AC423" s="236"/>
      <c r="AD423" s="236"/>
      <c r="AE423" s="236"/>
      <c r="AF423" s="236"/>
      <c r="AG423" s="236"/>
      <c r="AH423" s="236"/>
      <c r="AI423" s="236"/>
      <c r="AJ423" s="236"/>
      <c r="AK423" s="236"/>
      <c r="AL423" s="236"/>
      <c r="AM423" s="236"/>
      <c r="AN423" s="236"/>
      <c r="AO423" s="236"/>
      <c r="AP423" s="236"/>
      <c r="AQ423" s="236"/>
      <c r="AR423" s="236"/>
      <c r="AS423" s="236"/>
      <c r="AT423" s="236"/>
      <c r="AU423" s="236"/>
      <c r="AV423" s="236"/>
      <c r="AW423" s="236"/>
      <c r="AX423" s="236"/>
      <c r="AY423" s="236"/>
      <c r="AZ423" s="236"/>
      <c r="BA423" s="236"/>
      <c r="BB423" s="236"/>
      <c r="BC423" s="236"/>
      <c r="BD423" s="236"/>
      <c r="BE423" s="236"/>
      <c r="BF423" s="236"/>
      <c r="BG423" s="236"/>
      <c r="BH423" s="236"/>
      <c r="BI423" s="236"/>
      <c r="BJ423" s="236"/>
      <c r="BK423" s="236"/>
      <c r="BL423" s="236"/>
      <c r="BM423" s="236"/>
      <c r="BN423" s="236"/>
      <c r="BO423" s="236"/>
      <c r="BP423" s="236"/>
      <c r="BQ423" s="236"/>
      <c r="BR423" s="236"/>
      <c r="BS423" s="236"/>
      <c r="BT423" s="236"/>
      <c r="BU423" s="236"/>
      <c r="BV423" s="236"/>
      <c r="BW423" s="236"/>
      <c r="BX423" s="236"/>
      <c r="BY423" s="236"/>
      <c r="BZ423" s="236"/>
      <c r="CA423" s="236"/>
      <c r="CB423" s="236"/>
      <c r="CC423" s="236"/>
      <c r="CD423" s="236"/>
      <c r="CE423" s="236"/>
      <c r="CF423" s="236"/>
      <c r="CG423" s="236"/>
      <c r="CH423" s="236"/>
      <c r="CI423" s="236"/>
      <c r="CJ423" s="236"/>
      <c r="CK423" s="236"/>
      <c r="CL423" s="236"/>
      <c r="CM423" s="236"/>
      <c r="CN423" s="236"/>
      <c r="CO423" s="236"/>
      <c r="CP423" s="236"/>
      <c r="CQ423" s="236"/>
      <c r="CR423" s="236"/>
      <c r="CS423" s="236"/>
      <c r="CT423" s="236"/>
      <c r="CU423" s="236"/>
      <c r="CV423" s="236"/>
      <c r="CW423" s="236"/>
      <c r="CX423" s="236"/>
      <c r="CY423" s="236"/>
      <c r="CZ423" s="236"/>
      <c r="DA423" s="236"/>
      <c r="DB423" s="236"/>
      <c r="DC423" s="236"/>
      <c r="DD423" s="236"/>
      <c r="DE423" s="236"/>
      <c r="DF423" s="236"/>
      <c r="DG423" s="236"/>
      <c r="DH423" s="236"/>
      <c r="DI423" s="236"/>
      <c r="DJ423" s="236"/>
      <c r="DK423" s="236"/>
      <c r="DL423" s="236"/>
      <c r="DM423" s="236"/>
      <c r="DN423" s="236"/>
      <c r="DO423" s="236"/>
      <c r="DP423" s="236"/>
      <c r="DQ423" s="236"/>
      <c r="DR423" s="236"/>
      <c r="DS423" s="236"/>
      <c r="DT423" s="236"/>
      <c r="DU423" s="236"/>
      <c r="DV423" s="236"/>
      <c r="DW423" s="236"/>
      <c r="DX423" s="236"/>
      <c r="DY423" s="236"/>
      <c r="DZ423" s="236"/>
      <c r="EA423" s="236"/>
      <c r="EB423" s="237">
        <f t="shared" si="48"/>
        <v>0</v>
      </c>
      <c r="EC423" s="237">
        <f t="shared" si="49"/>
        <v>0</v>
      </c>
      <c r="ED423" s="237">
        <f t="shared" si="50"/>
        <v>0</v>
      </c>
      <c r="EE423" s="237">
        <f t="shared" si="51"/>
        <v>0</v>
      </c>
      <c r="EF423" s="121"/>
      <c r="EG423" s="238">
        <f t="shared" si="52"/>
        <v>0</v>
      </c>
      <c r="EH423" s="121"/>
      <c r="EI423" s="237">
        <f t="shared" si="53"/>
        <v>0</v>
      </c>
      <c r="EJ423" s="121"/>
      <c r="EK423" s="237">
        <f t="shared" si="54"/>
        <v>0</v>
      </c>
      <c r="EL423" s="237"/>
      <c r="EM423" s="5"/>
      <c r="EN423" s="5"/>
      <c r="EO423" s="5"/>
      <c r="EP423" s="5"/>
      <c r="EQ423" s="237">
        <f t="shared" si="55"/>
        <v>0</v>
      </c>
      <c r="ER423" s="239">
        <v>23300</v>
      </c>
      <c r="ES423" s="5">
        <v>7.5</v>
      </c>
    </row>
    <row r="424" spans="1:149" x14ac:dyDescent="0.3">
      <c r="A424" s="124"/>
      <c r="B424" s="121"/>
      <c r="C424" s="121"/>
      <c r="D424" s="121"/>
      <c r="E424" s="121"/>
      <c r="F424" s="121"/>
      <c r="G424" s="121"/>
      <c r="H424" s="121"/>
      <c r="I424" s="121"/>
      <c r="J424" s="121"/>
      <c r="K424" s="121"/>
      <c r="L424" s="121"/>
      <c r="M424" s="121"/>
      <c r="N424" s="121"/>
      <c r="O424" s="235"/>
      <c r="P424" s="121"/>
      <c r="Q424" s="121"/>
      <c r="R424" s="121"/>
      <c r="S424" s="121"/>
      <c r="T424" s="121"/>
      <c r="U424" s="121"/>
      <c r="V424" s="121"/>
      <c r="W424" s="121"/>
      <c r="X424" s="117"/>
      <c r="Y424" s="117"/>
      <c r="Z424" s="121"/>
      <c r="AA424" s="121"/>
      <c r="AB424" s="236"/>
      <c r="AC424" s="236"/>
      <c r="AD424" s="236"/>
      <c r="AE424" s="236"/>
      <c r="AF424" s="236"/>
      <c r="AG424" s="236"/>
      <c r="AH424" s="236"/>
      <c r="AI424" s="236"/>
      <c r="AJ424" s="236"/>
      <c r="AK424" s="236"/>
      <c r="AL424" s="236"/>
      <c r="AM424" s="236"/>
      <c r="AN424" s="236"/>
      <c r="AO424" s="236"/>
      <c r="AP424" s="236"/>
      <c r="AQ424" s="236"/>
      <c r="AR424" s="236"/>
      <c r="AS424" s="236"/>
      <c r="AT424" s="236"/>
      <c r="AU424" s="236"/>
      <c r="AV424" s="236"/>
      <c r="AW424" s="236"/>
      <c r="AX424" s="236"/>
      <c r="AY424" s="236"/>
      <c r="AZ424" s="236"/>
      <c r="BA424" s="236"/>
      <c r="BB424" s="236"/>
      <c r="BC424" s="236"/>
      <c r="BD424" s="236"/>
      <c r="BE424" s="236"/>
      <c r="BF424" s="236"/>
      <c r="BG424" s="236"/>
      <c r="BH424" s="236"/>
      <c r="BI424" s="236"/>
      <c r="BJ424" s="236"/>
      <c r="BK424" s="236"/>
      <c r="BL424" s="236"/>
      <c r="BM424" s="236"/>
      <c r="BN424" s="236"/>
      <c r="BO424" s="236"/>
      <c r="BP424" s="236"/>
      <c r="BQ424" s="236"/>
      <c r="BR424" s="236"/>
      <c r="BS424" s="236"/>
      <c r="BT424" s="236"/>
      <c r="BU424" s="236"/>
      <c r="BV424" s="236"/>
      <c r="BW424" s="236"/>
      <c r="BX424" s="236"/>
      <c r="BY424" s="236"/>
      <c r="BZ424" s="236"/>
      <c r="CA424" s="236"/>
      <c r="CB424" s="236"/>
      <c r="CC424" s="236"/>
      <c r="CD424" s="236"/>
      <c r="CE424" s="236"/>
      <c r="CF424" s="236"/>
      <c r="CG424" s="236"/>
      <c r="CH424" s="236"/>
      <c r="CI424" s="236"/>
      <c r="CJ424" s="236"/>
      <c r="CK424" s="236"/>
      <c r="CL424" s="236"/>
      <c r="CM424" s="236"/>
      <c r="CN424" s="236"/>
      <c r="CO424" s="236"/>
      <c r="CP424" s="236"/>
      <c r="CQ424" s="236"/>
      <c r="CR424" s="236"/>
      <c r="CS424" s="236"/>
      <c r="CT424" s="236"/>
      <c r="CU424" s="236"/>
      <c r="CV424" s="236"/>
      <c r="CW424" s="236"/>
      <c r="CX424" s="236"/>
      <c r="CY424" s="236"/>
      <c r="CZ424" s="236"/>
      <c r="DA424" s="236"/>
      <c r="DB424" s="236"/>
      <c r="DC424" s="236"/>
      <c r="DD424" s="236"/>
      <c r="DE424" s="236"/>
      <c r="DF424" s="236"/>
      <c r="DG424" s="236"/>
      <c r="DH424" s="236"/>
      <c r="DI424" s="236"/>
      <c r="DJ424" s="236"/>
      <c r="DK424" s="236"/>
      <c r="DL424" s="236"/>
      <c r="DM424" s="236"/>
      <c r="DN424" s="236"/>
      <c r="DO424" s="236"/>
      <c r="DP424" s="236"/>
      <c r="DQ424" s="236"/>
      <c r="DR424" s="236"/>
      <c r="DS424" s="236"/>
      <c r="DT424" s="236"/>
      <c r="DU424" s="236"/>
      <c r="DV424" s="236"/>
      <c r="DW424" s="236"/>
      <c r="DX424" s="236"/>
      <c r="DY424" s="236"/>
      <c r="DZ424" s="236"/>
      <c r="EA424" s="236"/>
      <c r="EB424" s="237">
        <f t="shared" si="48"/>
        <v>0</v>
      </c>
      <c r="EC424" s="237">
        <f t="shared" si="49"/>
        <v>0</v>
      </c>
      <c r="ED424" s="237">
        <f t="shared" si="50"/>
        <v>0</v>
      </c>
      <c r="EE424" s="237">
        <f t="shared" si="51"/>
        <v>0</v>
      </c>
      <c r="EF424" s="121"/>
      <c r="EG424" s="238">
        <f t="shared" si="52"/>
        <v>0</v>
      </c>
      <c r="EH424" s="121"/>
      <c r="EI424" s="237">
        <f t="shared" si="53"/>
        <v>0</v>
      </c>
      <c r="EJ424" s="121"/>
      <c r="EK424" s="237">
        <f t="shared" si="54"/>
        <v>0</v>
      </c>
      <c r="EL424" s="237"/>
      <c r="EM424" s="5"/>
      <c r="EN424" s="5"/>
      <c r="EO424" s="5"/>
      <c r="EP424" s="5"/>
      <c r="EQ424" s="237">
        <f t="shared" si="55"/>
        <v>0</v>
      </c>
      <c r="ER424" s="239">
        <v>23300</v>
      </c>
      <c r="ES424" s="5">
        <v>7.5</v>
      </c>
    </row>
    <row r="425" spans="1:149" x14ac:dyDescent="0.3">
      <c r="A425" s="124"/>
      <c r="B425" s="121"/>
      <c r="C425" s="121"/>
      <c r="D425" s="121"/>
      <c r="E425" s="121"/>
      <c r="F425" s="121"/>
      <c r="G425" s="121"/>
      <c r="H425" s="121"/>
      <c r="I425" s="121"/>
      <c r="J425" s="121"/>
      <c r="K425" s="121"/>
      <c r="L425" s="121"/>
      <c r="M425" s="121"/>
      <c r="N425" s="121"/>
      <c r="O425" s="235"/>
      <c r="P425" s="121"/>
      <c r="Q425" s="121"/>
      <c r="R425" s="121"/>
      <c r="S425" s="121"/>
      <c r="T425" s="121"/>
      <c r="U425" s="121"/>
      <c r="V425" s="121"/>
      <c r="W425" s="121"/>
      <c r="X425" s="117"/>
      <c r="Y425" s="117"/>
      <c r="Z425" s="121"/>
      <c r="AA425" s="121"/>
      <c r="AB425" s="236"/>
      <c r="AC425" s="236"/>
      <c r="AD425" s="236"/>
      <c r="AE425" s="236"/>
      <c r="AF425" s="236"/>
      <c r="AG425" s="236"/>
      <c r="AH425" s="236"/>
      <c r="AI425" s="236"/>
      <c r="AJ425" s="236"/>
      <c r="AK425" s="236"/>
      <c r="AL425" s="236"/>
      <c r="AM425" s="236"/>
      <c r="AN425" s="236"/>
      <c r="AO425" s="236"/>
      <c r="AP425" s="236"/>
      <c r="AQ425" s="236"/>
      <c r="AR425" s="236"/>
      <c r="AS425" s="236"/>
      <c r="AT425" s="236"/>
      <c r="AU425" s="236"/>
      <c r="AV425" s="236"/>
      <c r="AW425" s="236"/>
      <c r="AX425" s="236"/>
      <c r="AY425" s="236"/>
      <c r="AZ425" s="236"/>
      <c r="BA425" s="236"/>
      <c r="BB425" s="236"/>
      <c r="BC425" s="236"/>
      <c r="BD425" s="236"/>
      <c r="BE425" s="236"/>
      <c r="BF425" s="236"/>
      <c r="BG425" s="236"/>
      <c r="BH425" s="236"/>
      <c r="BI425" s="236"/>
      <c r="BJ425" s="236"/>
      <c r="BK425" s="236"/>
      <c r="BL425" s="236"/>
      <c r="BM425" s="236"/>
      <c r="BN425" s="236"/>
      <c r="BO425" s="236"/>
      <c r="BP425" s="236"/>
      <c r="BQ425" s="236"/>
      <c r="BR425" s="236"/>
      <c r="BS425" s="236"/>
      <c r="BT425" s="236"/>
      <c r="BU425" s="236"/>
      <c r="BV425" s="236"/>
      <c r="BW425" s="236"/>
      <c r="BX425" s="236"/>
      <c r="BY425" s="236"/>
      <c r="BZ425" s="236"/>
      <c r="CA425" s="236"/>
      <c r="CB425" s="236"/>
      <c r="CC425" s="236"/>
      <c r="CD425" s="236"/>
      <c r="CE425" s="236"/>
      <c r="CF425" s="236"/>
      <c r="CG425" s="236"/>
      <c r="CH425" s="236"/>
      <c r="CI425" s="236"/>
      <c r="CJ425" s="236"/>
      <c r="CK425" s="236"/>
      <c r="CL425" s="236"/>
      <c r="CM425" s="236"/>
      <c r="CN425" s="236"/>
      <c r="CO425" s="236"/>
      <c r="CP425" s="236"/>
      <c r="CQ425" s="236"/>
      <c r="CR425" s="236"/>
      <c r="CS425" s="236"/>
      <c r="CT425" s="236"/>
      <c r="CU425" s="236"/>
      <c r="CV425" s="236"/>
      <c r="CW425" s="236"/>
      <c r="CX425" s="236"/>
      <c r="CY425" s="236"/>
      <c r="CZ425" s="236"/>
      <c r="DA425" s="236"/>
      <c r="DB425" s="236"/>
      <c r="DC425" s="236"/>
      <c r="DD425" s="236"/>
      <c r="DE425" s="236"/>
      <c r="DF425" s="236"/>
      <c r="DG425" s="236"/>
      <c r="DH425" s="236"/>
      <c r="DI425" s="236"/>
      <c r="DJ425" s="236"/>
      <c r="DK425" s="236"/>
      <c r="DL425" s="236"/>
      <c r="DM425" s="236"/>
      <c r="DN425" s="236"/>
      <c r="DO425" s="236"/>
      <c r="DP425" s="236"/>
      <c r="DQ425" s="236"/>
      <c r="DR425" s="236"/>
      <c r="DS425" s="236"/>
      <c r="DT425" s="236"/>
      <c r="DU425" s="236"/>
      <c r="DV425" s="236"/>
      <c r="DW425" s="236"/>
      <c r="DX425" s="236"/>
      <c r="DY425" s="236"/>
      <c r="DZ425" s="236"/>
      <c r="EA425" s="236"/>
      <c r="EB425" s="237">
        <f t="shared" si="48"/>
        <v>0</v>
      </c>
      <c r="EC425" s="237">
        <f t="shared" si="49"/>
        <v>0</v>
      </c>
      <c r="ED425" s="237">
        <f t="shared" si="50"/>
        <v>0</v>
      </c>
      <c r="EE425" s="237">
        <f t="shared" si="51"/>
        <v>0</v>
      </c>
      <c r="EF425" s="121"/>
      <c r="EG425" s="238">
        <f t="shared" si="52"/>
        <v>0</v>
      </c>
      <c r="EH425" s="121"/>
      <c r="EI425" s="237">
        <f t="shared" si="53"/>
        <v>0</v>
      </c>
      <c r="EJ425" s="121"/>
      <c r="EK425" s="237">
        <f t="shared" si="54"/>
        <v>0</v>
      </c>
      <c r="EL425" s="237"/>
      <c r="EM425" s="5"/>
      <c r="EN425" s="5"/>
      <c r="EO425" s="5"/>
      <c r="EP425" s="5"/>
      <c r="EQ425" s="237">
        <f t="shared" si="55"/>
        <v>0</v>
      </c>
      <c r="ER425" s="239">
        <v>23300</v>
      </c>
      <c r="ES425" s="5">
        <v>7.5</v>
      </c>
    </row>
    <row r="426" spans="1:149" x14ac:dyDescent="0.3">
      <c r="A426" s="124"/>
      <c r="B426" s="121"/>
      <c r="C426" s="121"/>
      <c r="D426" s="121"/>
      <c r="E426" s="121"/>
      <c r="F426" s="121"/>
      <c r="G426" s="121"/>
      <c r="H426" s="121"/>
      <c r="I426" s="121"/>
      <c r="J426" s="121"/>
      <c r="K426" s="121"/>
      <c r="L426" s="121"/>
      <c r="M426" s="121"/>
      <c r="N426" s="121"/>
      <c r="O426" s="235"/>
      <c r="P426" s="121"/>
      <c r="Q426" s="121"/>
      <c r="R426" s="121"/>
      <c r="S426" s="121"/>
      <c r="T426" s="121"/>
      <c r="U426" s="121"/>
      <c r="V426" s="121"/>
      <c r="W426" s="121"/>
      <c r="X426" s="117"/>
      <c r="Y426" s="117"/>
      <c r="Z426" s="121"/>
      <c r="AA426" s="121"/>
      <c r="AB426" s="236"/>
      <c r="AC426" s="236"/>
      <c r="AD426" s="236"/>
      <c r="AE426" s="236"/>
      <c r="AF426" s="236"/>
      <c r="AG426" s="236"/>
      <c r="AH426" s="236"/>
      <c r="AI426" s="236"/>
      <c r="AJ426" s="236"/>
      <c r="AK426" s="236"/>
      <c r="AL426" s="236"/>
      <c r="AM426" s="236"/>
      <c r="AN426" s="236"/>
      <c r="AO426" s="236"/>
      <c r="AP426" s="236"/>
      <c r="AQ426" s="236"/>
      <c r="AR426" s="236"/>
      <c r="AS426" s="236"/>
      <c r="AT426" s="236"/>
      <c r="AU426" s="236"/>
      <c r="AV426" s="236"/>
      <c r="AW426" s="236"/>
      <c r="AX426" s="236"/>
      <c r="AY426" s="236"/>
      <c r="AZ426" s="236"/>
      <c r="BA426" s="236"/>
      <c r="BB426" s="236"/>
      <c r="BC426" s="236"/>
      <c r="BD426" s="236"/>
      <c r="BE426" s="236"/>
      <c r="BF426" s="236"/>
      <c r="BG426" s="236"/>
      <c r="BH426" s="236"/>
      <c r="BI426" s="236"/>
      <c r="BJ426" s="236"/>
      <c r="BK426" s="236"/>
      <c r="BL426" s="236"/>
      <c r="BM426" s="236"/>
      <c r="BN426" s="236"/>
      <c r="BO426" s="236"/>
      <c r="BP426" s="236"/>
      <c r="BQ426" s="236"/>
      <c r="BR426" s="236"/>
      <c r="BS426" s="236"/>
      <c r="BT426" s="236"/>
      <c r="BU426" s="236"/>
      <c r="BV426" s="236"/>
      <c r="BW426" s="236"/>
      <c r="BX426" s="236"/>
      <c r="BY426" s="236"/>
      <c r="BZ426" s="236"/>
      <c r="CA426" s="236"/>
      <c r="CB426" s="236"/>
      <c r="CC426" s="236"/>
      <c r="CD426" s="236"/>
      <c r="CE426" s="236"/>
      <c r="CF426" s="236"/>
      <c r="CG426" s="236"/>
      <c r="CH426" s="236"/>
      <c r="CI426" s="236"/>
      <c r="CJ426" s="236"/>
      <c r="CK426" s="236"/>
      <c r="CL426" s="236"/>
      <c r="CM426" s="236"/>
      <c r="CN426" s="236"/>
      <c r="CO426" s="236"/>
      <c r="CP426" s="236"/>
      <c r="CQ426" s="236"/>
      <c r="CR426" s="236"/>
      <c r="CS426" s="236"/>
      <c r="CT426" s="236"/>
      <c r="CU426" s="236"/>
      <c r="CV426" s="236"/>
      <c r="CW426" s="236"/>
      <c r="CX426" s="236"/>
      <c r="CY426" s="236"/>
      <c r="CZ426" s="236"/>
      <c r="DA426" s="236"/>
      <c r="DB426" s="236"/>
      <c r="DC426" s="236"/>
      <c r="DD426" s="236"/>
      <c r="DE426" s="236"/>
      <c r="DF426" s="236"/>
      <c r="DG426" s="236"/>
      <c r="DH426" s="236"/>
      <c r="DI426" s="236"/>
      <c r="DJ426" s="236"/>
      <c r="DK426" s="236"/>
      <c r="DL426" s="236"/>
      <c r="DM426" s="236"/>
      <c r="DN426" s="236"/>
      <c r="DO426" s="236"/>
      <c r="DP426" s="236"/>
      <c r="DQ426" s="236"/>
      <c r="DR426" s="236"/>
      <c r="DS426" s="236"/>
      <c r="DT426" s="236"/>
      <c r="DU426" s="236"/>
      <c r="DV426" s="236"/>
      <c r="DW426" s="236"/>
      <c r="DX426" s="236"/>
      <c r="DY426" s="236"/>
      <c r="DZ426" s="236"/>
      <c r="EA426" s="236"/>
      <c r="EB426" s="237">
        <f t="shared" si="48"/>
        <v>0</v>
      </c>
      <c r="EC426" s="237">
        <f t="shared" si="49"/>
        <v>0</v>
      </c>
      <c r="ED426" s="237">
        <f t="shared" si="50"/>
        <v>0</v>
      </c>
      <c r="EE426" s="237">
        <f t="shared" si="51"/>
        <v>0</v>
      </c>
      <c r="EF426" s="121"/>
      <c r="EG426" s="238">
        <f t="shared" si="52"/>
        <v>0</v>
      </c>
      <c r="EH426" s="121"/>
      <c r="EI426" s="237">
        <f t="shared" si="53"/>
        <v>0</v>
      </c>
      <c r="EJ426" s="121"/>
      <c r="EK426" s="237">
        <f t="shared" si="54"/>
        <v>0</v>
      </c>
      <c r="EL426" s="237"/>
      <c r="EM426" s="5"/>
      <c r="EN426" s="5"/>
      <c r="EO426" s="5"/>
      <c r="EP426" s="5"/>
      <c r="EQ426" s="237">
        <f t="shared" si="55"/>
        <v>0</v>
      </c>
      <c r="ER426" s="239">
        <v>23300</v>
      </c>
      <c r="ES426" s="5">
        <v>7.5</v>
      </c>
    </row>
    <row r="427" spans="1:149" x14ac:dyDescent="0.3">
      <c r="A427" s="124"/>
      <c r="B427" s="121"/>
      <c r="C427" s="121"/>
      <c r="D427" s="121"/>
      <c r="E427" s="121"/>
      <c r="F427" s="121"/>
      <c r="G427" s="121"/>
      <c r="H427" s="121"/>
      <c r="I427" s="121"/>
      <c r="J427" s="121"/>
      <c r="K427" s="121"/>
      <c r="L427" s="121"/>
      <c r="M427" s="121"/>
      <c r="N427" s="121"/>
      <c r="O427" s="235"/>
      <c r="P427" s="121"/>
      <c r="Q427" s="121"/>
      <c r="R427" s="121"/>
      <c r="S427" s="121"/>
      <c r="T427" s="121"/>
      <c r="U427" s="121"/>
      <c r="V427" s="121"/>
      <c r="W427" s="121"/>
      <c r="X427" s="117"/>
      <c r="Y427" s="117"/>
      <c r="Z427" s="121"/>
      <c r="AA427" s="121"/>
      <c r="AB427" s="236"/>
      <c r="AC427" s="236"/>
      <c r="AD427" s="236"/>
      <c r="AE427" s="236"/>
      <c r="AF427" s="236"/>
      <c r="AG427" s="236"/>
      <c r="AH427" s="236"/>
      <c r="AI427" s="236"/>
      <c r="AJ427" s="236"/>
      <c r="AK427" s="236"/>
      <c r="AL427" s="236"/>
      <c r="AM427" s="236"/>
      <c r="AN427" s="236"/>
      <c r="AO427" s="236"/>
      <c r="AP427" s="236"/>
      <c r="AQ427" s="236"/>
      <c r="AR427" s="236"/>
      <c r="AS427" s="236"/>
      <c r="AT427" s="236"/>
      <c r="AU427" s="236"/>
      <c r="AV427" s="236"/>
      <c r="AW427" s="236"/>
      <c r="AX427" s="236"/>
      <c r="AY427" s="236"/>
      <c r="AZ427" s="236"/>
      <c r="BA427" s="236"/>
      <c r="BB427" s="236"/>
      <c r="BC427" s="236"/>
      <c r="BD427" s="236"/>
      <c r="BE427" s="236"/>
      <c r="BF427" s="236"/>
      <c r="BG427" s="236"/>
      <c r="BH427" s="236"/>
      <c r="BI427" s="236"/>
      <c r="BJ427" s="236"/>
      <c r="BK427" s="236"/>
      <c r="BL427" s="236"/>
      <c r="BM427" s="236"/>
      <c r="BN427" s="236"/>
      <c r="BO427" s="236"/>
      <c r="BP427" s="236"/>
      <c r="BQ427" s="236"/>
      <c r="BR427" s="236"/>
      <c r="BS427" s="236"/>
      <c r="BT427" s="236"/>
      <c r="BU427" s="236"/>
      <c r="BV427" s="236"/>
      <c r="BW427" s="236"/>
      <c r="BX427" s="236"/>
      <c r="BY427" s="236"/>
      <c r="BZ427" s="236"/>
      <c r="CA427" s="236"/>
      <c r="CB427" s="236"/>
      <c r="CC427" s="236"/>
      <c r="CD427" s="236"/>
      <c r="CE427" s="236"/>
      <c r="CF427" s="236"/>
      <c r="CG427" s="236"/>
      <c r="CH427" s="236"/>
      <c r="CI427" s="236"/>
      <c r="CJ427" s="236"/>
      <c r="CK427" s="236"/>
      <c r="CL427" s="236"/>
      <c r="CM427" s="236"/>
      <c r="CN427" s="236"/>
      <c r="CO427" s="236"/>
      <c r="CP427" s="236"/>
      <c r="CQ427" s="236"/>
      <c r="CR427" s="236"/>
      <c r="CS427" s="236"/>
      <c r="CT427" s="236"/>
      <c r="CU427" s="236"/>
      <c r="CV427" s="236"/>
      <c r="CW427" s="236"/>
      <c r="CX427" s="236"/>
      <c r="CY427" s="236"/>
      <c r="CZ427" s="236"/>
      <c r="DA427" s="236"/>
      <c r="DB427" s="236"/>
      <c r="DC427" s="236"/>
      <c r="DD427" s="236"/>
      <c r="DE427" s="236"/>
      <c r="DF427" s="236"/>
      <c r="DG427" s="236"/>
      <c r="DH427" s="236"/>
      <c r="DI427" s="236"/>
      <c r="DJ427" s="236"/>
      <c r="DK427" s="236"/>
      <c r="DL427" s="236"/>
      <c r="DM427" s="236"/>
      <c r="DN427" s="236"/>
      <c r="DO427" s="236"/>
      <c r="DP427" s="236"/>
      <c r="DQ427" s="236"/>
      <c r="DR427" s="236"/>
      <c r="DS427" s="236"/>
      <c r="DT427" s="236"/>
      <c r="DU427" s="236"/>
      <c r="DV427" s="236"/>
      <c r="DW427" s="236"/>
      <c r="DX427" s="236"/>
      <c r="DY427" s="236"/>
      <c r="DZ427" s="236"/>
      <c r="EA427" s="236"/>
      <c r="EB427" s="237">
        <f t="shared" si="48"/>
        <v>0</v>
      </c>
      <c r="EC427" s="237">
        <f t="shared" si="49"/>
        <v>0</v>
      </c>
      <c r="ED427" s="237">
        <f t="shared" si="50"/>
        <v>0</v>
      </c>
      <c r="EE427" s="237">
        <f t="shared" si="51"/>
        <v>0</v>
      </c>
      <c r="EF427" s="121"/>
      <c r="EG427" s="238">
        <f t="shared" si="52"/>
        <v>0</v>
      </c>
      <c r="EH427" s="121"/>
      <c r="EI427" s="237">
        <f t="shared" si="53"/>
        <v>0</v>
      </c>
      <c r="EJ427" s="121"/>
      <c r="EK427" s="237">
        <f t="shared" si="54"/>
        <v>0</v>
      </c>
      <c r="EL427" s="237"/>
      <c r="EM427" s="5"/>
      <c r="EN427" s="5"/>
      <c r="EO427" s="5"/>
      <c r="EP427" s="5"/>
      <c r="EQ427" s="237">
        <f t="shared" si="55"/>
        <v>0</v>
      </c>
      <c r="ER427" s="239">
        <v>23300</v>
      </c>
      <c r="ES427" s="5">
        <v>7.5</v>
      </c>
    </row>
    <row r="428" spans="1:149" x14ac:dyDescent="0.3">
      <c r="A428" s="124"/>
      <c r="B428" s="121"/>
      <c r="C428" s="121"/>
      <c r="D428" s="121"/>
      <c r="E428" s="121"/>
      <c r="F428" s="121"/>
      <c r="G428" s="121"/>
      <c r="H428" s="121"/>
      <c r="I428" s="121"/>
      <c r="J428" s="121"/>
      <c r="K428" s="121"/>
      <c r="L428" s="121"/>
      <c r="M428" s="121"/>
      <c r="N428" s="121"/>
      <c r="O428" s="235"/>
      <c r="P428" s="121"/>
      <c r="Q428" s="121"/>
      <c r="R428" s="121"/>
      <c r="S428" s="121"/>
      <c r="T428" s="121"/>
      <c r="U428" s="121"/>
      <c r="V428" s="121"/>
      <c r="W428" s="121"/>
      <c r="X428" s="117"/>
      <c r="Y428" s="117"/>
      <c r="Z428" s="121"/>
      <c r="AA428" s="121"/>
      <c r="AB428" s="236"/>
      <c r="AC428" s="236"/>
      <c r="AD428" s="236"/>
      <c r="AE428" s="236"/>
      <c r="AF428" s="236"/>
      <c r="AG428" s="236"/>
      <c r="AH428" s="236"/>
      <c r="AI428" s="236"/>
      <c r="AJ428" s="236"/>
      <c r="AK428" s="236"/>
      <c r="AL428" s="236"/>
      <c r="AM428" s="236"/>
      <c r="AN428" s="236"/>
      <c r="AO428" s="236"/>
      <c r="AP428" s="236"/>
      <c r="AQ428" s="236"/>
      <c r="AR428" s="236"/>
      <c r="AS428" s="236"/>
      <c r="AT428" s="236"/>
      <c r="AU428" s="236"/>
      <c r="AV428" s="236"/>
      <c r="AW428" s="236"/>
      <c r="AX428" s="236"/>
      <c r="AY428" s="236"/>
      <c r="AZ428" s="236"/>
      <c r="BA428" s="236"/>
      <c r="BB428" s="236"/>
      <c r="BC428" s="236"/>
      <c r="BD428" s="236"/>
      <c r="BE428" s="236"/>
      <c r="BF428" s="236"/>
      <c r="BG428" s="236"/>
      <c r="BH428" s="236"/>
      <c r="BI428" s="236"/>
      <c r="BJ428" s="236"/>
      <c r="BK428" s="236"/>
      <c r="BL428" s="236"/>
      <c r="BM428" s="236"/>
      <c r="BN428" s="236"/>
      <c r="BO428" s="236"/>
      <c r="BP428" s="236"/>
      <c r="BQ428" s="236"/>
      <c r="BR428" s="236"/>
      <c r="BS428" s="236"/>
      <c r="BT428" s="236"/>
      <c r="BU428" s="236"/>
      <c r="BV428" s="236"/>
      <c r="BW428" s="236"/>
      <c r="BX428" s="236"/>
      <c r="BY428" s="236"/>
      <c r="BZ428" s="236"/>
      <c r="CA428" s="236"/>
      <c r="CB428" s="236"/>
      <c r="CC428" s="236"/>
      <c r="CD428" s="236"/>
      <c r="CE428" s="236"/>
      <c r="CF428" s="236"/>
      <c r="CG428" s="236"/>
      <c r="CH428" s="236"/>
      <c r="CI428" s="236"/>
      <c r="CJ428" s="236"/>
      <c r="CK428" s="236"/>
      <c r="CL428" s="236"/>
      <c r="CM428" s="236"/>
      <c r="CN428" s="236"/>
      <c r="CO428" s="236"/>
      <c r="CP428" s="236"/>
      <c r="CQ428" s="236"/>
      <c r="CR428" s="236"/>
      <c r="CS428" s="236"/>
      <c r="CT428" s="236"/>
      <c r="CU428" s="236"/>
      <c r="CV428" s="236"/>
      <c r="CW428" s="236"/>
      <c r="CX428" s="236"/>
      <c r="CY428" s="236"/>
      <c r="CZ428" s="236"/>
      <c r="DA428" s="236"/>
      <c r="DB428" s="236"/>
      <c r="DC428" s="236"/>
      <c r="DD428" s="236"/>
      <c r="DE428" s="236"/>
      <c r="DF428" s="236"/>
      <c r="DG428" s="236"/>
      <c r="DH428" s="236"/>
      <c r="DI428" s="236"/>
      <c r="DJ428" s="236"/>
      <c r="DK428" s="236"/>
      <c r="DL428" s="236"/>
      <c r="DM428" s="236"/>
      <c r="DN428" s="236"/>
      <c r="DO428" s="236"/>
      <c r="DP428" s="236"/>
      <c r="DQ428" s="236"/>
      <c r="DR428" s="236"/>
      <c r="DS428" s="236"/>
      <c r="DT428" s="236"/>
      <c r="DU428" s="236"/>
      <c r="DV428" s="236"/>
      <c r="DW428" s="236"/>
      <c r="DX428" s="236"/>
      <c r="DY428" s="236"/>
      <c r="DZ428" s="236"/>
      <c r="EA428" s="236"/>
      <c r="EB428" s="237">
        <f t="shared" si="48"/>
        <v>0</v>
      </c>
      <c r="EC428" s="237">
        <f t="shared" si="49"/>
        <v>0</v>
      </c>
      <c r="ED428" s="237">
        <f t="shared" si="50"/>
        <v>0</v>
      </c>
      <c r="EE428" s="237">
        <f t="shared" si="51"/>
        <v>0</v>
      </c>
      <c r="EF428" s="121"/>
      <c r="EG428" s="238">
        <f t="shared" si="52"/>
        <v>0</v>
      </c>
      <c r="EH428" s="121"/>
      <c r="EI428" s="237">
        <f t="shared" si="53"/>
        <v>0</v>
      </c>
      <c r="EJ428" s="121"/>
      <c r="EK428" s="237">
        <f t="shared" si="54"/>
        <v>0</v>
      </c>
      <c r="EL428" s="237"/>
      <c r="EM428" s="5"/>
      <c r="EN428" s="5"/>
      <c r="EO428" s="5"/>
      <c r="EP428" s="5"/>
      <c r="EQ428" s="237">
        <f t="shared" si="55"/>
        <v>0</v>
      </c>
      <c r="ER428" s="239">
        <v>23300</v>
      </c>
      <c r="ES428" s="5">
        <v>7.5</v>
      </c>
    </row>
    <row r="429" spans="1:149" x14ac:dyDescent="0.3">
      <c r="A429" s="124"/>
      <c r="B429" s="121"/>
      <c r="C429" s="121"/>
      <c r="D429" s="121"/>
      <c r="E429" s="121"/>
      <c r="F429" s="121"/>
      <c r="G429" s="121"/>
      <c r="H429" s="121"/>
      <c r="I429" s="121"/>
      <c r="J429" s="121"/>
      <c r="K429" s="121"/>
      <c r="L429" s="121"/>
      <c r="M429" s="121"/>
      <c r="N429" s="121"/>
      <c r="O429" s="235"/>
      <c r="P429" s="121"/>
      <c r="Q429" s="121"/>
      <c r="R429" s="121"/>
      <c r="S429" s="121"/>
      <c r="T429" s="121"/>
      <c r="U429" s="121"/>
      <c r="V429" s="121"/>
      <c r="W429" s="121"/>
      <c r="X429" s="117"/>
      <c r="Y429" s="117"/>
      <c r="Z429" s="121"/>
      <c r="AA429" s="121"/>
      <c r="AB429" s="236"/>
      <c r="AC429" s="236"/>
      <c r="AD429" s="236"/>
      <c r="AE429" s="236"/>
      <c r="AF429" s="236"/>
      <c r="AG429" s="236"/>
      <c r="AH429" s="236"/>
      <c r="AI429" s="236"/>
      <c r="AJ429" s="236"/>
      <c r="AK429" s="236"/>
      <c r="AL429" s="236"/>
      <c r="AM429" s="236"/>
      <c r="AN429" s="236"/>
      <c r="AO429" s="236"/>
      <c r="AP429" s="236"/>
      <c r="AQ429" s="236"/>
      <c r="AR429" s="236"/>
      <c r="AS429" s="236"/>
      <c r="AT429" s="236"/>
      <c r="AU429" s="236"/>
      <c r="AV429" s="236"/>
      <c r="AW429" s="236"/>
      <c r="AX429" s="236"/>
      <c r="AY429" s="236"/>
      <c r="AZ429" s="236"/>
      <c r="BA429" s="236"/>
      <c r="BB429" s="236"/>
      <c r="BC429" s="236"/>
      <c r="BD429" s="236"/>
      <c r="BE429" s="236"/>
      <c r="BF429" s="236"/>
      <c r="BG429" s="236"/>
      <c r="BH429" s="236"/>
      <c r="BI429" s="236"/>
      <c r="BJ429" s="236"/>
      <c r="BK429" s="236"/>
      <c r="BL429" s="236"/>
      <c r="BM429" s="236"/>
      <c r="BN429" s="236"/>
      <c r="BO429" s="236"/>
      <c r="BP429" s="236"/>
      <c r="BQ429" s="236"/>
      <c r="BR429" s="236"/>
      <c r="BS429" s="236"/>
      <c r="BT429" s="236"/>
      <c r="BU429" s="236"/>
      <c r="BV429" s="236"/>
      <c r="BW429" s="236"/>
      <c r="BX429" s="236"/>
      <c r="BY429" s="236"/>
      <c r="BZ429" s="236"/>
      <c r="CA429" s="236"/>
      <c r="CB429" s="236"/>
      <c r="CC429" s="236"/>
      <c r="CD429" s="236"/>
      <c r="CE429" s="236"/>
      <c r="CF429" s="236"/>
      <c r="CG429" s="236"/>
      <c r="CH429" s="236"/>
      <c r="CI429" s="236"/>
      <c r="CJ429" s="236"/>
      <c r="CK429" s="236"/>
      <c r="CL429" s="236"/>
      <c r="CM429" s="236"/>
      <c r="CN429" s="236"/>
      <c r="CO429" s="236"/>
      <c r="CP429" s="236"/>
      <c r="CQ429" s="236"/>
      <c r="CR429" s="236"/>
      <c r="CS429" s="236"/>
      <c r="CT429" s="236"/>
      <c r="CU429" s="236"/>
      <c r="CV429" s="236"/>
      <c r="CW429" s="236"/>
      <c r="CX429" s="236"/>
      <c r="CY429" s="236"/>
      <c r="CZ429" s="236"/>
      <c r="DA429" s="236"/>
      <c r="DB429" s="236"/>
      <c r="DC429" s="236"/>
      <c r="DD429" s="236"/>
      <c r="DE429" s="236"/>
      <c r="DF429" s="236"/>
      <c r="DG429" s="236"/>
      <c r="DH429" s="236"/>
      <c r="DI429" s="236"/>
      <c r="DJ429" s="236"/>
      <c r="DK429" s="236"/>
      <c r="DL429" s="236"/>
      <c r="DM429" s="236"/>
      <c r="DN429" s="236"/>
      <c r="DO429" s="236"/>
      <c r="DP429" s="236"/>
      <c r="DQ429" s="236"/>
      <c r="DR429" s="236"/>
      <c r="DS429" s="236"/>
      <c r="DT429" s="236"/>
      <c r="DU429" s="236"/>
      <c r="DV429" s="236"/>
      <c r="DW429" s="236"/>
      <c r="DX429" s="236"/>
      <c r="DY429" s="236"/>
      <c r="DZ429" s="236"/>
      <c r="EA429" s="236"/>
      <c r="EB429" s="237">
        <f t="shared" si="48"/>
        <v>0</v>
      </c>
      <c r="EC429" s="237">
        <f t="shared" si="49"/>
        <v>0</v>
      </c>
      <c r="ED429" s="237">
        <f t="shared" si="50"/>
        <v>0</v>
      </c>
      <c r="EE429" s="237">
        <f t="shared" si="51"/>
        <v>0</v>
      </c>
      <c r="EF429" s="121"/>
      <c r="EG429" s="238">
        <f t="shared" si="52"/>
        <v>0</v>
      </c>
      <c r="EH429" s="121"/>
      <c r="EI429" s="237">
        <f t="shared" si="53"/>
        <v>0</v>
      </c>
      <c r="EJ429" s="121"/>
      <c r="EK429" s="237">
        <f t="shared" si="54"/>
        <v>0</v>
      </c>
      <c r="EL429" s="237"/>
      <c r="EM429" s="5"/>
      <c r="EN429" s="5"/>
      <c r="EO429" s="5"/>
      <c r="EP429" s="5"/>
      <c r="EQ429" s="237">
        <f t="shared" si="55"/>
        <v>0</v>
      </c>
      <c r="ER429" s="239">
        <v>23300</v>
      </c>
      <c r="ES429" s="5">
        <v>7.5</v>
      </c>
    </row>
    <row r="430" spans="1:149" x14ac:dyDescent="0.3">
      <c r="A430" s="124"/>
      <c r="B430" s="121"/>
      <c r="C430" s="121"/>
      <c r="D430" s="121"/>
      <c r="E430" s="121"/>
      <c r="F430" s="121"/>
      <c r="G430" s="121"/>
      <c r="H430" s="121"/>
      <c r="I430" s="121"/>
      <c r="J430" s="121"/>
      <c r="K430" s="121"/>
      <c r="L430" s="121"/>
      <c r="M430" s="121"/>
      <c r="N430" s="121"/>
      <c r="O430" s="235"/>
      <c r="P430" s="121"/>
      <c r="Q430" s="121"/>
      <c r="R430" s="121"/>
      <c r="S430" s="121"/>
      <c r="T430" s="121"/>
      <c r="U430" s="121"/>
      <c r="V430" s="121"/>
      <c r="W430" s="121"/>
      <c r="X430" s="117"/>
      <c r="Y430" s="117"/>
      <c r="Z430" s="121"/>
      <c r="AA430" s="121"/>
      <c r="AB430" s="236"/>
      <c r="AC430" s="236"/>
      <c r="AD430" s="236"/>
      <c r="AE430" s="236"/>
      <c r="AF430" s="236"/>
      <c r="AG430" s="236"/>
      <c r="AH430" s="236"/>
      <c r="AI430" s="236"/>
      <c r="AJ430" s="236"/>
      <c r="AK430" s="236"/>
      <c r="AL430" s="236"/>
      <c r="AM430" s="236"/>
      <c r="AN430" s="236"/>
      <c r="AO430" s="236"/>
      <c r="AP430" s="236"/>
      <c r="AQ430" s="236"/>
      <c r="AR430" s="236"/>
      <c r="AS430" s="236"/>
      <c r="AT430" s="236"/>
      <c r="AU430" s="236"/>
      <c r="AV430" s="236"/>
      <c r="AW430" s="236"/>
      <c r="AX430" s="236"/>
      <c r="AY430" s="236"/>
      <c r="AZ430" s="236"/>
      <c r="BA430" s="236"/>
      <c r="BB430" s="236"/>
      <c r="BC430" s="236"/>
      <c r="BD430" s="236"/>
      <c r="BE430" s="236"/>
      <c r="BF430" s="236"/>
      <c r="BG430" s="236"/>
      <c r="BH430" s="236"/>
      <c r="BI430" s="236"/>
      <c r="BJ430" s="236"/>
      <c r="BK430" s="236"/>
      <c r="BL430" s="236"/>
      <c r="BM430" s="236"/>
      <c r="BN430" s="236"/>
      <c r="BO430" s="236"/>
      <c r="BP430" s="236"/>
      <c r="BQ430" s="236"/>
      <c r="BR430" s="236"/>
      <c r="BS430" s="236"/>
      <c r="BT430" s="236"/>
      <c r="BU430" s="236"/>
      <c r="BV430" s="236"/>
      <c r="BW430" s="236"/>
      <c r="BX430" s="236"/>
      <c r="BY430" s="236"/>
      <c r="BZ430" s="236"/>
      <c r="CA430" s="236"/>
      <c r="CB430" s="236"/>
      <c r="CC430" s="236"/>
      <c r="CD430" s="236"/>
      <c r="CE430" s="236"/>
      <c r="CF430" s="236"/>
      <c r="CG430" s="236"/>
      <c r="CH430" s="236"/>
      <c r="CI430" s="236"/>
      <c r="CJ430" s="236"/>
      <c r="CK430" s="236"/>
      <c r="CL430" s="236"/>
      <c r="CM430" s="236"/>
      <c r="CN430" s="236"/>
      <c r="CO430" s="236"/>
      <c r="CP430" s="236"/>
      <c r="CQ430" s="236"/>
      <c r="CR430" s="236"/>
      <c r="CS430" s="236"/>
      <c r="CT430" s="236"/>
      <c r="CU430" s="236"/>
      <c r="CV430" s="236"/>
      <c r="CW430" s="236"/>
      <c r="CX430" s="236"/>
      <c r="CY430" s="236"/>
      <c r="CZ430" s="236"/>
      <c r="DA430" s="236"/>
      <c r="DB430" s="236"/>
      <c r="DC430" s="236"/>
      <c r="DD430" s="236"/>
      <c r="DE430" s="236"/>
      <c r="DF430" s="236"/>
      <c r="DG430" s="236"/>
      <c r="DH430" s="236"/>
      <c r="DI430" s="236"/>
      <c r="DJ430" s="236"/>
      <c r="DK430" s="236"/>
      <c r="DL430" s="236"/>
      <c r="DM430" s="236"/>
      <c r="DN430" s="236"/>
      <c r="DO430" s="236"/>
      <c r="DP430" s="236"/>
      <c r="DQ430" s="236"/>
      <c r="DR430" s="236"/>
      <c r="DS430" s="236"/>
      <c r="DT430" s="236"/>
      <c r="DU430" s="236"/>
      <c r="DV430" s="236"/>
      <c r="DW430" s="236"/>
      <c r="DX430" s="236"/>
      <c r="DY430" s="236"/>
      <c r="DZ430" s="236"/>
      <c r="EA430" s="236"/>
      <c r="EB430" s="237">
        <f t="shared" si="48"/>
        <v>0</v>
      </c>
      <c r="EC430" s="237">
        <f t="shared" si="49"/>
        <v>0</v>
      </c>
      <c r="ED430" s="237">
        <f t="shared" si="50"/>
        <v>0</v>
      </c>
      <c r="EE430" s="237">
        <f t="shared" si="51"/>
        <v>0</v>
      </c>
      <c r="EF430" s="121"/>
      <c r="EG430" s="238">
        <f t="shared" si="52"/>
        <v>0</v>
      </c>
      <c r="EH430" s="121"/>
      <c r="EI430" s="237">
        <f t="shared" si="53"/>
        <v>0</v>
      </c>
      <c r="EJ430" s="121"/>
      <c r="EK430" s="237">
        <f t="shared" si="54"/>
        <v>0</v>
      </c>
      <c r="EL430" s="237"/>
      <c r="EM430" s="5"/>
      <c r="EN430" s="5"/>
      <c r="EO430" s="5"/>
      <c r="EP430" s="5"/>
      <c r="EQ430" s="237">
        <f t="shared" si="55"/>
        <v>0</v>
      </c>
      <c r="ER430" s="239">
        <v>23300</v>
      </c>
      <c r="ES430" s="5">
        <v>7.5</v>
      </c>
    </row>
    <row r="431" spans="1:149" x14ac:dyDescent="0.3">
      <c r="A431" s="124"/>
      <c r="B431" s="121"/>
      <c r="C431" s="121"/>
      <c r="D431" s="121"/>
      <c r="E431" s="121"/>
      <c r="F431" s="121"/>
      <c r="G431" s="121"/>
      <c r="H431" s="121"/>
      <c r="I431" s="121"/>
      <c r="J431" s="121"/>
      <c r="K431" s="121"/>
      <c r="L431" s="121"/>
      <c r="M431" s="121"/>
      <c r="N431" s="121"/>
      <c r="O431" s="235"/>
      <c r="P431" s="121"/>
      <c r="Q431" s="121"/>
      <c r="R431" s="121"/>
      <c r="S431" s="121"/>
      <c r="T431" s="121"/>
      <c r="U431" s="121"/>
      <c r="V431" s="121"/>
      <c r="W431" s="121"/>
      <c r="X431" s="117"/>
      <c r="Y431" s="117"/>
      <c r="Z431" s="121"/>
      <c r="AA431" s="121"/>
      <c r="AB431" s="236"/>
      <c r="AC431" s="236"/>
      <c r="AD431" s="236"/>
      <c r="AE431" s="236"/>
      <c r="AF431" s="236"/>
      <c r="AG431" s="236"/>
      <c r="AH431" s="236"/>
      <c r="AI431" s="236"/>
      <c r="AJ431" s="236"/>
      <c r="AK431" s="236"/>
      <c r="AL431" s="236"/>
      <c r="AM431" s="236"/>
      <c r="AN431" s="236"/>
      <c r="AO431" s="236"/>
      <c r="AP431" s="236"/>
      <c r="AQ431" s="236"/>
      <c r="AR431" s="236"/>
      <c r="AS431" s="236"/>
      <c r="AT431" s="236"/>
      <c r="AU431" s="236"/>
      <c r="AV431" s="236"/>
      <c r="AW431" s="236"/>
      <c r="AX431" s="236"/>
      <c r="AY431" s="236"/>
      <c r="AZ431" s="236"/>
      <c r="BA431" s="236"/>
      <c r="BB431" s="236"/>
      <c r="BC431" s="236"/>
      <c r="BD431" s="236"/>
      <c r="BE431" s="236"/>
      <c r="BF431" s="236"/>
      <c r="BG431" s="236"/>
      <c r="BH431" s="236"/>
      <c r="BI431" s="236"/>
      <c r="BJ431" s="236"/>
      <c r="BK431" s="236"/>
      <c r="BL431" s="236"/>
      <c r="BM431" s="236"/>
      <c r="BN431" s="236"/>
      <c r="BO431" s="236"/>
      <c r="BP431" s="236"/>
      <c r="BQ431" s="236"/>
      <c r="BR431" s="236"/>
      <c r="BS431" s="236"/>
      <c r="BT431" s="236"/>
      <c r="BU431" s="236"/>
      <c r="BV431" s="236"/>
      <c r="BW431" s="236"/>
      <c r="BX431" s="236"/>
      <c r="BY431" s="236"/>
      <c r="BZ431" s="236"/>
      <c r="CA431" s="236"/>
      <c r="CB431" s="236"/>
      <c r="CC431" s="236"/>
      <c r="CD431" s="236"/>
      <c r="CE431" s="236"/>
      <c r="CF431" s="236"/>
      <c r="CG431" s="236"/>
      <c r="CH431" s="236"/>
      <c r="CI431" s="236"/>
      <c r="CJ431" s="236"/>
      <c r="CK431" s="236"/>
      <c r="CL431" s="236"/>
      <c r="CM431" s="236"/>
      <c r="CN431" s="236"/>
      <c r="CO431" s="236"/>
      <c r="CP431" s="236"/>
      <c r="CQ431" s="236"/>
      <c r="CR431" s="236"/>
      <c r="CS431" s="236"/>
      <c r="CT431" s="236"/>
      <c r="CU431" s="236"/>
      <c r="CV431" s="236"/>
      <c r="CW431" s="236"/>
      <c r="CX431" s="236"/>
      <c r="CY431" s="236"/>
      <c r="CZ431" s="236"/>
      <c r="DA431" s="236"/>
      <c r="DB431" s="236"/>
      <c r="DC431" s="236"/>
      <c r="DD431" s="236"/>
      <c r="DE431" s="236"/>
      <c r="DF431" s="236"/>
      <c r="DG431" s="236"/>
      <c r="DH431" s="236"/>
      <c r="DI431" s="236"/>
      <c r="DJ431" s="236"/>
      <c r="DK431" s="236"/>
      <c r="DL431" s="236"/>
      <c r="DM431" s="236"/>
      <c r="DN431" s="236"/>
      <c r="DO431" s="236"/>
      <c r="DP431" s="236"/>
      <c r="DQ431" s="236"/>
      <c r="DR431" s="236"/>
      <c r="DS431" s="236"/>
      <c r="DT431" s="236"/>
      <c r="DU431" s="236"/>
      <c r="DV431" s="236"/>
      <c r="DW431" s="236"/>
      <c r="DX431" s="236"/>
      <c r="DY431" s="236"/>
      <c r="DZ431" s="236"/>
      <c r="EA431" s="236"/>
      <c r="EB431" s="237">
        <f t="shared" si="48"/>
        <v>0</v>
      </c>
      <c r="EC431" s="237">
        <f t="shared" si="49"/>
        <v>0</v>
      </c>
      <c r="ED431" s="237">
        <f t="shared" si="50"/>
        <v>0</v>
      </c>
      <c r="EE431" s="237">
        <f t="shared" si="51"/>
        <v>0</v>
      </c>
      <c r="EF431" s="121"/>
      <c r="EG431" s="238">
        <f t="shared" si="52"/>
        <v>0</v>
      </c>
      <c r="EH431" s="121"/>
      <c r="EI431" s="237">
        <f t="shared" si="53"/>
        <v>0</v>
      </c>
      <c r="EJ431" s="121"/>
      <c r="EK431" s="237">
        <f t="shared" si="54"/>
        <v>0</v>
      </c>
      <c r="EL431" s="237"/>
      <c r="EM431" s="5"/>
      <c r="EN431" s="5"/>
      <c r="EO431" s="5"/>
      <c r="EP431" s="5"/>
      <c r="EQ431" s="237">
        <f t="shared" si="55"/>
        <v>0</v>
      </c>
      <c r="ER431" s="239">
        <v>23300</v>
      </c>
      <c r="ES431" s="5">
        <v>7.5</v>
      </c>
    </row>
    <row r="432" spans="1:149" x14ac:dyDescent="0.3">
      <c r="A432" s="124"/>
      <c r="B432" s="121"/>
      <c r="C432" s="121"/>
      <c r="D432" s="121"/>
      <c r="E432" s="121"/>
      <c r="F432" s="121"/>
      <c r="G432" s="121"/>
      <c r="H432" s="121"/>
      <c r="I432" s="121"/>
      <c r="J432" s="121"/>
      <c r="K432" s="121"/>
      <c r="L432" s="121"/>
      <c r="M432" s="121"/>
      <c r="N432" s="121"/>
      <c r="O432" s="235"/>
      <c r="P432" s="121"/>
      <c r="Q432" s="121"/>
      <c r="R432" s="121"/>
      <c r="S432" s="121"/>
      <c r="T432" s="121"/>
      <c r="U432" s="121"/>
      <c r="V432" s="121"/>
      <c r="W432" s="121"/>
      <c r="X432" s="117"/>
      <c r="Y432" s="117"/>
      <c r="Z432" s="121"/>
      <c r="AA432" s="121"/>
      <c r="AB432" s="236"/>
      <c r="AC432" s="236"/>
      <c r="AD432" s="236"/>
      <c r="AE432" s="236"/>
      <c r="AF432" s="236"/>
      <c r="AG432" s="236"/>
      <c r="AH432" s="236"/>
      <c r="AI432" s="236"/>
      <c r="AJ432" s="236"/>
      <c r="AK432" s="236"/>
      <c r="AL432" s="236"/>
      <c r="AM432" s="236"/>
      <c r="AN432" s="236"/>
      <c r="AO432" s="236"/>
      <c r="AP432" s="236"/>
      <c r="AQ432" s="236"/>
      <c r="AR432" s="236"/>
      <c r="AS432" s="236"/>
      <c r="AT432" s="236"/>
      <c r="AU432" s="236"/>
      <c r="AV432" s="236"/>
      <c r="AW432" s="236"/>
      <c r="AX432" s="236"/>
      <c r="AY432" s="236"/>
      <c r="AZ432" s="236"/>
      <c r="BA432" s="236"/>
      <c r="BB432" s="236"/>
      <c r="BC432" s="236"/>
      <c r="BD432" s="236"/>
      <c r="BE432" s="236"/>
      <c r="BF432" s="236"/>
      <c r="BG432" s="236"/>
      <c r="BH432" s="236"/>
      <c r="BI432" s="236"/>
      <c r="BJ432" s="236"/>
      <c r="BK432" s="236"/>
      <c r="BL432" s="236"/>
      <c r="BM432" s="236"/>
      <c r="BN432" s="236"/>
      <c r="BO432" s="236"/>
      <c r="BP432" s="236"/>
      <c r="BQ432" s="236"/>
      <c r="BR432" s="236"/>
      <c r="BS432" s="236"/>
      <c r="BT432" s="236"/>
      <c r="BU432" s="236"/>
      <c r="BV432" s="236"/>
      <c r="BW432" s="236"/>
      <c r="BX432" s="236"/>
      <c r="BY432" s="236"/>
      <c r="BZ432" s="236"/>
      <c r="CA432" s="236"/>
      <c r="CB432" s="236"/>
      <c r="CC432" s="236"/>
      <c r="CD432" s="236"/>
      <c r="CE432" s="236"/>
      <c r="CF432" s="236"/>
      <c r="CG432" s="236"/>
      <c r="CH432" s="236"/>
      <c r="CI432" s="236"/>
      <c r="CJ432" s="236"/>
      <c r="CK432" s="236"/>
      <c r="CL432" s="236"/>
      <c r="CM432" s="236"/>
      <c r="CN432" s="236"/>
      <c r="CO432" s="236"/>
      <c r="CP432" s="236"/>
      <c r="CQ432" s="236"/>
      <c r="CR432" s="236"/>
      <c r="CS432" s="236"/>
      <c r="CT432" s="236"/>
      <c r="CU432" s="236"/>
      <c r="CV432" s="236"/>
      <c r="CW432" s="236"/>
      <c r="CX432" s="236"/>
      <c r="CY432" s="236"/>
      <c r="CZ432" s="236"/>
      <c r="DA432" s="236"/>
      <c r="DB432" s="236"/>
      <c r="DC432" s="236"/>
      <c r="DD432" s="236"/>
      <c r="DE432" s="236"/>
      <c r="DF432" s="236"/>
      <c r="DG432" s="236"/>
      <c r="DH432" s="236"/>
      <c r="DI432" s="236"/>
      <c r="DJ432" s="236"/>
      <c r="DK432" s="236"/>
      <c r="DL432" s="236"/>
      <c r="DM432" s="236"/>
      <c r="DN432" s="236"/>
      <c r="DO432" s="236"/>
      <c r="DP432" s="236"/>
      <c r="DQ432" s="236"/>
      <c r="DR432" s="236"/>
      <c r="DS432" s="236"/>
      <c r="DT432" s="236"/>
      <c r="DU432" s="236"/>
      <c r="DV432" s="236"/>
      <c r="DW432" s="236"/>
      <c r="DX432" s="236"/>
      <c r="DY432" s="236"/>
      <c r="DZ432" s="236"/>
      <c r="EA432" s="236"/>
      <c r="EB432" s="237">
        <f t="shared" si="48"/>
        <v>0</v>
      </c>
      <c r="EC432" s="237">
        <f t="shared" si="49"/>
        <v>0</v>
      </c>
      <c r="ED432" s="237">
        <f t="shared" si="50"/>
        <v>0</v>
      </c>
      <c r="EE432" s="237">
        <f t="shared" si="51"/>
        <v>0</v>
      </c>
      <c r="EF432" s="121"/>
      <c r="EG432" s="238">
        <f t="shared" si="52"/>
        <v>0</v>
      </c>
      <c r="EH432" s="121"/>
      <c r="EI432" s="237">
        <f t="shared" si="53"/>
        <v>0</v>
      </c>
      <c r="EJ432" s="121"/>
      <c r="EK432" s="237">
        <f t="shared" si="54"/>
        <v>0</v>
      </c>
      <c r="EL432" s="237"/>
      <c r="EM432" s="5"/>
      <c r="EN432" s="5"/>
      <c r="EO432" s="5"/>
      <c r="EP432" s="5"/>
      <c r="EQ432" s="237">
        <f t="shared" si="55"/>
        <v>0</v>
      </c>
      <c r="ER432" s="239">
        <v>23300</v>
      </c>
      <c r="ES432" s="5">
        <v>7.5</v>
      </c>
    </row>
    <row r="433" spans="1:149" x14ac:dyDescent="0.3">
      <c r="A433" s="124"/>
      <c r="B433" s="121"/>
      <c r="C433" s="121"/>
      <c r="D433" s="121"/>
      <c r="E433" s="121"/>
      <c r="F433" s="121"/>
      <c r="G433" s="121"/>
      <c r="H433" s="121"/>
      <c r="I433" s="121"/>
      <c r="J433" s="121"/>
      <c r="K433" s="121"/>
      <c r="L433" s="121"/>
      <c r="M433" s="121"/>
      <c r="N433" s="121"/>
      <c r="O433" s="235"/>
      <c r="P433" s="121"/>
      <c r="Q433" s="121"/>
      <c r="R433" s="121"/>
      <c r="S433" s="121"/>
      <c r="T433" s="121"/>
      <c r="U433" s="121"/>
      <c r="V433" s="121"/>
      <c r="W433" s="121"/>
      <c r="X433" s="117"/>
      <c r="Y433" s="117"/>
      <c r="Z433" s="121"/>
      <c r="AA433" s="121"/>
      <c r="AB433" s="236"/>
      <c r="AC433" s="236"/>
      <c r="AD433" s="236"/>
      <c r="AE433" s="236"/>
      <c r="AF433" s="236"/>
      <c r="AG433" s="236"/>
      <c r="AH433" s="236"/>
      <c r="AI433" s="236"/>
      <c r="AJ433" s="236"/>
      <c r="AK433" s="236"/>
      <c r="AL433" s="236"/>
      <c r="AM433" s="236"/>
      <c r="AN433" s="236"/>
      <c r="AO433" s="236"/>
      <c r="AP433" s="236"/>
      <c r="AQ433" s="236"/>
      <c r="AR433" s="236"/>
      <c r="AS433" s="236"/>
      <c r="AT433" s="236"/>
      <c r="AU433" s="236"/>
      <c r="AV433" s="236"/>
      <c r="AW433" s="236"/>
      <c r="AX433" s="236"/>
      <c r="AY433" s="236"/>
      <c r="AZ433" s="236"/>
      <c r="BA433" s="236"/>
      <c r="BB433" s="236"/>
      <c r="BC433" s="236"/>
      <c r="BD433" s="236"/>
      <c r="BE433" s="236"/>
      <c r="BF433" s="236"/>
      <c r="BG433" s="236"/>
      <c r="BH433" s="236"/>
      <c r="BI433" s="236"/>
      <c r="BJ433" s="236"/>
      <c r="BK433" s="236"/>
      <c r="BL433" s="236"/>
      <c r="BM433" s="236"/>
      <c r="BN433" s="236"/>
      <c r="BO433" s="236"/>
      <c r="BP433" s="236"/>
      <c r="BQ433" s="236"/>
      <c r="BR433" s="236"/>
      <c r="BS433" s="236"/>
      <c r="BT433" s="236"/>
      <c r="BU433" s="236"/>
      <c r="BV433" s="236"/>
      <c r="BW433" s="236"/>
      <c r="BX433" s="236"/>
      <c r="BY433" s="236"/>
      <c r="BZ433" s="236"/>
      <c r="CA433" s="236"/>
      <c r="CB433" s="236"/>
      <c r="CC433" s="236"/>
      <c r="CD433" s="236"/>
      <c r="CE433" s="236"/>
      <c r="CF433" s="236"/>
      <c r="CG433" s="236"/>
      <c r="CH433" s="236"/>
      <c r="CI433" s="236"/>
      <c r="CJ433" s="236"/>
      <c r="CK433" s="236"/>
      <c r="CL433" s="236"/>
      <c r="CM433" s="236"/>
      <c r="CN433" s="236"/>
      <c r="CO433" s="236"/>
      <c r="CP433" s="236"/>
      <c r="CQ433" s="236"/>
      <c r="CR433" s="236"/>
      <c r="CS433" s="236"/>
      <c r="CT433" s="236"/>
      <c r="CU433" s="236"/>
      <c r="CV433" s="236"/>
      <c r="CW433" s="236"/>
      <c r="CX433" s="236"/>
      <c r="CY433" s="236"/>
      <c r="CZ433" s="236"/>
      <c r="DA433" s="236"/>
      <c r="DB433" s="236"/>
      <c r="DC433" s="236"/>
      <c r="DD433" s="236"/>
      <c r="DE433" s="236"/>
      <c r="DF433" s="236"/>
      <c r="DG433" s="236"/>
      <c r="DH433" s="236"/>
      <c r="DI433" s="236"/>
      <c r="DJ433" s="236"/>
      <c r="DK433" s="236"/>
      <c r="DL433" s="236"/>
      <c r="DM433" s="236"/>
      <c r="DN433" s="236"/>
      <c r="DO433" s="236"/>
      <c r="DP433" s="236"/>
      <c r="DQ433" s="236"/>
      <c r="DR433" s="236"/>
      <c r="DS433" s="236"/>
      <c r="DT433" s="236"/>
      <c r="DU433" s="236"/>
      <c r="DV433" s="236"/>
      <c r="DW433" s="236"/>
      <c r="DX433" s="236"/>
      <c r="DY433" s="236"/>
      <c r="DZ433" s="236"/>
      <c r="EA433" s="236"/>
      <c r="EB433" s="237">
        <f t="shared" si="48"/>
        <v>0</v>
      </c>
      <c r="EC433" s="237">
        <f t="shared" si="49"/>
        <v>0</v>
      </c>
      <c r="ED433" s="237">
        <f t="shared" si="50"/>
        <v>0</v>
      </c>
      <c r="EE433" s="237">
        <f t="shared" si="51"/>
        <v>0</v>
      </c>
      <c r="EF433" s="121"/>
      <c r="EG433" s="238">
        <f t="shared" si="52"/>
        <v>0</v>
      </c>
      <c r="EH433" s="121"/>
      <c r="EI433" s="237">
        <f t="shared" si="53"/>
        <v>0</v>
      </c>
      <c r="EJ433" s="121"/>
      <c r="EK433" s="237">
        <f t="shared" si="54"/>
        <v>0</v>
      </c>
      <c r="EL433" s="237"/>
      <c r="EM433" s="5"/>
      <c r="EN433" s="5"/>
      <c r="EO433" s="5"/>
      <c r="EP433" s="5"/>
      <c r="EQ433" s="237">
        <f t="shared" si="55"/>
        <v>0</v>
      </c>
      <c r="ER433" s="239">
        <v>23300</v>
      </c>
      <c r="ES433" s="5">
        <v>7.5</v>
      </c>
    </row>
    <row r="434" spans="1:149" x14ac:dyDescent="0.3">
      <c r="A434" s="124"/>
      <c r="B434" s="121"/>
      <c r="C434" s="121"/>
      <c r="D434" s="121"/>
      <c r="E434" s="121"/>
      <c r="F434" s="121"/>
      <c r="G434" s="121"/>
      <c r="H434" s="121"/>
      <c r="I434" s="121"/>
      <c r="J434" s="121"/>
      <c r="K434" s="121"/>
      <c r="L434" s="121"/>
      <c r="M434" s="121"/>
      <c r="N434" s="121"/>
      <c r="O434" s="235"/>
      <c r="P434" s="121"/>
      <c r="Q434" s="121"/>
      <c r="R434" s="121"/>
      <c r="S434" s="121"/>
      <c r="T434" s="121"/>
      <c r="U434" s="121"/>
      <c r="V434" s="121"/>
      <c r="W434" s="121"/>
      <c r="X434" s="117"/>
      <c r="Y434" s="117"/>
      <c r="Z434" s="121"/>
      <c r="AA434" s="121"/>
      <c r="AB434" s="236"/>
      <c r="AC434" s="236"/>
      <c r="AD434" s="236"/>
      <c r="AE434" s="236"/>
      <c r="AF434" s="236"/>
      <c r="AG434" s="236"/>
      <c r="AH434" s="236"/>
      <c r="AI434" s="236"/>
      <c r="AJ434" s="236"/>
      <c r="AK434" s="236"/>
      <c r="AL434" s="236"/>
      <c r="AM434" s="236"/>
      <c r="AN434" s="236"/>
      <c r="AO434" s="236"/>
      <c r="AP434" s="236"/>
      <c r="AQ434" s="236"/>
      <c r="AR434" s="236"/>
      <c r="AS434" s="236"/>
      <c r="AT434" s="236"/>
      <c r="AU434" s="236"/>
      <c r="AV434" s="236"/>
      <c r="AW434" s="236"/>
      <c r="AX434" s="236"/>
      <c r="AY434" s="236"/>
      <c r="AZ434" s="236"/>
      <c r="BA434" s="236"/>
      <c r="BB434" s="236"/>
      <c r="BC434" s="236"/>
      <c r="BD434" s="236"/>
      <c r="BE434" s="236"/>
      <c r="BF434" s="236"/>
      <c r="BG434" s="236"/>
      <c r="BH434" s="236"/>
      <c r="BI434" s="236"/>
      <c r="BJ434" s="236"/>
      <c r="BK434" s="236"/>
      <c r="BL434" s="236"/>
      <c r="BM434" s="236"/>
      <c r="BN434" s="236"/>
      <c r="BO434" s="236"/>
      <c r="BP434" s="236"/>
      <c r="BQ434" s="236"/>
      <c r="BR434" s="236"/>
      <c r="BS434" s="236"/>
      <c r="BT434" s="236"/>
      <c r="BU434" s="236"/>
      <c r="BV434" s="236"/>
      <c r="BW434" s="236"/>
      <c r="BX434" s="236"/>
      <c r="BY434" s="236"/>
      <c r="BZ434" s="236"/>
      <c r="CA434" s="236"/>
      <c r="CB434" s="236"/>
      <c r="CC434" s="236"/>
      <c r="CD434" s="236"/>
      <c r="CE434" s="236"/>
      <c r="CF434" s="236"/>
      <c r="CG434" s="236"/>
      <c r="CH434" s="236"/>
      <c r="CI434" s="236"/>
      <c r="CJ434" s="236"/>
      <c r="CK434" s="236"/>
      <c r="CL434" s="236"/>
      <c r="CM434" s="236"/>
      <c r="CN434" s="236"/>
      <c r="CO434" s="236"/>
      <c r="CP434" s="236"/>
      <c r="CQ434" s="236"/>
      <c r="CR434" s="236"/>
      <c r="CS434" s="236"/>
      <c r="CT434" s="236"/>
      <c r="CU434" s="236"/>
      <c r="CV434" s="236"/>
      <c r="CW434" s="236"/>
      <c r="CX434" s="236"/>
      <c r="CY434" s="236"/>
      <c r="CZ434" s="236"/>
      <c r="DA434" s="236"/>
      <c r="DB434" s="236"/>
      <c r="DC434" s="236"/>
      <c r="DD434" s="236"/>
      <c r="DE434" s="236"/>
      <c r="DF434" s="236"/>
      <c r="DG434" s="236"/>
      <c r="DH434" s="236"/>
      <c r="DI434" s="236"/>
      <c r="DJ434" s="236"/>
      <c r="DK434" s="236"/>
      <c r="DL434" s="236"/>
      <c r="DM434" s="236"/>
      <c r="DN434" s="236"/>
      <c r="DO434" s="236"/>
      <c r="DP434" s="236"/>
      <c r="DQ434" s="236"/>
      <c r="DR434" s="236"/>
      <c r="DS434" s="236"/>
      <c r="DT434" s="236"/>
      <c r="DU434" s="236"/>
      <c r="DV434" s="236"/>
      <c r="DW434" s="236"/>
      <c r="DX434" s="236"/>
      <c r="DY434" s="236"/>
      <c r="DZ434" s="236"/>
      <c r="EA434" s="236"/>
      <c r="EB434" s="237">
        <f t="shared" si="48"/>
        <v>0</v>
      </c>
      <c r="EC434" s="237">
        <f t="shared" si="49"/>
        <v>0</v>
      </c>
      <c r="ED434" s="237">
        <f t="shared" si="50"/>
        <v>0</v>
      </c>
      <c r="EE434" s="237">
        <f t="shared" si="51"/>
        <v>0</v>
      </c>
      <c r="EF434" s="121"/>
      <c r="EG434" s="238">
        <f t="shared" si="52"/>
        <v>0</v>
      </c>
      <c r="EH434" s="121"/>
      <c r="EI434" s="237">
        <f t="shared" si="53"/>
        <v>0</v>
      </c>
      <c r="EJ434" s="121"/>
      <c r="EK434" s="237">
        <f t="shared" si="54"/>
        <v>0</v>
      </c>
      <c r="EL434" s="237"/>
      <c r="EM434" s="5"/>
      <c r="EN434" s="5"/>
      <c r="EO434" s="5"/>
      <c r="EP434" s="5"/>
      <c r="EQ434" s="237">
        <f t="shared" si="55"/>
        <v>0</v>
      </c>
      <c r="ER434" s="239">
        <v>23300</v>
      </c>
      <c r="ES434" s="5">
        <v>7.5</v>
      </c>
    </row>
    <row r="435" spans="1:149" x14ac:dyDescent="0.3">
      <c r="A435" s="124"/>
      <c r="B435" s="121"/>
      <c r="C435" s="121"/>
      <c r="D435" s="121"/>
      <c r="E435" s="121"/>
      <c r="F435" s="121"/>
      <c r="G435" s="121"/>
      <c r="H435" s="121"/>
      <c r="I435" s="121"/>
      <c r="J435" s="121"/>
      <c r="K435" s="121"/>
      <c r="L435" s="121"/>
      <c r="M435" s="121"/>
      <c r="N435" s="121"/>
      <c r="O435" s="235"/>
      <c r="P435" s="121"/>
      <c r="Q435" s="121"/>
      <c r="R435" s="121"/>
      <c r="S435" s="121"/>
      <c r="T435" s="121"/>
      <c r="U435" s="121"/>
      <c r="V435" s="121"/>
      <c r="W435" s="121"/>
      <c r="X435" s="117"/>
      <c r="Y435" s="117"/>
      <c r="Z435" s="121"/>
      <c r="AA435" s="121"/>
      <c r="AB435" s="236"/>
      <c r="AC435" s="236"/>
      <c r="AD435" s="236"/>
      <c r="AE435" s="236"/>
      <c r="AF435" s="236"/>
      <c r="AG435" s="236"/>
      <c r="AH435" s="236"/>
      <c r="AI435" s="236"/>
      <c r="AJ435" s="236"/>
      <c r="AK435" s="236"/>
      <c r="AL435" s="236"/>
      <c r="AM435" s="236"/>
      <c r="AN435" s="236"/>
      <c r="AO435" s="236"/>
      <c r="AP435" s="236"/>
      <c r="AQ435" s="236"/>
      <c r="AR435" s="236"/>
      <c r="AS435" s="236"/>
      <c r="AT435" s="236"/>
      <c r="AU435" s="236"/>
      <c r="AV435" s="236"/>
      <c r="AW435" s="236"/>
      <c r="AX435" s="236"/>
      <c r="AY435" s="236"/>
      <c r="AZ435" s="236"/>
      <c r="BA435" s="236"/>
      <c r="BB435" s="236"/>
      <c r="BC435" s="236"/>
      <c r="BD435" s="236"/>
      <c r="BE435" s="236"/>
      <c r="BF435" s="236"/>
      <c r="BG435" s="236"/>
      <c r="BH435" s="236"/>
      <c r="BI435" s="236"/>
      <c r="BJ435" s="236"/>
      <c r="BK435" s="236"/>
      <c r="BL435" s="236"/>
      <c r="BM435" s="236"/>
      <c r="BN435" s="236"/>
      <c r="BO435" s="236"/>
      <c r="BP435" s="236"/>
      <c r="BQ435" s="236"/>
      <c r="BR435" s="236"/>
      <c r="BS435" s="236"/>
      <c r="BT435" s="236"/>
      <c r="BU435" s="236"/>
      <c r="BV435" s="236"/>
      <c r="BW435" s="236"/>
      <c r="BX435" s="236"/>
      <c r="BY435" s="236"/>
      <c r="BZ435" s="236"/>
      <c r="CA435" s="236"/>
      <c r="CB435" s="236"/>
      <c r="CC435" s="236"/>
      <c r="CD435" s="236"/>
      <c r="CE435" s="236"/>
      <c r="CF435" s="236"/>
      <c r="CG435" s="236"/>
      <c r="CH435" s="236"/>
      <c r="CI435" s="236"/>
      <c r="CJ435" s="236"/>
      <c r="CK435" s="236"/>
      <c r="CL435" s="236"/>
      <c r="CM435" s="236"/>
      <c r="CN435" s="236"/>
      <c r="CO435" s="236"/>
      <c r="CP435" s="236"/>
      <c r="CQ435" s="236"/>
      <c r="CR435" s="236"/>
      <c r="CS435" s="236"/>
      <c r="CT435" s="236"/>
      <c r="CU435" s="236"/>
      <c r="CV435" s="236"/>
      <c r="CW435" s="236"/>
      <c r="CX435" s="236"/>
      <c r="CY435" s="236"/>
      <c r="CZ435" s="236"/>
      <c r="DA435" s="236"/>
      <c r="DB435" s="236"/>
      <c r="DC435" s="236"/>
      <c r="DD435" s="236"/>
      <c r="DE435" s="236"/>
      <c r="DF435" s="236"/>
      <c r="DG435" s="236"/>
      <c r="DH435" s="236"/>
      <c r="DI435" s="236"/>
      <c r="DJ435" s="236"/>
      <c r="DK435" s="236"/>
      <c r="DL435" s="236"/>
      <c r="DM435" s="236"/>
      <c r="DN435" s="236"/>
      <c r="DO435" s="236"/>
      <c r="DP435" s="236"/>
      <c r="DQ435" s="236"/>
      <c r="DR435" s="236"/>
      <c r="DS435" s="236"/>
      <c r="DT435" s="236"/>
      <c r="DU435" s="236"/>
      <c r="DV435" s="236"/>
      <c r="DW435" s="236"/>
      <c r="DX435" s="236"/>
      <c r="DY435" s="236"/>
      <c r="DZ435" s="236"/>
      <c r="EA435" s="236"/>
      <c r="EB435" s="237">
        <f t="shared" si="48"/>
        <v>0</v>
      </c>
      <c r="EC435" s="237">
        <f t="shared" si="49"/>
        <v>0</v>
      </c>
      <c r="ED435" s="237">
        <f t="shared" si="50"/>
        <v>0</v>
      </c>
      <c r="EE435" s="237">
        <f t="shared" si="51"/>
        <v>0</v>
      </c>
      <c r="EF435" s="121"/>
      <c r="EG435" s="238">
        <f t="shared" si="52"/>
        <v>0</v>
      </c>
      <c r="EH435" s="121"/>
      <c r="EI435" s="237">
        <f t="shared" si="53"/>
        <v>0</v>
      </c>
      <c r="EJ435" s="121"/>
      <c r="EK435" s="237">
        <f t="shared" si="54"/>
        <v>0</v>
      </c>
      <c r="EL435" s="237"/>
      <c r="EM435" s="5"/>
      <c r="EN435" s="5"/>
      <c r="EO435" s="5"/>
      <c r="EP435" s="5"/>
      <c r="EQ435" s="237">
        <f t="shared" si="55"/>
        <v>0</v>
      </c>
      <c r="ER435" s="239">
        <v>23300</v>
      </c>
      <c r="ES435" s="5">
        <v>7.5</v>
      </c>
    </row>
    <row r="436" spans="1:149" x14ac:dyDescent="0.3">
      <c r="A436" s="124"/>
      <c r="B436" s="121"/>
      <c r="C436" s="121"/>
      <c r="D436" s="121"/>
      <c r="E436" s="121"/>
      <c r="F436" s="121"/>
      <c r="G436" s="121"/>
      <c r="H436" s="121"/>
      <c r="I436" s="121"/>
      <c r="J436" s="121"/>
      <c r="K436" s="121"/>
      <c r="L436" s="121"/>
      <c r="M436" s="121"/>
      <c r="N436" s="121"/>
      <c r="O436" s="235"/>
      <c r="P436" s="121"/>
      <c r="Q436" s="121"/>
      <c r="R436" s="121"/>
      <c r="S436" s="121"/>
      <c r="T436" s="121"/>
      <c r="U436" s="121"/>
      <c r="V436" s="121"/>
      <c r="W436" s="121"/>
      <c r="X436" s="117"/>
      <c r="Y436" s="117"/>
      <c r="Z436" s="121"/>
      <c r="AA436" s="121"/>
      <c r="AB436" s="236"/>
      <c r="AC436" s="236"/>
      <c r="AD436" s="236"/>
      <c r="AE436" s="236"/>
      <c r="AF436" s="236"/>
      <c r="AG436" s="236"/>
      <c r="AH436" s="236"/>
      <c r="AI436" s="236"/>
      <c r="AJ436" s="236"/>
      <c r="AK436" s="236"/>
      <c r="AL436" s="236"/>
      <c r="AM436" s="236"/>
      <c r="AN436" s="236"/>
      <c r="AO436" s="236"/>
      <c r="AP436" s="236"/>
      <c r="AQ436" s="236"/>
      <c r="AR436" s="236"/>
      <c r="AS436" s="236"/>
      <c r="AT436" s="236"/>
      <c r="AU436" s="236"/>
      <c r="AV436" s="236"/>
      <c r="AW436" s="236"/>
      <c r="AX436" s="236"/>
      <c r="AY436" s="236"/>
      <c r="AZ436" s="236"/>
      <c r="BA436" s="236"/>
      <c r="BB436" s="236"/>
      <c r="BC436" s="236"/>
      <c r="BD436" s="236"/>
      <c r="BE436" s="236"/>
      <c r="BF436" s="236"/>
      <c r="BG436" s="236"/>
      <c r="BH436" s="236"/>
      <c r="BI436" s="236"/>
      <c r="BJ436" s="236"/>
      <c r="BK436" s="236"/>
      <c r="BL436" s="236"/>
      <c r="BM436" s="236"/>
      <c r="BN436" s="236"/>
      <c r="BO436" s="236"/>
      <c r="BP436" s="236"/>
      <c r="BQ436" s="236"/>
      <c r="BR436" s="236"/>
      <c r="BS436" s="236"/>
      <c r="BT436" s="236"/>
      <c r="BU436" s="236"/>
      <c r="BV436" s="236"/>
      <c r="BW436" s="236"/>
      <c r="BX436" s="236"/>
      <c r="BY436" s="236"/>
      <c r="BZ436" s="236"/>
      <c r="CA436" s="236"/>
      <c r="CB436" s="236"/>
      <c r="CC436" s="236"/>
      <c r="CD436" s="236"/>
      <c r="CE436" s="236"/>
      <c r="CF436" s="236"/>
      <c r="CG436" s="236"/>
      <c r="CH436" s="236"/>
      <c r="CI436" s="236"/>
      <c r="CJ436" s="236"/>
      <c r="CK436" s="236"/>
      <c r="CL436" s="236"/>
      <c r="CM436" s="236"/>
      <c r="CN436" s="236"/>
      <c r="CO436" s="236"/>
      <c r="CP436" s="236"/>
      <c r="CQ436" s="236"/>
      <c r="CR436" s="236"/>
      <c r="CS436" s="236"/>
      <c r="CT436" s="236"/>
      <c r="CU436" s="236"/>
      <c r="CV436" s="236"/>
      <c r="CW436" s="236"/>
      <c r="CX436" s="236"/>
      <c r="CY436" s="236"/>
      <c r="CZ436" s="236"/>
      <c r="DA436" s="236"/>
      <c r="DB436" s="236"/>
      <c r="DC436" s="236"/>
      <c r="DD436" s="236"/>
      <c r="DE436" s="236"/>
      <c r="DF436" s="236"/>
      <c r="DG436" s="236"/>
      <c r="DH436" s="236"/>
      <c r="DI436" s="236"/>
      <c r="DJ436" s="236"/>
      <c r="DK436" s="236"/>
      <c r="DL436" s="236"/>
      <c r="DM436" s="236"/>
      <c r="DN436" s="236"/>
      <c r="DO436" s="236"/>
      <c r="DP436" s="236"/>
      <c r="DQ436" s="236"/>
      <c r="DR436" s="236"/>
      <c r="DS436" s="236"/>
      <c r="DT436" s="236"/>
      <c r="DU436" s="236"/>
      <c r="DV436" s="236"/>
      <c r="DW436" s="236"/>
      <c r="DX436" s="236"/>
      <c r="DY436" s="236"/>
      <c r="DZ436" s="236"/>
      <c r="EA436" s="236"/>
      <c r="EB436" s="237">
        <f t="shared" si="48"/>
        <v>0</v>
      </c>
      <c r="EC436" s="237">
        <f t="shared" si="49"/>
        <v>0</v>
      </c>
      <c r="ED436" s="237">
        <f t="shared" si="50"/>
        <v>0</v>
      </c>
      <c r="EE436" s="237">
        <f t="shared" si="51"/>
        <v>0</v>
      </c>
      <c r="EF436" s="121"/>
      <c r="EG436" s="238">
        <f t="shared" si="52"/>
        <v>0</v>
      </c>
      <c r="EH436" s="121"/>
      <c r="EI436" s="237">
        <f t="shared" si="53"/>
        <v>0</v>
      </c>
      <c r="EJ436" s="121"/>
      <c r="EK436" s="237">
        <f t="shared" si="54"/>
        <v>0</v>
      </c>
      <c r="EL436" s="237"/>
      <c r="EM436" s="5"/>
      <c r="EN436" s="5"/>
      <c r="EO436" s="5"/>
      <c r="EP436" s="5"/>
      <c r="EQ436" s="237">
        <f t="shared" si="55"/>
        <v>0</v>
      </c>
      <c r="ER436" s="239">
        <v>23300</v>
      </c>
      <c r="ES436" s="5">
        <v>7.5</v>
      </c>
    </row>
    <row r="437" spans="1:149" x14ac:dyDescent="0.3">
      <c r="A437" s="124"/>
      <c r="B437" s="121"/>
      <c r="C437" s="121"/>
      <c r="D437" s="121"/>
      <c r="E437" s="121"/>
      <c r="F437" s="121"/>
      <c r="G437" s="121"/>
      <c r="H437" s="121"/>
      <c r="I437" s="121"/>
      <c r="J437" s="121"/>
      <c r="K437" s="121"/>
      <c r="L437" s="121"/>
      <c r="M437" s="121"/>
      <c r="N437" s="121"/>
      <c r="O437" s="235"/>
      <c r="P437" s="121"/>
      <c r="Q437" s="121"/>
      <c r="R437" s="121"/>
      <c r="S437" s="121"/>
      <c r="T437" s="121"/>
      <c r="U437" s="121"/>
      <c r="V437" s="121"/>
      <c r="W437" s="121"/>
      <c r="X437" s="117"/>
      <c r="Y437" s="117"/>
      <c r="Z437" s="121"/>
      <c r="AA437" s="121"/>
      <c r="AB437" s="236"/>
      <c r="AC437" s="236"/>
      <c r="AD437" s="236"/>
      <c r="AE437" s="236"/>
      <c r="AF437" s="236"/>
      <c r="AG437" s="236"/>
      <c r="AH437" s="236"/>
      <c r="AI437" s="236"/>
      <c r="AJ437" s="236"/>
      <c r="AK437" s="236"/>
      <c r="AL437" s="236"/>
      <c r="AM437" s="236"/>
      <c r="AN437" s="236"/>
      <c r="AO437" s="236"/>
      <c r="AP437" s="236"/>
      <c r="AQ437" s="236"/>
      <c r="AR437" s="236"/>
      <c r="AS437" s="236"/>
      <c r="AT437" s="236"/>
      <c r="AU437" s="236"/>
      <c r="AV437" s="236"/>
      <c r="AW437" s="236"/>
      <c r="AX437" s="236"/>
      <c r="AY437" s="236"/>
      <c r="AZ437" s="236"/>
      <c r="BA437" s="236"/>
      <c r="BB437" s="236"/>
      <c r="BC437" s="236"/>
      <c r="BD437" s="236"/>
      <c r="BE437" s="236"/>
      <c r="BF437" s="236"/>
      <c r="BG437" s="236"/>
      <c r="BH437" s="236"/>
      <c r="BI437" s="236"/>
      <c r="BJ437" s="236"/>
      <c r="BK437" s="236"/>
      <c r="BL437" s="236"/>
      <c r="BM437" s="236"/>
      <c r="BN437" s="236"/>
      <c r="BO437" s="236"/>
      <c r="BP437" s="236"/>
      <c r="BQ437" s="236"/>
      <c r="BR437" s="236"/>
      <c r="BS437" s="236"/>
      <c r="BT437" s="236"/>
      <c r="BU437" s="236"/>
      <c r="BV437" s="236"/>
      <c r="BW437" s="236"/>
      <c r="BX437" s="236"/>
      <c r="BY437" s="236"/>
      <c r="BZ437" s="236"/>
      <c r="CA437" s="236"/>
      <c r="CB437" s="236"/>
      <c r="CC437" s="236"/>
      <c r="CD437" s="236"/>
      <c r="CE437" s="236"/>
      <c r="CF437" s="236"/>
      <c r="CG437" s="236"/>
      <c r="CH437" s="236"/>
      <c r="CI437" s="236"/>
      <c r="CJ437" s="236"/>
      <c r="CK437" s="236"/>
      <c r="CL437" s="236"/>
      <c r="CM437" s="236"/>
      <c r="CN437" s="236"/>
      <c r="CO437" s="236"/>
      <c r="CP437" s="236"/>
      <c r="CQ437" s="236"/>
      <c r="CR437" s="236"/>
      <c r="CS437" s="236"/>
      <c r="CT437" s="236"/>
      <c r="CU437" s="236"/>
      <c r="CV437" s="236"/>
      <c r="CW437" s="236"/>
      <c r="CX437" s="236"/>
      <c r="CY437" s="236"/>
      <c r="CZ437" s="236"/>
      <c r="DA437" s="236"/>
      <c r="DB437" s="236"/>
      <c r="DC437" s="236"/>
      <c r="DD437" s="236"/>
      <c r="DE437" s="236"/>
      <c r="DF437" s="236"/>
      <c r="DG437" s="236"/>
      <c r="DH437" s="236"/>
      <c r="DI437" s="236"/>
      <c r="DJ437" s="236"/>
      <c r="DK437" s="236"/>
      <c r="DL437" s="236"/>
      <c r="DM437" s="236"/>
      <c r="DN437" s="236"/>
      <c r="DO437" s="236"/>
      <c r="DP437" s="236"/>
      <c r="DQ437" s="236"/>
      <c r="DR437" s="236"/>
      <c r="DS437" s="236"/>
      <c r="DT437" s="236"/>
      <c r="DU437" s="236"/>
      <c r="DV437" s="236"/>
      <c r="DW437" s="236"/>
      <c r="DX437" s="236"/>
      <c r="DY437" s="236"/>
      <c r="DZ437" s="236"/>
      <c r="EA437" s="236"/>
      <c r="EB437" s="237">
        <f t="shared" si="48"/>
        <v>0</v>
      </c>
      <c r="EC437" s="237">
        <f t="shared" si="49"/>
        <v>0</v>
      </c>
      <c r="ED437" s="237">
        <f t="shared" si="50"/>
        <v>0</v>
      </c>
      <c r="EE437" s="237">
        <f t="shared" si="51"/>
        <v>0</v>
      </c>
      <c r="EF437" s="121"/>
      <c r="EG437" s="238">
        <f t="shared" si="52"/>
        <v>0</v>
      </c>
      <c r="EH437" s="121"/>
      <c r="EI437" s="237">
        <f t="shared" si="53"/>
        <v>0</v>
      </c>
      <c r="EJ437" s="121"/>
      <c r="EK437" s="237">
        <f t="shared" si="54"/>
        <v>0</v>
      </c>
      <c r="EL437" s="237"/>
      <c r="EM437" s="5"/>
      <c r="EN437" s="5"/>
      <c r="EO437" s="5"/>
      <c r="EP437" s="5"/>
      <c r="EQ437" s="237">
        <f t="shared" si="55"/>
        <v>0</v>
      </c>
      <c r="ER437" s="239">
        <v>23300</v>
      </c>
      <c r="ES437" s="5">
        <v>7.5</v>
      </c>
    </row>
    <row r="438" spans="1:149" x14ac:dyDescent="0.3">
      <c r="A438" s="124"/>
      <c r="B438" s="121"/>
      <c r="C438" s="121"/>
      <c r="D438" s="121"/>
      <c r="E438" s="121"/>
      <c r="F438" s="121"/>
      <c r="G438" s="121"/>
      <c r="H438" s="121"/>
      <c r="I438" s="121"/>
      <c r="J438" s="121"/>
      <c r="K438" s="121"/>
      <c r="L438" s="121"/>
      <c r="M438" s="121"/>
      <c r="N438" s="121"/>
      <c r="O438" s="235"/>
      <c r="P438" s="121"/>
      <c r="Q438" s="121"/>
      <c r="R438" s="121"/>
      <c r="S438" s="121"/>
      <c r="T438" s="121"/>
      <c r="U438" s="121"/>
      <c r="V438" s="121"/>
      <c r="W438" s="121"/>
      <c r="X438" s="117"/>
      <c r="Y438" s="117"/>
      <c r="Z438" s="121"/>
      <c r="AA438" s="121"/>
      <c r="AB438" s="236"/>
      <c r="AC438" s="236"/>
      <c r="AD438" s="236"/>
      <c r="AE438" s="236"/>
      <c r="AF438" s="236"/>
      <c r="AG438" s="236"/>
      <c r="AH438" s="236"/>
      <c r="AI438" s="236"/>
      <c r="AJ438" s="236"/>
      <c r="AK438" s="236"/>
      <c r="AL438" s="236"/>
      <c r="AM438" s="236"/>
      <c r="AN438" s="236"/>
      <c r="AO438" s="236"/>
      <c r="AP438" s="236"/>
      <c r="AQ438" s="236"/>
      <c r="AR438" s="236"/>
      <c r="AS438" s="236"/>
      <c r="AT438" s="236"/>
      <c r="AU438" s="236"/>
      <c r="AV438" s="236"/>
      <c r="AW438" s="236"/>
      <c r="AX438" s="236"/>
      <c r="AY438" s="236"/>
      <c r="AZ438" s="236"/>
      <c r="BA438" s="236"/>
      <c r="BB438" s="236"/>
      <c r="BC438" s="236"/>
      <c r="BD438" s="236"/>
      <c r="BE438" s="236"/>
      <c r="BF438" s="236"/>
      <c r="BG438" s="236"/>
      <c r="BH438" s="236"/>
      <c r="BI438" s="236"/>
      <c r="BJ438" s="236"/>
      <c r="BK438" s="236"/>
      <c r="BL438" s="236"/>
      <c r="BM438" s="236"/>
      <c r="BN438" s="236"/>
      <c r="BO438" s="236"/>
      <c r="BP438" s="236"/>
      <c r="BQ438" s="236"/>
      <c r="BR438" s="236"/>
      <c r="BS438" s="236"/>
      <c r="BT438" s="236"/>
      <c r="BU438" s="236"/>
      <c r="BV438" s="236"/>
      <c r="BW438" s="236"/>
      <c r="BX438" s="236"/>
      <c r="BY438" s="236"/>
      <c r="BZ438" s="236"/>
      <c r="CA438" s="236"/>
      <c r="CB438" s="236"/>
      <c r="CC438" s="236"/>
      <c r="CD438" s="236"/>
      <c r="CE438" s="236"/>
      <c r="CF438" s="236"/>
      <c r="CG438" s="236"/>
      <c r="CH438" s="236"/>
      <c r="CI438" s="236"/>
      <c r="CJ438" s="236"/>
      <c r="CK438" s="236"/>
      <c r="CL438" s="236"/>
      <c r="CM438" s="236"/>
      <c r="CN438" s="236"/>
      <c r="CO438" s="236"/>
      <c r="CP438" s="236"/>
      <c r="CQ438" s="236"/>
      <c r="CR438" s="236"/>
      <c r="CS438" s="236"/>
      <c r="CT438" s="236"/>
      <c r="CU438" s="236"/>
      <c r="CV438" s="236"/>
      <c r="CW438" s="236"/>
      <c r="CX438" s="236"/>
      <c r="CY438" s="236"/>
      <c r="CZ438" s="236"/>
      <c r="DA438" s="236"/>
      <c r="DB438" s="236"/>
      <c r="DC438" s="236"/>
      <c r="DD438" s="236"/>
      <c r="DE438" s="236"/>
      <c r="DF438" s="236"/>
      <c r="DG438" s="236"/>
      <c r="DH438" s="236"/>
      <c r="DI438" s="236"/>
      <c r="DJ438" s="236"/>
      <c r="DK438" s="236"/>
      <c r="DL438" s="236"/>
      <c r="DM438" s="236"/>
      <c r="DN438" s="236"/>
      <c r="DO438" s="236"/>
      <c r="DP438" s="236"/>
      <c r="DQ438" s="236"/>
      <c r="DR438" s="236"/>
      <c r="DS438" s="236"/>
      <c r="DT438" s="236"/>
      <c r="DU438" s="236"/>
      <c r="DV438" s="236"/>
      <c r="DW438" s="236"/>
      <c r="DX438" s="236"/>
      <c r="DY438" s="236"/>
      <c r="DZ438" s="236"/>
      <c r="EA438" s="236"/>
      <c r="EB438" s="237">
        <f t="shared" si="48"/>
        <v>0</v>
      </c>
      <c r="EC438" s="237">
        <f t="shared" si="49"/>
        <v>0</v>
      </c>
      <c r="ED438" s="237">
        <f t="shared" si="50"/>
        <v>0</v>
      </c>
      <c r="EE438" s="237">
        <f t="shared" si="51"/>
        <v>0</v>
      </c>
      <c r="EF438" s="121"/>
      <c r="EG438" s="238">
        <f t="shared" si="52"/>
        <v>0</v>
      </c>
      <c r="EH438" s="121"/>
      <c r="EI438" s="237">
        <f t="shared" si="53"/>
        <v>0</v>
      </c>
      <c r="EJ438" s="121"/>
      <c r="EK438" s="237">
        <f t="shared" si="54"/>
        <v>0</v>
      </c>
      <c r="EL438" s="237"/>
      <c r="EM438" s="5"/>
      <c r="EN438" s="5"/>
      <c r="EO438" s="5"/>
      <c r="EP438" s="5"/>
      <c r="EQ438" s="237">
        <f t="shared" si="55"/>
        <v>0</v>
      </c>
      <c r="ER438" s="239">
        <v>23300</v>
      </c>
      <c r="ES438" s="5">
        <v>7.5</v>
      </c>
    </row>
    <row r="439" spans="1:149" x14ac:dyDescent="0.3">
      <c r="A439" s="124"/>
      <c r="B439" s="121"/>
      <c r="C439" s="121"/>
      <c r="D439" s="121"/>
      <c r="E439" s="121"/>
      <c r="F439" s="121"/>
      <c r="G439" s="121"/>
      <c r="H439" s="121"/>
      <c r="I439" s="121"/>
      <c r="J439" s="121"/>
      <c r="K439" s="121"/>
      <c r="L439" s="121"/>
      <c r="M439" s="121"/>
      <c r="N439" s="121"/>
      <c r="O439" s="235"/>
      <c r="P439" s="121"/>
      <c r="Q439" s="121"/>
      <c r="R439" s="121"/>
      <c r="S439" s="121"/>
      <c r="T439" s="121"/>
      <c r="U439" s="121"/>
      <c r="V439" s="121"/>
      <c r="W439" s="121"/>
      <c r="X439" s="117"/>
      <c r="Y439" s="117"/>
      <c r="Z439" s="121"/>
      <c r="AA439" s="121"/>
      <c r="AB439" s="236"/>
      <c r="AC439" s="236"/>
      <c r="AD439" s="236"/>
      <c r="AE439" s="236"/>
      <c r="AF439" s="236"/>
      <c r="AG439" s="236"/>
      <c r="AH439" s="236"/>
      <c r="AI439" s="236"/>
      <c r="AJ439" s="236"/>
      <c r="AK439" s="236"/>
      <c r="AL439" s="236"/>
      <c r="AM439" s="236"/>
      <c r="AN439" s="236"/>
      <c r="AO439" s="236"/>
      <c r="AP439" s="236"/>
      <c r="AQ439" s="236"/>
      <c r="AR439" s="236"/>
      <c r="AS439" s="236"/>
      <c r="AT439" s="236"/>
      <c r="AU439" s="236"/>
      <c r="AV439" s="236"/>
      <c r="AW439" s="236"/>
      <c r="AX439" s="236"/>
      <c r="AY439" s="236"/>
      <c r="AZ439" s="236"/>
      <c r="BA439" s="236"/>
      <c r="BB439" s="236"/>
      <c r="BC439" s="236"/>
      <c r="BD439" s="236"/>
      <c r="BE439" s="236"/>
      <c r="BF439" s="236"/>
      <c r="BG439" s="236"/>
      <c r="BH439" s="236"/>
      <c r="BI439" s="236"/>
      <c r="BJ439" s="236"/>
      <c r="BK439" s="236"/>
      <c r="BL439" s="236"/>
      <c r="BM439" s="236"/>
      <c r="BN439" s="236"/>
      <c r="BO439" s="236"/>
      <c r="BP439" s="236"/>
      <c r="BQ439" s="236"/>
      <c r="BR439" s="236"/>
      <c r="BS439" s="236"/>
      <c r="BT439" s="236"/>
      <c r="BU439" s="236"/>
      <c r="BV439" s="236"/>
      <c r="BW439" s="236"/>
      <c r="BX439" s="236"/>
      <c r="BY439" s="236"/>
      <c r="BZ439" s="236"/>
      <c r="CA439" s="236"/>
      <c r="CB439" s="236"/>
      <c r="CC439" s="236"/>
      <c r="CD439" s="236"/>
      <c r="CE439" s="236"/>
      <c r="CF439" s="236"/>
      <c r="CG439" s="236"/>
      <c r="CH439" s="236"/>
      <c r="CI439" s="236"/>
      <c r="CJ439" s="236"/>
      <c r="CK439" s="236"/>
      <c r="CL439" s="236"/>
      <c r="CM439" s="236"/>
      <c r="CN439" s="236"/>
      <c r="CO439" s="236"/>
      <c r="CP439" s="236"/>
      <c r="CQ439" s="236"/>
      <c r="CR439" s="236"/>
      <c r="CS439" s="236"/>
      <c r="CT439" s="236"/>
      <c r="CU439" s="236"/>
      <c r="CV439" s="236"/>
      <c r="CW439" s="236"/>
      <c r="CX439" s="236"/>
      <c r="CY439" s="236"/>
      <c r="CZ439" s="236"/>
      <c r="DA439" s="236"/>
      <c r="DB439" s="236"/>
      <c r="DC439" s="236"/>
      <c r="DD439" s="236"/>
      <c r="DE439" s="236"/>
      <c r="DF439" s="236"/>
      <c r="DG439" s="236"/>
      <c r="DH439" s="236"/>
      <c r="DI439" s="236"/>
      <c r="DJ439" s="236"/>
      <c r="DK439" s="236"/>
      <c r="DL439" s="236"/>
      <c r="DM439" s="236"/>
      <c r="DN439" s="236"/>
      <c r="DO439" s="236"/>
      <c r="DP439" s="236"/>
      <c r="DQ439" s="236"/>
      <c r="DR439" s="236"/>
      <c r="DS439" s="236"/>
      <c r="DT439" s="236"/>
      <c r="DU439" s="236"/>
      <c r="DV439" s="236"/>
      <c r="DW439" s="236"/>
      <c r="DX439" s="236"/>
      <c r="DY439" s="236"/>
      <c r="DZ439" s="236"/>
      <c r="EA439" s="236"/>
      <c r="EB439" s="237">
        <f t="shared" si="48"/>
        <v>0</v>
      </c>
      <c r="EC439" s="237">
        <f t="shared" si="49"/>
        <v>0</v>
      </c>
      <c r="ED439" s="237">
        <f t="shared" si="50"/>
        <v>0</v>
      </c>
      <c r="EE439" s="237">
        <f t="shared" si="51"/>
        <v>0</v>
      </c>
      <c r="EF439" s="121"/>
      <c r="EG439" s="238">
        <f t="shared" si="52"/>
        <v>0</v>
      </c>
      <c r="EH439" s="121"/>
      <c r="EI439" s="237">
        <f t="shared" si="53"/>
        <v>0</v>
      </c>
      <c r="EJ439" s="121"/>
      <c r="EK439" s="237">
        <f t="shared" si="54"/>
        <v>0</v>
      </c>
      <c r="EL439" s="237"/>
      <c r="EM439" s="5"/>
      <c r="EN439" s="5"/>
      <c r="EO439" s="5"/>
      <c r="EP439" s="5"/>
      <c r="EQ439" s="237">
        <f t="shared" si="55"/>
        <v>0</v>
      </c>
      <c r="ER439" s="239">
        <v>23300</v>
      </c>
      <c r="ES439" s="5">
        <v>7.5</v>
      </c>
    </row>
    <row r="440" spans="1:149" x14ac:dyDescent="0.3">
      <c r="A440" s="124"/>
      <c r="B440" s="121"/>
      <c r="C440" s="121"/>
      <c r="D440" s="121"/>
      <c r="E440" s="121"/>
      <c r="F440" s="121"/>
      <c r="G440" s="121"/>
      <c r="H440" s="121"/>
      <c r="I440" s="121"/>
      <c r="J440" s="121"/>
      <c r="K440" s="121"/>
      <c r="L440" s="121"/>
      <c r="M440" s="121"/>
      <c r="N440" s="121"/>
      <c r="O440" s="235"/>
      <c r="P440" s="121"/>
      <c r="Q440" s="121"/>
      <c r="R440" s="121"/>
      <c r="S440" s="121"/>
      <c r="T440" s="121"/>
      <c r="U440" s="121"/>
      <c r="V440" s="121"/>
      <c r="W440" s="121"/>
      <c r="X440" s="117"/>
      <c r="Y440" s="117"/>
      <c r="Z440" s="121"/>
      <c r="AA440" s="121"/>
      <c r="AB440" s="236"/>
      <c r="AC440" s="236"/>
      <c r="AD440" s="236"/>
      <c r="AE440" s="236"/>
      <c r="AF440" s="236"/>
      <c r="AG440" s="236"/>
      <c r="AH440" s="236"/>
      <c r="AI440" s="236"/>
      <c r="AJ440" s="236"/>
      <c r="AK440" s="236"/>
      <c r="AL440" s="236"/>
      <c r="AM440" s="236"/>
      <c r="AN440" s="236"/>
      <c r="AO440" s="236"/>
      <c r="AP440" s="236"/>
      <c r="AQ440" s="236"/>
      <c r="AR440" s="236"/>
      <c r="AS440" s="236"/>
      <c r="AT440" s="236"/>
      <c r="AU440" s="236"/>
      <c r="AV440" s="236"/>
      <c r="AW440" s="236"/>
      <c r="AX440" s="236"/>
      <c r="AY440" s="236"/>
      <c r="AZ440" s="236"/>
      <c r="BA440" s="236"/>
      <c r="BB440" s="236"/>
      <c r="BC440" s="236"/>
      <c r="BD440" s="236"/>
      <c r="BE440" s="236"/>
      <c r="BF440" s="236"/>
      <c r="BG440" s="236"/>
      <c r="BH440" s="236"/>
      <c r="BI440" s="236"/>
      <c r="BJ440" s="236"/>
      <c r="BK440" s="236"/>
      <c r="BL440" s="236"/>
      <c r="BM440" s="236"/>
      <c r="BN440" s="236"/>
      <c r="BO440" s="236"/>
      <c r="BP440" s="236"/>
      <c r="BQ440" s="236"/>
      <c r="BR440" s="236"/>
      <c r="BS440" s="236"/>
      <c r="BT440" s="236"/>
      <c r="BU440" s="236"/>
      <c r="BV440" s="236"/>
      <c r="BW440" s="236"/>
      <c r="BX440" s="236"/>
      <c r="BY440" s="236"/>
      <c r="BZ440" s="236"/>
      <c r="CA440" s="236"/>
      <c r="CB440" s="236"/>
      <c r="CC440" s="236"/>
      <c r="CD440" s="236"/>
      <c r="CE440" s="236"/>
      <c r="CF440" s="236"/>
      <c r="CG440" s="236"/>
      <c r="CH440" s="236"/>
      <c r="CI440" s="236"/>
      <c r="CJ440" s="236"/>
      <c r="CK440" s="236"/>
      <c r="CL440" s="236"/>
      <c r="CM440" s="236"/>
      <c r="CN440" s="236"/>
      <c r="CO440" s="236"/>
      <c r="CP440" s="236"/>
      <c r="CQ440" s="236"/>
      <c r="CR440" s="236"/>
      <c r="CS440" s="236"/>
      <c r="CT440" s="236"/>
      <c r="CU440" s="236"/>
      <c r="CV440" s="236"/>
      <c r="CW440" s="236"/>
      <c r="CX440" s="236"/>
      <c r="CY440" s="236"/>
      <c r="CZ440" s="236"/>
      <c r="DA440" s="236"/>
      <c r="DB440" s="236"/>
      <c r="DC440" s="236"/>
      <c r="DD440" s="236"/>
      <c r="DE440" s="236"/>
      <c r="DF440" s="236"/>
      <c r="DG440" s="236"/>
      <c r="DH440" s="236"/>
      <c r="DI440" s="236"/>
      <c r="DJ440" s="236"/>
      <c r="DK440" s="236"/>
      <c r="DL440" s="236"/>
      <c r="DM440" s="236"/>
      <c r="DN440" s="236"/>
      <c r="DO440" s="236"/>
      <c r="DP440" s="236"/>
      <c r="DQ440" s="236"/>
      <c r="DR440" s="236"/>
      <c r="DS440" s="236"/>
      <c r="DT440" s="236"/>
      <c r="DU440" s="236"/>
      <c r="DV440" s="236"/>
      <c r="DW440" s="236"/>
      <c r="DX440" s="236"/>
      <c r="DY440" s="236"/>
      <c r="DZ440" s="236"/>
      <c r="EA440" s="236"/>
      <c r="EB440" s="237">
        <f t="shared" si="48"/>
        <v>0</v>
      </c>
      <c r="EC440" s="237">
        <f t="shared" si="49"/>
        <v>0</v>
      </c>
      <c r="ED440" s="237">
        <f t="shared" si="50"/>
        <v>0</v>
      </c>
      <c r="EE440" s="237">
        <f t="shared" si="51"/>
        <v>0</v>
      </c>
      <c r="EF440" s="121"/>
      <c r="EG440" s="238">
        <f t="shared" si="52"/>
        <v>0</v>
      </c>
      <c r="EH440" s="121"/>
      <c r="EI440" s="237">
        <f t="shared" si="53"/>
        <v>0</v>
      </c>
      <c r="EJ440" s="121"/>
      <c r="EK440" s="237">
        <f t="shared" si="54"/>
        <v>0</v>
      </c>
      <c r="EL440" s="237"/>
      <c r="EM440" s="5"/>
      <c r="EN440" s="5"/>
      <c r="EO440" s="5"/>
      <c r="EP440" s="5"/>
      <c r="EQ440" s="237">
        <f t="shared" si="55"/>
        <v>0</v>
      </c>
      <c r="ER440" s="239">
        <v>23300</v>
      </c>
      <c r="ES440" s="5">
        <v>7.5</v>
      </c>
    </row>
    <row r="441" spans="1:149" x14ac:dyDescent="0.3">
      <c r="A441" s="124"/>
      <c r="B441" s="121"/>
      <c r="C441" s="121"/>
      <c r="D441" s="121"/>
      <c r="E441" s="121"/>
      <c r="F441" s="121"/>
      <c r="G441" s="121"/>
      <c r="H441" s="121"/>
      <c r="I441" s="121"/>
      <c r="J441" s="121"/>
      <c r="K441" s="121"/>
      <c r="L441" s="121"/>
      <c r="M441" s="121"/>
      <c r="N441" s="121"/>
      <c r="O441" s="235"/>
      <c r="P441" s="121"/>
      <c r="Q441" s="121"/>
      <c r="R441" s="121"/>
      <c r="S441" s="121"/>
      <c r="T441" s="121"/>
      <c r="U441" s="121"/>
      <c r="V441" s="121"/>
      <c r="W441" s="121"/>
      <c r="X441" s="117"/>
      <c r="Y441" s="117"/>
      <c r="Z441" s="121"/>
      <c r="AA441" s="121"/>
      <c r="AB441" s="236"/>
      <c r="AC441" s="236"/>
      <c r="AD441" s="236"/>
      <c r="AE441" s="236"/>
      <c r="AF441" s="236"/>
      <c r="AG441" s="236"/>
      <c r="AH441" s="236"/>
      <c r="AI441" s="236"/>
      <c r="AJ441" s="236"/>
      <c r="AK441" s="236"/>
      <c r="AL441" s="236"/>
      <c r="AM441" s="236"/>
      <c r="AN441" s="236"/>
      <c r="AO441" s="236"/>
      <c r="AP441" s="236"/>
      <c r="AQ441" s="236"/>
      <c r="AR441" s="236"/>
      <c r="AS441" s="236"/>
      <c r="AT441" s="236"/>
      <c r="AU441" s="236"/>
      <c r="AV441" s="236"/>
      <c r="AW441" s="236"/>
      <c r="AX441" s="236"/>
      <c r="AY441" s="236"/>
      <c r="AZ441" s="236"/>
      <c r="BA441" s="236"/>
      <c r="BB441" s="236"/>
      <c r="BC441" s="236"/>
      <c r="BD441" s="236"/>
      <c r="BE441" s="236"/>
      <c r="BF441" s="236"/>
      <c r="BG441" s="236"/>
      <c r="BH441" s="236"/>
      <c r="BI441" s="236"/>
      <c r="BJ441" s="236"/>
      <c r="BK441" s="236"/>
      <c r="BL441" s="236"/>
      <c r="BM441" s="236"/>
      <c r="BN441" s="236"/>
      <c r="BO441" s="236"/>
      <c r="BP441" s="236"/>
      <c r="BQ441" s="236"/>
      <c r="BR441" s="236"/>
      <c r="BS441" s="236"/>
      <c r="BT441" s="236"/>
      <c r="BU441" s="236"/>
      <c r="BV441" s="236"/>
      <c r="BW441" s="236"/>
      <c r="BX441" s="236"/>
      <c r="BY441" s="236"/>
      <c r="BZ441" s="236"/>
      <c r="CA441" s="236"/>
      <c r="CB441" s="236"/>
      <c r="CC441" s="236"/>
      <c r="CD441" s="236"/>
      <c r="CE441" s="236"/>
      <c r="CF441" s="236"/>
      <c r="CG441" s="236"/>
      <c r="CH441" s="236"/>
      <c r="CI441" s="236"/>
      <c r="CJ441" s="236"/>
      <c r="CK441" s="236"/>
      <c r="CL441" s="236"/>
      <c r="CM441" s="236"/>
      <c r="CN441" s="236"/>
      <c r="CO441" s="236"/>
      <c r="CP441" s="236"/>
      <c r="CQ441" s="236"/>
      <c r="CR441" s="236"/>
      <c r="CS441" s="236"/>
      <c r="CT441" s="236"/>
      <c r="CU441" s="236"/>
      <c r="CV441" s="236"/>
      <c r="CW441" s="236"/>
      <c r="CX441" s="236"/>
      <c r="CY441" s="236"/>
      <c r="CZ441" s="236"/>
      <c r="DA441" s="236"/>
      <c r="DB441" s="236"/>
      <c r="DC441" s="236"/>
      <c r="DD441" s="236"/>
      <c r="DE441" s="236"/>
      <c r="DF441" s="236"/>
      <c r="DG441" s="236"/>
      <c r="DH441" s="236"/>
      <c r="DI441" s="236"/>
      <c r="DJ441" s="236"/>
      <c r="DK441" s="236"/>
      <c r="DL441" s="236"/>
      <c r="DM441" s="236"/>
      <c r="DN441" s="236"/>
      <c r="DO441" s="236"/>
      <c r="DP441" s="236"/>
      <c r="DQ441" s="236"/>
      <c r="DR441" s="236"/>
      <c r="DS441" s="236"/>
      <c r="DT441" s="236"/>
      <c r="DU441" s="236"/>
      <c r="DV441" s="236"/>
      <c r="DW441" s="236"/>
      <c r="DX441" s="236"/>
      <c r="DY441" s="236"/>
      <c r="DZ441" s="236"/>
      <c r="EA441" s="236"/>
      <c r="EB441" s="237">
        <f t="shared" si="48"/>
        <v>0</v>
      </c>
      <c r="EC441" s="237">
        <f t="shared" si="49"/>
        <v>0</v>
      </c>
      <c r="ED441" s="237">
        <f t="shared" si="50"/>
        <v>0</v>
      </c>
      <c r="EE441" s="237">
        <f t="shared" si="51"/>
        <v>0</v>
      </c>
      <c r="EF441" s="121"/>
      <c r="EG441" s="238">
        <f t="shared" si="52"/>
        <v>0</v>
      </c>
      <c r="EH441" s="121"/>
      <c r="EI441" s="237">
        <f t="shared" si="53"/>
        <v>0</v>
      </c>
      <c r="EJ441" s="121"/>
      <c r="EK441" s="237">
        <f t="shared" si="54"/>
        <v>0</v>
      </c>
      <c r="EL441" s="237"/>
      <c r="EM441" s="5"/>
      <c r="EN441" s="5"/>
      <c r="EO441" s="5"/>
      <c r="EP441" s="5"/>
      <c r="EQ441" s="237">
        <f t="shared" si="55"/>
        <v>0</v>
      </c>
      <c r="ER441" s="239">
        <v>23300</v>
      </c>
      <c r="ES441" s="5">
        <v>7.5</v>
      </c>
    </row>
    <row r="442" spans="1:149" x14ac:dyDescent="0.3">
      <c r="A442" s="124"/>
      <c r="B442" s="121"/>
      <c r="C442" s="121"/>
      <c r="D442" s="121"/>
      <c r="E442" s="121"/>
      <c r="F442" s="121"/>
      <c r="G442" s="121"/>
      <c r="H442" s="121"/>
      <c r="I442" s="121"/>
      <c r="J442" s="121"/>
      <c r="K442" s="121"/>
      <c r="L442" s="121"/>
      <c r="M442" s="121"/>
      <c r="N442" s="121"/>
      <c r="O442" s="235"/>
      <c r="P442" s="121"/>
      <c r="Q442" s="121"/>
      <c r="R442" s="121"/>
      <c r="S442" s="121"/>
      <c r="T442" s="121"/>
      <c r="U442" s="121"/>
      <c r="V442" s="121"/>
      <c r="W442" s="121"/>
      <c r="X442" s="117"/>
      <c r="Y442" s="117"/>
      <c r="Z442" s="121"/>
      <c r="AA442" s="121"/>
      <c r="AB442" s="121"/>
      <c r="AC442" s="121"/>
      <c r="AD442" s="121"/>
      <c r="AE442" s="121"/>
      <c r="AF442" s="121"/>
      <c r="AG442" s="121"/>
      <c r="AH442" s="121"/>
      <c r="AI442" s="121"/>
      <c r="AJ442" s="121"/>
      <c r="AK442" s="121"/>
      <c r="AL442" s="121"/>
      <c r="AM442" s="121"/>
      <c r="AN442" s="121"/>
      <c r="AO442" s="121"/>
      <c r="AP442" s="121"/>
      <c r="AQ442" s="121"/>
      <c r="AR442" s="121"/>
      <c r="AS442" s="121"/>
      <c r="AT442" s="121"/>
      <c r="AU442" s="121"/>
      <c r="AV442" s="121"/>
      <c r="AW442" s="121"/>
      <c r="AX442" s="121"/>
      <c r="AY442" s="121"/>
      <c r="AZ442" s="121"/>
      <c r="BA442" s="121"/>
      <c r="BB442" s="121"/>
      <c r="BC442" s="121"/>
      <c r="BD442" s="121"/>
      <c r="BE442" s="121"/>
      <c r="BF442" s="121"/>
      <c r="BG442" s="121"/>
      <c r="BH442" s="121"/>
      <c r="BI442" s="121"/>
      <c r="BJ442" s="121"/>
      <c r="BK442" s="121"/>
      <c r="BL442" s="121"/>
      <c r="BM442" s="121"/>
      <c r="BN442" s="121"/>
      <c r="BO442" s="121"/>
      <c r="BP442" s="121"/>
      <c r="BQ442" s="121"/>
      <c r="BR442" s="121"/>
      <c r="BS442" s="121"/>
      <c r="BT442" s="121"/>
      <c r="BU442" s="121"/>
      <c r="BV442" s="121"/>
      <c r="BW442" s="121"/>
      <c r="BX442" s="121"/>
      <c r="BY442" s="121"/>
      <c r="BZ442" s="121"/>
      <c r="CA442" s="121"/>
      <c r="CB442" s="121"/>
      <c r="CC442" s="121"/>
      <c r="CD442" s="121"/>
      <c r="CE442" s="121"/>
      <c r="CF442" s="121"/>
      <c r="CG442" s="121"/>
      <c r="CH442" s="121"/>
      <c r="CI442" s="121"/>
      <c r="CJ442" s="121"/>
      <c r="CK442" s="121"/>
      <c r="CL442" s="121"/>
      <c r="CM442" s="121"/>
      <c r="CN442" s="121"/>
      <c r="CO442" s="121"/>
      <c r="CP442" s="121"/>
      <c r="CQ442" s="121"/>
      <c r="CR442" s="121"/>
      <c r="CS442" s="121"/>
      <c r="CT442" s="121"/>
      <c r="CU442" s="121"/>
      <c r="CV442" s="121"/>
      <c r="CW442" s="121"/>
      <c r="CX442" s="121"/>
      <c r="CY442" s="121"/>
      <c r="CZ442" s="121"/>
      <c r="DA442" s="121"/>
      <c r="DB442" s="121"/>
      <c r="DC442" s="121"/>
      <c r="DD442" s="121"/>
      <c r="DE442" s="121"/>
      <c r="DF442" s="121"/>
      <c r="DG442" s="121"/>
      <c r="DH442" s="121"/>
      <c r="DI442" s="121"/>
      <c r="DJ442" s="121"/>
      <c r="DK442" s="121"/>
      <c r="DL442" s="121"/>
      <c r="DM442" s="121"/>
      <c r="DN442" s="121"/>
      <c r="DO442" s="121"/>
      <c r="DP442" s="121"/>
      <c r="DQ442" s="121"/>
      <c r="DR442" s="121"/>
      <c r="DS442" s="121"/>
      <c r="DT442" s="240"/>
      <c r="DU442" s="240"/>
      <c r="DV442" s="240"/>
      <c r="DW442" s="240"/>
      <c r="DX442" s="240"/>
      <c r="DY442" s="240"/>
      <c r="DZ442" s="240"/>
      <c r="EA442" s="240"/>
      <c r="EB442" s="237">
        <f t="shared" si="48"/>
        <v>0</v>
      </c>
      <c r="EC442" s="237">
        <f t="shared" si="49"/>
        <v>0</v>
      </c>
      <c r="ED442" s="237">
        <f t="shared" si="50"/>
        <v>0</v>
      </c>
      <c r="EE442" s="237">
        <f t="shared" si="51"/>
        <v>0</v>
      </c>
      <c r="EF442" s="121"/>
      <c r="EG442" s="238">
        <f t="shared" si="52"/>
        <v>0</v>
      </c>
      <c r="EH442" s="121"/>
      <c r="EI442" s="237">
        <f t="shared" si="53"/>
        <v>0</v>
      </c>
      <c r="EJ442" s="121"/>
      <c r="EK442" s="237">
        <f t="shared" si="54"/>
        <v>0</v>
      </c>
      <c r="EL442" s="237"/>
      <c r="EM442" s="5"/>
      <c r="EN442" s="5"/>
      <c r="EO442" s="5"/>
      <c r="EP442" s="5"/>
      <c r="EQ442" s="237">
        <f t="shared" si="55"/>
        <v>0</v>
      </c>
      <c r="ER442" s="239">
        <v>23300</v>
      </c>
      <c r="ES442" s="5">
        <v>7.5</v>
      </c>
    </row>
    <row r="443" spans="1:149" x14ac:dyDescent="0.3">
      <c r="A443" s="124"/>
      <c r="B443" s="121"/>
      <c r="C443" s="121"/>
      <c r="D443" s="121"/>
      <c r="E443" s="121"/>
      <c r="F443" s="121"/>
      <c r="G443" s="121"/>
      <c r="H443" s="121"/>
      <c r="I443" s="121"/>
      <c r="J443" s="121"/>
      <c r="K443" s="121"/>
      <c r="L443" s="121"/>
      <c r="M443" s="121"/>
      <c r="N443" s="121"/>
      <c r="O443" s="235"/>
      <c r="P443" s="121"/>
      <c r="Q443" s="121"/>
      <c r="R443" s="121"/>
      <c r="S443" s="121"/>
      <c r="T443" s="121"/>
      <c r="U443" s="121"/>
      <c r="V443" s="121"/>
      <c r="W443" s="121"/>
      <c r="X443" s="117"/>
      <c r="Y443" s="117"/>
      <c r="Z443" s="121"/>
      <c r="AA443" s="121"/>
      <c r="AB443" s="121"/>
      <c r="AC443" s="121"/>
      <c r="AD443" s="121"/>
      <c r="AE443" s="121"/>
      <c r="AF443" s="121"/>
      <c r="AG443" s="121"/>
      <c r="AH443" s="121"/>
      <c r="AI443" s="121"/>
      <c r="AJ443" s="121"/>
      <c r="AK443" s="121"/>
      <c r="AL443" s="121"/>
      <c r="AM443" s="121"/>
      <c r="AN443" s="121"/>
      <c r="AO443" s="121"/>
      <c r="AP443" s="121"/>
      <c r="AQ443" s="121"/>
      <c r="AR443" s="121"/>
      <c r="AS443" s="121"/>
      <c r="AT443" s="121"/>
      <c r="AU443" s="121"/>
      <c r="AV443" s="121"/>
      <c r="AW443" s="121"/>
      <c r="AX443" s="121"/>
      <c r="AY443" s="121"/>
      <c r="AZ443" s="121"/>
      <c r="BA443" s="121"/>
      <c r="BB443" s="121"/>
      <c r="BC443" s="121"/>
      <c r="BD443" s="121"/>
      <c r="BE443" s="121"/>
      <c r="BF443" s="121"/>
      <c r="BG443" s="121"/>
      <c r="BH443" s="121"/>
      <c r="BI443" s="121"/>
      <c r="BJ443" s="121"/>
      <c r="BK443" s="121"/>
      <c r="BL443" s="121"/>
      <c r="BM443" s="121"/>
      <c r="BN443" s="121"/>
      <c r="BO443" s="121"/>
      <c r="BP443" s="121"/>
      <c r="BQ443" s="121"/>
      <c r="BR443" s="121"/>
      <c r="BS443" s="121"/>
      <c r="BT443" s="121"/>
      <c r="BU443" s="121"/>
      <c r="BV443" s="121"/>
      <c r="BW443" s="121"/>
      <c r="BX443" s="121"/>
      <c r="BY443" s="121"/>
      <c r="BZ443" s="121"/>
      <c r="CA443" s="121"/>
      <c r="CB443" s="121"/>
      <c r="CC443" s="121"/>
      <c r="CD443" s="121"/>
      <c r="CE443" s="121"/>
      <c r="CF443" s="121"/>
      <c r="CG443" s="121"/>
      <c r="CH443" s="121"/>
      <c r="CI443" s="121"/>
      <c r="CJ443" s="121"/>
      <c r="CK443" s="121"/>
      <c r="CL443" s="121"/>
      <c r="CM443" s="121"/>
      <c r="CN443" s="121"/>
      <c r="CO443" s="121"/>
      <c r="CP443" s="121"/>
      <c r="CQ443" s="121"/>
      <c r="CR443" s="121"/>
      <c r="CS443" s="121"/>
      <c r="CT443" s="121"/>
      <c r="CU443" s="121"/>
      <c r="CV443" s="121"/>
      <c r="CW443" s="121"/>
      <c r="CX443" s="121"/>
      <c r="CY443" s="121"/>
      <c r="CZ443" s="121"/>
      <c r="DA443" s="121"/>
      <c r="DB443" s="121"/>
      <c r="DC443" s="121"/>
      <c r="DD443" s="121"/>
      <c r="DE443" s="121"/>
      <c r="DF443" s="121"/>
      <c r="DG443" s="121"/>
      <c r="DH443" s="121"/>
      <c r="DI443" s="121"/>
      <c r="DJ443" s="121"/>
      <c r="DK443" s="121"/>
      <c r="DL443" s="121"/>
      <c r="DM443" s="121"/>
      <c r="DN443" s="121"/>
      <c r="DO443" s="121"/>
      <c r="DP443" s="121"/>
      <c r="DQ443" s="121"/>
      <c r="DR443" s="121"/>
      <c r="DS443" s="121"/>
      <c r="DT443" s="240"/>
      <c r="DU443" s="240"/>
      <c r="DV443" s="240"/>
      <c r="DW443" s="240"/>
      <c r="DX443" s="240"/>
      <c r="DY443" s="240"/>
      <c r="DZ443" s="240"/>
      <c r="EA443" s="240"/>
      <c r="EB443" s="237">
        <f t="shared" si="48"/>
        <v>0</v>
      </c>
      <c r="EC443" s="237">
        <f t="shared" si="49"/>
        <v>0</v>
      </c>
      <c r="ED443" s="237">
        <f t="shared" si="50"/>
        <v>0</v>
      </c>
      <c r="EE443" s="237">
        <f t="shared" si="51"/>
        <v>0</v>
      </c>
      <c r="EF443" s="121"/>
      <c r="EG443" s="238">
        <f t="shared" si="52"/>
        <v>0</v>
      </c>
      <c r="EH443" s="121"/>
      <c r="EI443" s="237">
        <f t="shared" si="53"/>
        <v>0</v>
      </c>
      <c r="EJ443" s="121"/>
      <c r="EK443" s="237">
        <f t="shared" si="54"/>
        <v>0</v>
      </c>
      <c r="EL443" s="237"/>
      <c r="EM443" s="5"/>
      <c r="EN443" s="5"/>
      <c r="EO443" s="5"/>
      <c r="EP443" s="5"/>
      <c r="EQ443" s="237">
        <f t="shared" si="55"/>
        <v>0</v>
      </c>
      <c r="ER443" s="239">
        <v>23300</v>
      </c>
      <c r="ES443" s="5">
        <v>7.5</v>
      </c>
    </row>
    <row r="444" spans="1:149" x14ac:dyDescent="0.3">
      <c r="A444" s="124"/>
      <c r="B444" s="121"/>
      <c r="C444" s="121"/>
      <c r="D444" s="121"/>
      <c r="E444" s="121"/>
      <c r="F444" s="121"/>
      <c r="G444" s="121"/>
      <c r="H444" s="121"/>
      <c r="I444" s="121"/>
      <c r="J444" s="121"/>
      <c r="K444" s="121"/>
      <c r="L444" s="121"/>
      <c r="M444" s="121"/>
      <c r="N444" s="121"/>
      <c r="O444" s="235"/>
      <c r="P444" s="121"/>
      <c r="Q444" s="121"/>
      <c r="R444" s="121"/>
      <c r="S444" s="121"/>
      <c r="T444" s="121"/>
      <c r="U444" s="121"/>
      <c r="V444" s="121"/>
      <c r="W444" s="121"/>
      <c r="X444" s="117"/>
      <c r="Y444" s="117"/>
      <c r="Z444" s="121"/>
      <c r="AA444" s="121"/>
      <c r="AB444" s="121"/>
      <c r="AC444" s="121"/>
      <c r="AD444" s="121"/>
      <c r="AE444" s="121"/>
      <c r="AF444" s="121"/>
      <c r="AG444" s="121"/>
      <c r="AH444" s="121"/>
      <c r="AI444" s="121"/>
      <c r="AJ444" s="121"/>
      <c r="AK444" s="121"/>
      <c r="AL444" s="121"/>
      <c r="AM444" s="121"/>
      <c r="AN444" s="121"/>
      <c r="AO444" s="121"/>
      <c r="AP444" s="121"/>
      <c r="AQ444" s="121"/>
      <c r="AR444" s="121"/>
      <c r="AS444" s="121"/>
      <c r="AT444" s="121"/>
      <c r="AU444" s="121"/>
      <c r="AV444" s="121"/>
      <c r="AW444" s="121"/>
      <c r="AX444" s="121"/>
      <c r="AY444" s="121"/>
      <c r="AZ444" s="121"/>
      <c r="BA444" s="121"/>
      <c r="BB444" s="121"/>
      <c r="BC444" s="121"/>
      <c r="BD444" s="121"/>
      <c r="BE444" s="121"/>
      <c r="BF444" s="121"/>
      <c r="BG444" s="121"/>
      <c r="BH444" s="121"/>
      <c r="BI444" s="121"/>
      <c r="BJ444" s="121"/>
      <c r="BK444" s="121"/>
      <c r="BL444" s="121"/>
      <c r="BM444" s="121"/>
      <c r="BN444" s="121"/>
      <c r="BO444" s="121"/>
      <c r="BP444" s="121"/>
      <c r="BQ444" s="121"/>
      <c r="BR444" s="121"/>
      <c r="BS444" s="121"/>
      <c r="BT444" s="121"/>
      <c r="BU444" s="121"/>
      <c r="BV444" s="121"/>
      <c r="BW444" s="121"/>
      <c r="BX444" s="121"/>
      <c r="BY444" s="121"/>
      <c r="BZ444" s="121"/>
      <c r="CA444" s="121"/>
      <c r="CB444" s="121"/>
      <c r="CC444" s="121"/>
      <c r="CD444" s="121"/>
      <c r="CE444" s="121"/>
      <c r="CF444" s="121"/>
      <c r="CG444" s="121"/>
      <c r="CH444" s="121"/>
      <c r="CI444" s="121"/>
      <c r="CJ444" s="121"/>
      <c r="CK444" s="121"/>
      <c r="CL444" s="121"/>
      <c r="CM444" s="121"/>
      <c r="CN444" s="121"/>
      <c r="CO444" s="121"/>
      <c r="CP444" s="121"/>
      <c r="CQ444" s="121"/>
      <c r="CR444" s="121"/>
      <c r="CS444" s="121"/>
      <c r="CT444" s="121"/>
      <c r="CU444" s="121"/>
      <c r="CV444" s="121"/>
      <c r="CW444" s="121"/>
      <c r="CX444" s="121"/>
      <c r="CY444" s="121"/>
      <c r="CZ444" s="121"/>
      <c r="DA444" s="121"/>
      <c r="DB444" s="121"/>
      <c r="DC444" s="121"/>
      <c r="DD444" s="121"/>
      <c r="DE444" s="121"/>
      <c r="DF444" s="121"/>
      <c r="DG444" s="121"/>
      <c r="DH444" s="121"/>
      <c r="DI444" s="121"/>
      <c r="DJ444" s="121"/>
      <c r="DK444" s="121"/>
      <c r="DL444" s="121"/>
      <c r="DM444" s="121"/>
      <c r="DN444" s="121"/>
      <c r="DO444" s="121"/>
      <c r="DP444" s="121"/>
      <c r="DQ444" s="121"/>
      <c r="DR444" s="121"/>
      <c r="DS444" s="121"/>
      <c r="DT444" s="240"/>
      <c r="DU444" s="240"/>
      <c r="DV444" s="240"/>
      <c r="DW444" s="240"/>
      <c r="DX444" s="240"/>
      <c r="DY444" s="240"/>
      <c r="DZ444" s="240"/>
      <c r="EA444" s="240"/>
      <c r="EB444" s="237">
        <f t="shared" si="48"/>
        <v>0</v>
      </c>
      <c r="EC444" s="237">
        <f t="shared" si="49"/>
        <v>0</v>
      </c>
      <c r="ED444" s="237">
        <f t="shared" si="50"/>
        <v>0</v>
      </c>
      <c r="EE444" s="237">
        <f t="shared" si="51"/>
        <v>0</v>
      </c>
      <c r="EF444" s="121"/>
      <c r="EG444" s="238">
        <f t="shared" si="52"/>
        <v>0</v>
      </c>
      <c r="EH444" s="121"/>
      <c r="EI444" s="237">
        <f t="shared" si="53"/>
        <v>0</v>
      </c>
      <c r="EJ444" s="121"/>
      <c r="EK444" s="237">
        <f t="shared" si="54"/>
        <v>0</v>
      </c>
      <c r="EL444" s="237"/>
      <c r="EM444" s="5"/>
      <c r="EN444" s="5"/>
      <c r="EO444" s="5"/>
      <c r="EP444" s="5"/>
      <c r="EQ444" s="237">
        <f t="shared" si="55"/>
        <v>0</v>
      </c>
      <c r="ER444" s="239">
        <v>23300</v>
      </c>
      <c r="ES444" s="5">
        <v>7.5</v>
      </c>
    </row>
    <row r="445" spans="1:149" x14ac:dyDescent="0.3">
      <c r="A445" s="124"/>
      <c r="B445" s="121"/>
      <c r="C445" s="121"/>
      <c r="D445" s="121"/>
      <c r="E445" s="121"/>
      <c r="F445" s="121"/>
      <c r="G445" s="121"/>
      <c r="H445" s="121"/>
      <c r="I445" s="121"/>
      <c r="J445" s="121"/>
      <c r="K445" s="121"/>
      <c r="L445" s="121"/>
      <c r="M445" s="121"/>
      <c r="N445" s="121"/>
      <c r="O445" s="235"/>
      <c r="P445" s="121"/>
      <c r="Q445" s="121"/>
      <c r="R445" s="121"/>
      <c r="S445" s="121"/>
      <c r="T445" s="121"/>
      <c r="U445" s="121"/>
      <c r="V445" s="121"/>
      <c r="W445" s="121"/>
      <c r="X445" s="117"/>
      <c r="Y445" s="117"/>
      <c r="Z445" s="121"/>
      <c r="AA445" s="121"/>
      <c r="AB445" s="121"/>
      <c r="AC445" s="121"/>
      <c r="AD445" s="121"/>
      <c r="AE445" s="121"/>
      <c r="AF445" s="121"/>
      <c r="AG445" s="121"/>
      <c r="AH445" s="121"/>
      <c r="AI445" s="121"/>
      <c r="AJ445" s="121"/>
      <c r="AK445" s="121"/>
      <c r="AL445" s="121"/>
      <c r="AM445" s="121"/>
      <c r="AN445" s="121"/>
      <c r="AO445" s="121"/>
      <c r="AP445" s="121"/>
      <c r="AQ445" s="121"/>
      <c r="AR445" s="121"/>
      <c r="AS445" s="121"/>
      <c r="AT445" s="121"/>
      <c r="AU445" s="121"/>
      <c r="AV445" s="121"/>
      <c r="AW445" s="121"/>
      <c r="AX445" s="121"/>
      <c r="AY445" s="121"/>
      <c r="AZ445" s="121"/>
      <c r="BA445" s="121"/>
      <c r="BB445" s="121"/>
      <c r="BC445" s="121"/>
      <c r="BD445" s="121"/>
      <c r="BE445" s="121"/>
      <c r="BF445" s="121"/>
      <c r="BG445" s="121"/>
      <c r="BH445" s="121"/>
      <c r="BI445" s="121"/>
      <c r="BJ445" s="121"/>
      <c r="BK445" s="121"/>
      <c r="BL445" s="121"/>
      <c r="BM445" s="121"/>
      <c r="BN445" s="121"/>
      <c r="BO445" s="121"/>
      <c r="BP445" s="121"/>
      <c r="BQ445" s="121"/>
      <c r="BR445" s="121"/>
      <c r="BS445" s="121"/>
      <c r="BT445" s="121"/>
      <c r="BU445" s="121"/>
      <c r="BV445" s="121"/>
      <c r="BW445" s="121"/>
      <c r="BX445" s="121"/>
      <c r="BY445" s="121"/>
      <c r="BZ445" s="121"/>
      <c r="CA445" s="121"/>
      <c r="CB445" s="121"/>
      <c r="CC445" s="121"/>
      <c r="CD445" s="121"/>
      <c r="CE445" s="121"/>
      <c r="CF445" s="121"/>
      <c r="CG445" s="121"/>
      <c r="CH445" s="121"/>
      <c r="CI445" s="121"/>
      <c r="CJ445" s="121"/>
      <c r="CK445" s="121"/>
      <c r="CL445" s="121"/>
      <c r="CM445" s="121"/>
      <c r="CN445" s="121"/>
      <c r="CO445" s="121"/>
      <c r="CP445" s="121"/>
      <c r="CQ445" s="121"/>
      <c r="CR445" s="121"/>
      <c r="CS445" s="121"/>
      <c r="CT445" s="121"/>
      <c r="CU445" s="121"/>
      <c r="CV445" s="121"/>
      <c r="CW445" s="121"/>
      <c r="CX445" s="121"/>
      <c r="CY445" s="121"/>
      <c r="CZ445" s="121"/>
      <c r="DA445" s="121"/>
      <c r="DB445" s="121"/>
      <c r="DC445" s="121"/>
      <c r="DD445" s="121"/>
      <c r="DE445" s="121"/>
      <c r="DF445" s="121"/>
      <c r="DG445" s="121"/>
      <c r="DH445" s="121"/>
      <c r="DI445" s="121"/>
      <c r="DJ445" s="121"/>
      <c r="DK445" s="121"/>
      <c r="DL445" s="121"/>
      <c r="DM445" s="121"/>
      <c r="DN445" s="121"/>
      <c r="DO445" s="121"/>
      <c r="DP445" s="121"/>
      <c r="DQ445" s="121"/>
      <c r="DR445" s="121"/>
      <c r="DS445" s="121"/>
      <c r="DT445" s="240"/>
      <c r="DU445" s="240"/>
      <c r="DV445" s="240"/>
      <c r="DW445" s="240"/>
      <c r="DX445" s="240"/>
      <c r="DY445" s="240"/>
      <c r="DZ445" s="240"/>
      <c r="EA445" s="240"/>
      <c r="EB445" s="237">
        <f t="shared" si="48"/>
        <v>0</v>
      </c>
      <c r="EC445" s="237">
        <f t="shared" si="49"/>
        <v>0</v>
      </c>
      <c r="ED445" s="237">
        <f t="shared" si="50"/>
        <v>0</v>
      </c>
      <c r="EE445" s="237">
        <f t="shared" si="51"/>
        <v>0</v>
      </c>
      <c r="EF445" s="121"/>
      <c r="EG445" s="238">
        <f t="shared" si="52"/>
        <v>0</v>
      </c>
      <c r="EH445" s="121"/>
      <c r="EI445" s="237">
        <f t="shared" si="53"/>
        <v>0</v>
      </c>
      <c r="EJ445" s="121"/>
      <c r="EK445" s="237">
        <f t="shared" si="54"/>
        <v>0</v>
      </c>
      <c r="EL445" s="237"/>
      <c r="EM445" s="5"/>
      <c r="EN445" s="5"/>
      <c r="EO445" s="5"/>
      <c r="EP445" s="5"/>
      <c r="EQ445" s="237">
        <f t="shared" si="55"/>
        <v>0</v>
      </c>
      <c r="ER445" s="239">
        <v>23300</v>
      </c>
      <c r="ES445" s="5">
        <v>7.5</v>
      </c>
    </row>
    <row r="446" spans="1:149" x14ac:dyDescent="0.3">
      <c r="A446" s="124"/>
      <c r="B446" s="121"/>
      <c r="C446" s="121"/>
      <c r="D446" s="121"/>
      <c r="E446" s="121"/>
      <c r="F446" s="121"/>
      <c r="G446" s="121"/>
      <c r="H446" s="121"/>
      <c r="I446" s="121"/>
      <c r="J446" s="121"/>
      <c r="K446" s="121"/>
      <c r="L446" s="121"/>
      <c r="M446" s="121"/>
      <c r="N446" s="121"/>
      <c r="O446" s="235"/>
      <c r="P446" s="121"/>
      <c r="Q446" s="121"/>
      <c r="R446" s="121"/>
      <c r="S446" s="121"/>
      <c r="T446" s="121"/>
      <c r="U446" s="121"/>
      <c r="V446" s="121"/>
      <c r="W446" s="121"/>
      <c r="X446" s="117"/>
      <c r="Y446" s="117"/>
      <c r="Z446" s="121"/>
      <c r="AA446" s="121"/>
      <c r="AB446" s="121"/>
      <c r="AC446" s="121"/>
      <c r="AD446" s="121"/>
      <c r="AE446" s="121"/>
      <c r="AF446" s="121"/>
      <c r="AG446" s="121"/>
      <c r="AH446" s="121"/>
      <c r="AI446" s="121"/>
      <c r="AJ446" s="121"/>
      <c r="AK446" s="121"/>
      <c r="AL446" s="121"/>
      <c r="AM446" s="121"/>
      <c r="AN446" s="121"/>
      <c r="AO446" s="121"/>
      <c r="AP446" s="121"/>
      <c r="AQ446" s="121"/>
      <c r="AR446" s="121"/>
      <c r="AS446" s="121"/>
      <c r="AT446" s="121"/>
      <c r="AU446" s="121"/>
      <c r="AV446" s="121"/>
      <c r="AW446" s="121"/>
      <c r="AX446" s="121"/>
      <c r="AY446" s="121"/>
      <c r="AZ446" s="121"/>
      <c r="BA446" s="121"/>
      <c r="BB446" s="121"/>
      <c r="BC446" s="121"/>
      <c r="BD446" s="121"/>
      <c r="BE446" s="121"/>
      <c r="BF446" s="121"/>
      <c r="BG446" s="121"/>
      <c r="BH446" s="121"/>
      <c r="BI446" s="121"/>
      <c r="BJ446" s="121"/>
      <c r="BK446" s="121"/>
      <c r="BL446" s="121"/>
      <c r="BM446" s="121"/>
      <c r="BN446" s="121"/>
      <c r="BO446" s="121"/>
      <c r="BP446" s="121"/>
      <c r="BQ446" s="121"/>
      <c r="BR446" s="121"/>
      <c r="BS446" s="121"/>
      <c r="BT446" s="121"/>
      <c r="BU446" s="121"/>
      <c r="BV446" s="121"/>
      <c r="BW446" s="121"/>
      <c r="BX446" s="121"/>
      <c r="BY446" s="121"/>
      <c r="BZ446" s="121"/>
      <c r="CA446" s="121"/>
      <c r="CB446" s="121"/>
      <c r="CC446" s="121"/>
      <c r="CD446" s="121"/>
      <c r="CE446" s="121"/>
      <c r="CF446" s="121"/>
      <c r="CG446" s="121"/>
      <c r="CH446" s="121"/>
      <c r="CI446" s="121"/>
      <c r="CJ446" s="121"/>
      <c r="CK446" s="121"/>
      <c r="CL446" s="121"/>
      <c r="CM446" s="121"/>
      <c r="CN446" s="121"/>
      <c r="CO446" s="121"/>
      <c r="CP446" s="121"/>
      <c r="CQ446" s="121"/>
      <c r="CR446" s="121"/>
      <c r="CS446" s="121"/>
      <c r="CT446" s="121"/>
      <c r="CU446" s="121"/>
      <c r="CV446" s="121"/>
      <c r="CW446" s="121"/>
      <c r="CX446" s="121"/>
      <c r="CY446" s="121"/>
      <c r="CZ446" s="121"/>
      <c r="DA446" s="121"/>
      <c r="DB446" s="121"/>
      <c r="DC446" s="121"/>
      <c r="DD446" s="121"/>
      <c r="DE446" s="121"/>
      <c r="DF446" s="121"/>
      <c r="DG446" s="121"/>
      <c r="DH446" s="121"/>
      <c r="DI446" s="121"/>
      <c r="DJ446" s="121"/>
      <c r="DK446" s="121"/>
      <c r="DL446" s="121"/>
      <c r="DM446" s="121"/>
      <c r="DN446" s="121"/>
      <c r="DO446" s="121"/>
      <c r="DP446" s="121"/>
      <c r="DQ446" s="121"/>
      <c r="DR446" s="121"/>
      <c r="DS446" s="121"/>
      <c r="DT446" s="240"/>
      <c r="DU446" s="240"/>
      <c r="DV446" s="240"/>
      <c r="DW446" s="240"/>
      <c r="DX446" s="240"/>
      <c r="DY446" s="240"/>
      <c r="DZ446" s="240"/>
      <c r="EA446" s="240"/>
      <c r="EB446" s="237">
        <f t="shared" si="48"/>
        <v>0</v>
      </c>
      <c r="EC446" s="237">
        <f t="shared" si="49"/>
        <v>0</v>
      </c>
      <c r="ED446" s="237">
        <f t="shared" si="50"/>
        <v>0</v>
      </c>
      <c r="EE446" s="237">
        <f t="shared" si="51"/>
        <v>0</v>
      </c>
      <c r="EF446" s="121"/>
      <c r="EG446" s="238">
        <f t="shared" si="52"/>
        <v>0</v>
      </c>
      <c r="EH446" s="121"/>
      <c r="EI446" s="237">
        <f t="shared" si="53"/>
        <v>0</v>
      </c>
      <c r="EJ446" s="121"/>
      <c r="EK446" s="237">
        <f t="shared" si="54"/>
        <v>0</v>
      </c>
      <c r="EL446" s="237"/>
      <c r="EM446" s="5"/>
      <c r="EN446" s="5"/>
      <c r="EO446" s="5"/>
      <c r="EP446" s="5"/>
      <c r="EQ446" s="237">
        <f t="shared" si="55"/>
        <v>0</v>
      </c>
      <c r="ER446" s="239">
        <v>23300</v>
      </c>
      <c r="ES446" s="5">
        <v>7.5</v>
      </c>
    </row>
    <row r="447" spans="1:149" x14ac:dyDescent="0.3">
      <c r="A447" s="124"/>
      <c r="B447" s="121"/>
      <c r="C447" s="121"/>
      <c r="D447" s="121"/>
      <c r="E447" s="121"/>
      <c r="F447" s="121"/>
      <c r="G447" s="121"/>
      <c r="H447" s="121"/>
      <c r="I447" s="121"/>
      <c r="J447" s="121"/>
      <c r="K447" s="121"/>
      <c r="L447" s="121"/>
      <c r="M447" s="121"/>
      <c r="N447" s="121"/>
      <c r="O447" s="235"/>
      <c r="P447" s="121"/>
      <c r="Q447" s="121"/>
      <c r="R447" s="121"/>
      <c r="S447" s="121"/>
      <c r="T447" s="121"/>
      <c r="U447" s="121"/>
      <c r="V447" s="121"/>
      <c r="W447" s="121"/>
      <c r="X447" s="117"/>
      <c r="Y447" s="117"/>
      <c r="Z447" s="121"/>
      <c r="AA447" s="121"/>
      <c r="AB447" s="121"/>
      <c r="AC447" s="121"/>
      <c r="AD447" s="121"/>
      <c r="AE447" s="121"/>
      <c r="AF447" s="121"/>
      <c r="AG447" s="121"/>
      <c r="AH447" s="121"/>
      <c r="AI447" s="121"/>
      <c r="AJ447" s="121"/>
      <c r="AK447" s="121"/>
      <c r="AL447" s="121"/>
      <c r="AM447" s="121"/>
      <c r="AN447" s="121"/>
      <c r="AO447" s="121"/>
      <c r="AP447" s="121"/>
      <c r="AQ447" s="121"/>
      <c r="AR447" s="121"/>
      <c r="AS447" s="121"/>
      <c r="AT447" s="121"/>
      <c r="AU447" s="121"/>
      <c r="AV447" s="121"/>
      <c r="AW447" s="121"/>
      <c r="AX447" s="121"/>
      <c r="AY447" s="121"/>
      <c r="AZ447" s="121"/>
      <c r="BA447" s="121"/>
      <c r="BB447" s="121"/>
      <c r="BC447" s="121"/>
      <c r="BD447" s="121"/>
      <c r="BE447" s="121"/>
      <c r="BF447" s="121"/>
      <c r="BG447" s="121"/>
      <c r="BH447" s="121"/>
      <c r="BI447" s="121"/>
      <c r="BJ447" s="121"/>
      <c r="BK447" s="121"/>
      <c r="BL447" s="121"/>
      <c r="BM447" s="121"/>
      <c r="BN447" s="121"/>
      <c r="BO447" s="121"/>
      <c r="BP447" s="121"/>
      <c r="BQ447" s="121"/>
      <c r="BR447" s="121"/>
      <c r="BS447" s="121"/>
      <c r="BT447" s="121"/>
      <c r="BU447" s="121"/>
      <c r="BV447" s="121"/>
      <c r="BW447" s="121"/>
      <c r="BX447" s="121"/>
      <c r="BY447" s="121"/>
      <c r="BZ447" s="121"/>
      <c r="CA447" s="121"/>
      <c r="CB447" s="121"/>
      <c r="CC447" s="121"/>
      <c r="CD447" s="121"/>
      <c r="CE447" s="121"/>
      <c r="CF447" s="121"/>
      <c r="CG447" s="121"/>
      <c r="CH447" s="121"/>
      <c r="CI447" s="121"/>
      <c r="CJ447" s="121"/>
      <c r="CK447" s="121"/>
      <c r="CL447" s="121"/>
      <c r="CM447" s="121"/>
      <c r="CN447" s="121"/>
      <c r="CO447" s="121"/>
      <c r="CP447" s="121"/>
      <c r="CQ447" s="121"/>
      <c r="CR447" s="121"/>
      <c r="CS447" s="121"/>
      <c r="CT447" s="121"/>
      <c r="CU447" s="121"/>
      <c r="CV447" s="121"/>
      <c r="CW447" s="121"/>
      <c r="CX447" s="121"/>
      <c r="CY447" s="121"/>
      <c r="CZ447" s="121"/>
      <c r="DA447" s="121"/>
      <c r="DB447" s="121"/>
      <c r="DC447" s="121"/>
      <c r="DD447" s="121"/>
      <c r="DE447" s="121"/>
      <c r="DF447" s="121"/>
      <c r="DG447" s="121"/>
      <c r="DH447" s="121"/>
      <c r="DI447" s="121"/>
      <c r="DJ447" s="121"/>
      <c r="DK447" s="121"/>
      <c r="DL447" s="121"/>
      <c r="DM447" s="121"/>
      <c r="DN447" s="121"/>
      <c r="DO447" s="121"/>
      <c r="DP447" s="121"/>
      <c r="DQ447" s="121"/>
      <c r="DR447" s="121"/>
      <c r="DS447" s="121"/>
      <c r="DT447" s="240"/>
      <c r="DU447" s="240"/>
      <c r="DV447" s="240"/>
      <c r="DW447" s="240"/>
      <c r="DX447" s="240"/>
      <c r="DY447" s="240"/>
      <c r="DZ447" s="240"/>
      <c r="EA447" s="240"/>
      <c r="EB447" s="237">
        <f t="shared" si="48"/>
        <v>0</v>
      </c>
      <c r="EC447" s="237">
        <f t="shared" si="49"/>
        <v>0</v>
      </c>
      <c r="ED447" s="237">
        <f t="shared" si="50"/>
        <v>0</v>
      </c>
      <c r="EE447" s="237">
        <f t="shared" si="51"/>
        <v>0</v>
      </c>
      <c r="EF447" s="121"/>
      <c r="EG447" s="238">
        <f t="shared" si="52"/>
        <v>0</v>
      </c>
      <c r="EH447" s="121"/>
      <c r="EI447" s="237">
        <f t="shared" si="53"/>
        <v>0</v>
      </c>
      <c r="EJ447" s="121"/>
      <c r="EK447" s="237">
        <f t="shared" si="54"/>
        <v>0</v>
      </c>
      <c r="EL447" s="237"/>
      <c r="EM447" s="5"/>
      <c r="EN447" s="5"/>
      <c r="EO447" s="5"/>
      <c r="EP447" s="5"/>
      <c r="EQ447" s="237">
        <f t="shared" si="55"/>
        <v>0</v>
      </c>
      <c r="ER447" s="239">
        <v>23300</v>
      </c>
      <c r="ES447" s="5">
        <v>7.5</v>
      </c>
    </row>
    <row r="448" spans="1:149" x14ac:dyDescent="0.3">
      <c r="A448" s="124"/>
      <c r="B448" s="121"/>
      <c r="C448" s="121"/>
      <c r="D448" s="121"/>
      <c r="E448" s="121"/>
      <c r="F448" s="121"/>
      <c r="G448" s="121"/>
      <c r="H448" s="121"/>
      <c r="I448" s="121"/>
      <c r="J448" s="121"/>
      <c r="K448" s="121"/>
      <c r="L448" s="121"/>
      <c r="M448" s="121"/>
      <c r="N448" s="121"/>
      <c r="O448" s="235"/>
      <c r="P448" s="121"/>
      <c r="Q448" s="121"/>
      <c r="R448" s="121"/>
      <c r="S448" s="121"/>
      <c r="T448" s="121"/>
      <c r="U448" s="121"/>
      <c r="V448" s="121"/>
      <c r="W448" s="121"/>
      <c r="X448" s="117"/>
      <c r="Y448" s="117"/>
      <c r="Z448" s="121"/>
      <c r="AA448" s="121"/>
      <c r="AB448" s="121"/>
      <c r="AC448" s="121"/>
      <c r="AD448" s="121"/>
      <c r="AE448" s="121"/>
      <c r="AF448" s="121"/>
      <c r="AG448" s="121"/>
      <c r="AH448" s="121"/>
      <c r="AI448" s="121"/>
      <c r="AJ448" s="121"/>
      <c r="AK448" s="121"/>
      <c r="AL448" s="121"/>
      <c r="AM448" s="121"/>
      <c r="AN448" s="121"/>
      <c r="AO448" s="121"/>
      <c r="AP448" s="121"/>
      <c r="AQ448" s="121"/>
      <c r="AR448" s="121"/>
      <c r="AS448" s="121"/>
      <c r="AT448" s="121"/>
      <c r="AU448" s="121"/>
      <c r="AV448" s="121"/>
      <c r="AW448" s="121"/>
      <c r="AX448" s="121"/>
      <c r="AY448" s="121"/>
      <c r="AZ448" s="121"/>
      <c r="BA448" s="121"/>
      <c r="BB448" s="121"/>
      <c r="BC448" s="121"/>
      <c r="BD448" s="121"/>
      <c r="BE448" s="121"/>
      <c r="BF448" s="121"/>
      <c r="BG448" s="121"/>
      <c r="BH448" s="121"/>
      <c r="BI448" s="121"/>
      <c r="BJ448" s="121"/>
      <c r="BK448" s="121"/>
      <c r="BL448" s="121"/>
      <c r="BM448" s="121"/>
      <c r="BN448" s="121"/>
      <c r="BO448" s="121"/>
      <c r="BP448" s="121"/>
      <c r="BQ448" s="121"/>
      <c r="BR448" s="121"/>
      <c r="BS448" s="121"/>
      <c r="BT448" s="121"/>
      <c r="BU448" s="121"/>
      <c r="BV448" s="121"/>
      <c r="BW448" s="121"/>
      <c r="BX448" s="121"/>
      <c r="BY448" s="121"/>
      <c r="BZ448" s="121"/>
      <c r="CA448" s="121"/>
      <c r="CB448" s="121"/>
      <c r="CC448" s="121"/>
      <c r="CD448" s="121"/>
      <c r="CE448" s="121"/>
      <c r="CF448" s="121"/>
      <c r="CG448" s="121"/>
      <c r="CH448" s="121"/>
      <c r="CI448" s="121"/>
      <c r="CJ448" s="121"/>
      <c r="CK448" s="121"/>
      <c r="CL448" s="121"/>
      <c r="CM448" s="121"/>
      <c r="CN448" s="121"/>
      <c r="CO448" s="121"/>
      <c r="CP448" s="121"/>
      <c r="CQ448" s="121"/>
      <c r="CR448" s="121"/>
      <c r="CS448" s="121"/>
      <c r="CT448" s="121"/>
      <c r="CU448" s="121"/>
      <c r="CV448" s="121"/>
      <c r="CW448" s="121"/>
      <c r="CX448" s="121"/>
      <c r="CY448" s="121"/>
      <c r="CZ448" s="121"/>
      <c r="DA448" s="121"/>
      <c r="DB448" s="121"/>
      <c r="DC448" s="121"/>
      <c r="DD448" s="121"/>
      <c r="DE448" s="121"/>
      <c r="DF448" s="121"/>
      <c r="DG448" s="121"/>
      <c r="DH448" s="121"/>
      <c r="DI448" s="121"/>
      <c r="DJ448" s="121"/>
      <c r="DK448" s="121"/>
      <c r="DL448" s="121"/>
      <c r="DM448" s="121"/>
      <c r="DN448" s="121"/>
      <c r="DO448" s="121"/>
      <c r="DP448" s="121"/>
      <c r="DQ448" s="121"/>
      <c r="DR448" s="121"/>
      <c r="DS448" s="121"/>
      <c r="DT448" s="240"/>
      <c r="DU448" s="240"/>
      <c r="DV448" s="240"/>
      <c r="DW448" s="240"/>
      <c r="DX448" s="240"/>
      <c r="DY448" s="240"/>
      <c r="DZ448" s="240"/>
      <c r="EA448" s="240"/>
      <c r="EB448" s="237">
        <f t="shared" si="48"/>
        <v>0</v>
      </c>
      <c r="EC448" s="237">
        <f t="shared" si="49"/>
        <v>0</v>
      </c>
      <c r="ED448" s="237">
        <f t="shared" si="50"/>
        <v>0</v>
      </c>
      <c r="EE448" s="237">
        <f t="shared" si="51"/>
        <v>0</v>
      </c>
      <c r="EF448" s="121"/>
      <c r="EG448" s="238">
        <f t="shared" si="52"/>
        <v>0</v>
      </c>
      <c r="EH448" s="121"/>
      <c r="EI448" s="237">
        <f t="shared" si="53"/>
        <v>0</v>
      </c>
      <c r="EJ448" s="121"/>
      <c r="EK448" s="237">
        <f t="shared" si="54"/>
        <v>0</v>
      </c>
      <c r="EL448" s="237"/>
      <c r="EM448" s="5"/>
      <c r="EN448" s="5"/>
      <c r="EO448" s="5"/>
      <c r="EP448" s="5"/>
      <c r="EQ448" s="237">
        <f t="shared" si="55"/>
        <v>0</v>
      </c>
      <c r="ER448" s="239">
        <v>23300</v>
      </c>
      <c r="ES448" s="5">
        <v>7.5</v>
      </c>
    </row>
    <row r="449" spans="1:149" x14ac:dyDescent="0.3">
      <c r="A449" s="124"/>
      <c r="B449" s="121"/>
      <c r="C449" s="121"/>
      <c r="D449" s="121"/>
      <c r="E449" s="121"/>
      <c r="F449" s="121"/>
      <c r="G449" s="121"/>
      <c r="H449" s="121"/>
      <c r="I449" s="121"/>
      <c r="J449" s="121"/>
      <c r="K449" s="121"/>
      <c r="L449" s="121"/>
      <c r="M449" s="121"/>
      <c r="N449" s="121"/>
      <c r="O449" s="235"/>
      <c r="P449" s="121"/>
      <c r="Q449" s="121"/>
      <c r="R449" s="121"/>
      <c r="S449" s="121"/>
      <c r="T449" s="121"/>
      <c r="U449" s="121"/>
      <c r="V449" s="121"/>
      <c r="W449" s="121"/>
      <c r="X449" s="117"/>
      <c r="Y449" s="117"/>
      <c r="Z449" s="121"/>
      <c r="AA449" s="121"/>
      <c r="AB449" s="121"/>
      <c r="AC449" s="121"/>
      <c r="AD449" s="121"/>
      <c r="AE449" s="121"/>
      <c r="AF449" s="121"/>
      <c r="AG449" s="121"/>
      <c r="AH449" s="121"/>
      <c r="AI449" s="121"/>
      <c r="AJ449" s="121"/>
      <c r="AK449" s="121"/>
      <c r="AL449" s="121"/>
      <c r="AM449" s="121"/>
      <c r="AN449" s="121"/>
      <c r="AO449" s="121"/>
      <c r="AP449" s="121"/>
      <c r="AQ449" s="121"/>
      <c r="AR449" s="121"/>
      <c r="AS449" s="121"/>
      <c r="AT449" s="121"/>
      <c r="AU449" s="121"/>
      <c r="AV449" s="121"/>
      <c r="AW449" s="121"/>
      <c r="AX449" s="121"/>
      <c r="AY449" s="121"/>
      <c r="AZ449" s="121"/>
      <c r="BA449" s="121"/>
      <c r="BB449" s="121"/>
      <c r="BC449" s="121"/>
      <c r="BD449" s="121"/>
      <c r="BE449" s="121"/>
      <c r="BF449" s="121"/>
      <c r="BG449" s="121"/>
      <c r="BH449" s="121"/>
      <c r="BI449" s="121"/>
      <c r="BJ449" s="121"/>
      <c r="BK449" s="121"/>
      <c r="BL449" s="121"/>
      <c r="BM449" s="121"/>
      <c r="BN449" s="121"/>
      <c r="BO449" s="121"/>
      <c r="BP449" s="121"/>
      <c r="BQ449" s="121"/>
      <c r="BR449" s="121"/>
      <c r="BS449" s="121"/>
      <c r="BT449" s="121"/>
      <c r="BU449" s="121"/>
      <c r="BV449" s="121"/>
      <c r="BW449" s="121"/>
      <c r="BX449" s="121"/>
      <c r="BY449" s="121"/>
      <c r="BZ449" s="121"/>
      <c r="CA449" s="121"/>
      <c r="CB449" s="121"/>
      <c r="CC449" s="121"/>
      <c r="CD449" s="121"/>
      <c r="CE449" s="121"/>
      <c r="CF449" s="121"/>
      <c r="CG449" s="121"/>
      <c r="CH449" s="121"/>
      <c r="CI449" s="121"/>
      <c r="CJ449" s="121"/>
      <c r="CK449" s="121"/>
      <c r="CL449" s="121"/>
      <c r="CM449" s="121"/>
      <c r="CN449" s="121"/>
      <c r="CO449" s="121"/>
      <c r="CP449" s="121"/>
      <c r="CQ449" s="121"/>
      <c r="CR449" s="121"/>
      <c r="CS449" s="121"/>
      <c r="CT449" s="121"/>
      <c r="CU449" s="121"/>
      <c r="CV449" s="121"/>
      <c r="CW449" s="121"/>
      <c r="CX449" s="121"/>
      <c r="CY449" s="121"/>
      <c r="CZ449" s="121"/>
      <c r="DA449" s="121"/>
      <c r="DB449" s="121"/>
      <c r="DC449" s="121"/>
      <c r="DD449" s="121"/>
      <c r="DE449" s="121"/>
      <c r="DF449" s="121"/>
      <c r="DG449" s="121"/>
      <c r="DH449" s="121"/>
      <c r="DI449" s="121"/>
      <c r="DJ449" s="121"/>
      <c r="DK449" s="121"/>
      <c r="DL449" s="121"/>
      <c r="DM449" s="121"/>
      <c r="DN449" s="121"/>
      <c r="DO449" s="121"/>
      <c r="DP449" s="121"/>
      <c r="DQ449" s="121"/>
      <c r="DR449" s="121"/>
      <c r="DS449" s="121"/>
      <c r="DT449" s="240"/>
      <c r="DU449" s="240"/>
      <c r="DV449" s="240"/>
      <c r="DW449" s="240"/>
      <c r="DX449" s="240"/>
      <c r="DY449" s="240"/>
      <c r="DZ449" s="240"/>
      <c r="EA449" s="240"/>
      <c r="EB449" s="237">
        <f t="shared" si="48"/>
        <v>0</v>
      </c>
      <c r="EC449" s="237">
        <f t="shared" si="49"/>
        <v>0</v>
      </c>
      <c r="ED449" s="237">
        <f t="shared" si="50"/>
        <v>0</v>
      </c>
      <c r="EE449" s="237">
        <f t="shared" si="51"/>
        <v>0</v>
      </c>
      <c r="EF449" s="121"/>
      <c r="EG449" s="238">
        <f t="shared" si="52"/>
        <v>0</v>
      </c>
      <c r="EH449" s="121"/>
      <c r="EI449" s="237">
        <f t="shared" si="53"/>
        <v>0</v>
      </c>
      <c r="EJ449" s="121"/>
      <c r="EK449" s="237">
        <f t="shared" si="54"/>
        <v>0</v>
      </c>
      <c r="EL449" s="237"/>
      <c r="EM449" s="5"/>
      <c r="EN449" s="5"/>
      <c r="EO449" s="5"/>
      <c r="EP449" s="5"/>
      <c r="EQ449" s="237">
        <f t="shared" si="55"/>
        <v>0</v>
      </c>
      <c r="ER449" s="239">
        <v>23300</v>
      </c>
      <c r="ES449" s="5">
        <v>7.5</v>
      </c>
    </row>
    <row r="450" spans="1:149" x14ac:dyDescent="0.3">
      <c r="A450" s="124"/>
      <c r="B450" s="121"/>
      <c r="C450" s="121"/>
      <c r="D450" s="121"/>
      <c r="E450" s="121"/>
      <c r="F450" s="121"/>
      <c r="G450" s="121"/>
      <c r="H450" s="121"/>
      <c r="I450" s="121"/>
      <c r="J450" s="121"/>
      <c r="K450" s="121"/>
      <c r="L450" s="121"/>
      <c r="M450" s="121"/>
      <c r="N450" s="121"/>
      <c r="O450" s="235"/>
      <c r="P450" s="121"/>
      <c r="Q450" s="121"/>
      <c r="R450" s="121"/>
      <c r="S450" s="121"/>
      <c r="T450" s="121"/>
      <c r="U450" s="121"/>
      <c r="V450" s="121"/>
      <c r="W450" s="121"/>
      <c r="X450" s="117"/>
      <c r="Y450" s="117"/>
      <c r="Z450" s="121"/>
      <c r="AA450" s="121"/>
      <c r="AB450" s="121"/>
      <c r="AC450" s="121"/>
      <c r="AD450" s="121"/>
      <c r="AE450" s="121"/>
      <c r="AF450" s="121"/>
      <c r="AG450" s="121"/>
      <c r="AH450" s="121"/>
      <c r="AI450" s="121"/>
      <c r="AJ450" s="121"/>
      <c r="AK450" s="121"/>
      <c r="AL450" s="121"/>
      <c r="AM450" s="121"/>
      <c r="AN450" s="121"/>
      <c r="AO450" s="121"/>
      <c r="AP450" s="121"/>
      <c r="AQ450" s="121"/>
      <c r="AR450" s="121"/>
      <c r="AS450" s="121"/>
      <c r="AT450" s="121"/>
      <c r="AU450" s="121"/>
      <c r="AV450" s="121"/>
      <c r="AW450" s="121"/>
      <c r="AX450" s="121"/>
      <c r="AY450" s="121"/>
      <c r="AZ450" s="121"/>
      <c r="BA450" s="121"/>
      <c r="BB450" s="121"/>
      <c r="BC450" s="121"/>
      <c r="BD450" s="121"/>
      <c r="BE450" s="121"/>
      <c r="BF450" s="121"/>
      <c r="BG450" s="121"/>
      <c r="BH450" s="121"/>
      <c r="BI450" s="121"/>
      <c r="BJ450" s="121"/>
      <c r="BK450" s="121"/>
      <c r="BL450" s="121"/>
      <c r="BM450" s="121"/>
      <c r="BN450" s="121"/>
      <c r="BO450" s="121"/>
      <c r="BP450" s="121"/>
      <c r="BQ450" s="121"/>
      <c r="BR450" s="121"/>
      <c r="BS450" s="121"/>
      <c r="BT450" s="121"/>
      <c r="BU450" s="121"/>
      <c r="BV450" s="121"/>
      <c r="BW450" s="121"/>
      <c r="BX450" s="121"/>
      <c r="BY450" s="121"/>
      <c r="BZ450" s="121"/>
      <c r="CA450" s="121"/>
      <c r="CB450" s="121"/>
      <c r="CC450" s="121"/>
      <c r="CD450" s="121"/>
      <c r="CE450" s="121"/>
      <c r="CF450" s="121"/>
      <c r="CG450" s="121"/>
      <c r="CH450" s="121"/>
      <c r="CI450" s="121"/>
      <c r="CJ450" s="121"/>
      <c r="CK450" s="121"/>
      <c r="CL450" s="121"/>
      <c r="CM450" s="121"/>
      <c r="CN450" s="121"/>
      <c r="CO450" s="121"/>
      <c r="CP450" s="121"/>
      <c r="CQ450" s="121"/>
      <c r="CR450" s="121"/>
      <c r="CS450" s="121"/>
      <c r="CT450" s="121"/>
      <c r="CU450" s="121"/>
      <c r="CV450" s="121"/>
      <c r="CW450" s="121"/>
      <c r="CX450" s="121"/>
      <c r="CY450" s="121"/>
      <c r="CZ450" s="121"/>
      <c r="DA450" s="121"/>
      <c r="DB450" s="121"/>
      <c r="DC450" s="121"/>
      <c r="DD450" s="121"/>
      <c r="DE450" s="121"/>
      <c r="DF450" s="121"/>
      <c r="DG450" s="121"/>
      <c r="DH450" s="121"/>
      <c r="DI450" s="121"/>
      <c r="DJ450" s="121"/>
      <c r="DK450" s="121"/>
      <c r="DL450" s="121"/>
      <c r="DM450" s="121"/>
      <c r="DN450" s="121"/>
      <c r="DO450" s="121"/>
      <c r="DP450" s="121"/>
      <c r="DQ450" s="121"/>
      <c r="DR450" s="121"/>
      <c r="DS450" s="121"/>
      <c r="DT450" s="240"/>
      <c r="DU450" s="240"/>
      <c r="DV450" s="240"/>
      <c r="DW450" s="240"/>
      <c r="DX450" s="240"/>
      <c r="DY450" s="240"/>
      <c r="DZ450" s="240"/>
      <c r="EA450" s="240"/>
      <c r="EB450" s="237">
        <f t="shared" si="48"/>
        <v>0</v>
      </c>
      <c r="EC450" s="237">
        <f t="shared" si="49"/>
        <v>0</v>
      </c>
      <c r="ED450" s="237">
        <f t="shared" si="50"/>
        <v>0</v>
      </c>
      <c r="EE450" s="237">
        <f t="shared" si="51"/>
        <v>0</v>
      </c>
      <c r="EF450" s="121"/>
      <c r="EG450" s="238">
        <f t="shared" si="52"/>
        <v>0</v>
      </c>
      <c r="EH450" s="121"/>
      <c r="EI450" s="237">
        <f t="shared" si="53"/>
        <v>0</v>
      </c>
      <c r="EJ450" s="121"/>
      <c r="EK450" s="237">
        <f t="shared" si="54"/>
        <v>0</v>
      </c>
      <c r="EL450" s="237"/>
      <c r="EM450" s="5"/>
      <c r="EN450" s="5"/>
      <c r="EO450" s="5"/>
      <c r="EP450" s="5"/>
      <c r="EQ450" s="237">
        <f t="shared" si="55"/>
        <v>0</v>
      </c>
      <c r="ER450" s="239">
        <v>23300</v>
      </c>
      <c r="ES450" s="5">
        <v>7.5</v>
      </c>
    </row>
    <row r="451" spans="1:149" x14ac:dyDescent="0.3">
      <c r="A451" s="124"/>
      <c r="B451" s="121"/>
      <c r="C451" s="121"/>
      <c r="D451" s="121"/>
      <c r="E451" s="121"/>
      <c r="F451" s="121"/>
      <c r="G451" s="121"/>
      <c r="H451" s="121"/>
      <c r="I451" s="121"/>
      <c r="J451" s="121"/>
      <c r="K451" s="121"/>
      <c r="L451" s="121"/>
      <c r="M451" s="121"/>
      <c r="N451" s="121"/>
      <c r="O451" s="235"/>
      <c r="P451" s="121"/>
      <c r="Q451" s="121"/>
      <c r="R451" s="121"/>
      <c r="S451" s="121"/>
      <c r="T451" s="121"/>
      <c r="U451" s="121"/>
      <c r="V451" s="121"/>
      <c r="W451" s="121"/>
      <c r="X451" s="117"/>
      <c r="Y451" s="117"/>
      <c r="Z451" s="121"/>
      <c r="AA451" s="121"/>
      <c r="AB451" s="121"/>
      <c r="AC451" s="121"/>
      <c r="AD451" s="121"/>
      <c r="AE451" s="121"/>
      <c r="AF451" s="121"/>
      <c r="AG451" s="121"/>
      <c r="AH451" s="121"/>
      <c r="AI451" s="121"/>
      <c r="AJ451" s="121"/>
      <c r="AK451" s="121"/>
      <c r="AL451" s="121"/>
      <c r="AM451" s="121"/>
      <c r="AN451" s="121"/>
      <c r="AO451" s="121"/>
      <c r="AP451" s="121"/>
      <c r="AQ451" s="121"/>
      <c r="AR451" s="121"/>
      <c r="AS451" s="121"/>
      <c r="AT451" s="121"/>
      <c r="AU451" s="121"/>
      <c r="AV451" s="121"/>
      <c r="AW451" s="121"/>
      <c r="AX451" s="121"/>
      <c r="AY451" s="121"/>
      <c r="AZ451" s="121"/>
      <c r="BA451" s="121"/>
      <c r="BB451" s="121"/>
      <c r="BC451" s="121"/>
      <c r="BD451" s="121"/>
      <c r="BE451" s="121"/>
      <c r="BF451" s="121"/>
      <c r="BG451" s="121"/>
      <c r="BH451" s="121"/>
      <c r="BI451" s="121"/>
      <c r="BJ451" s="121"/>
      <c r="BK451" s="121"/>
      <c r="BL451" s="121"/>
      <c r="BM451" s="121"/>
      <c r="BN451" s="121"/>
      <c r="BO451" s="121"/>
      <c r="BP451" s="121"/>
      <c r="BQ451" s="121"/>
      <c r="BR451" s="121"/>
      <c r="BS451" s="121"/>
      <c r="BT451" s="121"/>
      <c r="BU451" s="121"/>
      <c r="BV451" s="121"/>
      <c r="BW451" s="121"/>
      <c r="BX451" s="121"/>
      <c r="BY451" s="121"/>
      <c r="BZ451" s="121"/>
      <c r="CA451" s="121"/>
      <c r="CB451" s="121"/>
      <c r="CC451" s="121"/>
      <c r="CD451" s="121"/>
      <c r="CE451" s="121"/>
      <c r="CF451" s="121"/>
      <c r="CG451" s="121"/>
      <c r="CH451" s="121"/>
      <c r="CI451" s="121"/>
      <c r="CJ451" s="121"/>
      <c r="CK451" s="121"/>
      <c r="CL451" s="121"/>
      <c r="CM451" s="121"/>
      <c r="CN451" s="121"/>
      <c r="CO451" s="121"/>
      <c r="CP451" s="121"/>
      <c r="CQ451" s="121"/>
      <c r="CR451" s="121"/>
      <c r="CS451" s="121"/>
      <c r="CT451" s="121"/>
      <c r="CU451" s="121"/>
      <c r="CV451" s="121"/>
      <c r="CW451" s="121"/>
      <c r="CX451" s="121"/>
      <c r="CY451" s="121"/>
      <c r="CZ451" s="121"/>
      <c r="DA451" s="121"/>
      <c r="DB451" s="121"/>
      <c r="DC451" s="121"/>
      <c r="DD451" s="121"/>
      <c r="DE451" s="121"/>
      <c r="DF451" s="121"/>
      <c r="DG451" s="121"/>
      <c r="DH451" s="121"/>
      <c r="DI451" s="121"/>
      <c r="DJ451" s="121"/>
      <c r="DK451" s="121"/>
      <c r="DL451" s="121"/>
      <c r="DM451" s="121"/>
      <c r="DN451" s="121"/>
      <c r="DO451" s="121"/>
      <c r="DP451" s="121"/>
      <c r="DQ451" s="121"/>
      <c r="DR451" s="121"/>
      <c r="DS451" s="121"/>
      <c r="DT451" s="240"/>
      <c r="DU451" s="240"/>
      <c r="DV451" s="240"/>
      <c r="DW451" s="240"/>
      <c r="DX451" s="240"/>
      <c r="DY451" s="240"/>
      <c r="DZ451" s="240"/>
      <c r="EA451" s="240"/>
      <c r="EB451" s="237">
        <f t="shared" si="48"/>
        <v>0</v>
      </c>
      <c r="EC451" s="237">
        <f t="shared" si="49"/>
        <v>0</v>
      </c>
      <c r="ED451" s="237">
        <f t="shared" si="50"/>
        <v>0</v>
      </c>
      <c r="EE451" s="237">
        <f t="shared" si="51"/>
        <v>0</v>
      </c>
      <c r="EF451" s="121"/>
      <c r="EG451" s="238">
        <f t="shared" si="52"/>
        <v>0</v>
      </c>
      <c r="EH451" s="121"/>
      <c r="EI451" s="237">
        <f t="shared" si="53"/>
        <v>0</v>
      </c>
      <c r="EJ451" s="121"/>
      <c r="EK451" s="237">
        <f t="shared" si="54"/>
        <v>0</v>
      </c>
      <c r="EL451" s="237"/>
      <c r="EM451" s="5"/>
      <c r="EN451" s="5"/>
      <c r="EO451" s="5"/>
      <c r="EP451" s="5"/>
      <c r="EQ451" s="237">
        <f t="shared" si="55"/>
        <v>0</v>
      </c>
      <c r="ER451" s="239">
        <v>23300</v>
      </c>
      <c r="ES451" s="5">
        <v>7.5</v>
      </c>
    </row>
    <row r="452" spans="1:149" x14ac:dyDescent="0.3">
      <c r="A452" s="124"/>
      <c r="B452" s="121"/>
      <c r="C452" s="121"/>
      <c r="D452" s="121"/>
      <c r="E452" s="121"/>
      <c r="F452" s="121"/>
      <c r="G452" s="121"/>
      <c r="H452" s="121"/>
      <c r="I452" s="121"/>
      <c r="J452" s="121"/>
      <c r="K452" s="121"/>
      <c r="L452" s="121"/>
      <c r="M452" s="121"/>
      <c r="N452" s="121"/>
      <c r="O452" s="235"/>
      <c r="P452" s="121"/>
      <c r="Q452" s="121"/>
      <c r="R452" s="121"/>
      <c r="S452" s="121"/>
      <c r="T452" s="121"/>
      <c r="U452" s="121"/>
      <c r="V452" s="121"/>
      <c r="W452" s="121"/>
      <c r="X452" s="117"/>
      <c r="Y452" s="117"/>
      <c r="Z452" s="121"/>
      <c r="AA452" s="121"/>
      <c r="AB452" s="121"/>
      <c r="AC452" s="121"/>
      <c r="AD452" s="121"/>
      <c r="AE452" s="121"/>
      <c r="AF452" s="121"/>
      <c r="AG452" s="121"/>
      <c r="AH452" s="121"/>
      <c r="AI452" s="121"/>
      <c r="AJ452" s="121"/>
      <c r="AK452" s="121"/>
      <c r="AL452" s="121"/>
      <c r="AM452" s="121"/>
      <c r="AN452" s="121"/>
      <c r="AO452" s="121"/>
      <c r="AP452" s="121"/>
      <c r="AQ452" s="121"/>
      <c r="AR452" s="121"/>
      <c r="AS452" s="121"/>
      <c r="AT452" s="121"/>
      <c r="AU452" s="121"/>
      <c r="AV452" s="121"/>
      <c r="AW452" s="121"/>
      <c r="AX452" s="121"/>
      <c r="AY452" s="121"/>
      <c r="AZ452" s="121"/>
      <c r="BA452" s="121"/>
      <c r="BB452" s="121"/>
      <c r="BC452" s="121"/>
      <c r="BD452" s="121"/>
      <c r="BE452" s="121"/>
      <c r="BF452" s="121"/>
      <c r="BG452" s="121"/>
      <c r="BH452" s="121"/>
      <c r="BI452" s="121"/>
      <c r="BJ452" s="121"/>
      <c r="BK452" s="121"/>
      <c r="BL452" s="121"/>
      <c r="BM452" s="121"/>
      <c r="BN452" s="121"/>
      <c r="BO452" s="121"/>
      <c r="BP452" s="121"/>
      <c r="BQ452" s="121"/>
      <c r="BR452" s="121"/>
      <c r="BS452" s="121"/>
      <c r="BT452" s="121"/>
      <c r="BU452" s="121"/>
      <c r="BV452" s="121"/>
      <c r="BW452" s="121"/>
      <c r="BX452" s="121"/>
      <c r="BY452" s="121"/>
      <c r="BZ452" s="121"/>
      <c r="CA452" s="121"/>
      <c r="CB452" s="121"/>
      <c r="CC452" s="121"/>
      <c r="CD452" s="121"/>
      <c r="CE452" s="121"/>
      <c r="CF452" s="121"/>
      <c r="CG452" s="121"/>
      <c r="CH452" s="121"/>
      <c r="CI452" s="121"/>
      <c r="CJ452" s="121"/>
      <c r="CK452" s="121"/>
      <c r="CL452" s="121"/>
      <c r="CM452" s="121"/>
      <c r="CN452" s="121"/>
      <c r="CO452" s="121"/>
      <c r="CP452" s="121"/>
      <c r="CQ452" s="121"/>
      <c r="CR452" s="121"/>
      <c r="CS452" s="121"/>
      <c r="CT452" s="121"/>
      <c r="CU452" s="121"/>
      <c r="CV452" s="121"/>
      <c r="CW452" s="121"/>
      <c r="CX452" s="121"/>
      <c r="CY452" s="121"/>
      <c r="CZ452" s="121"/>
      <c r="DA452" s="121"/>
      <c r="DB452" s="121"/>
      <c r="DC452" s="121"/>
      <c r="DD452" s="121"/>
      <c r="DE452" s="121"/>
      <c r="DF452" s="121"/>
      <c r="DG452" s="121"/>
      <c r="DH452" s="121"/>
      <c r="DI452" s="121"/>
      <c r="DJ452" s="121"/>
      <c r="DK452" s="121"/>
      <c r="DL452" s="121"/>
      <c r="DM452" s="121"/>
      <c r="DN452" s="121"/>
      <c r="DO452" s="121"/>
      <c r="DP452" s="121"/>
      <c r="DQ452" s="121"/>
      <c r="DR452" s="121"/>
      <c r="DS452" s="121"/>
      <c r="DT452" s="240"/>
      <c r="DU452" s="240"/>
      <c r="DV452" s="240"/>
      <c r="DW452" s="240"/>
      <c r="DX452" s="240"/>
      <c r="DY452" s="240"/>
      <c r="DZ452" s="240"/>
      <c r="EA452" s="240"/>
      <c r="EB452" s="237">
        <f t="shared" si="48"/>
        <v>0</v>
      </c>
      <c r="EC452" s="237">
        <f t="shared" si="49"/>
        <v>0</v>
      </c>
      <c r="ED452" s="237">
        <f t="shared" si="50"/>
        <v>0</v>
      </c>
      <c r="EE452" s="237">
        <f t="shared" si="51"/>
        <v>0</v>
      </c>
      <c r="EF452" s="121"/>
      <c r="EG452" s="238">
        <f t="shared" si="52"/>
        <v>0</v>
      </c>
      <c r="EH452" s="121"/>
      <c r="EI452" s="237">
        <f t="shared" si="53"/>
        <v>0</v>
      </c>
      <c r="EJ452" s="121"/>
      <c r="EK452" s="237">
        <f t="shared" si="54"/>
        <v>0</v>
      </c>
      <c r="EL452" s="237"/>
      <c r="EM452" s="5"/>
      <c r="EN452" s="5"/>
      <c r="EO452" s="5"/>
      <c r="EP452" s="5"/>
      <c r="EQ452" s="237">
        <f t="shared" si="55"/>
        <v>0</v>
      </c>
      <c r="ER452" s="239">
        <v>23300</v>
      </c>
      <c r="ES452" s="5">
        <v>7.5</v>
      </c>
    </row>
    <row r="453" spans="1:149" x14ac:dyDescent="0.3">
      <c r="A453" s="124"/>
      <c r="B453" s="121"/>
      <c r="C453" s="121"/>
      <c r="D453" s="121"/>
      <c r="E453" s="121"/>
      <c r="F453" s="121"/>
      <c r="G453" s="121"/>
      <c r="H453" s="121"/>
      <c r="I453" s="121"/>
      <c r="J453" s="121"/>
      <c r="K453" s="121"/>
      <c r="L453" s="121"/>
      <c r="M453" s="121"/>
      <c r="N453" s="121"/>
      <c r="O453" s="235"/>
      <c r="P453" s="121"/>
      <c r="Q453" s="121"/>
      <c r="R453" s="121"/>
      <c r="S453" s="121"/>
      <c r="T453" s="121"/>
      <c r="U453" s="121"/>
      <c r="V453" s="121"/>
      <c r="W453" s="121"/>
      <c r="X453" s="117"/>
      <c r="Y453" s="117"/>
      <c r="Z453" s="121"/>
      <c r="AA453" s="121"/>
      <c r="AB453" s="121"/>
      <c r="AC453" s="121"/>
      <c r="AD453" s="121"/>
      <c r="AE453" s="121"/>
      <c r="AF453" s="121"/>
      <c r="AG453" s="121"/>
      <c r="AH453" s="121"/>
      <c r="AI453" s="121"/>
      <c r="AJ453" s="121"/>
      <c r="AK453" s="121"/>
      <c r="AL453" s="121"/>
      <c r="AM453" s="121"/>
      <c r="AN453" s="121"/>
      <c r="AO453" s="121"/>
      <c r="AP453" s="121"/>
      <c r="AQ453" s="121"/>
      <c r="AR453" s="121"/>
      <c r="AS453" s="121"/>
      <c r="AT453" s="121"/>
      <c r="AU453" s="121"/>
      <c r="AV453" s="121"/>
      <c r="AW453" s="121"/>
      <c r="AX453" s="121"/>
      <c r="AY453" s="121"/>
      <c r="AZ453" s="121"/>
      <c r="BA453" s="121"/>
      <c r="BB453" s="121"/>
      <c r="BC453" s="121"/>
      <c r="BD453" s="121"/>
      <c r="BE453" s="121"/>
      <c r="BF453" s="121"/>
      <c r="BG453" s="121"/>
      <c r="BH453" s="121"/>
      <c r="BI453" s="121"/>
      <c r="BJ453" s="121"/>
      <c r="BK453" s="121"/>
      <c r="BL453" s="121"/>
      <c r="BM453" s="121"/>
      <c r="BN453" s="121"/>
      <c r="BO453" s="121"/>
      <c r="BP453" s="121"/>
      <c r="BQ453" s="121"/>
      <c r="BR453" s="121"/>
      <c r="BS453" s="121"/>
      <c r="BT453" s="121"/>
      <c r="BU453" s="121"/>
      <c r="BV453" s="121"/>
      <c r="BW453" s="121"/>
      <c r="BX453" s="121"/>
      <c r="BY453" s="121"/>
      <c r="BZ453" s="121"/>
      <c r="CA453" s="121"/>
      <c r="CB453" s="121"/>
      <c r="CC453" s="121"/>
      <c r="CD453" s="121"/>
      <c r="CE453" s="121"/>
      <c r="CF453" s="121"/>
      <c r="CG453" s="121"/>
      <c r="CH453" s="121"/>
      <c r="CI453" s="121"/>
      <c r="CJ453" s="121"/>
      <c r="CK453" s="121"/>
      <c r="CL453" s="121"/>
      <c r="CM453" s="121"/>
      <c r="CN453" s="121"/>
      <c r="CO453" s="121"/>
      <c r="CP453" s="121"/>
      <c r="CQ453" s="121"/>
      <c r="CR453" s="121"/>
      <c r="CS453" s="121"/>
      <c r="CT453" s="121"/>
      <c r="CU453" s="121"/>
      <c r="CV453" s="121"/>
      <c r="CW453" s="121"/>
      <c r="CX453" s="121"/>
      <c r="CY453" s="121"/>
      <c r="CZ453" s="121"/>
      <c r="DA453" s="121"/>
      <c r="DB453" s="121"/>
      <c r="DC453" s="121"/>
      <c r="DD453" s="121"/>
      <c r="DE453" s="121"/>
      <c r="DF453" s="121"/>
      <c r="DG453" s="121"/>
      <c r="DH453" s="121"/>
      <c r="DI453" s="121"/>
      <c r="DJ453" s="121"/>
      <c r="DK453" s="121"/>
      <c r="DL453" s="121"/>
      <c r="DM453" s="121"/>
      <c r="DN453" s="121"/>
      <c r="DO453" s="121"/>
      <c r="DP453" s="121"/>
      <c r="DQ453" s="121"/>
      <c r="DR453" s="121"/>
      <c r="DS453" s="121"/>
      <c r="DT453" s="240"/>
      <c r="DU453" s="240"/>
      <c r="DV453" s="240"/>
      <c r="DW453" s="240"/>
      <c r="DX453" s="240"/>
      <c r="DY453" s="240"/>
      <c r="DZ453" s="240"/>
      <c r="EA453" s="240"/>
      <c r="EB453" s="237">
        <f t="shared" si="48"/>
        <v>0</v>
      </c>
      <c r="EC453" s="237">
        <f t="shared" si="49"/>
        <v>0</v>
      </c>
      <c r="ED453" s="237">
        <f t="shared" si="50"/>
        <v>0</v>
      </c>
      <c r="EE453" s="237">
        <f t="shared" si="51"/>
        <v>0</v>
      </c>
      <c r="EF453" s="121"/>
      <c r="EG453" s="238">
        <f t="shared" si="52"/>
        <v>0</v>
      </c>
      <c r="EH453" s="121"/>
      <c r="EI453" s="237">
        <f t="shared" si="53"/>
        <v>0</v>
      </c>
      <c r="EJ453" s="121"/>
      <c r="EK453" s="237">
        <f t="shared" si="54"/>
        <v>0</v>
      </c>
      <c r="EL453" s="237"/>
      <c r="EM453" s="5"/>
      <c r="EN453" s="5"/>
      <c r="EO453" s="5"/>
      <c r="EP453" s="5"/>
      <c r="EQ453" s="237">
        <f t="shared" si="55"/>
        <v>0</v>
      </c>
      <c r="ER453" s="239">
        <v>23300</v>
      </c>
      <c r="ES453" s="5">
        <v>7.5</v>
      </c>
    </row>
    <row r="454" spans="1:149" x14ac:dyDescent="0.3">
      <c r="A454" s="124"/>
      <c r="B454" s="121"/>
      <c r="C454" s="121"/>
      <c r="D454" s="121"/>
      <c r="E454" s="121"/>
      <c r="F454" s="121"/>
      <c r="G454" s="121"/>
      <c r="H454" s="121"/>
      <c r="I454" s="121"/>
      <c r="J454" s="121"/>
      <c r="K454" s="121"/>
      <c r="L454" s="121"/>
      <c r="M454" s="121"/>
      <c r="N454" s="121"/>
      <c r="O454" s="235"/>
      <c r="P454" s="121"/>
      <c r="Q454" s="121"/>
      <c r="R454" s="121"/>
      <c r="S454" s="121"/>
      <c r="T454" s="121"/>
      <c r="U454" s="121"/>
      <c r="V454" s="121"/>
      <c r="W454" s="121"/>
      <c r="X454" s="117"/>
      <c r="Y454" s="117"/>
      <c r="Z454" s="121"/>
      <c r="AA454" s="121"/>
      <c r="AB454" s="121"/>
      <c r="AC454" s="121"/>
      <c r="AD454" s="121"/>
      <c r="AE454" s="121"/>
      <c r="AF454" s="121"/>
      <c r="AG454" s="121"/>
      <c r="AH454" s="121"/>
      <c r="AI454" s="121"/>
      <c r="AJ454" s="121"/>
      <c r="AK454" s="121"/>
      <c r="AL454" s="121"/>
      <c r="AM454" s="121"/>
      <c r="AN454" s="121"/>
      <c r="AO454" s="121"/>
      <c r="AP454" s="121"/>
      <c r="AQ454" s="121"/>
      <c r="AR454" s="121"/>
      <c r="AS454" s="121"/>
      <c r="AT454" s="121"/>
      <c r="AU454" s="121"/>
      <c r="AV454" s="121"/>
      <c r="AW454" s="121"/>
      <c r="AX454" s="121"/>
      <c r="AY454" s="121"/>
      <c r="AZ454" s="121"/>
      <c r="BA454" s="121"/>
      <c r="BB454" s="121"/>
      <c r="BC454" s="121"/>
      <c r="BD454" s="121"/>
      <c r="BE454" s="121"/>
      <c r="BF454" s="121"/>
      <c r="BG454" s="121"/>
      <c r="BH454" s="121"/>
      <c r="BI454" s="121"/>
      <c r="BJ454" s="121"/>
      <c r="BK454" s="121"/>
      <c r="BL454" s="121"/>
      <c r="BM454" s="121"/>
      <c r="BN454" s="121"/>
      <c r="BO454" s="121"/>
      <c r="BP454" s="121"/>
      <c r="BQ454" s="121"/>
      <c r="BR454" s="121"/>
      <c r="BS454" s="121"/>
      <c r="BT454" s="121"/>
      <c r="BU454" s="121"/>
      <c r="BV454" s="121"/>
      <c r="BW454" s="121"/>
      <c r="BX454" s="121"/>
      <c r="BY454" s="121"/>
      <c r="BZ454" s="121"/>
      <c r="CA454" s="121"/>
      <c r="CB454" s="121"/>
      <c r="CC454" s="121"/>
      <c r="CD454" s="121"/>
      <c r="CE454" s="121"/>
      <c r="CF454" s="121"/>
      <c r="CG454" s="121"/>
      <c r="CH454" s="121"/>
      <c r="CI454" s="121"/>
      <c r="CJ454" s="121"/>
      <c r="CK454" s="121"/>
      <c r="CL454" s="121"/>
      <c r="CM454" s="121"/>
      <c r="CN454" s="121"/>
      <c r="CO454" s="121"/>
      <c r="CP454" s="121"/>
      <c r="CQ454" s="121"/>
      <c r="CR454" s="121"/>
      <c r="CS454" s="121"/>
      <c r="CT454" s="121"/>
      <c r="CU454" s="121"/>
      <c r="CV454" s="121"/>
      <c r="CW454" s="121"/>
      <c r="CX454" s="121"/>
      <c r="CY454" s="121"/>
      <c r="CZ454" s="121"/>
      <c r="DA454" s="121"/>
      <c r="DB454" s="121"/>
      <c r="DC454" s="121"/>
      <c r="DD454" s="121"/>
      <c r="DE454" s="121"/>
      <c r="DF454" s="121"/>
      <c r="DG454" s="121"/>
      <c r="DH454" s="121"/>
      <c r="DI454" s="121"/>
      <c r="DJ454" s="121"/>
      <c r="DK454" s="121"/>
      <c r="DL454" s="121"/>
      <c r="DM454" s="121"/>
      <c r="DN454" s="121"/>
      <c r="DO454" s="121"/>
      <c r="DP454" s="121"/>
      <c r="DQ454" s="121"/>
      <c r="DR454" s="121"/>
      <c r="DS454" s="121"/>
      <c r="DT454" s="240"/>
      <c r="DU454" s="240"/>
      <c r="DV454" s="240"/>
      <c r="DW454" s="240"/>
      <c r="DX454" s="240"/>
      <c r="DY454" s="240"/>
      <c r="DZ454" s="240"/>
      <c r="EA454" s="240"/>
      <c r="EB454" s="237">
        <f t="shared" ref="EB454:EB517" si="56">AB454+AC454*K454+AD454*K454+((AF454+AG454+AH454+AJ454+AK454)*K454+AE454+AI454+AL454*K454+AM454*K454)+AP454+AQ454*L454+AR454*L454+((AT454+AU454+AV454+AX454+AY454)*L454+AS454+AW454+AZ454*L454+BA454*L454)+IF(AND(M454&gt;0,MAX(M454,N454/1000)&lt;1),BD454+1*(BE454+BF454)+(1*(BH454+BI454+BJ454+BL454+BM454)+BG454+BK454+BN454+BO454),IF(AND(M454&gt;0,MAX(M454,N454/1000)&gt;1),BD454+MAX(M454,N454/1000)*(BE454+BF454)+(MAX(M454,N454/1000)*(BH454+BI454+BJ454+BL454+BM454)+BG454+BK454+BN454+BO454),IF(AND(K454="",L454="",M454=""),BD454+N454*(BE454+BF454)+((BH454+BI454+BJ454+BL454+BM454)*N454+BG454+BK454+BN454+BO454),0)))</f>
        <v>0</v>
      </c>
      <c r="EC454" s="237">
        <f t="shared" ref="EC454:EC517" si="57">BR454+BS454*K454+BT454*K454+((BV454+BW454+BX454+BZ454+CA454)*K454+BU454+BY454+CB454*K454+CC454*K454)+CJ454+CK454*L454+CL454*L454+((CN454+CO454+CP454+CR454+CS454)*L454+CM454+CQ454+CT454*L454+CU454*L454)+IF(AND(M454&gt;0,MAX(M454,N454/1000)&lt;1),DB454+1*(DC454+DD454)+(1*(DF454+DG454+DH454+DJ454+DK454)+DE454+DI454+DL454+DM454),IF(AND(M454&gt;0,MAX(M454,N454/1000)&gt;1),DB454+MAX(M454,N454/1000)*(DC454+DD454)+(MAX(M454,N454/1000)*(DF454+DG454+DH454+DJ454+DK454)+DE454+DI454+DL454+DM454),IF(AND(K454="",L454="",M454=""),DB454+N454*(DC454+DD454)+((DF454+DG454+DH454+DJ454+DK454)*N454+DE454+DI454+DL454+DM454),0)))</f>
        <v>0</v>
      </c>
      <c r="ED454" s="237">
        <f t="shared" ref="ED454:ED517" si="58">AN454*K454*(1-AO454%)+BB454*L454*(1-BC454%)+BP454*IF(AND(M454&gt;0,M454&lt;1),1,IF(M454&gt;1,MAX(M454,N454/1000),N454))*(1-BQ454%)</f>
        <v>0</v>
      </c>
      <c r="EE454" s="237">
        <f t="shared" ref="EE454:EE517" si="59">(CD454+CE454*K454)*(1-CF454%)+(CG454+CH454*K454)*(1-CI454%)+(CV454+CW454*L454)*(1-CX454%)+(CY454+CZ454*L454)*(1-DA454%)+(DN454+DO454*IF(AND(M454&gt;0,M454&lt;1),1,IF(M454&gt;1,MAX(M454,N454/1000),N454)))*(1-DP454%)+(DQ454+DR454*IF(AND(M454&gt;0,M454&lt;1),1,IF(M454&gt;1,MAX(M454,N454/1000),N454)))*(1-DS454%)</f>
        <v>0</v>
      </c>
      <c r="EF454" s="121"/>
      <c r="EG454" s="238">
        <f t="shared" ref="EG454:EG517" si="60">((BR454+BS454*K454+BT454*K454)+(CJ454+CK454*L454*+CL454*L454)+IF(AND(M454&gt;0,MAX(M454,N454/1000)&lt;1),DB454+DC454+DD454,IF(AND(M454&gt;0,MAX(M454,N454/1000)&gt;1),DB454+DC454*M454+DD454*M454,IF(AND(M454&gt;0,MAX(M454,N454/1000)&gt;1),DB454+MAX(M454,N454/1000)*DC454+MAX(M454,N454/1000)*DD454+IF(AND(K454="",L454="",M454=""),DB454+DC454*N454+DD454*N454,0)))))*EF454/365*ES454%</f>
        <v>0</v>
      </c>
      <c r="EH454" s="121"/>
      <c r="EI454" s="237">
        <f t="shared" ref="EI454:EI517" si="61">(((BV454+BW454+BX454+BZ454+CA454)*K454+BU454+BY454)*1.08+CJ454+CK454*L454+CL454*L454+((CN454+CO454+CP454+CR454+CS454)*L454+CM454+CQ454)*1.08+IF(AND(M454&gt;0,MAX(M454,N454/1000)&lt;1),DB454+1*(DC454+DD454)+(1*(DF454+DG454+DH454+DJ454+DK454)+DE454+DI454)*1.08,IF(AND(M454&gt;0,MAX(M454,N454/1000)&gt;1),DB454+MAX(M454,N454/1000)*(DC454+DD454)+(MAX(M454,N454/1000)*(DF454+DG454+DH454+DJ454+DK454)+DE454+DI454)*1.08,IF(AND(K454="",L454="",M454=""),DB454+N454*(DC454+DD454)+((DF454+DG454+DH454+DJ454+DK454)*N454+DE454+DI454)*1.08,0))))*EH454/365*ES454%</f>
        <v>0</v>
      </c>
      <c r="EJ454" s="121"/>
      <c r="EK454" s="237">
        <f t="shared" ref="EK454:EK517" si="62">((CB454*K454+CC454*K454)*1.1+(CT454*L454+CU454*L454)*1.1+(DL454+DM454)*1.1)*EJ454/365*ES454%</f>
        <v>0</v>
      </c>
      <c r="EL454" s="237"/>
      <c r="EM454" s="5"/>
      <c r="EN454" s="5"/>
      <c r="EO454" s="5"/>
      <c r="EP454" s="5"/>
      <c r="EQ454" s="237">
        <f t="shared" ref="EQ454:EQ517" si="63">EC454-EB454-EG454-EI454-EK454-(AN454*K454+BB454*L454+BP454*IF(AND(M454&gt;0,M454&lt;1),1,IF(M454&gt;1,MAX(M454,N454/1000),N454))+CD454+CE454*K454+CV454+CW454*L454+DN454+DO454*IF(AND(M454&gt;0,M454&lt;1),1,IF(M454&gt;1,MAX(M454,N454/1000),N454))+CG454+CH454*K454+CY454+CZ454*L454+DQ454+DR454*IF(AND(M454&gt;0,M454&lt;1),1,IF(M454&gt;1,MAX(M454,N454/1000),N454)))-EL454-EM454*EN454/365*ES454%-EO454*EP454/365*ES454%</f>
        <v>0</v>
      </c>
      <c r="ER454" s="239">
        <v>23300</v>
      </c>
      <c r="ES454" s="5">
        <v>7.5</v>
      </c>
    </row>
    <row r="455" spans="1:149" x14ac:dyDescent="0.3">
      <c r="A455" s="124"/>
      <c r="B455" s="121"/>
      <c r="C455" s="121"/>
      <c r="D455" s="121"/>
      <c r="E455" s="121"/>
      <c r="F455" s="121"/>
      <c r="G455" s="121"/>
      <c r="H455" s="121"/>
      <c r="I455" s="121"/>
      <c r="J455" s="121"/>
      <c r="K455" s="121"/>
      <c r="L455" s="121"/>
      <c r="M455" s="121"/>
      <c r="N455" s="121"/>
      <c r="O455" s="235"/>
      <c r="P455" s="121"/>
      <c r="Q455" s="121"/>
      <c r="R455" s="121"/>
      <c r="S455" s="121"/>
      <c r="T455" s="121"/>
      <c r="U455" s="121"/>
      <c r="V455" s="121"/>
      <c r="W455" s="121"/>
      <c r="X455" s="117"/>
      <c r="Y455" s="117"/>
      <c r="Z455" s="121"/>
      <c r="AA455" s="121"/>
      <c r="AB455" s="121"/>
      <c r="AC455" s="121"/>
      <c r="AD455" s="121"/>
      <c r="AE455" s="121"/>
      <c r="AF455" s="121"/>
      <c r="AG455" s="121"/>
      <c r="AH455" s="121"/>
      <c r="AI455" s="121"/>
      <c r="AJ455" s="121"/>
      <c r="AK455" s="121"/>
      <c r="AL455" s="121"/>
      <c r="AM455" s="121"/>
      <c r="AN455" s="121"/>
      <c r="AO455" s="121"/>
      <c r="AP455" s="121"/>
      <c r="AQ455" s="121"/>
      <c r="AR455" s="121"/>
      <c r="AS455" s="121"/>
      <c r="AT455" s="121"/>
      <c r="AU455" s="121"/>
      <c r="AV455" s="121"/>
      <c r="AW455" s="121"/>
      <c r="AX455" s="121"/>
      <c r="AY455" s="121"/>
      <c r="AZ455" s="121"/>
      <c r="BA455" s="121"/>
      <c r="BB455" s="121"/>
      <c r="BC455" s="121"/>
      <c r="BD455" s="121"/>
      <c r="BE455" s="121"/>
      <c r="BF455" s="121"/>
      <c r="BG455" s="121"/>
      <c r="BH455" s="121"/>
      <c r="BI455" s="121"/>
      <c r="BJ455" s="121"/>
      <c r="BK455" s="121"/>
      <c r="BL455" s="121"/>
      <c r="BM455" s="121"/>
      <c r="BN455" s="121"/>
      <c r="BO455" s="121"/>
      <c r="BP455" s="121"/>
      <c r="BQ455" s="121"/>
      <c r="BR455" s="121"/>
      <c r="BS455" s="121"/>
      <c r="BT455" s="121"/>
      <c r="BU455" s="121"/>
      <c r="BV455" s="121"/>
      <c r="BW455" s="121"/>
      <c r="BX455" s="121"/>
      <c r="BY455" s="121"/>
      <c r="BZ455" s="121"/>
      <c r="CA455" s="121"/>
      <c r="CB455" s="121"/>
      <c r="CC455" s="121"/>
      <c r="CD455" s="121"/>
      <c r="CE455" s="121"/>
      <c r="CF455" s="121"/>
      <c r="CG455" s="121"/>
      <c r="CH455" s="121"/>
      <c r="CI455" s="121"/>
      <c r="CJ455" s="121"/>
      <c r="CK455" s="121"/>
      <c r="CL455" s="121"/>
      <c r="CM455" s="121"/>
      <c r="CN455" s="121"/>
      <c r="CO455" s="121"/>
      <c r="CP455" s="121"/>
      <c r="CQ455" s="121"/>
      <c r="CR455" s="121"/>
      <c r="CS455" s="121"/>
      <c r="CT455" s="121"/>
      <c r="CU455" s="121"/>
      <c r="CV455" s="121"/>
      <c r="CW455" s="121"/>
      <c r="CX455" s="121"/>
      <c r="CY455" s="121"/>
      <c r="CZ455" s="121"/>
      <c r="DA455" s="121"/>
      <c r="DB455" s="121"/>
      <c r="DC455" s="121"/>
      <c r="DD455" s="121"/>
      <c r="DE455" s="121"/>
      <c r="DF455" s="121"/>
      <c r="DG455" s="121"/>
      <c r="DH455" s="121"/>
      <c r="DI455" s="121"/>
      <c r="DJ455" s="121"/>
      <c r="DK455" s="121"/>
      <c r="DL455" s="121"/>
      <c r="DM455" s="121"/>
      <c r="DN455" s="121"/>
      <c r="DO455" s="121"/>
      <c r="DP455" s="121"/>
      <c r="DQ455" s="121"/>
      <c r="DR455" s="121"/>
      <c r="DS455" s="121"/>
      <c r="DT455" s="240"/>
      <c r="DU455" s="240"/>
      <c r="DV455" s="240"/>
      <c r="DW455" s="240"/>
      <c r="DX455" s="240"/>
      <c r="DY455" s="240"/>
      <c r="DZ455" s="240"/>
      <c r="EA455" s="240"/>
      <c r="EB455" s="237">
        <f t="shared" si="56"/>
        <v>0</v>
      </c>
      <c r="EC455" s="237">
        <f t="shared" si="57"/>
        <v>0</v>
      </c>
      <c r="ED455" s="237">
        <f t="shared" si="58"/>
        <v>0</v>
      </c>
      <c r="EE455" s="237">
        <f t="shared" si="59"/>
        <v>0</v>
      </c>
      <c r="EF455" s="121"/>
      <c r="EG455" s="238">
        <f t="shared" si="60"/>
        <v>0</v>
      </c>
      <c r="EH455" s="121"/>
      <c r="EI455" s="237">
        <f t="shared" si="61"/>
        <v>0</v>
      </c>
      <c r="EJ455" s="121"/>
      <c r="EK455" s="237">
        <f t="shared" si="62"/>
        <v>0</v>
      </c>
      <c r="EL455" s="237"/>
      <c r="EM455" s="5"/>
      <c r="EN455" s="5"/>
      <c r="EO455" s="5"/>
      <c r="EP455" s="5"/>
      <c r="EQ455" s="237">
        <f t="shared" si="63"/>
        <v>0</v>
      </c>
      <c r="ER455" s="239">
        <v>23300</v>
      </c>
      <c r="ES455" s="5">
        <v>7.5</v>
      </c>
    </row>
    <row r="456" spans="1:149" x14ac:dyDescent="0.3">
      <c r="A456" s="124"/>
      <c r="B456" s="121"/>
      <c r="C456" s="121"/>
      <c r="D456" s="121"/>
      <c r="E456" s="121"/>
      <c r="F456" s="121"/>
      <c r="G456" s="121"/>
      <c r="H456" s="121"/>
      <c r="I456" s="121"/>
      <c r="J456" s="121"/>
      <c r="K456" s="121"/>
      <c r="L456" s="121"/>
      <c r="M456" s="121"/>
      <c r="N456" s="121"/>
      <c r="O456" s="235"/>
      <c r="P456" s="121"/>
      <c r="Q456" s="121"/>
      <c r="R456" s="121"/>
      <c r="S456" s="121"/>
      <c r="T456" s="121"/>
      <c r="U456" s="121"/>
      <c r="V456" s="121"/>
      <c r="W456" s="121"/>
      <c r="X456" s="117"/>
      <c r="Y456" s="117"/>
      <c r="Z456" s="121"/>
      <c r="AA456" s="121"/>
      <c r="AB456" s="121"/>
      <c r="AC456" s="121"/>
      <c r="AD456" s="121"/>
      <c r="AE456" s="121"/>
      <c r="AF456" s="121"/>
      <c r="AG456" s="121"/>
      <c r="AH456" s="121"/>
      <c r="AI456" s="121"/>
      <c r="AJ456" s="121"/>
      <c r="AK456" s="121"/>
      <c r="AL456" s="121"/>
      <c r="AM456" s="121"/>
      <c r="AN456" s="121"/>
      <c r="AO456" s="121"/>
      <c r="AP456" s="121"/>
      <c r="AQ456" s="121"/>
      <c r="AR456" s="121"/>
      <c r="AS456" s="121"/>
      <c r="AT456" s="121"/>
      <c r="AU456" s="121"/>
      <c r="AV456" s="121"/>
      <c r="AW456" s="121"/>
      <c r="AX456" s="121"/>
      <c r="AY456" s="121"/>
      <c r="AZ456" s="121"/>
      <c r="BA456" s="121"/>
      <c r="BB456" s="121"/>
      <c r="BC456" s="121"/>
      <c r="BD456" s="121"/>
      <c r="BE456" s="121"/>
      <c r="BF456" s="121"/>
      <c r="BG456" s="121"/>
      <c r="BH456" s="121"/>
      <c r="BI456" s="121"/>
      <c r="BJ456" s="121"/>
      <c r="BK456" s="121"/>
      <c r="BL456" s="121"/>
      <c r="BM456" s="121"/>
      <c r="BN456" s="121"/>
      <c r="BO456" s="121"/>
      <c r="BP456" s="121"/>
      <c r="BQ456" s="121"/>
      <c r="BR456" s="121"/>
      <c r="BS456" s="121"/>
      <c r="BT456" s="121"/>
      <c r="BU456" s="121"/>
      <c r="BV456" s="121"/>
      <c r="BW456" s="121"/>
      <c r="BX456" s="121"/>
      <c r="BY456" s="121"/>
      <c r="BZ456" s="121"/>
      <c r="CA456" s="121"/>
      <c r="CB456" s="121"/>
      <c r="CC456" s="121"/>
      <c r="CD456" s="121"/>
      <c r="CE456" s="121"/>
      <c r="CF456" s="121"/>
      <c r="CG456" s="121"/>
      <c r="CH456" s="121"/>
      <c r="CI456" s="121"/>
      <c r="CJ456" s="121"/>
      <c r="CK456" s="121"/>
      <c r="CL456" s="121"/>
      <c r="CM456" s="121"/>
      <c r="CN456" s="121"/>
      <c r="CO456" s="121"/>
      <c r="CP456" s="121"/>
      <c r="CQ456" s="121"/>
      <c r="CR456" s="121"/>
      <c r="CS456" s="121"/>
      <c r="CT456" s="121"/>
      <c r="CU456" s="121"/>
      <c r="CV456" s="121"/>
      <c r="CW456" s="121"/>
      <c r="CX456" s="121"/>
      <c r="CY456" s="121"/>
      <c r="CZ456" s="121"/>
      <c r="DA456" s="121"/>
      <c r="DB456" s="121"/>
      <c r="DC456" s="121"/>
      <c r="DD456" s="121"/>
      <c r="DE456" s="121"/>
      <c r="DF456" s="121"/>
      <c r="DG456" s="121"/>
      <c r="DH456" s="121"/>
      <c r="DI456" s="121"/>
      <c r="DJ456" s="121"/>
      <c r="DK456" s="121"/>
      <c r="DL456" s="121"/>
      <c r="DM456" s="121"/>
      <c r="DN456" s="121"/>
      <c r="DO456" s="121"/>
      <c r="DP456" s="121"/>
      <c r="DQ456" s="121"/>
      <c r="DR456" s="121"/>
      <c r="DS456" s="121"/>
      <c r="DT456" s="240"/>
      <c r="DU456" s="240"/>
      <c r="DV456" s="240"/>
      <c r="DW456" s="240"/>
      <c r="DX456" s="240"/>
      <c r="DY456" s="240"/>
      <c r="DZ456" s="240"/>
      <c r="EA456" s="240"/>
      <c r="EB456" s="237">
        <f t="shared" si="56"/>
        <v>0</v>
      </c>
      <c r="EC456" s="237">
        <f t="shared" si="57"/>
        <v>0</v>
      </c>
      <c r="ED456" s="237">
        <f t="shared" si="58"/>
        <v>0</v>
      </c>
      <c r="EE456" s="237">
        <f t="shared" si="59"/>
        <v>0</v>
      </c>
      <c r="EF456" s="121"/>
      <c r="EG456" s="238">
        <f t="shared" si="60"/>
        <v>0</v>
      </c>
      <c r="EH456" s="121"/>
      <c r="EI456" s="237">
        <f t="shared" si="61"/>
        <v>0</v>
      </c>
      <c r="EJ456" s="121"/>
      <c r="EK456" s="237">
        <f t="shared" si="62"/>
        <v>0</v>
      </c>
      <c r="EL456" s="237"/>
      <c r="EM456" s="5"/>
      <c r="EN456" s="5"/>
      <c r="EO456" s="5"/>
      <c r="EP456" s="5"/>
      <c r="EQ456" s="237">
        <f t="shared" si="63"/>
        <v>0</v>
      </c>
      <c r="ER456" s="239">
        <v>23300</v>
      </c>
      <c r="ES456" s="5">
        <v>7.5</v>
      </c>
    </row>
    <row r="457" spans="1:149" x14ac:dyDescent="0.3">
      <c r="A457" s="124"/>
      <c r="B457" s="121"/>
      <c r="C457" s="121"/>
      <c r="D457" s="121"/>
      <c r="E457" s="121"/>
      <c r="F457" s="121"/>
      <c r="G457" s="121"/>
      <c r="H457" s="121"/>
      <c r="I457" s="121"/>
      <c r="J457" s="121"/>
      <c r="K457" s="121"/>
      <c r="L457" s="121"/>
      <c r="M457" s="121"/>
      <c r="N457" s="121"/>
      <c r="O457" s="235"/>
      <c r="P457" s="121"/>
      <c r="Q457" s="121"/>
      <c r="R457" s="121"/>
      <c r="S457" s="121"/>
      <c r="T457" s="121"/>
      <c r="U457" s="121"/>
      <c r="V457" s="121"/>
      <c r="W457" s="121"/>
      <c r="X457" s="117"/>
      <c r="Y457" s="117"/>
      <c r="Z457" s="121"/>
      <c r="AA457" s="121"/>
      <c r="AB457" s="121"/>
      <c r="AC457" s="121"/>
      <c r="AD457" s="121"/>
      <c r="AE457" s="121"/>
      <c r="AF457" s="121"/>
      <c r="AG457" s="121"/>
      <c r="AH457" s="121"/>
      <c r="AI457" s="121"/>
      <c r="AJ457" s="121"/>
      <c r="AK457" s="121"/>
      <c r="AL457" s="121"/>
      <c r="AM457" s="121"/>
      <c r="AN457" s="121"/>
      <c r="AO457" s="121"/>
      <c r="AP457" s="121"/>
      <c r="AQ457" s="121"/>
      <c r="AR457" s="121"/>
      <c r="AS457" s="121"/>
      <c r="AT457" s="121"/>
      <c r="AU457" s="121"/>
      <c r="AV457" s="121"/>
      <c r="AW457" s="121"/>
      <c r="AX457" s="121"/>
      <c r="AY457" s="121"/>
      <c r="AZ457" s="121"/>
      <c r="BA457" s="121"/>
      <c r="BB457" s="121"/>
      <c r="BC457" s="121"/>
      <c r="BD457" s="121"/>
      <c r="BE457" s="121"/>
      <c r="BF457" s="121"/>
      <c r="BG457" s="121"/>
      <c r="BH457" s="121"/>
      <c r="BI457" s="121"/>
      <c r="BJ457" s="121"/>
      <c r="BK457" s="121"/>
      <c r="BL457" s="121"/>
      <c r="BM457" s="121"/>
      <c r="BN457" s="121"/>
      <c r="BO457" s="121"/>
      <c r="BP457" s="121"/>
      <c r="BQ457" s="121"/>
      <c r="BR457" s="121"/>
      <c r="BS457" s="121"/>
      <c r="BT457" s="121"/>
      <c r="BU457" s="121"/>
      <c r="BV457" s="121"/>
      <c r="BW457" s="121"/>
      <c r="BX457" s="121"/>
      <c r="BY457" s="121"/>
      <c r="BZ457" s="121"/>
      <c r="CA457" s="121"/>
      <c r="CB457" s="121"/>
      <c r="CC457" s="121"/>
      <c r="CD457" s="121"/>
      <c r="CE457" s="121"/>
      <c r="CF457" s="121"/>
      <c r="CG457" s="121"/>
      <c r="CH457" s="121"/>
      <c r="CI457" s="121"/>
      <c r="CJ457" s="121"/>
      <c r="CK457" s="121"/>
      <c r="CL457" s="121"/>
      <c r="CM457" s="121"/>
      <c r="CN457" s="121"/>
      <c r="CO457" s="121"/>
      <c r="CP457" s="121"/>
      <c r="CQ457" s="121"/>
      <c r="CR457" s="121"/>
      <c r="CS457" s="121"/>
      <c r="CT457" s="121"/>
      <c r="CU457" s="121"/>
      <c r="CV457" s="121"/>
      <c r="CW457" s="121"/>
      <c r="CX457" s="121"/>
      <c r="CY457" s="121"/>
      <c r="CZ457" s="121"/>
      <c r="DA457" s="121"/>
      <c r="DB457" s="121"/>
      <c r="DC457" s="121"/>
      <c r="DD457" s="121"/>
      <c r="DE457" s="121"/>
      <c r="DF457" s="121"/>
      <c r="DG457" s="121"/>
      <c r="DH457" s="121"/>
      <c r="DI457" s="121"/>
      <c r="DJ457" s="121"/>
      <c r="DK457" s="121"/>
      <c r="DL457" s="121"/>
      <c r="DM457" s="121"/>
      <c r="DN457" s="121"/>
      <c r="DO457" s="121"/>
      <c r="DP457" s="121"/>
      <c r="DQ457" s="121"/>
      <c r="DR457" s="121"/>
      <c r="DS457" s="121"/>
      <c r="DT457" s="240"/>
      <c r="DU457" s="240"/>
      <c r="DV457" s="240"/>
      <c r="DW457" s="240"/>
      <c r="DX457" s="240"/>
      <c r="DY457" s="240"/>
      <c r="DZ457" s="240"/>
      <c r="EA457" s="240"/>
      <c r="EB457" s="237">
        <f t="shared" si="56"/>
        <v>0</v>
      </c>
      <c r="EC457" s="237">
        <f t="shared" si="57"/>
        <v>0</v>
      </c>
      <c r="ED457" s="237">
        <f t="shared" si="58"/>
        <v>0</v>
      </c>
      <c r="EE457" s="237">
        <f t="shared" si="59"/>
        <v>0</v>
      </c>
      <c r="EF457" s="121"/>
      <c r="EG457" s="238">
        <f t="shared" si="60"/>
        <v>0</v>
      </c>
      <c r="EH457" s="121"/>
      <c r="EI457" s="237">
        <f t="shared" si="61"/>
        <v>0</v>
      </c>
      <c r="EJ457" s="121"/>
      <c r="EK457" s="237">
        <f t="shared" si="62"/>
        <v>0</v>
      </c>
      <c r="EL457" s="237"/>
      <c r="EM457" s="5"/>
      <c r="EN457" s="5"/>
      <c r="EO457" s="5"/>
      <c r="EP457" s="5"/>
      <c r="EQ457" s="237">
        <f t="shared" si="63"/>
        <v>0</v>
      </c>
      <c r="ER457" s="239">
        <v>23300</v>
      </c>
      <c r="ES457" s="5">
        <v>7.5</v>
      </c>
    </row>
    <row r="458" spans="1:149" x14ac:dyDescent="0.3">
      <c r="A458" s="124"/>
      <c r="B458" s="121"/>
      <c r="C458" s="121"/>
      <c r="D458" s="121"/>
      <c r="E458" s="121"/>
      <c r="F458" s="121"/>
      <c r="G458" s="121"/>
      <c r="H458" s="121"/>
      <c r="I458" s="121"/>
      <c r="J458" s="121"/>
      <c r="K458" s="121"/>
      <c r="L458" s="121"/>
      <c r="M458" s="121"/>
      <c r="N458" s="121"/>
      <c r="O458" s="235"/>
      <c r="P458" s="121"/>
      <c r="Q458" s="121"/>
      <c r="R458" s="121"/>
      <c r="S458" s="121"/>
      <c r="T458" s="121"/>
      <c r="U458" s="121"/>
      <c r="V458" s="121"/>
      <c r="W458" s="121"/>
      <c r="X458" s="117"/>
      <c r="Y458" s="117"/>
      <c r="Z458" s="121"/>
      <c r="AA458" s="121"/>
      <c r="AB458" s="121"/>
      <c r="AC458" s="121"/>
      <c r="AD458" s="121"/>
      <c r="AE458" s="121"/>
      <c r="AF458" s="121"/>
      <c r="AG458" s="121"/>
      <c r="AH458" s="121"/>
      <c r="AI458" s="121"/>
      <c r="AJ458" s="121"/>
      <c r="AK458" s="121"/>
      <c r="AL458" s="121"/>
      <c r="AM458" s="121"/>
      <c r="AN458" s="121"/>
      <c r="AO458" s="121"/>
      <c r="AP458" s="121"/>
      <c r="AQ458" s="121"/>
      <c r="AR458" s="121"/>
      <c r="AS458" s="121"/>
      <c r="AT458" s="121"/>
      <c r="AU458" s="121"/>
      <c r="AV458" s="121"/>
      <c r="AW458" s="121"/>
      <c r="AX458" s="121"/>
      <c r="AY458" s="121"/>
      <c r="AZ458" s="121"/>
      <c r="BA458" s="121"/>
      <c r="BB458" s="121"/>
      <c r="BC458" s="121"/>
      <c r="BD458" s="121"/>
      <c r="BE458" s="121"/>
      <c r="BF458" s="121"/>
      <c r="BG458" s="121"/>
      <c r="BH458" s="121"/>
      <c r="BI458" s="121"/>
      <c r="BJ458" s="121"/>
      <c r="BK458" s="121"/>
      <c r="BL458" s="121"/>
      <c r="BM458" s="121"/>
      <c r="BN458" s="121"/>
      <c r="BO458" s="121"/>
      <c r="BP458" s="121"/>
      <c r="BQ458" s="121"/>
      <c r="BR458" s="121"/>
      <c r="BS458" s="121"/>
      <c r="BT458" s="121"/>
      <c r="BU458" s="121"/>
      <c r="BV458" s="121"/>
      <c r="BW458" s="121"/>
      <c r="BX458" s="121"/>
      <c r="BY458" s="121"/>
      <c r="BZ458" s="121"/>
      <c r="CA458" s="121"/>
      <c r="CB458" s="121"/>
      <c r="CC458" s="121"/>
      <c r="CD458" s="121"/>
      <c r="CE458" s="121"/>
      <c r="CF458" s="121"/>
      <c r="CG458" s="121"/>
      <c r="CH458" s="121"/>
      <c r="CI458" s="121"/>
      <c r="CJ458" s="121"/>
      <c r="CK458" s="121"/>
      <c r="CL458" s="121"/>
      <c r="CM458" s="121"/>
      <c r="CN458" s="121"/>
      <c r="CO458" s="121"/>
      <c r="CP458" s="121"/>
      <c r="CQ458" s="121"/>
      <c r="CR458" s="121"/>
      <c r="CS458" s="121"/>
      <c r="CT458" s="121"/>
      <c r="CU458" s="121"/>
      <c r="CV458" s="121"/>
      <c r="CW458" s="121"/>
      <c r="CX458" s="121"/>
      <c r="CY458" s="121"/>
      <c r="CZ458" s="121"/>
      <c r="DA458" s="121"/>
      <c r="DB458" s="121"/>
      <c r="DC458" s="121"/>
      <c r="DD458" s="121"/>
      <c r="DE458" s="121"/>
      <c r="DF458" s="121"/>
      <c r="DG458" s="121"/>
      <c r="DH458" s="121"/>
      <c r="DI458" s="121"/>
      <c r="DJ458" s="121"/>
      <c r="DK458" s="121"/>
      <c r="DL458" s="121"/>
      <c r="DM458" s="121"/>
      <c r="DN458" s="121"/>
      <c r="DO458" s="121"/>
      <c r="DP458" s="121"/>
      <c r="DQ458" s="121"/>
      <c r="DR458" s="121"/>
      <c r="DS458" s="121"/>
      <c r="DT458" s="240"/>
      <c r="DU458" s="240"/>
      <c r="DV458" s="240"/>
      <c r="DW458" s="240"/>
      <c r="DX458" s="240"/>
      <c r="DY458" s="240"/>
      <c r="DZ458" s="240"/>
      <c r="EA458" s="240"/>
      <c r="EB458" s="237">
        <f t="shared" si="56"/>
        <v>0</v>
      </c>
      <c r="EC458" s="237">
        <f t="shared" si="57"/>
        <v>0</v>
      </c>
      <c r="ED458" s="237">
        <f t="shared" si="58"/>
        <v>0</v>
      </c>
      <c r="EE458" s="237">
        <f t="shared" si="59"/>
        <v>0</v>
      </c>
      <c r="EF458" s="121"/>
      <c r="EG458" s="238">
        <f t="shared" si="60"/>
        <v>0</v>
      </c>
      <c r="EH458" s="121"/>
      <c r="EI458" s="237">
        <f t="shared" si="61"/>
        <v>0</v>
      </c>
      <c r="EJ458" s="121"/>
      <c r="EK458" s="237">
        <f t="shared" si="62"/>
        <v>0</v>
      </c>
      <c r="EL458" s="237"/>
      <c r="EM458" s="5"/>
      <c r="EN458" s="5"/>
      <c r="EO458" s="5"/>
      <c r="EP458" s="5"/>
      <c r="EQ458" s="237">
        <f t="shared" si="63"/>
        <v>0</v>
      </c>
      <c r="ER458" s="239">
        <v>23300</v>
      </c>
      <c r="ES458" s="5">
        <v>7.5</v>
      </c>
    </row>
    <row r="459" spans="1:149" x14ac:dyDescent="0.3">
      <c r="A459" s="124"/>
      <c r="B459" s="121"/>
      <c r="C459" s="121"/>
      <c r="D459" s="121"/>
      <c r="E459" s="121"/>
      <c r="F459" s="121"/>
      <c r="G459" s="121"/>
      <c r="H459" s="121"/>
      <c r="I459" s="121"/>
      <c r="J459" s="121"/>
      <c r="K459" s="121"/>
      <c r="L459" s="121"/>
      <c r="M459" s="121"/>
      <c r="N459" s="121"/>
      <c r="O459" s="235"/>
      <c r="P459" s="121"/>
      <c r="Q459" s="121"/>
      <c r="R459" s="121"/>
      <c r="S459" s="121"/>
      <c r="T459" s="121"/>
      <c r="U459" s="121"/>
      <c r="V459" s="121"/>
      <c r="W459" s="121"/>
      <c r="X459" s="117"/>
      <c r="Y459" s="117"/>
      <c r="Z459" s="121"/>
      <c r="AA459" s="121"/>
      <c r="AB459" s="121"/>
      <c r="AC459" s="121"/>
      <c r="AD459" s="121"/>
      <c r="AE459" s="121"/>
      <c r="AF459" s="121"/>
      <c r="AG459" s="121"/>
      <c r="AH459" s="121"/>
      <c r="AI459" s="121"/>
      <c r="AJ459" s="121"/>
      <c r="AK459" s="121"/>
      <c r="AL459" s="121"/>
      <c r="AM459" s="121"/>
      <c r="AN459" s="121"/>
      <c r="AO459" s="121"/>
      <c r="AP459" s="121"/>
      <c r="AQ459" s="121"/>
      <c r="AR459" s="121"/>
      <c r="AS459" s="121"/>
      <c r="AT459" s="121"/>
      <c r="AU459" s="121"/>
      <c r="AV459" s="121"/>
      <c r="AW459" s="121"/>
      <c r="AX459" s="121"/>
      <c r="AY459" s="121"/>
      <c r="AZ459" s="121"/>
      <c r="BA459" s="121"/>
      <c r="BB459" s="121"/>
      <c r="BC459" s="121"/>
      <c r="BD459" s="121"/>
      <c r="BE459" s="121"/>
      <c r="BF459" s="121"/>
      <c r="BG459" s="121"/>
      <c r="BH459" s="121"/>
      <c r="BI459" s="121"/>
      <c r="BJ459" s="121"/>
      <c r="BK459" s="121"/>
      <c r="BL459" s="121"/>
      <c r="BM459" s="121"/>
      <c r="BN459" s="121"/>
      <c r="BO459" s="121"/>
      <c r="BP459" s="121"/>
      <c r="BQ459" s="121"/>
      <c r="BR459" s="121"/>
      <c r="BS459" s="121"/>
      <c r="BT459" s="121"/>
      <c r="BU459" s="121"/>
      <c r="BV459" s="121"/>
      <c r="BW459" s="121"/>
      <c r="BX459" s="121"/>
      <c r="BY459" s="121"/>
      <c r="BZ459" s="121"/>
      <c r="CA459" s="121"/>
      <c r="CB459" s="121"/>
      <c r="CC459" s="121"/>
      <c r="CD459" s="121"/>
      <c r="CE459" s="121"/>
      <c r="CF459" s="121"/>
      <c r="CG459" s="121"/>
      <c r="CH459" s="121"/>
      <c r="CI459" s="121"/>
      <c r="CJ459" s="121"/>
      <c r="CK459" s="121"/>
      <c r="CL459" s="121"/>
      <c r="CM459" s="121"/>
      <c r="CN459" s="121"/>
      <c r="CO459" s="121"/>
      <c r="CP459" s="121"/>
      <c r="CQ459" s="121"/>
      <c r="CR459" s="121"/>
      <c r="CS459" s="121"/>
      <c r="CT459" s="121"/>
      <c r="CU459" s="121"/>
      <c r="CV459" s="121"/>
      <c r="CW459" s="121"/>
      <c r="CX459" s="121"/>
      <c r="CY459" s="121"/>
      <c r="CZ459" s="121"/>
      <c r="DA459" s="121"/>
      <c r="DB459" s="121"/>
      <c r="DC459" s="121"/>
      <c r="DD459" s="121"/>
      <c r="DE459" s="121"/>
      <c r="DF459" s="121"/>
      <c r="DG459" s="121"/>
      <c r="DH459" s="121"/>
      <c r="DI459" s="121"/>
      <c r="DJ459" s="121"/>
      <c r="DK459" s="121"/>
      <c r="DL459" s="121"/>
      <c r="DM459" s="121"/>
      <c r="DN459" s="121"/>
      <c r="DO459" s="121"/>
      <c r="DP459" s="121"/>
      <c r="DQ459" s="121"/>
      <c r="DR459" s="121"/>
      <c r="DS459" s="121"/>
      <c r="DT459" s="240"/>
      <c r="DU459" s="240"/>
      <c r="DV459" s="240"/>
      <c r="DW459" s="240"/>
      <c r="DX459" s="240"/>
      <c r="DY459" s="240"/>
      <c r="DZ459" s="240"/>
      <c r="EA459" s="240"/>
      <c r="EB459" s="237">
        <f t="shared" si="56"/>
        <v>0</v>
      </c>
      <c r="EC459" s="237">
        <f t="shared" si="57"/>
        <v>0</v>
      </c>
      <c r="ED459" s="237">
        <f t="shared" si="58"/>
        <v>0</v>
      </c>
      <c r="EE459" s="237">
        <f t="shared" si="59"/>
        <v>0</v>
      </c>
      <c r="EF459" s="121"/>
      <c r="EG459" s="238">
        <f t="shared" si="60"/>
        <v>0</v>
      </c>
      <c r="EH459" s="121"/>
      <c r="EI459" s="237">
        <f t="shared" si="61"/>
        <v>0</v>
      </c>
      <c r="EJ459" s="121"/>
      <c r="EK459" s="237">
        <f t="shared" si="62"/>
        <v>0</v>
      </c>
      <c r="EL459" s="237"/>
      <c r="EM459" s="5"/>
      <c r="EN459" s="5"/>
      <c r="EO459" s="5"/>
      <c r="EP459" s="5"/>
      <c r="EQ459" s="237">
        <f t="shared" si="63"/>
        <v>0</v>
      </c>
      <c r="ER459" s="239">
        <v>23300</v>
      </c>
      <c r="ES459" s="5">
        <v>7.5</v>
      </c>
    </row>
    <row r="460" spans="1:149" x14ac:dyDescent="0.3">
      <c r="A460" s="124"/>
      <c r="B460" s="121"/>
      <c r="C460" s="121"/>
      <c r="D460" s="121"/>
      <c r="E460" s="121"/>
      <c r="F460" s="121"/>
      <c r="G460" s="121"/>
      <c r="H460" s="121"/>
      <c r="I460" s="121"/>
      <c r="J460" s="121"/>
      <c r="K460" s="121"/>
      <c r="L460" s="121"/>
      <c r="M460" s="121"/>
      <c r="N460" s="121"/>
      <c r="O460" s="235"/>
      <c r="P460" s="121"/>
      <c r="Q460" s="121"/>
      <c r="R460" s="121"/>
      <c r="S460" s="121"/>
      <c r="T460" s="121"/>
      <c r="U460" s="121"/>
      <c r="V460" s="121"/>
      <c r="W460" s="121"/>
      <c r="X460" s="117"/>
      <c r="Y460" s="117"/>
      <c r="Z460" s="121"/>
      <c r="AA460" s="121"/>
      <c r="AB460" s="121"/>
      <c r="AC460" s="121"/>
      <c r="AD460" s="121"/>
      <c r="AE460" s="121"/>
      <c r="AF460" s="121"/>
      <c r="AG460" s="121"/>
      <c r="AH460" s="121"/>
      <c r="AI460" s="121"/>
      <c r="AJ460" s="121"/>
      <c r="AK460" s="121"/>
      <c r="AL460" s="121"/>
      <c r="AM460" s="121"/>
      <c r="AN460" s="121"/>
      <c r="AO460" s="121"/>
      <c r="AP460" s="121"/>
      <c r="AQ460" s="121"/>
      <c r="AR460" s="121"/>
      <c r="AS460" s="121"/>
      <c r="AT460" s="121"/>
      <c r="AU460" s="121"/>
      <c r="AV460" s="121"/>
      <c r="AW460" s="121"/>
      <c r="AX460" s="121"/>
      <c r="AY460" s="121"/>
      <c r="AZ460" s="121"/>
      <c r="BA460" s="121"/>
      <c r="BB460" s="121"/>
      <c r="BC460" s="121"/>
      <c r="BD460" s="121"/>
      <c r="BE460" s="121"/>
      <c r="BF460" s="121"/>
      <c r="BG460" s="121"/>
      <c r="BH460" s="121"/>
      <c r="BI460" s="121"/>
      <c r="BJ460" s="121"/>
      <c r="BK460" s="121"/>
      <c r="BL460" s="121"/>
      <c r="BM460" s="121"/>
      <c r="BN460" s="121"/>
      <c r="BO460" s="121"/>
      <c r="BP460" s="121"/>
      <c r="BQ460" s="121"/>
      <c r="BR460" s="121"/>
      <c r="BS460" s="121"/>
      <c r="BT460" s="121"/>
      <c r="BU460" s="121"/>
      <c r="BV460" s="121"/>
      <c r="BW460" s="121"/>
      <c r="BX460" s="121"/>
      <c r="BY460" s="121"/>
      <c r="BZ460" s="121"/>
      <c r="CA460" s="121"/>
      <c r="CB460" s="121"/>
      <c r="CC460" s="121"/>
      <c r="CD460" s="121"/>
      <c r="CE460" s="121"/>
      <c r="CF460" s="121"/>
      <c r="CG460" s="121"/>
      <c r="CH460" s="121"/>
      <c r="CI460" s="121"/>
      <c r="CJ460" s="121"/>
      <c r="CK460" s="121"/>
      <c r="CL460" s="121"/>
      <c r="CM460" s="121"/>
      <c r="CN460" s="121"/>
      <c r="CO460" s="121"/>
      <c r="CP460" s="121"/>
      <c r="CQ460" s="121"/>
      <c r="CR460" s="121"/>
      <c r="CS460" s="121"/>
      <c r="CT460" s="121"/>
      <c r="CU460" s="121"/>
      <c r="CV460" s="121"/>
      <c r="CW460" s="121"/>
      <c r="CX460" s="121"/>
      <c r="CY460" s="121"/>
      <c r="CZ460" s="121"/>
      <c r="DA460" s="121"/>
      <c r="DB460" s="121"/>
      <c r="DC460" s="121"/>
      <c r="DD460" s="121"/>
      <c r="DE460" s="121"/>
      <c r="DF460" s="121"/>
      <c r="DG460" s="121"/>
      <c r="DH460" s="121"/>
      <c r="DI460" s="121"/>
      <c r="DJ460" s="121"/>
      <c r="DK460" s="121"/>
      <c r="DL460" s="121"/>
      <c r="DM460" s="121"/>
      <c r="DN460" s="121"/>
      <c r="DO460" s="121"/>
      <c r="DP460" s="121"/>
      <c r="DQ460" s="121"/>
      <c r="DR460" s="121"/>
      <c r="DS460" s="121"/>
      <c r="DT460" s="240"/>
      <c r="DU460" s="240"/>
      <c r="DV460" s="240"/>
      <c r="DW460" s="240"/>
      <c r="DX460" s="240"/>
      <c r="DY460" s="240"/>
      <c r="DZ460" s="240"/>
      <c r="EA460" s="240"/>
      <c r="EB460" s="237">
        <f t="shared" si="56"/>
        <v>0</v>
      </c>
      <c r="EC460" s="237">
        <f t="shared" si="57"/>
        <v>0</v>
      </c>
      <c r="ED460" s="237">
        <f t="shared" si="58"/>
        <v>0</v>
      </c>
      <c r="EE460" s="237">
        <f t="shared" si="59"/>
        <v>0</v>
      </c>
      <c r="EF460" s="121"/>
      <c r="EG460" s="238">
        <f t="shared" si="60"/>
        <v>0</v>
      </c>
      <c r="EH460" s="121"/>
      <c r="EI460" s="237">
        <f t="shared" si="61"/>
        <v>0</v>
      </c>
      <c r="EJ460" s="121"/>
      <c r="EK460" s="237">
        <f t="shared" si="62"/>
        <v>0</v>
      </c>
      <c r="EL460" s="237"/>
      <c r="EM460" s="5"/>
      <c r="EN460" s="5"/>
      <c r="EO460" s="5"/>
      <c r="EP460" s="5"/>
      <c r="EQ460" s="237">
        <f t="shared" si="63"/>
        <v>0</v>
      </c>
      <c r="ER460" s="239">
        <v>23300</v>
      </c>
      <c r="ES460" s="5">
        <v>7.5</v>
      </c>
    </row>
    <row r="461" spans="1:149" x14ac:dyDescent="0.3">
      <c r="A461" s="124"/>
      <c r="B461" s="121"/>
      <c r="C461" s="121"/>
      <c r="D461" s="121"/>
      <c r="E461" s="121"/>
      <c r="F461" s="121"/>
      <c r="G461" s="121"/>
      <c r="H461" s="121"/>
      <c r="I461" s="121"/>
      <c r="J461" s="121"/>
      <c r="K461" s="121"/>
      <c r="L461" s="121"/>
      <c r="M461" s="121"/>
      <c r="N461" s="121"/>
      <c r="O461" s="235"/>
      <c r="P461" s="121"/>
      <c r="Q461" s="121"/>
      <c r="R461" s="121"/>
      <c r="S461" s="121"/>
      <c r="T461" s="121"/>
      <c r="U461" s="121"/>
      <c r="V461" s="121"/>
      <c r="W461" s="121"/>
      <c r="X461" s="117"/>
      <c r="Y461" s="117"/>
      <c r="Z461" s="121"/>
      <c r="AA461" s="121"/>
      <c r="AB461" s="121"/>
      <c r="AC461" s="121"/>
      <c r="AD461" s="121"/>
      <c r="AE461" s="121"/>
      <c r="AF461" s="121"/>
      <c r="AG461" s="121"/>
      <c r="AH461" s="121"/>
      <c r="AI461" s="121"/>
      <c r="AJ461" s="121"/>
      <c r="AK461" s="121"/>
      <c r="AL461" s="121"/>
      <c r="AM461" s="121"/>
      <c r="AN461" s="121"/>
      <c r="AO461" s="121"/>
      <c r="AP461" s="121"/>
      <c r="AQ461" s="121"/>
      <c r="AR461" s="121"/>
      <c r="AS461" s="121"/>
      <c r="AT461" s="121"/>
      <c r="AU461" s="121"/>
      <c r="AV461" s="121"/>
      <c r="AW461" s="121"/>
      <c r="AX461" s="121"/>
      <c r="AY461" s="121"/>
      <c r="AZ461" s="121"/>
      <c r="BA461" s="121"/>
      <c r="BB461" s="121"/>
      <c r="BC461" s="121"/>
      <c r="BD461" s="121"/>
      <c r="BE461" s="121"/>
      <c r="BF461" s="121"/>
      <c r="BG461" s="121"/>
      <c r="BH461" s="121"/>
      <c r="BI461" s="121"/>
      <c r="BJ461" s="121"/>
      <c r="BK461" s="121"/>
      <c r="BL461" s="121"/>
      <c r="BM461" s="121"/>
      <c r="BN461" s="121"/>
      <c r="BO461" s="121"/>
      <c r="BP461" s="121"/>
      <c r="BQ461" s="121"/>
      <c r="BR461" s="121"/>
      <c r="BS461" s="121"/>
      <c r="BT461" s="121"/>
      <c r="BU461" s="121"/>
      <c r="BV461" s="121"/>
      <c r="BW461" s="121"/>
      <c r="BX461" s="121"/>
      <c r="BY461" s="121"/>
      <c r="BZ461" s="121"/>
      <c r="CA461" s="121"/>
      <c r="CB461" s="121"/>
      <c r="CC461" s="121"/>
      <c r="CD461" s="121"/>
      <c r="CE461" s="121"/>
      <c r="CF461" s="121"/>
      <c r="CG461" s="121"/>
      <c r="CH461" s="121"/>
      <c r="CI461" s="121"/>
      <c r="CJ461" s="121"/>
      <c r="CK461" s="121"/>
      <c r="CL461" s="121"/>
      <c r="CM461" s="121"/>
      <c r="CN461" s="121"/>
      <c r="CO461" s="121"/>
      <c r="CP461" s="121"/>
      <c r="CQ461" s="121"/>
      <c r="CR461" s="121"/>
      <c r="CS461" s="121"/>
      <c r="CT461" s="121"/>
      <c r="CU461" s="121"/>
      <c r="CV461" s="121"/>
      <c r="CW461" s="121"/>
      <c r="CX461" s="121"/>
      <c r="CY461" s="121"/>
      <c r="CZ461" s="121"/>
      <c r="DA461" s="121"/>
      <c r="DB461" s="121"/>
      <c r="DC461" s="121"/>
      <c r="DD461" s="121"/>
      <c r="DE461" s="121"/>
      <c r="DF461" s="121"/>
      <c r="DG461" s="121"/>
      <c r="DH461" s="121"/>
      <c r="DI461" s="121"/>
      <c r="DJ461" s="121"/>
      <c r="DK461" s="121"/>
      <c r="DL461" s="121"/>
      <c r="DM461" s="121"/>
      <c r="DN461" s="121"/>
      <c r="DO461" s="121"/>
      <c r="DP461" s="121"/>
      <c r="DQ461" s="121"/>
      <c r="DR461" s="121"/>
      <c r="DS461" s="121"/>
      <c r="DT461" s="240"/>
      <c r="DU461" s="240"/>
      <c r="DV461" s="240"/>
      <c r="DW461" s="240"/>
      <c r="DX461" s="240"/>
      <c r="DY461" s="240"/>
      <c r="DZ461" s="240"/>
      <c r="EA461" s="240"/>
      <c r="EB461" s="237">
        <f t="shared" si="56"/>
        <v>0</v>
      </c>
      <c r="EC461" s="237">
        <f t="shared" si="57"/>
        <v>0</v>
      </c>
      <c r="ED461" s="237">
        <f t="shared" si="58"/>
        <v>0</v>
      </c>
      <c r="EE461" s="237">
        <f t="shared" si="59"/>
        <v>0</v>
      </c>
      <c r="EF461" s="121"/>
      <c r="EG461" s="238">
        <f t="shared" si="60"/>
        <v>0</v>
      </c>
      <c r="EH461" s="121"/>
      <c r="EI461" s="237">
        <f t="shared" si="61"/>
        <v>0</v>
      </c>
      <c r="EJ461" s="121"/>
      <c r="EK461" s="237">
        <f t="shared" si="62"/>
        <v>0</v>
      </c>
      <c r="EL461" s="237"/>
      <c r="EM461" s="5"/>
      <c r="EN461" s="5"/>
      <c r="EO461" s="5"/>
      <c r="EP461" s="5"/>
      <c r="EQ461" s="237">
        <f t="shared" si="63"/>
        <v>0</v>
      </c>
      <c r="ER461" s="239">
        <v>23300</v>
      </c>
      <c r="ES461" s="5">
        <v>7.5</v>
      </c>
    </row>
    <row r="462" spans="1:149" x14ac:dyDescent="0.3">
      <c r="A462" s="124"/>
      <c r="B462" s="121"/>
      <c r="C462" s="121"/>
      <c r="D462" s="121"/>
      <c r="E462" s="121"/>
      <c r="F462" s="121"/>
      <c r="G462" s="121"/>
      <c r="H462" s="121"/>
      <c r="I462" s="121"/>
      <c r="J462" s="121"/>
      <c r="K462" s="121"/>
      <c r="L462" s="121"/>
      <c r="M462" s="121"/>
      <c r="N462" s="121"/>
      <c r="O462" s="235"/>
      <c r="P462" s="121"/>
      <c r="Q462" s="121"/>
      <c r="R462" s="121"/>
      <c r="S462" s="121"/>
      <c r="T462" s="121"/>
      <c r="U462" s="121"/>
      <c r="V462" s="121"/>
      <c r="W462" s="121"/>
      <c r="X462" s="117"/>
      <c r="Y462" s="117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/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121"/>
      <c r="BJ462" s="121"/>
      <c r="BK462" s="121"/>
      <c r="BL462" s="121"/>
      <c r="BM462" s="121"/>
      <c r="BN462" s="121"/>
      <c r="BO462" s="121"/>
      <c r="BP462" s="121"/>
      <c r="BQ462" s="121"/>
      <c r="BR462" s="121"/>
      <c r="BS462" s="121"/>
      <c r="BT462" s="121"/>
      <c r="BU462" s="121"/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/>
      <c r="CP462" s="121"/>
      <c r="CQ462" s="121"/>
      <c r="CR462" s="121"/>
      <c r="CS462" s="121"/>
      <c r="CT462" s="121"/>
      <c r="CU462" s="121"/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/>
      <c r="DF462" s="121"/>
      <c r="DG462" s="121"/>
      <c r="DH462" s="121"/>
      <c r="DI462" s="121"/>
      <c r="DJ462" s="121"/>
      <c r="DK462" s="121"/>
      <c r="DL462" s="121"/>
      <c r="DM462" s="121"/>
      <c r="DN462" s="121"/>
      <c r="DO462" s="121"/>
      <c r="DP462" s="121"/>
      <c r="DQ462" s="121"/>
      <c r="DR462" s="121"/>
      <c r="DS462" s="121"/>
      <c r="DT462" s="240"/>
      <c r="DU462" s="240"/>
      <c r="DV462" s="240"/>
      <c r="DW462" s="240"/>
      <c r="DX462" s="240"/>
      <c r="DY462" s="240"/>
      <c r="DZ462" s="240"/>
      <c r="EA462" s="240"/>
      <c r="EB462" s="237">
        <f t="shared" si="56"/>
        <v>0</v>
      </c>
      <c r="EC462" s="237">
        <f t="shared" si="57"/>
        <v>0</v>
      </c>
      <c r="ED462" s="237">
        <f t="shared" si="58"/>
        <v>0</v>
      </c>
      <c r="EE462" s="237">
        <f t="shared" si="59"/>
        <v>0</v>
      </c>
      <c r="EF462" s="121"/>
      <c r="EG462" s="238">
        <f t="shared" si="60"/>
        <v>0</v>
      </c>
      <c r="EH462" s="121"/>
      <c r="EI462" s="237">
        <f t="shared" si="61"/>
        <v>0</v>
      </c>
      <c r="EJ462" s="121"/>
      <c r="EK462" s="237">
        <f t="shared" si="62"/>
        <v>0</v>
      </c>
      <c r="EL462" s="237"/>
      <c r="EM462" s="5"/>
      <c r="EN462" s="5"/>
      <c r="EO462" s="5"/>
      <c r="EP462" s="5"/>
      <c r="EQ462" s="237">
        <f t="shared" si="63"/>
        <v>0</v>
      </c>
      <c r="ER462" s="239">
        <v>23300</v>
      </c>
      <c r="ES462" s="5">
        <v>7.5</v>
      </c>
    </row>
    <row r="463" spans="1:149" x14ac:dyDescent="0.3">
      <c r="A463" s="124"/>
      <c r="B463" s="121"/>
      <c r="C463" s="121"/>
      <c r="D463" s="121"/>
      <c r="E463" s="121"/>
      <c r="F463" s="121"/>
      <c r="G463" s="121"/>
      <c r="H463" s="121"/>
      <c r="I463" s="121"/>
      <c r="J463" s="121"/>
      <c r="K463" s="121"/>
      <c r="L463" s="121"/>
      <c r="M463" s="121"/>
      <c r="N463" s="121"/>
      <c r="O463" s="235"/>
      <c r="P463" s="121"/>
      <c r="Q463" s="121"/>
      <c r="R463" s="121"/>
      <c r="S463" s="121"/>
      <c r="T463" s="121"/>
      <c r="U463" s="121"/>
      <c r="V463" s="121"/>
      <c r="W463" s="121"/>
      <c r="X463" s="117"/>
      <c r="Y463" s="117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21"/>
      <c r="BJ463" s="121"/>
      <c r="BK463" s="121"/>
      <c r="BL463" s="121"/>
      <c r="BM463" s="121"/>
      <c r="BN463" s="121"/>
      <c r="BO463" s="121"/>
      <c r="BP463" s="121"/>
      <c r="BQ463" s="121"/>
      <c r="BR463" s="121"/>
      <c r="BS463" s="121"/>
      <c r="BT463" s="121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21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  <c r="DK463" s="121"/>
      <c r="DL463" s="121"/>
      <c r="DM463" s="121"/>
      <c r="DN463" s="121"/>
      <c r="DO463" s="121"/>
      <c r="DP463" s="121"/>
      <c r="DQ463" s="121"/>
      <c r="DR463" s="121"/>
      <c r="DS463" s="121"/>
      <c r="DT463" s="240"/>
      <c r="DU463" s="240"/>
      <c r="DV463" s="240"/>
      <c r="DW463" s="240"/>
      <c r="DX463" s="240"/>
      <c r="DY463" s="240"/>
      <c r="DZ463" s="240"/>
      <c r="EA463" s="240"/>
      <c r="EB463" s="237">
        <f t="shared" si="56"/>
        <v>0</v>
      </c>
      <c r="EC463" s="237">
        <f t="shared" si="57"/>
        <v>0</v>
      </c>
      <c r="ED463" s="237">
        <f t="shared" si="58"/>
        <v>0</v>
      </c>
      <c r="EE463" s="237">
        <f t="shared" si="59"/>
        <v>0</v>
      </c>
      <c r="EF463" s="121"/>
      <c r="EG463" s="238">
        <f t="shared" si="60"/>
        <v>0</v>
      </c>
      <c r="EH463" s="121"/>
      <c r="EI463" s="237">
        <f t="shared" si="61"/>
        <v>0</v>
      </c>
      <c r="EJ463" s="121"/>
      <c r="EK463" s="237">
        <f t="shared" si="62"/>
        <v>0</v>
      </c>
      <c r="EL463" s="237"/>
      <c r="EM463" s="5"/>
      <c r="EN463" s="5"/>
      <c r="EO463" s="5"/>
      <c r="EP463" s="5"/>
      <c r="EQ463" s="237">
        <f t="shared" si="63"/>
        <v>0</v>
      </c>
      <c r="ER463" s="239">
        <v>23300</v>
      </c>
      <c r="ES463" s="5">
        <v>7.5</v>
      </c>
    </row>
    <row r="464" spans="1:149" x14ac:dyDescent="0.3">
      <c r="A464" s="124"/>
      <c r="B464" s="121"/>
      <c r="C464" s="121"/>
      <c r="D464" s="121"/>
      <c r="E464" s="121"/>
      <c r="F464" s="121"/>
      <c r="G464" s="121"/>
      <c r="H464" s="121"/>
      <c r="I464" s="121"/>
      <c r="J464" s="121"/>
      <c r="K464" s="121"/>
      <c r="L464" s="121"/>
      <c r="M464" s="121"/>
      <c r="N464" s="121"/>
      <c r="O464" s="235"/>
      <c r="P464" s="121"/>
      <c r="Q464" s="121"/>
      <c r="R464" s="121"/>
      <c r="S464" s="121"/>
      <c r="T464" s="121"/>
      <c r="U464" s="121"/>
      <c r="V464" s="121"/>
      <c r="W464" s="121"/>
      <c r="X464" s="117"/>
      <c r="Y464" s="117"/>
      <c r="Z464" s="121"/>
      <c r="AA464" s="121"/>
      <c r="AB464" s="121"/>
      <c r="AC464" s="121"/>
      <c r="AD464" s="121"/>
      <c r="AE464" s="121"/>
      <c r="AF464" s="121"/>
      <c r="AG464" s="121"/>
      <c r="AH464" s="121"/>
      <c r="AI464" s="121"/>
      <c r="AJ464" s="121"/>
      <c r="AK464" s="121"/>
      <c r="AL464" s="121"/>
      <c r="AM464" s="121"/>
      <c r="AN464" s="121"/>
      <c r="AO464" s="121"/>
      <c r="AP464" s="121"/>
      <c r="AQ464" s="121"/>
      <c r="AR464" s="121"/>
      <c r="AS464" s="121"/>
      <c r="AT464" s="121"/>
      <c r="AU464" s="121"/>
      <c r="AV464" s="121"/>
      <c r="AW464" s="121"/>
      <c r="AX464" s="121"/>
      <c r="AY464" s="121"/>
      <c r="AZ464" s="121"/>
      <c r="BA464" s="121"/>
      <c r="BB464" s="121"/>
      <c r="BC464" s="121"/>
      <c r="BD464" s="121"/>
      <c r="BE464" s="121"/>
      <c r="BF464" s="121"/>
      <c r="BG464" s="121"/>
      <c r="BH464" s="121"/>
      <c r="BI464" s="121"/>
      <c r="BJ464" s="121"/>
      <c r="BK464" s="121"/>
      <c r="BL464" s="121"/>
      <c r="BM464" s="121"/>
      <c r="BN464" s="121"/>
      <c r="BO464" s="121"/>
      <c r="BP464" s="121"/>
      <c r="BQ464" s="121"/>
      <c r="BR464" s="121"/>
      <c r="BS464" s="121"/>
      <c r="BT464" s="121"/>
      <c r="BU464" s="121"/>
      <c r="BV464" s="121"/>
      <c r="BW464" s="121"/>
      <c r="BX464" s="121"/>
      <c r="BY464" s="121"/>
      <c r="BZ464" s="121"/>
      <c r="CA464" s="121"/>
      <c r="CB464" s="121"/>
      <c r="CC464" s="121"/>
      <c r="CD464" s="121"/>
      <c r="CE464" s="121"/>
      <c r="CF464" s="121"/>
      <c r="CG464" s="121"/>
      <c r="CH464" s="121"/>
      <c r="CI464" s="121"/>
      <c r="CJ464" s="121"/>
      <c r="CK464" s="121"/>
      <c r="CL464" s="121"/>
      <c r="CM464" s="121"/>
      <c r="CN464" s="121"/>
      <c r="CO464" s="121"/>
      <c r="CP464" s="121"/>
      <c r="CQ464" s="121"/>
      <c r="CR464" s="121"/>
      <c r="CS464" s="121"/>
      <c r="CT464" s="121"/>
      <c r="CU464" s="121"/>
      <c r="CV464" s="121"/>
      <c r="CW464" s="121"/>
      <c r="CX464" s="121"/>
      <c r="CY464" s="121"/>
      <c r="CZ464" s="121"/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  <c r="DK464" s="121"/>
      <c r="DL464" s="121"/>
      <c r="DM464" s="121"/>
      <c r="DN464" s="121"/>
      <c r="DO464" s="121"/>
      <c r="DP464" s="121"/>
      <c r="DQ464" s="121"/>
      <c r="DR464" s="121"/>
      <c r="DS464" s="121"/>
      <c r="DT464" s="240"/>
      <c r="DU464" s="240"/>
      <c r="DV464" s="240"/>
      <c r="DW464" s="240"/>
      <c r="DX464" s="240"/>
      <c r="DY464" s="240"/>
      <c r="DZ464" s="240"/>
      <c r="EA464" s="240"/>
      <c r="EB464" s="237">
        <f t="shared" si="56"/>
        <v>0</v>
      </c>
      <c r="EC464" s="237">
        <f t="shared" si="57"/>
        <v>0</v>
      </c>
      <c r="ED464" s="237">
        <f t="shared" si="58"/>
        <v>0</v>
      </c>
      <c r="EE464" s="237">
        <f t="shared" si="59"/>
        <v>0</v>
      </c>
      <c r="EF464" s="121"/>
      <c r="EG464" s="238">
        <f t="shared" si="60"/>
        <v>0</v>
      </c>
      <c r="EH464" s="121"/>
      <c r="EI464" s="237">
        <f t="shared" si="61"/>
        <v>0</v>
      </c>
      <c r="EJ464" s="121"/>
      <c r="EK464" s="237">
        <f t="shared" si="62"/>
        <v>0</v>
      </c>
      <c r="EL464" s="237"/>
      <c r="EM464" s="5"/>
      <c r="EN464" s="5"/>
      <c r="EO464" s="5"/>
      <c r="EP464" s="5"/>
      <c r="EQ464" s="237">
        <f t="shared" si="63"/>
        <v>0</v>
      </c>
      <c r="ER464" s="239">
        <v>23300</v>
      </c>
      <c r="ES464" s="5">
        <v>7.5</v>
      </c>
    </row>
    <row r="465" spans="1:149" x14ac:dyDescent="0.3">
      <c r="A465" s="124"/>
      <c r="B465" s="121"/>
      <c r="C465" s="121"/>
      <c r="D465" s="121"/>
      <c r="E465" s="121"/>
      <c r="F465" s="121"/>
      <c r="G465" s="121"/>
      <c r="H465" s="121"/>
      <c r="I465" s="121"/>
      <c r="J465" s="121"/>
      <c r="K465" s="121"/>
      <c r="L465" s="121"/>
      <c r="M465" s="121"/>
      <c r="N465" s="121"/>
      <c r="O465" s="235"/>
      <c r="P465" s="121"/>
      <c r="Q465" s="121"/>
      <c r="R465" s="121"/>
      <c r="S465" s="121"/>
      <c r="T465" s="121"/>
      <c r="U465" s="121"/>
      <c r="V465" s="121"/>
      <c r="W465" s="121"/>
      <c r="X465" s="117"/>
      <c r="Y465" s="117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1"/>
      <c r="AL465" s="121"/>
      <c r="AM465" s="121"/>
      <c r="AN465" s="121"/>
      <c r="AO465" s="121"/>
      <c r="AP465" s="121"/>
      <c r="AQ465" s="121"/>
      <c r="AR465" s="121"/>
      <c r="AS465" s="121"/>
      <c r="AT465" s="121"/>
      <c r="AU465" s="121"/>
      <c r="AV465" s="121"/>
      <c r="AW465" s="121"/>
      <c r="AX465" s="121"/>
      <c r="AY465" s="121"/>
      <c r="AZ465" s="121"/>
      <c r="BA465" s="121"/>
      <c r="BB465" s="121"/>
      <c r="BC465" s="121"/>
      <c r="BD465" s="121"/>
      <c r="BE465" s="121"/>
      <c r="BF465" s="121"/>
      <c r="BG465" s="121"/>
      <c r="BH465" s="121"/>
      <c r="BI465" s="121"/>
      <c r="BJ465" s="121"/>
      <c r="BK465" s="121"/>
      <c r="BL465" s="121"/>
      <c r="BM465" s="121"/>
      <c r="BN465" s="121"/>
      <c r="BO465" s="121"/>
      <c r="BP465" s="121"/>
      <c r="BQ465" s="121"/>
      <c r="BR465" s="121"/>
      <c r="BS465" s="121"/>
      <c r="BT465" s="121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21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  <c r="DK465" s="121"/>
      <c r="DL465" s="121"/>
      <c r="DM465" s="121"/>
      <c r="DN465" s="121"/>
      <c r="DO465" s="121"/>
      <c r="DP465" s="121"/>
      <c r="DQ465" s="121"/>
      <c r="DR465" s="121"/>
      <c r="DS465" s="121"/>
      <c r="DT465" s="240"/>
      <c r="DU465" s="240"/>
      <c r="DV465" s="240"/>
      <c r="DW465" s="240"/>
      <c r="DX465" s="240"/>
      <c r="DY465" s="240"/>
      <c r="DZ465" s="240"/>
      <c r="EA465" s="240"/>
      <c r="EB465" s="237">
        <f t="shared" si="56"/>
        <v>0</v>
      </c>
      <c r="EC465" s="237">
        <f t="shared" si="57"/>
        <v>0</v>
      </c>
      <c r="ED465" s="237">
        <f t="shared" si="58"/>
        <v>0</v>
      </c>
      <c r="EE465" s="237">
        <f t="shared" si="59"/>
        <v>0</v>
      </c>
      <c r="EF465" s="121"/>
      <c r="EG465" s="238">
        <f t="shared" si="60"/>
        <v>0</v>
      </c>
      <c r="EH465" s="121"/>
      <c r="EI465" s="237">
        <f t="shared" si="61"/>
        <v>0</v>
      </c>
      <c r="EJ465" s="121"/>
      <c r="EK465" s="237">
        <f t="shared" si="62"/>
        <v>0</v>
      </c>
      <c r="EL465" s="237"/>
      <c r="EM465" s="5"/>
      <c r="EN465" s="5"/>
      <c r="EO465" s="5"/>
      <c r="EP465" s="5"/>
      <c r="EQ465" s="237">
        <f t="shared" si="63"/>
        <v>0</v>
      </c>
      <c r="ER465" s="239">
        <v>23300</v>
      </c>
      <c r="ES465" s="5">
        <v>7.5</v>
      </c>
    </row>
    <row r="466" spans="1:149" x14ac:dyDescent="0.3">
      <c r="A466" s="124"/>
      <c r="B466" s="121"/>
      <c r="C466" s="121"/>
      <c r="D466" s="121"/>
      <c r="E466" s="121"/>
      <c r="F466" s="121"/>
      <c r="G466" s="121"/>
      <c r="H466" s="121"/>
      <c r="I466" s="121"/>
      <c r="J466" s="121"/>
      <c r="K466" s="121"/>
      <c r="L466" s="121"/>
      <c r="M466" s="121"/>
      <c r="N466" s="121"/>
      <c r="O466" s="235"/>
      <c r="P466" s="121"/>
      <c r="Q466" s="121"/>
      <c r="R466" s="121"/>
      <c r="S466" s="121"/>
      <c r="T466" s="121"/>
      <c r="U466" s="121"/>
      <c r="V466" s="121"/>
      <c r="W466" s="121"/>
      <c r="X466" s="117"/>
      <c r="Y466" s="117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21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  <c r="DK466" s="121"/>
      <c r="DL466" s="121"/>
      <c r="DM466" s="121"/>
      <c r="DN466" s="121"/>
      <c r="DO466" s="121"/>
      <c r="DP466" s="121"/>
      <c r="DQ466" s="121"/>
      <c r="DR466" s="121"/>
      <c r="DS466" s="121"/>
      <c r="DT466" s="240"/>
      <c r="DU466" s="240"/>
      <c r="DV466" s="240"/>
      <c r="DW466" s="240"/>
      <c r="DX466" s="240"/>
      <c r="DY466" s="240"/>
      <c r="DZ466" s="240"/>
      <c r="EA466" s="240"/>
      <c r="EB466" s="237">
        <f t="shared" si="56"/>
        <v>0</v>
      </c>
      <c r="EC466" s="237">
        <f t="shared" si="57"/>
        <v>0</v>
      </c>
      <c r="ED466" s="237">
        <f t="shared" si="58"/>
        <v>0</v>
      </c>
      <c r="EE466" s="237">
        <f t="shared" si="59"/>
        <v>0</v>
      </c>
      <c r="EF466" s="121"/>
      <c r="EG466" s="238">
        <f t="shared" si="60"/>
        <v>0</v>
      </c>
      <c r="EH466" s="121"/>
      <c r="EI466" s="237">
        <f t="shared" si="61"/>
        <v>0</v>
      </c>
      <c r="EJ466" s="121"/>
      <c r="EK466" s="237">
        <f t="shared" si="62"/>
        <v>0</v>
      </c>
      <c r="EL466" s="237"/>
      <c r="EM466" s="5"/>
      <c r="EN466" s="5"/>
      <c r="EO466" s="5"/>
      <c r="EP466" s="5"/>
      <c r="EQ466" s="237">
        <f t="shared" si="63"/>
        <v>0</v>
      </c>
      <c r="ER466" s="239">
        <v>23300</v>
      </c>
      <c r="ES466" s="5">
        <v>7.5</v>
      </c>
    </row>
    <row r="467" spans="1:149" x14ac:dyDescent="0.3">
      <c r="A467" s="124"/>
      <c r="B467" s="121"/>
      <c r="C467" s="121"/>
      <c r="D467" s="121"/>
      <c r="E467" s="121"/>
      <c r="F467" s="121"/>
      <c r="G467" s="121"/>
      <c r="H467" s="121"/>
      <c r="I467" s="121"/>
      <c r="J467" s="121"/>
      <c r="K467" s="121"/>
      <c r="L467" s="121"/>
      <c r="M467" s="121"/>
      <c r="N467" s="121"/>
      <c r="O467" s="235"/>
      <c r="P467" s="121"/>
      <c r="Q467" s="121"/>
      <c r="R467" s="121"/>
      <c r="S467" s="121"/>
      <c r="T467" s="121"/>
      <c r="U467" s="121"/>
      <c r="V467" s="121"/>
      <c r="W467" s="121"/>
      <c r="X467" s="117"/>
      <c r="Y467" s="117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21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  <c r="DK467" s="121"/>
      <c r="DL467" s="121"/>
      <c r="DM467" s="121"/>
      <c r="DN467" s="121"/>
      <c r="DO467" s="121"/>
      <c r="DP467" s="121"/>
      <c r="DQ467" s="121"/>
      <c r="DR467" s="121"/>
      <c r="DS467" s="121"/>
      <c r="DT467" s="240"/>
      <c r="DU467" s="240"/>
      <c r="DV467" s="240"/>
      <c r="DW467" s="240"/>
      <c r="DX467" s="240"/>
      <c r="DY467" s="240"/>
      <c r="DZ467" s="240"/>
      <c r="EA467" s="240"/>
      <c r="EB467" s="237">
        <f t="shared" si="56"/>
        <v>0</v>
      </c>
      <c r="EC467" s="237">
        <f t="shared" si="57"/>
        <v>0</v>
      </c>
      <c r="ED467" s="237">
        <f t="shared" si="58"/>
        <v>0</v>
      </c>
      <c r="EE467" s="237">
        <f t="shared" si="59"/>
        <v>0</v>
      </c>
      <c r="EF467" s="121"/>
      <c r="EG467" s="238">
        <f t="shared" si="60"/>
        <v>0</v>
      </c>
      <c r="EH467" s="121"/>
      <c r="EI467" s="237">
        <f t="shared" si="61"/>
        <v>0</v>
      </c>
      <c r="EJ467" s="121"/>
      <c r="EK467" s="237">
        <f t="shared" si="62"/>
        <v>0</v>
      </c>
      <c r="EL467" s="237"/>
      <c r="EM467" s="5"/>
      <c r="EN467" s="5"/>
      <c r="EO467" s="5"/>
      <c r="EP467" s="5"/>
      <c r="EQ467" s="237">
        <f t="shared" si="63"/>
        <v>0</v>
      </c>
      <c r="ER467" s="239">
        <v>23300</v>
      </c>
      <c r="ES467" s="5">
        <v>7.5</v>
      </c>
    </row>
    <row r="468" spans="1:149" x14ac:dyDescent="0.3">
      <c r="A468" s="124"/>
      <c r="B468" s="121"/>
      <c r="C468" s="121"/>
      <c r="D468" s="121"/>
      <c r="E468" s="121"/>
      <c r="F468" s="121"/>
      <c r="G468" s="121"/>
      <c r="H468" s="121"/>
      <c r="I468" s="121"/>
      <c r="J468" s="121"/>
      <c r="K468" s="121"/>
      <c r="L468" s="121"/>
      <c r="M468" s="121"/>
      <c r="N468" s="121"/>
      <c r="O468" s="235"/>
      <c r="P468" s="121"/>
      <c r="Q468" s="121"/>
      <c r="R468" s="121"/>
      <c r="S468" s="121"/>
      <c r="T468" s="121"/>
      <c r="U468" s="121"/>
      <c r="V468" s="121"/>
      <c r="W468" s="121"/>
      <c r="X468" s="117"/>
      <c r="Y468" s="117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21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  <c r="DK468" s="121"/>
      <c r="DL468" s="121"/>
      <c r="DM468" s="121"/>
      <c r="DN468" s="121"/>
      <c r="DO468" s="121"/>
      <c r="DP468" s="121"/>
      <c r="DQ468" s="121"/>
      <c r="DR468" s="121"/>
      <c r="DS468" s="121"/>
      <c r="DT468" s="240"/>
      <c r="DU468" s="240"/>
      <c r="DV468" s="240"/>
      <c r="DW468" s="240"/>
      <c r="DX468" s="240"/>
      <c r="DY468" s="240"/>
      <c r="DZ468" s="240"/>
      <c r="EA468" s="240"/>
      <c r="EB468" s="237">
        <f t="shared" si="56"/>
        <v>0</v>
      </c>
      <c r="EC468" s="237">
        <f t="shared" si="57"/>
        <v>0</v>
      </c>
      <c r="ED468" s="237">
        <f t="shared" si="58"/>
        <v>0</v>
      </c>
      <c r="EE468" s="237">
        <f t="shared" si="59"/>
        <v>0</v>
      </c>
      <c r="EF468" s="121"/>
      <c r="EG468" s="238">
        <f t="shared" si="60"/>
        <v>0</v>
      </c>
      <c r="EH468" s="121"/>
      <c r="EI468" s="237">
        <f t="shared" si="61"/>
        <v>0</v>
      </c>
      <c r="EJ468" s="121"/>
      <c r="EK468" s="237">
        <f t="shared" si="62"/>
        <v>0</v>
      </c>
      <c r="EL468" s="237"/>
      <c r="EM468" s="5"/>
      <c r="EN468" s="5"/>
      <c r="EO468" s="5"/>
      <c r="EP468" s="5"/>
      <c r="EQ468" s="237">
        <f t="shared" si="63"/>
        <v>0</v>
      </c>
      <c r="ER468" s="239">
        <v>23300</v>
      </c>
      <c r="ES468" s="5">
        <v>7.5</v>
      </c>
    </row>
    <row r="469" spans="1:149" x14ac:dyDescent="0.3">
      <c r="A469" s="124"/>
      <c r="B469" s="121"/>
      <c r="C469" s="121"/>
      <c r="D469" s="121"/>
      <c r="E469" s="121"/>
      <c r="F469" s="121"/>
      <c r="G469" s="121"/>
      <c r="H469" s="121"/>
      <c r="I469" s="121"/>
      <c r="J469" s="121"/>
      <c r="K469" s="121"/>
      <c r="L469" s="121"/>
      <c r="M469" s="121"/>
      <c r="N469" s="121"/>
      <c r="O469" s="235"/>
      <c r="P469" s="121"/>
      <c r="Q469" s="121"/>
      <c r="R469" s="121"/>
      <c r="S469" s="121"/>
      <c r="T469" s="121"/>
      <c r="U469" s="121"/>
      <c r="V469" s="121"/>
      <c r="W469" s="121"/>
      <c r="X469" s="117"/>
      <c r="Y469" s="117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21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  <c r="DK469" s="121"/>
      <c r="DL469" s="121"/>
      <c r="DM469" s="121"/>
      <c r="DN469" s="121"/>
      <c r="DO469" s="121"/>
      <c r="DP469" s="121"/>
      <c r="DQ469" s="121"/>
      <c r="DR469" s="121"/>
      <c r="DS469" s="121"/>
      <c r="DT469" s="240"/>
      <c r="DU469" s="240"/>
      <c r="DV469" s="240"/>
      <c r="DW469" s="240"/>
      <c r="DX469" s="240"/>
      <c r="DY469" s="240"/>
      <c r="DZ469" s="240"/>
      <c r="EA469" s="240"/>
      <c r="EB469" s="237">
        <f t="shared" si="56"/>
        <v>0</v>
      </c>
      <c r="EC469" s="237">
        <f t="shared" si="57"/>
        <v>0</v>
      </c>
      <c r="ED469" s="237">
        <f t="shared" si="58"/>
        <v>0</v>
      </c>
      <c r="EE469" s="237">
        <f t="shared" si="59"/>
        <v>0</v>
      </c>
      <c r="EF469" s="121"/>
      <c r="EG469" s="238">
        <f t="shared" si="60"/>
        <v>0</v>
      </c>
      <c r="EH469" s="121"/>
      <c r="EI469" s="237">
        <f t="shared" si="61"/>
        <v>0</v>
      </c>
      <c r="EJ469" s="121"/>
      <c r="EK469" s="237">
        <f t="shared" si="62"/>
        <v>0</v>
      </c>
      <c r="EL469" s="237"/>
      <c r="EM469" s="5"/>
      <c r="EN469" s="5"/>
      <c r="EO469" s="5"/>
      <c r="EP469" s="5"/>
      <c r="EQ469" s="237">
        <f t="shared" si="63"/>
        <v>0</v>
      </c>
      <c r="ER469" s="239">
        <v>23300</v>
      </c>
      <c r="ES469" s="5">
        <v>7.5</v>
      </c>
    </row>
    <row r="470" spans="1:149" x14ac:dyDescent="0.3">
      <c r="A470" s="124"/>
      <c r="B470" s="121"/>
      <c r="C470" s="121"/>
      <c r="D470" s="121"/>
      <c r="E470" s="121"/>
      <c r="F470" s="121"/>
      <c r="G470" s="121"/>
      <c r="H470" s="121"/>
      <c r="I470" s="121"/>
      <c r="J470" s="121"/>
      <c r="K470" s="121"/>
      <c r="L470" s="121"/>
      <c r="M470" s="121"/>
      <c r="N470" s="121"/>
      <c r="O470" s="235"/>
      <c r="P470" s="121"/>
      <c r="Q470" s="121"/>
      <c r="R470" s="121"/>
      <c r="S470" s="121"/>
      <c r="T470" s="121"/>
      <c r="U470" s="121"/>
      <c r="V470" s="121"/>
      <c r="W470" s="121"/>
      <c r="X470" s="117"/>
      <c r="Y470" s="117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21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  <c r="DK470" s="121"/>
      <c r="DL470" s="121"/>
      <c r="DM470" s="121"/>
      <c r="DN470" s="121"/>
      <c r="DO470" s="121"/>
      <c r="DP470" s="121"/>
      <c r="DQ470" s="121"/>
      <c r="DR470" s="121"/>
      <c r="DS470" s="121"/>
      <c r="DT470" s="240"/>
      <c r="DU470" s="240"/>
      <c r="DV470" s="240"/>
      <c r="DW470" s="240"/>
      <c r="DX470" s="240"/>
      <c r="DY470" s="240"/>
      <c r="DZ470" s="240"/>
      <c r="EA470" s="240"/>
      <c r="EB470" s="237">
        <f t="shared" si="56"/>
        <v>0</v>
      </c>
      <c r="EC470" s="237">
        <f t="shared" si="57"/>
        <v>0</v>
      </c>
      <c r="ED470" s="237">
        <f t="shared" si="58"/>
        <v>0</v>
      </c>
      <c r="EE470" s="237">
        <f t="shared" si="59"/>
        <v>0</v>
      </c>
      <c r="EF470" s="121"/>
      <c r="EG470" s="238">
        <f t="shared" si="60"/>
        <v>0</v>
      </c>
      <c r="EH470" s="121"/>
      <c r="EI470" s="237">
        <f t="shared" si="61"/>
        <v>0</v>
      </c>
      <c r="EJ470" s="121"/>
      <c r="EK470" s="237">
        <f t="shared" si="62"/>
        <v>0</v>
      </c>
      <c r="EL470" s="237"/>
      <c r="EM470" s="5"/>
      <c r="EN470" s="5"/>
      <c r="EO470" s="5"/>
      <c r="EP470" s="5"/>
      <c r="EQ470" s="237">
        <f t="shared" si="63"/>
        <v>0</v>
      </c>
      <c r="ER470" s="239">
        <v>23300</v>
      </c>
      <c r="ES470" s="5">
        <v>7.5</v>
      </c>
    </row>
    <row r="471" spans="1:149" x14ac:dyDescent="0.3">
      <c r="A471" s="124"/>
      <c r="B471" s="121"/>
      <c r="C471" s="121"/>
      <c r="D471" s="121"/>
      <c r="E471" s="121"/>
      <c r="F471" s="121"/>
      <c r="G471" s="121"/>
      <c r="H471" s="121"/>
      <c r="I471" s="121"/>
      <c r="J471" s="121"/>
      <c r="K471" s="121"/>
      <c r="L471" s="121"/>
      <c r="M471" s="121"/>
      <c r="N471" s="121"/>
      <c r="O471" s="235"/>
      <c r="P471" s="121"/>
      <c r="Q471" s="121"/>
      <c r="R471" s="121"/>
      <c r="S471" s="121"/>
      <c r="T471" s="121"/>
      <c r="U471" s="121"/>
      <c r="V471" s="121"/>
      <c r="W471" s="121"/>
      <c r="X471" s="117"/>
      <c r="Y471" s="117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21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  <c r="DK471" s="121"/>
      <c r="DL471" s="121"/>
      <c r="DM471" s="121"/>
      <c r="DN471" s="121"/>
      <c r="DO471" s="121"/>
      <c r="DP471" s="121"/>
      <c r="DQ471" s="121"/>
      <c r="DR471" s="121"/>
      <c r="DS471" s="121"/>
      <c r="DT471" s="240"/>
      <c r="DU471" s="240"/>
      <c r="DV471" s="240"/>
      <c r="DW471" s="240"/>
      <c r="DX471" s="240"/>
      <c r="DY471" s="240"/>
      <c r="DZ471" s="240"/>
      <c r="EA471" s="240"/>
      <c r="EB471" s="237">
        <f t="shared" si="56"/>
        <v>0</v>
      </c>
      <c r="EC471" s="237">
        <f t="shared" si="57"/>
        <v>0</v>
      </c>
      <c r="ED471" s="237">
        <f t="shared" si="58"/>
        <v>0</v>
      </c>
      <c r="EE471" s="237">
        <f t="shared" si="59"/>
        <v>0</v>
      </c>
      <c r="EF471" s="121"/>
      <c r="EG471" s="238">
        <f t="shared" si="60"/>
        <v>0</v>
      </c>
      <c r="EH471" s="121"/>
      <c r="EI471" s="237">
        <f t="shared" si="61"/>
        <v>0</v>
      </c>
      <c r="EJ471" s="121"/>
      <c r="EK471" s="237">
        <f t="shared" si="62"/>
        <v>0</v>
      </c>
      <c r="EL471" s="237"/>
      <c r="EM471" s="5"/>
      <c r="EN471" s="5"/>
      <c r="EO471" s="5"/>
      <c r="EP471" s="5"/>
      <c r="EQ471" s="237">
        <f t="shared" si="63"/>
        <v>0</v>
      </c>
      <c r="ER471" s="239">
        <v>23300</v>
      </c>
      <c r="ES471" s="5">
        <v>7.5</v>
      </c>
    </row>
    <row r="472" spans="1:149" x14ac:dyDescent="0.3">
      <c r="A472" s="124"/>
      <c r="B472" s="121"/>
      <c r="C472" s="121"/>
      <c r="D472" s="121"/>
      <c r="E472" s="121"/>
      <c r="F472" s="121"/>
      <c r="G472" s="121"/>
      <c r="H472" s="121"/>
      <c r="I472" s="121"/>
      <c r="J472" s="121"/>
      <c r="K472" s="121"/>
      <c r="L472" s="121"/>
      <c r="M472" s="121"/>
      <c r="N472" s="121"/>
      <c r="O472" s="235"/>
      <c r="P472" s="121"/>
      <c r="Q472" s="121"/>
      <c r="R472" s="121"/>
      <c r="S472" s="121"/>
      <c r="T472" s="121"/>
      <c r="U472" s="121"/>
      <c r="V472" s="121"/>
      <c r="W472" s="121"/>
      <c r="X472" s="117"/>
      <c r="Y472" s="117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21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  <c r="DK472" s="121"/>
      <c r="DL472" s="121"/>
      <c r="DM472" s="121"/>
      <c r="DN472" s="121"/>
      <c r="DO472" s="121"/>
      <c r="DP472" s="121"/>
      <c r="DQ472" s="121"/>
      <c r="DR472" s="121"/>
      <c r="DS472" s="121"/>
      <c r="DT472" s="240"/>
      <c r="DU472" s="240"/>
      <c r="DV472" s="240"/>
      <c r="DW472" s="240"/>
      <c r="DX472" s="240"/>
      <c r="DY472" s="240"/>
      <c r="DZ472" s="240"/>
      <c r="EA472" s="240"/>
      <c r="EB472" s="237">
        <f t="shared" si="56"/>
        <v>0</v>
      </c>
      <c r="EC472" s="237">
        <f t="shared" si="57"/>
        <v>0</v>
      </c>
      <c r="ED472" s="237">
        <f t="shared" si="58"/>
        <v>0</v>
      </c>
      <c r="EE472" s="237">
        <f t="shared" si="59"/>
        <v>0</v>
      </c>
      <c r="EF472" s="121"/>
      <c r="EG472" s="238">
        <f t="shared" si="60"/>
        <v>0</v>
      </c>
      <c r="EH472" s="121"/>
      <c r="EI472" s="237">
        <f t="shared" si="61"/>
        <v>0</v>
      </c>
      <c r="EJ472" s="121"/>
      <c r="EK472" s="237">
        <f t="shared" si="62"/>
        <v>0</v>
      </c>
      <c r="EL472" s="237"/>
      <c r="EM472" s="5"/>
      <c r="EN472" s="5"/>
      <c r="EO472" s="5"/>
      <c r="EP472" s="5"/>
      <c r="EQ472" s="237">
        <f t="shared" si="63"/>
        <v>0</v>
      </c>
      <c r="ER472" s="239">
        <v>23300</v>
      </c>
      <c r="ES472" s="5">
        <v>7.5</v>
      </c>
    </row>
    <row r="473" spans="1:149" x14ac:dyDescent="0.3">
      <c r="A473" s="124"/>
      <c r="B473" s="121"/>
      <c r="C473" s="121"/>
      <c r="D473" s="121"/>
      <c r="E473" s="121"/>
      <c r="F473" s="121"/>
      <c r="G473" s="121"/>
      <c r="H473" s="121"/>
      <c r="I473" s="121"/>
      <c r="J473" s="121"/>
      <c r="K473" s="121"/>
      <c r="L473" s="121"/>
      <c r="M473" s="121"/>
      <c r="N473" s="121"/>
      <c r="O473" s="235"/>
      <c r="P473" s="121"/>
      <c r="Q473" s="121"/>
      <c r="R473" s="121"/>
      <c r="S473" s="121"/>
      <c r="T473" s="121"/>
      <c r="U473" s="121"/>
      <c r="V473" s="121"/>
      <c r="W473" s="121"/>
      <c r="X473" s="117"/>
      <c r="Y473" s="117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21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  <c r="DK473" s="121"/>
      <c r="DL473" s="121"/>
      <c r="DM473" s="121"/>
      <c r="DN473" s="121"/>
      <c r="DO473" s="121"/>
      <c r="DP473" s="121"/>
      <c r="DQ473" s="121"/>
      <c r="DR473" s="121"/>
      <c r="DS473" s="121"/>
      <c r="DT473" s="240"/>
      <c r="DU473" s="240"/>
      <c r="DV473" s="240"/>
      <c r="DW473" s="240"/>
      <c r="DX473" s="240"/>
      <c r="DY473" s="240"/>
      <c r="DZ473" s="240"/>
      <c r="EA473" s="240"/>
      <c r="EB473" s="237">
        <f t="shared" si="56"/>
        <v>0</v>
      </c>
      <c r="EC473" s="237">
        <f t="shared" si="57"/>
        <v>0</v>
      </c>
      <c r="ED473" s="237">
        <f t="shared" si="58"/>
        <v>0</v>
      </c>
      <c r="EE473" s="237">
        <f t="shared" si="59"/>
        <v>0</v>
      </c>
      <c r="EF473" s="121"/>
      <c r="EG473" s="238">
        <f t="shared" si="60"/>
        <v>0</v>
      </c>
      <c r="EH473" s="121"/>
      <c r="EI473" s="237">
        <f t="shared" si="61"/>
        <v>0</v>
      </c>
      <c r="EJ473" s="121"/>
      <c r="EK473" s="237">
        <f t="shared" si="62"/>
        <v>0</v>
      </c>
      <c r="EL473" s="237"/>
      <c r="EM473" s="5"/>
      <c r="EN473" s="5"/>
      <c r="EO473" s="5"/>
      <c r="EP473" s="5"/>
      <c r="EQ473" s="237">
        <f t="shared" si="63"/>
        <v>0</v>
      </c>
      <c r="ER473" s="239">
        <v>23300</v>
      </c>
      <c r="ES473" s="5">
        <v>7.5</v>
      </c>
    </row>
    <row r="474" spans="1:149" x14ac:dyDescent="0.3">
      <c r="A474" s="124"/>
      <c r="B474" s="121"/>
      <c r="C474" s="121"/>
      <c r="D474" s="121"/>
      <c r="E474" s="121"/>
      <c r="F474" s="121"/>
      <c r="G474" s="121"/>
      <c r="H474" s="121"/>
      <c r="I474" s="121"/>
      <c r="J474" s="121"/>
      <c r="K474" s="121"/>
      <c r="L474" s="121"/>
      <c r="M474" s="121"/>
      <c r="N474" s="121"/>
      <c r="O474" s="235"/>
      <c r="P474" s="121"/>
      <c r="Q474" s="121"/>
      <c r="R474" s="121"/>
      <c r="S474" s="121"/>
      <c r="T474" s="121"/>
      <c r="U474" s="121"/>
      <c r="V474" s="121"/>
      <c r="W474" s="121"/>
      <c r="X474" s="117"/>
      <c r="Y474" s="117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21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  <c r="DK474" s="121"/>
      <c r="DL474" s="121"/>
      <c r="DM474" s="121"/>
      <c r="DN474" s="121"/>
      <c r="DO474" s="121"/>
      <c r="DP474" s="121"/>
      <c r="DQ474" s="121"/>
      <c r="DR474" s="121"/>
      <c r="DS474" s="121"/>
      <c r="DT474" s="240"/>
      <c r="DU474" s="240"/>
      <c r="DV474" s="240"/>
      <c r="DW474" s="240"/>
      <c r="DX474" s="240"/>
      <c r="DY474" s="240"/>
      <c r="DZ474" s="240"/>
      <c r="EA474" s="240"/>
      <c r="EB474" s="237">
        <f t="shared" si="56"/>
        <v>0</v>
      </c>
      <c r="EC474" s="237">
        <f t="shared" si="57"/>
        <v>0</v>
      </c>
      <c r="ED474" s="237">
        <f t="shared" si="58"/>
        <v>0</v>
      </c>
      <c r="EE474" s="237">
        <f t="shared" si="59"/>
        <v>0</v>
      </c>
      <c r="EF474" s="121"/>
      <c r="EG474" s="238">
        <f t="shared" si="60"/>
        <v>0</v>
      </c>
      <c r="EH474" s="121"/>
      <c r="EI474" s="237">
        <f t="shared" si="61"/>
        <v>0</v>
      </c>
      <c r="EJ474" s="121"/>
      <c r="EK474" s="237">
        <f t="shared" si="62"/>
        <v>0</v>
      </c>
      <c r="EL474" s="237"/>
      <c r="EM474" s="5"/>
      <c r="EN474" s="5"/>
      <c r="EO474" s="5"/>
      <c r="EP474" s="5"/>
      <c r="EQ474" s="237">
        <f t="shared" si="63"/>
        <v>0</v>
      </c>
      <c r="ER474" s="239">
        <v>23300</v>
      </c>
      <c r="ES474" s="5">
        <v>7.5</v>
      </c>
    </row>
    <row r="475" spans="1:149" x14ac:dyDescent="0.3">
      <c r="A475" s="124"/>
      <c r="B475" s="121"/>
      <c r="C475" s="121"/>
      <c r="D475" s="121"/>
      <c r="E475" s="121"/>
      <c r="F475" s="121"/>
      <c r="G475" s="121"/>
      <c r="H475" s="121"/>
      <c r="I475" s="121"/>
      <c r="J475" s="121"/>
      <c r="K475" s="121"/>
      <c r="L475" s="121"/>
      <c r="M475" s="121"/>
      <c r="N475" s="121"/>
      <c r="O475" s="235"/>
      <c r="P475" s="121"/>
      <c r="Q475" s="121"/>
      <c r="R475" s="121"/>
      <c r="S475" s="121"/>
      <c r="T475" s="121"/>
      <c r="U475" s="121"/>
      <c r="V475" s="121"/>
      <c r="W475" s="121"/>
      <c r="X475" s="117"/>
      <c r="Y475" s="117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21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  <c r="DK475" s="121"/>
      <c r="DL475" s="121"/>
      <c r="DM475" s="121"/>
      <c r="DN475" s="121"/>
      <c r="DO475" s="121"/>
      <c r="DP475" s="121"/>
      <c r="DQ475" s="121"/>
      <c r="DR475" s="121"/>
      <c r="DS475" s="121"/>
      <c r="DT475" s="240"/>
      <c r="DU475" s="240"/>
      <c r="DV475" s="240"/>
      <c r="DW475" s="240"/>
      <c r="DX475" s="240"/>
      <c r="DY475" s="240"/>
      <c r="DZ475" s="240"/>
      <c r="EA475" s="240"/>
      <c r="EB475" s="237">
        <f t="shared" si="56"/>
        <v>0</v>
      </c>
      <c r="EC475" s="237">
        <f t="shared" si="57"/>
        <v>0</v>
      </c>
      <c r="ED475" s="237">
        <f t="shared" si="58"/>
        <v>0</v>
      </c>
      <c r="EE475" s="237">
        <f t="shared" si="59"/>
        <v>0</v>
      </c>
      <c r="EF475" s="121"/>
      <c r="EG475" s="238">
        <f t="shared" si="60"/>
        <v>0</v>
      </c>
      <c r="EH475" s="121"/>
      <c r="EI475" s="237">
        <f t="shared" si="61"/>
        <v>0</v>
      </c>
      <c r="EJ475" s="121"/>
      <c r="EK475" s="237">
        <f t="shared" si="62"/>
        <v>0</v>
      </c>
      <c r="EL475" s="237"/>
      <c r="EM475" s="5"/>
      <c r="EN475" s="5"/>
      <c r="EO475" s="5"/>
      <c r="EP475" s="5"/>
      <c r="EQ475" s="237">
        <f t="shared" si="63"/>
        <v>0</v>
      </c>
      <c r="ER475" s="239">
        <v>23300</v>
      </c>
      <c r="ES475" s="5">
        <v>7.5</v>
      </c>
    </row>
    <row r="476" spans="1:149" x14ac:dyDescent="0.3">
      <c r="A476" s="124"/>
      <c r="B476" s="121"/>
      <c r="C476" s="121"/>
      <c r="D476" s="121"/>
      <c r="E476" s="121"/>
      <c r="F476" s="121"/>
      <c r="G476" s="121"/>
      <c r="H476" s="121"/>
      <c r="I476" s="121"/>
      <c r="J476" s="121"/>
      <c r="K476" s="121"/>
      <c r="L476" s="121"/>
      <c r="M476" s="121"/>
      <c r="N476" s="121"/>
      <c r="O476" s="235"/>
      <c r="P476" s="121"/>
      <c r="Q476" s="121"/>
      <c r="R476" s="121"/>
      <c r="S476" s="121"/>
      <c r="T476" s="121"/>
      <c r="U476" s="121"/>
      <c r="V476" s="121"/>
      <c r="W476" s="121"/>
      <c r="X476" s="117"/>
      <c r="Y476" s="117"/>
      <c r="Z476" s="121"/>
      <c r="AA476" s="121"/>
      <c r="AB476" s="121"/>
      <c r="AC476" s="121"/>
      <c r="AD476" s="121"/>
      <c r="AE476" s="121"/>
      <c r="AF476" s="121"/>
      <c r="AG476" s="121"/>
      <c r="AH476" s="121"/>
      <c r="AI476" s="121"/>
      <c r="AJ476" s="121"/>
      <c r="AK476" s="121"/>
      <c r="AL476" s="121"/>
      <c r="AM476" s="121"/>
      <c r="AN476" s="121"/>
      <c r="AO476" s="121"/>
      <c r="AP476" s="121"/>
      <c r="AQ476" s="121"/>
      <c r="AR476" s="121"/>
      <c r="AS476" s="121"/>
      <c r="AT476" s="121"/>
      <c r="AU476" s="121"/>
      <c r="AV476" s="121"/>
      <c r="AW476" s="121"/>
      <c r="AX476" s="121"/>
      <c r="AY476" s="121"/>
      <c r="AZ476" s="121"/>
      <c r="BA476" s="121"/>
      <c r="BB476" s="121"/>
      <c r="BC476" s="121"/>
      <c r="BD476" s="121"/>
      <c r="BE476" s="121"/>
      <c r="BF476" s="121"/>
      <c r="BG476" s="121"/>
      <c r="BH476" s="121"/>
      <c r="BI476" s="121"/>
      <c r="BJ476" s="121"/>
      <c r="BK476" s="121"/>
      <c r="BL476" s="121"/>
      <c r="BM476" s="121"/>
      <c r="BN476" s="121"/>
      <c r="BO476" s="121"/>
      <c r="BP476" s="121"/>
      <c r="BQ476" s="121"/>
      <c r="BR476" s="121"/>
      <c r="BS476" s="121"/>
      <c r="BT476" s="121"/>
      <c r="BU476" s="121"/>
      <c r="BV476" s="121"/>
      <c r="BW476" s="121"/>
      <c r="BX476" s="121"/>
      <c r="BY476" s="121"/>
      <c r="BZ476" s="121"/>
      <c r="CA476" s="121"/>
      <c r="CB476" s="121"/>
      <c r="CC476" s="121"/>
      <c r="CD476" s="121"/>
      <c r="CE476" s="121"/>
      <c r="CF476" s="121"/>
      <c r="CG476" s="121"/>
      <c r="CH476" s="121"/>
      <c r="CI476" s="121"/>
      <c r="CJ476" s="121"/>
      <c r="CK476" s="121"/>
      <c r="CL476" s="121"/>
      <c r="CM476" s="121"/>
      <c r="CN476" s="121"/>
      <c r="CO476" s="121"/>
      <c r="CP476" s="121"/>
      <c r="CQ476" s="121"/>
      <c r="CR476" s="121"/>
      <c r="CS476" s="121"/>
      <c r="CT476" s="121"/>
      <c r="CU476" s="121"/>
      <c r="CV476" s="121"/>
      <c r="CW476" s="121"/>
      <c r="CX476" s="121"/>
      <c r="CY476" s="121"/>
      <c r="CZ476" s="121"/>
      <c r="DA476" s="121"/>
      <c r="DB476" s="121"/>
      <c r="DC476" s="121"/>
      <c r="DD476" s="121"/>
      <c r="DE476" s="121"/>
      <c r="DF476" s="121"/>
      <c r="DG476" s="121"/>
      <c r="DH476" s="121"/>
      <c r="DI476" s="121"/>
      <c r="DJ476" s="121"/>
      <c r="DK476" s="121"/>
      <c r="DL476" s="121"/>
      <c r="DM476" s="121"/>
      <c r="DN476" s="121"/>
      <c r="DO476" s="121"/>
      <c r="DP476" s="121"/>
      <c r="DQ476" s="121"/>
      <c r="DR476" s="121"/>
      <c r="DS476" s="121"/>
      <c r="DT476" s="240"/>
      <c r="DU476" s="240"/>
      <c r="DV476" s="240"/>
      <c r="DW476" s="240"/>
      <c r="DX476" s="240"/>
      <c r="DY476" s="240"/>
      <c r="DZ476" s="240"/>
      <c r="EA476" s="240"/>
      <c r="EB476" s="237">
        <f t="shared" si="56"/>
        <v>0</v>
      </c>
      <c r="EC476" s="237">
        <f t="shared" si="57"/>
        <v>0</v>
      </c>
      <c r="ED476" s="237">
        <f t="shared" si="58"/>
        <v>0</v>
      </c>
      <c r="EE476" s="237">
        <f t="shared" si="59"/>
        <v>0</v>
      </c>
      <c r="EF476" s="121"/>
      <c r="EG476" s="238">
        <f t="shared" si="60"/>
        <v>0</v>
      </c>
      <c r="EH476" s="121"/>
      <c r="EI476" s="237">
        <f t="shared" si="61"/>
        <v>0</v>
      </c>
      <c r="EJ476" s="121"/>
      <c r="EK476" s="237">
        <f t="shared" si="62"/>
        <v>0</v>
      </c>
      <c r="EL476" s="237"/>
      <c r="EM476" s="5"/>
      <c r="EN476" s="5"/>
      <c r="EO476" s="5"/>
      <c r="EP476" s="5"/>
      <c r="EQ476" s="237">
        <f t="shared" si="63"/>
        <v>0</v>
      </c>
      <c r="ER476" s="239">
        <v>23300</v>
      </c>
      <c r="ES476" s="5">
        <v>7.5</v>
      </c>
    </row>
    <row r="477" spans="1:149" x14ac:dyDescent="0.3">
      <c r="A477" s="124"/>
      <c r="B477" s="121"/>
      <c r="C477" s="121"/>
      <c r="D477" s="121"/>
      <c r="E477" s="121"/>
      <c r="F477" s="121"/>
      <c r="G477" s="121"/>
      <c r="H477" s="121"/>
      <c r="I477" s="121"/>
      <c r="J477" s="121"/>
      <c r="K477" s="121"/>
      <c r="L477" s="121"/>
      <c r="M477" s="121"/>
      <c r="N477" s="121"/>
      <c r="O477" s="235"/>
      <c r="P477" s="121"/>
      <c r="Q477" s="121"/>
      <c r="R477" s="121"/>
      <c r="S477" s="121"/>
      <c r="T477" s="121"/>
      <c r="U477" s="121"/>
      <c r="V477" s="121"/>
      <c r="W477" s="121"/>
      <c r="X477" s="117"/>
      <c r="Y477" s="117"/>
      <c r="Z477" s="121"/>
      <c r="AA477" s="121"/>
      <c r="AB477" s="121"/>
      <c r="AC477" s="121"/>
      <c r="AD477" s="121"/>
      <c r="AE477" s="121"/>
      <c r="AF477" s="121"/>
      <c r="AG477" s="121"/>
      <c r="AH477" s="121"/>
      <c r="AI477" s="121"/>
      <c r="AJ477" s="121"/>
      <c r="AK477" s="121"/>
      <c r="AL477" s="121"/>
      <c r="AM477" s="121"/>
      <c r="AN477" s="121"/>
      <c r="AO477" s="121"/>
      <c r="AP477" s="121"/>
      <c r="AQ477" s="121"/>
      <c r="AR477" s="121"/>
      <c r="AS477" s="121"/>
      <c r="AT477" s="121"/>
      <c r="AU477" s="121"/>
      <c r="AV477" s="121"/>
      <c r="AW477" s="121"/>
      <c r="AX477" s="121"/>
      <c r="AY477" s="121"/>
      <c r="AZ477" s="121"/>
      <c r="BA477" s="121"/>
      <c r="BB477" s="121"/>
      <c r="BC477" s="121"/>
      <c r="BD477" s="121"/>
      <c r="BE477" s="121"/>
      <c r="BF477" s="121"/>
      <c r="BG477" s="121"/>
      <c r="BH477" s="121"/>
      <c r="BI477" s="121"/>
      <c r="BJ477" s="121"/>
      <c r="BK477" s="121"/>
      <c r="BL477" s="121"/>
      <c r="BM477" s="121"/>
      <c r="BN477" s="121"/>
      <c r="BO477" s="121"/>
      <c r="BP477" s="121"/>
      <c r="BQ477" s="121"/>
      <c r="BR477" s="121"/>
      <c r="BS477" s="121"/>
      <c r="BT477" s="121"/>
      <c r="BU477" s="121"/>
      <c r="BV477" s="121"/>
      <c r="BW477" s="121"/>
      <c r="BX477" s="121"/>
      <c r="BY477" s="121"/>
      <c r="BZ477" s="121"/>
      <c r="CA477" s="121"/>
      <c r="CB477" s="121"/>
      <c r="CC477" s="121"/>
      <c r="CD477" s="121"/>
      <c r="CE477" s="121"/>
      <c r="CF477" s="121"/>
      <c r="CG477" s="121"/>
      <c r="CH477" s="121"/>
      <c r="CI477" s="121"/>
      <c r="CJ477" s="121"/>
      <c r="CK477" s="121"/>
      <c r="CL477" s="121"/>
      <c r="CM477" s="121"/>
      <c r="CN477" s="121"/>
      <c r="CO477" s="121"/>
      <c r="CP477" s="121"/>
      <c r="CQ477" s="121"/>
      <c r="CR477" s="121"/>
      <c r="CS477" s="121"/>
      <c r="CT477" s="121"/>
      <c r="CU477" s="121"/>
      <c r="CV477" s="121"/>
      <c r="CW477" s="121"/>
      <c r="CX477" s="121"/>
      <c r="CY477" s="121"/>
      <c r="CZ477" s="121"/>
      <c r="DA477" s="121"/>
      <c r="DB477" s="121"/>
      <c r="DC477" s="121"/>
      <c r="DD477" s="121"/>
      <c r="DE477" s="121"/>
      <c r="DF477" s="121"/>
      <c r="DG477" s="121"/>
      <c r="DH477" s="121"/>
      <c r="DI477" s="121"/>
      <c r="DJ477" s="121"/>
      <c r="DK477" s="121"/>
      <c r="DL477" s="121"/>
      <c r="DM477" s="121"/>
      <c r="DN477" s="121"/>
      <c r="DO477" s="121"/>
      <c r="DP477" s="121"/>
      <c r="DQ477" s="121"/>
      <c r="DR477" s="121"/>
      <c r="DS477" s="121"/>
      <c r="DT477" s="240"/>
      <c r="DU477" s="240"/>
      <c r="DV477" s="240"/>
      <c r="DW477" s="240"/>
      <c r="DX477" s="240"/>
      <c r="DY477" s="240"/>
      <c r="DZ477" s="240"/>
      <c r="EA477" s="240"/>
      <c r="EB477" s="237">
        <f t="shared" si="56"/>
        <v>0</v>
      </c>
      <c r="EC477" s="237">
        <f t="shared" si="57"/>
        <v>0</v>
      </c>
      <c r="ED477" s="237">
        <f t="shared" si="58"/>
        <v>0</v>
      </c>
      <c r="EE477" s="237">
        <f t="shared" si="59"/>
        <v>0</v>
      </c>
      <c r="EF477" s="121"/>
      <c r="EG477" s="238">
        <f t="shared" si="60"/>
        <v>0</v>
      </c>
      <c r="EH477" s="121"/>
      <c r="EI477" s="237">
        <f t="shared" si="61"/>
        <v>0</v>
      </c>
      <c r="EJ477" s="121"/>
      <c r="EK477" s="237">
        <f t="shared" si="62"/>
        <v>0</v>
      </c>
      <c r="EL477" s="237"/>
      <c r="EM477" s="5"/>
      <c r="EN477" s="5"/>
      <c r="EO477" s="5"/>
      <c r="EP477" s="5"/>
      <c r="EQ477" s="237">
        <f t="shared" si="63"/>
        <v>0</v>
      </c>
      <c r="ER477" s="239">
        <v>23300</v>
      </c>
      <c r="ES477" s="5">
        <v>7.5</v>
      </c>
    </row>
    <row r="478" spans="1:149" x14ac:dyDescent="0.3">
      <c r="A478" s="124"/>
      <c r="B478" s="121"/>
      <c r="C478" s="121"/>
      <c r="D478" s="121"/>
      <c r="E478" s="121"/>
      <c r="F478" s="121"/>
      <c r="G478" s="121"/>
      <c r="H478" s="121"/>
      <c r="I478" s="121"/>
      <c r="J478" s="121"/>
      <c r="K478" s="121"/>
      <c r="L478" s="121"/>
      <c r="M478" s="121"/>
      <c r="N478" s="121"/>
      <c r="O478" s="235"/>
      <c r="P478" s="121"/>
      <c r="Q478" s="121"/>
      <c r="R478" s="121"/>
      <c r="S478" s="121"/>
      <c r="T478" s="121"/>
      <c r="U478" s="121"/>
      <c r="V478" s="121"/>
      <c r="W478" s="121"/>
      <c r="X478" s="117"/>
      <c r="Y478" s="117"/>
      <c r="Z478" s="121"/>
      <c r="AA478" s="121"/>
      <c r="AB478" s="121"/>
      <c r="AC478" s="121"/>
      <c r="AD478" s="121"/>
      <c r="AE478" s="121"/>
      <c r="AF478" s="121"/>
      <c r="AG478" s="121"/>
      <c r="AH478" s="121"/>
      <c r="AI478" s="121"/>
      <c r="AJ478" s="121"/>
      <c r="AK478" s="121"/>
      <c r="AL478" s="121"/>
      <c r="AM478" s="121"/>
      <c r="AN478" s="121"/>
      <c r="AO478" s="121"/>
      <c r="AP478" s="121"/>
      <c r="AQ478" s="121"/>
      <c r="AR478" s="121"/>
      <c r="AS478" s="121"/>
      <c r="AT478" s="121"/>
      <c r="AU478" s="121"/>
      <c r="AV478" s="121"/>
      <c r="AW478" s="121"/>
      <c r="AX478" s="121"/>
      <c r="AY478" s="121"/>
      <c r="AZ478" s="121"/>
      <c r="BA478" s="121"/>
      <c r="BB478" s="121"/>
      <c r="BC478" s="121"/>
      <c r="BD478" s="121"/>
      <c r="BE478" s="121"/>
      <c r="BF478" s="121"/>
      <c r="BG478" s="121"/>
      <c r="BH478" s="121"/>
      <c r="BI478" s="121"/>
      <c r="BJ478" s="121"/>
      <c r="BK478" s="121"/>
      <c r="BL478" s="121"/>
      <c r="BM478" s="121"/>
      <c r="BN478" s="121"/>
      <c r="BO478" s="121"/>
      <c r="BP478" s="121"/>
      <c r="BQ478" s="121"/>
      <c r="BR478" s="121"/>
      <c r="BS478" s="121"/>
      <c r="BT478" s="121"/>
      <c r="BU478" s="121"/>
      <c r="BV478" s="121"/>
      <c r="BW478" s="121"/>
      <c r="BX478" s="121"/>
      <c r="BY478" s="121"/>
      <c r="BZ478" s="121"/>
      <c r="CA478" s="121"/>
      <c r="CB478" s="121"/>
      <c r="CC478" s="121"/>
      <c r="CD478" s="121"/>
      <c r="CE478" s="121"/>
      <c r="CF478" s="121"/>
      <c r="CG478" s="121"/>
      <c r="CH478" s="121"/>
      <c r="CI478" s="121"/>
      <c r="CJ478" s="121"/>
      <c r="CK478" s="121"/>
      <c r="CL478" s="121"/>
      <c r="CM478" s="121"/>
      <c r="CN478" s="121"/>
      <c r="CO478" s="121"/>
      <c r="CP478" s="121"/>
      <c r="CQ478" s="121"/>
      <c r="CR478" s="121"/>
      <c r="CS478" s="121"/>
      <c r="CT478" s="121"/>
      <c r="CU478" s="121"/>
      <c r="CV478" s="121"/>
      <c r="CW478" s="121"/>
      <c r="CX478" s="121"/>
      <c r="CY478" s="121"/>
      <c r="CZ478" s="121"/>
      <c r="DA478" s="121"/>
      <c r="DB478" s="121"/>
      <c r="DC478" s="121"/>
      <c r="DD478" s="121"/>
      <c r="DE478" s="121"/>
      <c r="DF478" s="121"/>
      <c r="DG478" s="121"/>
      <c r="DH478" s="121"/>
      <c r="DI478" s="121"/>
      <c r="DJ478" s="121"/>
      <c r="DK478" s="121"/>
      <c r="DL478" s="121"/>
      <c r="DM478" s="121"/>
      <c r="DN478" s="121"/>
      <c r="DO478" s="121"/>
      <c r="DP478" s="121"/>
      <c r="DQ478" s="121"/>
      <c r="DR478" s="121"/>
      <c r="DS478" s="121"/>
      <c r="DT478" s="240"/>
      <c r="DU478" s="240"/>
      <c r="DV478" s="240"/>
      <c r="DW478" s="240"/>
      <c r="DX478" s="240"/>
      <c r="DY478" s="240"/>
      <c r="DZ478" s="240"/>
      <c r="EA478" s="240"/>
      <c r="EB478" s="237">
        <f t="shared" si="56"/>
        <v>0</v>
      </c>
      <c r="EC478" s="237">
        <f t="shared" si="57"/>
        <v>0</v>
      </c>
      <c r="ED478" s="237">
        <f t="shared" si="58"/>
        <v>0</v>
      </c>
      <c r="EE478" s="237">
        <f t="shared" si="59"/>
        <v>0</v>
      </c>
      <c r="EF478" s="121"/>
      <c r="EG478" s="238">
        <f t="shared" si="60"/>
        <v>0</v>
      </c>
      <c r="EH478" s="121"/>
      <c r="EI478" s="237">
        <f t="shared" si="61"/>
        <v>0</v>
      </c>
      <c r="EJ478" s="121"/>
      <c r="EK478" s="237">
        <f t="shared" si="62"/>
        <v>0</v>
      </c>
      <c r="EL478" s="237"/>
      <c r="EM478" s="5"/>
      <c r="EN478" s="5"/>
      <c r="EO478" s="5"/>
      <c r="EP478" s="5"/>
      <c r="EQ478" s="237">
        <f t="shared" si="63"/>
        <v>0</v>
      </c>
      <c r="ER478" s="239">
        <v>23300</v>
      </c>
      <c r="ES478" s="5">
        <v>7.5</v>
      </c>
    </row>
    <row r="479" spans="1:149" x14ac:dyDescent="0.3">
      <c r="A479" s="124"/>
      <c r="B479" s="121"/>
      <c r="C479" s="121"/>
      <c r="D479" s="121"/>
      <c r="E479" s="121"/>
      <c r="F479" s="121"/>
      <c r="G479" s="121"/>
      <c r="H479" s="121"/>
      <c r="I479" s="121"/>
      <c r="J479" s="121"/>
      <c r="K479" s="121"/>
      <c r="L479" s="121"/>
      <c r="M479" s="121"/>
      <c r="N479" s="121"/>
      <c r="O479" s="235"/>
      <c r="P479" s="121"/>
      <c r="Q479" s="121"/>
      <c r="R479" s="121"/>
      <c r="S479" s="121"/>
      <c r="T479" s="121"/>
      <c r="U479" s="121"/>
      <c r="V479" s="121"/>
      <c r="W479" s="121"/>
      <c r="X479" s="117"/>
      <c r="Y479" s="117"/>
      <c r="Z479" s="121"/>
      <c r="AA479" s="121"/>
      <c r="AB479" s="121"/>
      <c r="AC479" s="121"/>
      <c r="AD479" s="121"/>
      <c r="AE479" s="121"/>
      <c r="AF479" s="121"/>
      <c r="AG479" s="121"/>
      <c r="AH479" s="121"/>
      <c r="AI479" s="121"/>
      <c r="AJ479" s="121"/>
      <c r="AK479" s="121"/>
      <c r="AL479" s="121"/>
      <c r="AM479" s="121"/>
      <c r="AN479" s="121"/>
      <c r="AO479" s="121"/>
      <c r="AP479" s="121"/>
      <c r="AQ479" s="121"/>
      <c r="AR479" s="121"/>
      <c r="AS479" s="121"/>
      <c r="AT479" s="121"/>
      <c r="AU479" s="121"/>
      <c r="AV479" s="121"/>
      <c r="AW479" s="121"/>
      <c r="AX479" s="121"/>
      <c r="AY479" s="121"/>
      <c r="AZ479" s="121"/>
      <c r="BA479" s="121"/>
      <c r="BB479" s="121"/>
      <c r="BC479" s="121"/>
      <c r="BD479" s="121"/>
      <c r="BE479" s="121"/>
      <c r="BF479" s="121"/>
      <c r="BG479" s="121"/>
      <c r="BH479" s="121"/>
      <c r="BI479" s="121"/>
      <c r="BJ479" s="121"/>
      <c r="BK479" s="121"/>
      <c r="BL479" s="121"/>
      <c r="BM479" s="121"/>
      <c r="BN479" s="121"/>
      <c r="BO479" s="121"/>
      <c r="BP479" s="121"/>
      <c r="BQ479" s="121"/>
      <c r="BR479" s="121"/>
      <c r="BS479" s="121"/>
      <c r="BT479" s="121"/>
      <c r="BU479" s="121"/>
      <c r="BV479" s="121"/>
      <c r="BW479" s="121"/>
      <c r="BX479" s="121"/>
      <c r="BY479" s="121"/>
      <c r="BZ479" s="121"/>
      <c r="CA479" s="121"/>
      <c r="CB479" s="121"/>
      <c r="CC479" s="121"/>
      <c r="CD479" s="121"/>
      <c r="CE479" s="121"/>
      <c r="CF479" s="121"/>
      <c r="CG479" s="121"/>
      <c r="CH479" s="121"/>
      <c r="CI479" s="121"/>
      <c r="CJ479" s="121"/>
      <c r="CK479" s="121"/>
      <c r="CL479" s="121"/>
      <c r="CM479" s="121"/>
      <c r="CN479" s="121"/>
      <c r="CO479" s="121"/>
      <c r="CP479" s="121"/>
      <c r="CQ479" s="121"/>
      <c r="CR479" s="121"/>
      <c r="CS479" s="121"/>
      <c r="CT479" s="121"/>
      <c r="CU479" s="121"/>
      <c r="CV479" s="121"/>
      <c r="CW479" s="121"/>
      <c r="CX479" s="121"/>
      <c r="CY479" s="121"/>
      <c r="CZ479" s="121"/>
      <c r="DA479" s="121"/>
      <c r="DB479" s="121"/>
      <c r="DC479" s="121"/>
      <c r="DD479" s="121"/>
      <c r="DE479" s="121"/>
      <c r="DF479" s="121"/>
      <c r="DG479" s="121"/>
      <c r="DH479" s="121"/>
      <c r="DI479" s="121"/>
      <c r="DJ479" s="121"/>
      <c r="DK479" s="121"/>
      <c r="DL479" s="121"/>
      <c r="DM479" s="121"/>
      <c r="DN479" s="121"/>
      <c r="DO479" s="121"/>
      <c r="DP479" s="121"/>
      <c r="DQ479" s="121"/>
      <c r="DR479" s="121"/>
      <c r="DS479" s="121"/>
      <c r="DT479" s="240"/>
      <c r="DU479" s="240"/>
      <c r="DV479" s="240"/>
      <c r="DW479" s="240"/>
      <c r="DX479" s="240"/>
      <c r="DY479" s="240"/>
      <c r="DZ479" s="240"/>
      <c r="EA479" s="240"/>
      <c r="EB479" s="237">
        <f t="shared" si="56"/>
        <v>0</v>
      </c>
      <c r="EC479" s="237">
        <f t="shared" si="57"/>
        <v>0</v>
      </c>
      <c r="ED479" s="237">
        <f t="shared" si="58"/>
        <v>0</v>
      </c>
      <c r="EE479" s="237">
        <f t="shared" si="59"/>
        <v>0</v>
      </c>
      <c r="EF479" s="121"/>
      <c r="EG479" s="238">
        <f t="shared" si="60"/>
        <v>0</v>
      </c>
      <c r="EH479" s="121"/>
      <c r="EI479" s="237">
        <f t="shared" si="61"/>
        <v>0</v>
      </c>
      <c r="EJ479" s="121"/>
      <c r="EK479" s="237">
        <f t="shared" si="62"/>
        <v>0</v>
      </c>
      <c r="EL479" s="237"/>
      <c r="EM479" s="5"/>
      <c r="EN479" s="5"/>
      <c r="EO479" s="5"/>
      <c r="EP479" s="5"/>
      <c r="EQ479" s="237">
        <f t="shared" si="63"/>
        <v>0</v>
      </c>
      <c r="ER479" s="239">
        <v>23300</v>
      </c>
      <c r="ES479" s="5">
        <v>7.5</v>
      </c>
    </row>
    <row r="480" spans="1:149" x14ac:dyDescent="0.3">
      <c r="A480" s="124"/>
      <c r="B480" s="121"/>
      <c r="C480" s="121"/>
      <c r="D480" s="121"/>
      <c r="E480" s="121"/>
      <c r="F480" s="121"/>
      <c r="G480" s="121"/>
      <c r="H480" s="121"/>
      <c r="I480" s="121"/>
      <c r="J480" s="121"/>
      <c r="K480" s="121"/>
      <c r="L480" s="121"/>
      <c r="M480" s="121"/>
      <c r="N480" s="121"/>
      <c r="O480" s="235"/>
      <c r="P480" s="121"/>
      <c r="Q480" s="121"/>
      <c r="R480" s="121"/>
      <c r="S480" s="121"/>
      <c r="T480" s="121"/>
      <c r="U480" s="121"/>
      <c r="V480" s="121"/>
      <c r="W480" s="121"/>
      <c r="X480" s="117"/>
      <c r="Y480" s="117"/>
      <c r="Z480" s="121"/>
      <c r="AA480" s="121"/>
      <c r="AB480" s="121"/>
      <c r="AC480" s="121"/>
      <c r="AD480" s="121"/>
      <c r="AE480" s="121"/>
      <c r="AF480" s="121"/>
      <c r="AG480" s="121"/>
      <c r="AH480" s="121"/>
      <c r="AI480" s="121"/>
      <c r="AJ480" s="121"/>
      <c r="AK480" s="121"/>
      <c r="AL480" s="121"/>
      <c r="AM480" s="121"/>
      <c r="AN480" s="121"/>
      <c r="AO480" s="121"/>
      <c r="AP480" s="121"/>
      <c r="AQ480" s="121"/>
      <c r="AR480" s="121"/>
      <c r="AS480" s="121"/>
      <c r="AT480" s="121"/>
      <c r="AU480" s="121"/>
      <c r="AV480" s="121"/>
      <c r="AW480" s="121"/>
      <c r="AX480" s="121"/>
      <c r="AY480" s="121"/>
      <c r="AZ480" s="121"/>
      <c r="BA480" s="121"/>
      <c r="BB480" s="121"/>
      <c r="BC480" s="121"/>
      <c r="BD480" s="121"/>
      <c r="BE480" s="121"/>
      <c r="BF480" s="121"/>
      <c r="BG480" s="121"/>
      <c r="BH480" s="121"/>
      <c r="BI480" s="121"/>
      <c r="BJ480" s="121"/>
      <c r="BK480" s="121"/>
      <c r="BL480" s="121"/>
      <c r="BM480" s="121"/>
      <c r="BN480" s="121"/>
      <c r="BO480" s="121"/>
      <c r="BP480" s="121"/>
      <c r="BQ480" s="121"/>
      <c r="BR480" s="121"/>
      <c r="BS480" s="121"/>
      <c r="BT480" s="121"/>
      <c r="BU480" s="121"/>
      <c r="BV480" s="121"/>
      <c r="BW480" s="121"/>
      <c r="BX480" s="121"/>
      <c r="BY480" s="121"/>
      <c r="BZ480" s="121"/>
      <c r="CA480" s="121"/>
      <c r="CB480" s="121"/>
      <c r="CC480" s="121"/>
      <c r="CD480" s="121"/>
      <c r="CE480" s="121"/>
      <c r="CF480" s="121"/>
      <c r="CG480" s="121"/>
      <c r="CH480" s="121"/>
      <c r="CI480" s="121"/>
      <c r="CJ480" s="121"/>
      <c r="CK480" s="121"/>
      <c r="CL480" s="121"/>
      <c r="CM480" s="121"/>
      <c r="CN480" s="121"/>
      <c r="CO480" s="121"/>
      <c r="CP480" s="121"/>
      <c r="CQ480" s="121"/>
      <c r="CR480" s="121"/>
      <c r="CS480" s="121"/>
      <c r="CT480" s="121"/>
      <c r="CU480" s="121"/>
      <c r="CV480" s="121"/>
      <c r="CW480" s="121"/>
      <c r="CX480" s="121"/>
      <c r="CY480" s="121"/>
      <c r="CZ480" s="121"/>
      <c r="DA480" s="121"/>
      <c r="DB480" s="121"/>
      <c r="DC480" s="121"/>
      <c r="DD480" s="121"/>
      <c r="DE480" s="121"/>
      <c r="DF480" s="121"/>
      <c r="DG480" s="121"/>
      <c r="DH480" s="121"/>
      <c r="DI480" s="121"/>
      <c r="DJ480" s="121"/>
      <c r="DK480" s="121"/>
      <c r="DL480" s="121"/>
      <c r="DM480" s="121"/>
      <c r="DN480" s="121"/>
      <c r="DO480" s="121"/>
      <c r="DP480" s="121"/>
      <c r="DQ480" s="121"/>
      <c r="DR480" s="121"/>
      <c r="DS480" s="121"/>
      <c r="DT480" s="240"/>
      <c r="DU480" s="240"/>
      <c r="DV480" s="240"/>
      <c r="DW480" s="240"/>
      <c r="DX480" s="240"/>
      <c r="DY480" s="240"/>
      <c r="DZ480" s="240"/>
      <c r="EA480" s="240"/>
      <c r="EB480" s="237">
        <f t="shared" si="56"/>
        <v>0</v>
      </c>
      <c r="EC480" s="237">
        <f t="shared" si="57"/>
        <v>0</v>
      </c>
      <c r="ED480" s="237">
        <f t="shared" si="58"/>
        <v>0</v>
      </c>
      <c r="EE480" s="237">
        <f t="shared" si="59"/>
        <v>0</v>
      </c>
      <c r="EF480" s="121"/>
      <c r="EG480" s="238">
        <f t="shared" si="60"/>
        <v>0</v>
      </c>
      <c r="EH480" s="121"/>
      <c r="EI480" s="237">
        <f t="shared" si="61"/>
        <v>0</v>
      </c>
      <c r="EJ480" s="121"/>
      <c r="EK480" s="237">
        <f t="shared" si="62"/>
        <v>0</v>
      </c>
      <c r="EL480" s="237"/>
      <c r="EM480" s="5"/>
      <c r="EN480" s="5"/>
      <c r="EO480" s="5"/>
      <c r="EP480" s="5"/>
      <c r="EQ480" s="237">
        <f t="shared" si="63"/>
        <v>0</v>
      </c>
      <c r="ER480" s="239">
        <v>23300</v>
      </c>
      <c r="ES480" s="5">
        <v>7.5</v>
      </c>
    </row>
    <row r="481" spans="1:149" x14ac:dyDescent="0.3">
      <c r="A481" s="124"/>
      <c r="B481" s="121"/>
      <c r="C481" s="121"/>
      <c r="D481" s="121"/>
      <c r="E481" s="121"/>
      <c r="F481" s="121"/>
      <c r="G481" s="121"/>
      <c r="H481" s="121"/>
      <c r="I481" s="121"/>
      <c r="J481" s="121"/>
      <c r="K481" s="121"/>
      <c r="L481" s="121"/>
      <c r="M481" s="121"/>
      <c r="N481" s="121"/>
      <c r="O481" s="235"/>
      <c r="P481" s="121"/>
      <c r="Q481" s="121"/>
      <c r="R481" s="121"/>
      <c r="S481" s="121"/>
      <c r="T481" s="121"/>
      <c r="U481" s="121"/>
      <c r="V481" s="121"/>
      <c r="W481" s="121"/>
      <c r="X481" s="117"/>
      <c r="Y481" s="117"/>
      <c r="Z481" s="121"/>
      <c r="AA481" s="121"/>
      <c r="AB481" s="121"/>
      <c r="AC481" s="121"/>
      <c r="AD481" s="121"/>
      <c r="AE481" s="121"/>
      <c r="AF481" s="121"/>
      <c r="AG481" s="121"/>
      <c r="AH481" s="121"/>
      <c r="AI481" s="121"/>
      <c r="AJ481" s="121"/>
      <c r="AK481" s="121"/>
      <c r="AL481" s="121"/>
      <c r="AM481" s="121"/>
      <c r="AN481" s="121"/>
      <c r="AO481" s="121"/>
      <c r="AP481" s="121"/>
      <c r="AQ481" s="121"/>
      <c r="AR481" s="121"/>
      <c r="AS481" s="121"/>
      <c r="AT481" s="121"/>
      <c r="AU481" s="121"/>
      <c r="AV481" s="121"/>
      <c r="AW481" s="121"/>
      <c r="AX481" s="121"/>
      <c r="AY481" s="121"/>
      <c r="AZ481" s="121"/>
      <c r="BA481" s="121"/>
      <c r="BB481" s="121"/>
      <c r="BC481" s="121"/>
      <c r="BD481" s="121"/>
      <c r="BE481" s="121"/>
      <c r="BF481" s="121"/>
      <c r="BG481" s="121"/>
      <c r="BH481" s="121"/>
      <c r="BI481" s="121"/>
      <c r="BJ481" s="121"/>
      <c r="BK481" s="121"/>
      <c r="BL481" s="121"/>
      <c r="BM481" s="121"/>
      <c r="BN481" s="121"/>
      <c r="BO481" s="121"/>
      <c r="BP481" s="121"/>
      <c r="BQ481" s="121"/>
      <c r="BR481" s="121"/>
      <c r="BS481" s="121"/>
      <c r="BT481" s="121"/>
      <c r="BU481" s="121"/>
      <c r="BV481" s="121"/>
      <c r="BW481" s="121"/>
      <c r="BX481" s="121"/>
      <c r="BY481" s="121"/>
      <c r="BZ481" s="121"/>
      <c r="CA481" s="121"/>
      <c r="CB481" s="121"/>
      <c r="CC481" s="121"/>
      <c r="CD481" s="121"/>
      <c r="CE481" s="121"/>
      <c r="CF481" s="121"/>
      <c r="CG481" s="121"/>
      <c r="CH481" s="121"/>
      <c r="CI481" s="121"/>
      <c r="CJ481" s="121"/>
      <c r="CK481" s="121"/>
      <c r="CL481" s="121"/>
      <c r="CM481" s="121"/>
      <c r="CN481" s="121"/>
      <c r="CO481" s="121"/>
      <c r="CP481" s="121"/>
      <c r="CQ481" s="121"/>
      <c r="CR481" s="121"/>
      <c r="CS481" s="121"/>
      <c r="CT481" s="121"/>
      <c r="CU481" s="121"/>
      <c r="CV481" s="121"/>
      <c r="CW481" s="121"/>
      <c r="CX481" s="121"/>
      <c r="CY481" s="121"/>
      <c r="CZ481" s="121"/>
      <c r="DA481" s="121"/>
      <c r="DB481" s="121"/>
      <c r="DC481" s="121"/>
      <c r="DD481" s="121"/>
      <c r="DE481" s="121"/>
      <c r="DF481" s="121"/>
      <c r="DG481" s="121"/>
      <c r="DH481" s="121"/>
      <c r="DI481" s="121"/>
      <c r="DJ481" s="121"/>
      <c r="DK481" s="121"/>
      <c r="DL481" s="121"/>
      <c r="DM481" s="121"/>
      <c r="DN481" s="121"/>
      <c r="DO481" s="121"/>
      <c r="DP481" s="121"/>
      <c r="DQ481" s="121"/>
      <c r="DR481" s="121"/>
      <c r="DS481" s="121"/>
      <c r="DT481" s="240"/>
      <c r="DU481" s="240"/>
      <c r="DV481" s="240"/>
      <c r="DW481" s="240"/>
      <c r="DX481" s="240"/>
      <c r="DY481" s="240"/>
      <c r="DZ481" s="240"/>
      <c r="EA481" s="240"/>
      <c r="EB481" s="237">
        <f t="shared" si="56"/>
        <v>0</v>
      </c>
      <c r="EC481" s="237">
        <f t="shared" si="57"/>
        <v>0</v>
      </c>
      <c r="ED481" s="237">
        <f t="shared" si="58"/>
        <v>0</v>
      </c>
      <c r="EE481" s="237">
        <f t="shared" si="59"/>
        <v>0</v>
      </c>
      <c r="EF481" s="121"/>
      <c r="EG481" s="238">
        <f t="shared" si="60"/>
        <v>0</v>
      </c>
      <c r="EH481" s="121"/>
      <c r="EI481" s="237">
        <f t="shared" si="61"/>
        <v>0</v>
      </c>
      <c r="EJ481" s="121"/>
      <c r="EK481" s="237">
        <f t="shared" si="62"/>
        <v>0</v>
      </c>
      <c r="EL481" s="237"/>
      <c r="EM481" s="5"/>
      <c r="EN481" s="5"/>
      <c r="EO481" s="5"/>
      <c r="EP481" s="5"/>
      <c r="EQ481" s="237">
        <f t="shared" si="63"/>
        <v>0</v>
      </c>
      <c r="ER481" s="239">
        <v>23300</v>
      </c>
      <c r="ES481" s="5">
        <v>7.5</v>
      </c>
    </row>
    <row r="482" spans="1:149" x14ac:dyDescent="0.3">
      <c r="A482" s="124"/>
      <c r="B482" s="121"/>
      <c r="C482" s="121"/>
      <c r="D482" s="121"/>
      <c r="E482" s="121"/>
      <c r="F482" s="121"/>
      <c r="G482" s="121"/>
      <c r="H482" s="121"/>
      <c r="I482" s="121"/>
      <c r="J482" s="121"/>
      <c r="K482" s="121"/>
      <c r="L482" s="121"/>
      <c r="M482" s="121"/>
      <c r="N482" s="121"/>
      <c r="O482" s="235"/>
      <c r="P482" s="121"/>
      <c r="Q482" s="121"/>
      <c r="R482" s="121"/>
      <c r="S482" s="121"/>
      <c r="T482" s="121"/>
      <c r="U482" s="121"/>
      <c r="V482" s="121"/>
      <c r="W482" s="121"/>
      <c r="X482" s="117"/>
      <c r="Y482" s="117"/>
      <c r="Z482" s="121"/>
      <c r="AA482" s="121"/>
      <c r="AB482" s="121"/>
      <c r="AC482" s="121"/>
      <c r="AD482" s="121"/>
      <c r="AE482" s="121"/>
      <c r="AF482" s="121"/>
      <c r="AG482" s="121"/>
      <c r="AH482" s="121"/>
      <c r="AI482" s="121"/>
      <c r="AJ482" s="121"/>
      <c r="AK482" s="121"/>
      <c r="AL482" s="121"/>
      <c r="AM482" s="121"/>
      <c r="AN482" s="121"/>
      <c r="AO482" s="121"/>
      <c r="AP482" s="121"/>
      <c r="AQ482" s="121"/>
      <c r="AR482" s="121"/>
      <c r="AS482" s="121"/>
      <c r="AT482" s="121"/>
      <c r="AU482" s="121"/>
      <c r="AV482" s="121"/>
      <c r="AW482" s="121"/>
      <c r="AX482" s="121"/>
      <c r="AY482" s="121"/>
      <c r="AZ482" s="121"/>
      <c r="BA482" s="121"/>
      <c r="BB482" s="121"/>
      <c r="BC482" s="121"/>
      <c r="BD482" s="121"/>
      <c r="BE482" s="121"/>
      <c r="BF482" s="121"/>
      <c r="BG482" s="121"/>
      <c r="BH482" s="121"/>
      <c r="BI482" s="121"/>
      <c r="BJ482" s="121"/>
      <c r="BK482" s="121"/>
      <c r="BL482" s="121"/>
      <c r="BM482" s="121"/>
      <c r="BN482" s="121"/>
      <c r="BO482" s="121"/>
      <c r="BP482" s="121"/>
      <c r="BQ482" s="121"/>
      <c r="BR482" s="121"/>
      <c r="BS482" s="121"/>
      <c r="BT482" s="121"/>
      <c r="BU482" s="121"/>
      <c r="BV482" s="121"/>
      <c r="BW482" s="121"/>
      <c r="BX482" s="121"/>
      <c r="BY482" s="121"/>
      <c r="BZ482" s="121"/>
      <c r="CA482" s="121"/>
      <c r="CB482" s="121"/>
      <c r="CC482" s="121"/>
      <c r="CD482" s="121"/>
      <c r="CE482" s="121"/>
      <c r="CF482" s="121"/>
      <c r="CG482" s="121"/>
      <c r="CH482" s="121"/>
      <c r="CI482" s="121"/>
      <c r="CJ482" s="121"/>
      <c r="CK482" s="121"/>
      <c r="CL482" s="121"/>
      <c r="CM482" s="121"/>
      <c r="CN482" s="121"/>
      <c r="CO482" s="121"/>
      <c r="CP482" s="121"/>
      <c r="CQ482" s="121"/>
      <c r="CR482" s="121"/>
      <c r="CS482" s="121"/>
      <c r="CT482" s="121"/>
      <c r="CU482" s="121"/>
      <c r="CV482" s="121"/>
      <c r="CW482" s="121"/>
      <c r="CX482" s="121"/>
      <c r="CY482" s="121"/>
      <c r="CZ482" s="121"/>
      <c r="DA482" s="121"/>
      <c r="DB482" s="121"/>
      <c r="DC482" s="121"/>
      <c r="DD482" s="121"/>
      <c r="DE482" s="121"/>
      <c r="DF482" s="121"/>
      <c r="DG482" s="121"/>
      <c r="DH482" s="121"/>
      <c r="DI482" s="121"/>
      <c r="DJ482" s="121"/>
      <c r="DK482" s="121"/>
      <c r="DL482" s="121"/>
      <c r="DM482" s="121"/>
      <c r="DN482" s="121"/>
      <c r="DO482" s="121"/>
      <c r="DP482" s="121"/>
      <c r="DQ482" s="121"/>
      <c r="DR482" s="121"/>
      <c r="DS482" s="121"/>
      <c r="DT482" s="240"/>
      <c r="DU482" s="240"/>
      <c r="DV482" s="240"/>
      <c r="DW482" s="240"/>
      <c r="DX482" s="240"/>
      <c r="DY482" s="240"/>
      <c r="DZ482" s="240"/>
      <c r="EA482" s="240"/>
      <c r="EB482" s="237">
        <f t="shared" si="56"/>
        <v>0</v>
      </c>
      <c r="EC482" s="237">
        <f t="shared" si="57"/>
        <v>0</v>
      </c>
      <c r="ED482" s="237">
        <f t="shared" si="58"/>
        <v>0</v>
      </c>
      <c r="EE482" s="237">
        <f t="shared" si="59"/>
        <v>0</v>
      </c>
      <c r="EF482" s="121"/>
      <c r="EG482" s="238">
        <f t="shared" si="60"/>
        <v>0</v>
      </c>
      <c r="EH482" s="121"/>
      <c r="EI482" s="237">
        <f t="shared" si="61"/>
        <v>0</v>
      </c>
      <c r="EJ482" s="121"/>
      <c r="EK482" s="237">
        <f t="shared" si="62"/>
        <v>0</v>
      </c>
      <c r="EL482" s="237"/>
      <c r="EM482" s="5"/>
      <c r="EN482" s="5"/>
      <c r="EO482" s="5"/>
      <c r="EP482" s="5"/>
      <c r="EQ482" s="237">
        <f t="shared" si="63"/>
        <v>0</v>
      </c>
      <c r="ER482" s="239">
        <v>23300</v>
      </c>
      <c r="ES482" s="5">
        <v>7.5</v>
      </c>
    </row>
    <row r="483" spans="1:149" x14ac:dyDescent="0.3">
      <c r="A483" s="124"/>
      <c r="B483" s="121"/>
      <c r="C483" s="121"/>
      <c r="D483" s="121"/>
      <c r="E483" s="121"/>
      <c r="F483" s="121"/>
      <c r="G483" s="121"/>
      <c r="H483" s="121"/>
      <c r="I483" s="121"/>
      <c r="J483" s="121"/>
      <c r="K483" s="121"/>
      <c r="L483" s="121"/>
      <c r="M483" s="121"/>
      <c r="N483" s="121"/>
      <c r="O483" s="235"/>
      <c r="P483" s="121"/>
      <c r="Q483" s="121"/>
      <c r="R483" s="121"/>
      <c r="S483" s="121"/>
      <c r="T483" s="121"/>
      <c r="U483" s="121"/>
      <c r="V483" s="121"/>
      <c r="W483" s="121"/>
      <c r="X483" s="117"/>
      <c r="Y483" s="117"/>
      <c r="Z483" s="121"/>
      <c r="AA483" s="121"/>
      <c r="AB483" s="121"/>
      <c r="AC483" s="121"/>
      <c r="AD483" s="121"/>
      <c r="AE483" s="121"/>
      <c r="AF483" s="121"/>
      <c r="AG483" s="121"/>
      <c r="AH483" s="121"/>
      <c r="AI483" s="121"/>
      <c r="AJ483" s="121"/>
      <c r="AK483" s="121"/>
      <c r="AL483" s="121"/>
      <c r="AM483" s="121"/>
      <c r="AN483" s="121"/>
      <c r="AO483" s="121"/>
      <c r="AP483" s="121"/>
      <c r="AQ483" s="121"/>
      <c r="AR483" s="121"/>
      <c r="AS483" s="121"/>
      <c r="AT483" s="121"/>
      <c r="AU483" s="121"/>
      <c r="AV483" s="121"/>
      <c r="AW483" s="121"/>
      <c r="AX483" s="121"/>
      <c r="AY483" s="121"/>
      <c r="AZ483" s="121"/>
      <c r="BA483" s="121"/>
      <c r="BB483" s="121"/>
      <c r="BC483" s="121"/>
      <c r="BD483" s="121"/>
      <c r="BE483" s="121"/>
      <c r="BF483" s="121"/>
      <c r="BG483" s="121"/>
      <c r="BH483" s="121"/>
      <c r="BI483" s="121"/>
      <c r="BJ483" s="121"/>
      <c r="BK483" s="121"/>
      <c r="BL483" s="121"/>
      <c r="BM483" s="121"/>
      <c r="BN483" s="121"/>
      <c r="BO483" s="121"/>
      <c r="BP483" s="121"/>
      <c r="BQ483" s="121"/>
      <c r="BR483" s="121"/>
      <c r="BS483" s="121"/>
      <c r="BT483" s="121"/>
      <c r="BU483" s="121"/>
      <c r="BV483" s="121"/>
      <c r="BW483" s="121"/>
      <c r="BX483" s="121"/>
      <c r="BY483" s="121"/>
      <c r="BZ483" s="121"/>
      <c r="CA483" s="121"/>
      <c r="CB483" s="121"/>
      <c r="CC483" s="121"/>
      <c r="CD483" s="121"/>
      <c r="CE483" s="121"/>
      <c r="CF483" s="121"/>
      <c r="CG483" s="121"/>
      <c r="CH483" s="121"/>
      <c r="CI483" s="121"/>
      <c r="CJ483" s="121"/>
      <c r="CK483" s="121"/>
      <c r="CL483" s="121"/>
      <c r="CM483" s="121"/>
      <c r="CN483" s="121"/>
      <c r="CO483" s="121"/>
      <c r="CP483" s="121"/>
      <c r="CQ483" s="121"/>
      <c r="CR483" s="121"/>
      <c r="CS483" s="121"/>
      <c r="CT483" s="121"/>
      <c r="CU483" s="121"/>
      <c r="CV483" s="121"/>
      <c r="CW483" s="121"/>
      <c r="CX483" s="121"/>
      <c r="CY483" s="121"/>
      <c r="CZ483" s="121"/>
      <c r="DA483" s="121"/>
      <c r="DB483" s="121"/>
      <c r="DC483" s="121"/>
      <c r="DD483" s="121"/>
      <c r="DE483" s="121"/>
      <c r="DF483" s="121"/>
      <c r="DG483" s="121"/>
      <c r="DH483" s="121"/>
      <c r="DI483" s="121"/>
      <c r="DJ483" s="121"/>
      <c r="DK483" s="121"/>
      <c r="DL483" s="121"/>
      <c r="DM483" s="121"/>
      <c r="DN483" s="121"/>
      <c r="DO483" s="121"/>
      <c r="DP483" s="121"/>
      <c r="DQ483" s="121"/>
      <c r="DR483" s="121"/>
      <c r="DS483" s="121"/>
      <c r="DT483" s="240"/>
      <c r="DU483" s="240"/>
      <c r="DV483" s="240"/>
      <c r="DW483" s="240"/>
      <c r="DX483" s="240"/>
      <c r="DY483" s="240"/>
      <c r="DZ483" s="240"/>
      <c r="EA483" s="240"/>
      <c r="EB483" s="237">
        <f t="shared" si="56"/>
        <v>0</v>
      </c>
      <c r="EC483" s="237">
        <f t="shared" si="57"/>
        <v>0</v>
      </c>
      <c r="ED483" s="237">
        <f t="shared" si="58"/>
        <v>0</v>
      </c>
      <c r="EE483" s="237">
        <f t="shared" si="59"/>
        <v>0</v>
      </c>
      <c r="EF483" s="121"/>
      <c r="EG483" s="238">
        <f t="shared" si="60"/>
        <v>0</v>
      </c>
      <c r="EH483" s="121"/>
      <c r="EI483" s="237">
        <f t="shared" si="61"/>
        <v>0</v>
      </c>
      <c r="EJ483" s="121"/>
      <c r="EK483" s="237">
        <f t="shared" si="62"/>
        <v>0</v>
      </c>
      <c r="EL483" s="237"/>
      <c r="EM483" s="5"/>
      <c r="EN483" s="5"/>
      <c r="EO483" s="5"/>
      <c r="EP483" s="5"/>
      <c r="EQ483" s="237">
        <f t="shared" si="63"/>
        <v>0</v>
      </c>
      <c r="ER483" s="239">
        <v>23300</v>
      </c>
      <c r="ES483" s="5">
        <v>7.5</v>
      </c>
    </row>
    <row r="484" spans="1:149" x14ac:dyDescent="0.3">
      <c r="A484" s="124"/>
      <c r="B484" s="121"/>
      <c r="C484" s="121"/>
      <c r="D484" s="121"/>
      <c r="E484" s="121"/>
      <c r="F484" s="121"/>
      <c r="G484" s="121"/>
      <c r="H484" s="121"/>
      <c r="I484" s="121"/>
      <c r="J484" s="121"/>
      <c r="K484" s="121"/>
      <c r="L484" s="121"/>
      <c r="M484" s="121"/>
      <c r="N484" s="121"/>
      <c r="O484" s="235"/>
      <c r="P484" s="121"/>
      <c r="Q484" s="121"/>
      <c r="R484" s="121"/>
      <c r="S484" s="121"/>
      <c r="T484" s="121"/>
      <c r="U484" s="121"/>
      <c r="V484" s="121"/>
      <c r="W484" s="121"/>
      <c r="X484" s="117"/>
      <c r="Y484" s="117"/>
      <c r="Z484" s="121"/>
      <c r="AA484" s="121"/>
      <c r="AB484" s="121"/>
      <c r="AC484" s="121"/>
      <c r="AD484" s="121"/>
      <c r="AE484" s="121"/>
      <c r="AF484" s="121"/>
      <c r="AG484" s="121"/>
      <c r="AH484" s="121"/>
      <c r="AI484" s="121"/>
      <c r="AJ484" s="121"/>
      <c r="AK484" s="121"/>
      <c r="AL484" s="121"/>
      <c r="AM484" s="121"/>
      <c r="AN484" s="121"/>
      <c r="AO484" s="121"/>
      <c r="AP484" s="121"/>
      <c r="AQ484" s="121"/>
      <c r="AR484" s="121"/>
      <c r="AS484" s="121"/>
      <c r="AT484" s="121"/>
      <c r="AU484" s="121"/>
      <c r="AV484" s="121"/>
      <c r="AW484" s="121"/>
      <c r="AX484" s="121"/>
      <c r="AY484" s="121"/>
      <c r="AZ484" s="121"/>
      <c r="BA484" s="121"/>
      <c r="BB484" s="121"/>
      <c r="BC484" s="121"/>
      <c r="BD484" s="121"/>
      <c r="BE484" s="121"/>
      <c r="BF484" s="121"/>
      <c r="BG484" s="121"/>
      <c r="BH484" s="121"/>
      <c r="BI484" s="121"/>
      <c r="BJ484" s="121"/>
      <c r="BK484" s="121"/>
      <c r="BL484" s="121"/>
      <c r="BM484" s="121"/>
      <c r="BN484" s="121"/>
      <c r="BO484" s="121"/>
      <c r="BP484" s="121"/>
      <c r="BQ484" s="121"/>
      <c r="BR484" s="121"/>
      <c r="BS484" s="121"/>
      <c r="BT484" s="121"/>
      <c r="BU484" s="121"/>
      <c r="BV484" s="121"/>
      <c r="BW484" s="121"/>
      <c r="BX484" s="121"/>
      <c r="BY484" s="121"/>
      <c r="BZ484" s="121"/>
      <c r="CA484" s="121"/>
      <c r="CB484" s="121"/>
      <c r="CC484" s="121"/>
      <c r="CD484" s="121"/>
      <c r="CE484" s="121"/>
      <c r="CF484" s="121"/>
      <c r="CG484" s="121"/>
      <c r="CH484" s="121"/>
      <c r="CI484" s="121"/>
      <c r="CJ484" s="121"/>
      <c r="CK484" s="121"/>
      <c r="CL484" s="121"/>
      <c r="CM484" s="121"/>
      <c r="CN484" s="121"/>
      <c r="CO484" s="121"/>
      <c r="CP484" s="121"/>
      <c r="CQ484" s="121"/>
      <c r="CR484" s="121"/>
      <c r="CS484" s="121"/>
      <c r="CT484" s="121"/>
      <c r="CU484" s="121"/>
      <c r="CV484" s="121"/>
      <c r="CW484" s="121"/>
      <c r="CX484" s="121"/>
      <c r="CY484" s="121"/>
      <c r="CZ484" s="121"/>
      <c r="DA484" s="121"/>
      <c r="DB484" s="121"/>
      <c r="DC484" s="121"/>
      <c r="DD484" s="121"/>
      <c r="DE484" s="121"/>
      <c r="DF484" s="121"/>
      <c r="DG484" s="121"/>
      <c r="DH484" s="121"/>
      <c r="DI484" s="121"/>
      <c r="DJ484" s="121"/>
      <c r="DK484" s="121"/>
      <c r="DL484" s="121"/>
      <c r="DM484" s="121"/>
      <c r="DN484" s="121"/>
      <c r="DO484" s="121"/>
      <c r="DP484" s="121"/>
      <c r="DQ484" s="121"/>
      <c r="DR484" s="121"/>
      <c r="DS484" s="121"/>
      <c r="DT484" s="240"/>
      <c r="DU484" s="240"/>
      <c r="DV484" s="240"/>
      <c r="DW484" s="240"/>
      <c r="DX484" s="240"/>
      <c r="DY484" s="240"/>
      <c r="DZ484" s="240"/>
      <c r="EA484" s="240"/>
      <c r="EB484" s="237">
        <f t="shared" si="56"/>
        <v>0</v>
      </c>
      <c r="EC484" s="237">
        <f t="shared" si="57"/>
        <v>0</v>
      </c>
      <c r="ED484" s="237">
        <f t="shared" si="58"/>
        <v>0</v>
      </c>
      <c r="EE484" s="237">
        <f t="shared" si="59"/>
        <v>0</v>
      </c>
      <c r="EF484" s="121"/>
      <c r="EG484" s="238">
        <f t="shared" si="60"/>
        <v>0</v>
      </c>
      <c r="EH484" s="121"/>
      <c r="EI484" s="237">
        <f t="shared" si="61"/>
        <v>0</v>
      </c>
      <c r="EJ484" s="121"/>
      <c r="EK484" s="237">
        <f t="shared" si="62"/>
        <v>0</v>
      </c>
      <c r="EL484" s="237"/>
      <c r="EM484" s="5"/>
      <c r="EN484" s="5"/>
      <c r="EO484" s="5"/>
      <c r="EP484" s="5"/>
      <c r="EQ484" s="237">
        <f t="shared" si="63"/>
        <v>0</v>
      </c>
      <c r="ER484" s="239">
        <v>23300</v>
      </c>
      <c r="ES484" s="5">
        <v>7.5</v>
      </c>
    </row>
    <row r="485" spans="1:149" x14ac:dyDescent="0.3">
      <c r="A485" s="124"/>
      <c r="B485" s="121"/>
      <c r="C485" s="121"/>
      <c r="D485" s="121"/>
      <c r="E485" s="121"/>
      <c r="F485" s="121"/>
      <c r="G485" s="121"/>
      <c r="H485" s="121"/>
      <c r="I485" s="121"/>
      <c r="J485" s="121"/>
      <c r="K485" s="121"/>
      <c r="L485" s="121"/>
      <c r="M485" s="121"/>
      <c r="N485" s="121"/>
      <c r="O485" s="235"/>
      <c r="P485" s="121"/>
      <c r="Q485" s="121"/>
      <c r="R485" s="121"/>
      <c r="S485" s="121"/>
      <c r="T485" s="121"/>
      <c r="U485" s="121"/>
      <c r="V485" s="121"/>
      <c r="W485" s="121"/>
      <c r="X485" s="117"/>
      <c r="Y485" s="117"/>
      <c r="Z485" s="121"/>
      <c r="AA485" s="121"/>
      <c r="AB485" s="121"/>
      <c r="AC485" s="121"/>
      <c r="AD485" s="121"/>
      <c r="AE485" s="121"/>
      <c r="AF485" s="121"/>
      <c r="AG485" s="121"/>
      <c r="AH485" s="121"/>
      <c r="AI485" s="121"/>
      <c r="AJ485" s="121"/>
      <c r="AK485" s="121"/>
      <c r="AL485" s="121"/>
      <c r="AM485" s="121"/>
      <c r="AN485" s="121"/>
      <c r="AO485" s="121"/>
      <c r="AP485" s="121"/>
      <c r="AQ485" s="121"/>
      <c r="AR485" s="121"/>
      <c r="AS485" s="121"/>
      <c r="AT485" s="121"/>
      <c r="AU485" s="121"/>
      <c r="AV485" s="121"/>
      <c r="AW485" s="121"/>
      <c r="AX485" s="121"/>
      <c r="AY485" s="121"/>
      <c r="AZ485" s="121"/>
      <c r="BA485" s="121"/>
      <c r="BB485" s="121"/>
      <c r="BC485" s="121"/>
      <c r="BD485" s="121"/>
      <c r="BE485" s="121"/>
      <c r="BF485" s="121"/>
      <c r="BG485" s="121"/>
      <c r="BH485" s="121"/>
      <c r="BI485" s="121"/>
      <c r="BJ485" s="121"/>
      <c r="BK485" s="121"/>
      <c r="BL485" s="121"/>
      <c r="BM485" s="121"/>
      <c r="BN485" s="121"/>
      <c r="BO485" s="121"/>
      <c r="BP485" s="121"/>
      <c r="BQ485" s="121"/>
      <c r="BR485" s="121"/>
      <c r="BS485" s="121"/>
      <c r="BT485" s="121"/>
      <c r="BU485" s="121"/>
      <c r="BV485" s="121"/>
      <c r="BW485" s="121"/>
      <c r="BX485" s="121"/>
      <c r="BY485" s="121"/>
      <c r="BZ485" s="121"/>
      <c r="CA485" s="121"/>
      <c r="CB485" s="121"/>
      <c r="CC485" s="121"/>
      <c r="CD485" s="121"/>
      <c r="CE485" s="121"/>
      <c r="CF485" s="121"/>
      <c r="CG485" s="121"/>
      <c r="CH485" s="121"/>
      <c r="CI485" s="121"/>
      <c r="CJ485" s="121"/>
      <c r="CK485" s="121"/>
      <c r="CL485" s="121"/>
      <c r="CM485" s="121"/>
      <c r="CN485" s="121"/>
      <c r="CO485" s="121"/>
      <c r="CP485" s="121"/>
      <c r="CQ485" s="121"/>
      <c r="CR485" s="121"/>
      <c r="CS485" s="121"/>
      <c r="CT485" s="121"/>
      <c r="CU485" s="121"/>
      <c r="CV485" s="121"/>
      <c r="CW485" s="121"/>
      <c r="CX485" s="121"/>
      <c r="CY485" s="121"/>
      <c r="CZ485" s="121"/>
      <c r="DA485" s="121"/>
      <c r="DB485" s="121"/>
      <c r="DC485" s="121"/>
      <c r="DD485" s="121"/>
      <c r="DE485" s="121"/>
      <c r="DF485" s="121"/>
      <c r="DG485" s="121"/>
      <c r="DH485" s="121"/>
      <c r="DI485" s="121"/>
      <c r="DJ485" s="121"/>
      <c r="DK485" s="121"/>
      <c r="DL485" s="121"/>
      <c r="DM485" s="121"/>
      <c r="DN485" s="121"/>
      <c r="DO485" s="121"/>
      <c r="DP485" s="121"/>
      <c r="DQ485" s="121"/>
      <c r="DR485" s="121"/>
      <c r="DS485" s="121"/>
      <c r="DT485" s="240"/>
      <c r="DU485" s="240"/>
      <c r="DV485" s="240"/>
      <c r="DW485" s="240"/>
      <c r="DX485" s="240"/>
      <c r="DY485" s="240"/>
      <c r="DZ485" s="240"/>
      <c r="EA485" s="240"/>
      <c r="EB485" s="237">
        <f t="shared" si="56"/>
        <v>0</v>
      </c>
      <c r="EC485" s="237">
        <f t="shared" si="57"/>
        <v>0</v>
      </c>
      <c r="ED485" s="237">
        <f t="shared" si="58"/>
        <v>0</v>
      </c>
      <c r="EE485" s="237">
        <f t="shared" si="59"/>
        <v>0</v>
      </c>
      <c r="EF485" s="121"/>
      <c r="EG485" s="238">
        <f t="shared" si="60"/>
        <v>0</v>
      </c>
      <c r="EH485" s="121"/>
      <c r="EI485" s="237">
        <f t="shared" si="61"/>
        <v>0</v>
      </c>
      <c r="EJ485" s="121"/>
      <c r="EK485" s="237">
        <f t="shared" si="62"/>
        <v>0</v>
      </c>
      <c r="EL485" s="237"/>
      <c r="EM485" s="5"/>
      <c r="EN485" s="5"/>
      <c r="EO485" s="5"/>
      <c r="EP485" s="5"/>
      <c r="EQ485" s="237">
        <f t="shared" si="63"/>
        <v>0</v>
      </c>
      <c r="ER485" s="239">
        <v>23300</v>
      </c>
      <c r="ES485" s="5">
        <v>7.5</v>
      </c>
    </row>
    <row r="486" spans="1:149" x14ac:dyDescent="0.3">
      <c r="A486" s="124"/>
      <c r="B486" s="121"/>
      <c r="C486" s="121"/>
      <c r="D486" s="121"/>
      <c r="E486" s="121"/>
      <c r="F486" s="121"/>
      <c r="G486" s="121"/>
      <c r="H486" s="121"/>
      <c r="I486" s="121"/>
      <c r="J486" s="121"/>
      <c r="K486" s="121"/>
      <c r="L486" s="121"/>
      <c r="M486" s="121"/>
      <c r="N486" s="121"/>
      <c r="O486" s="235"/>
      <c r="P486" s="121"/>
      <c r="Q486" s="121"/>
      <c r="R486" s="121"/>
      <c r="S486" s="121"/>
      <c r="T486" s="121"/>
      <c r="U486" s="121"/>
      <c r="V486" s="121"/>
      <c r="W486" s="121"/>
      <c r="X486" s="117"/>
      <c r="Y486" s="117"/>
      <c r="Z486" s="121"/>
      <c r="AA486" s="121"/>
      <c r="AB486" s="121"/>
      <c r="AC486" s="121"/>
      <c r="AD486" s="121"/>
      <c r="AE486" s="121"/>
      <c r="AF486" s="121"/>
      <c r="AG486" s="121"/>
      <c r="AH486" s="121"/>
      <c r="AI486" s="121"/>
      <c r="AJ486" s="121"/>
      <c r="AK486" s="121"/>
      <c r="AL486" s="121"/>
      <c r="AM486" s="121"/>
      <c r="AN486" s="121"/>
      <c r="AO486" s="121"/>
      <c r="AP486" s="121"/>
      <c r="AQ486" s="121"/>
      <c r="AR486" s="121"/>
      <c r="AS486" s="121"/>
      <c r="AT486" s="121"/>
      <c r="AU486" s="121"/>
      <c r="AV486" s="121"/>
      <c r="AW486" s="121"/>
      <c r="AX486" s="121"/>
      <c r="AY486" s="121"/>
      <c r="AZ486" s="121"/>
      <c r="BA486" s="121"/>
      <c r="BB486" s="121"/>
      <c r="BC486" s="121"/>
      <c r="BD486" s="121"/>
      <c r="BE486" s="121"/>
      <c r="BF486" s="121"/>
      <c r="BG486" s="121"/>
      <c r="BH486" s="121"/>
      <c r="BI486" s="121"/>
      <c r="BJ486" s="121"/>
      <c r="BK486" s="121"/>
      <c r="BL486" s="121"/>
      <c r="BM486" s="121"/>
      <c r="BN486" s="121"/>
      <c r="BO486" s="121"/>
      <c r="BP486" s="121"/>
      <c r="BQ486" s="121"/>
      <c r="BR486" s="121"/>
      <c r="BS486" s="121"/>
      <c r="BT486" s="121"/>
      <c r="BU486" s="121"/>
      <c r="BV486" s="121"/>
      <c r="BW486" s="121"/>
      <c r="BX486" s="121"/>
      <c r="BY486" s="121"/>
      <c r="BZ486" s="121"/>
      <c r="CA486" s="121"/>
      <c r="CB486" s="121"/>
      <c r="CC486" s="121"/>
      <c r="CD486" s="121"/>
      <c r="CE486" s="121"/>
      <c r="CF486" s="121"/>
      <c r="CG486" s="121"/>
      <c r="CH486" s="121"/>
      <c r="CI486" s="121"/>
      <c r="CJ486" s="121"/>
      <c r="CK486" s="121"/>
      <c r="CL486" s="121"/>
      <c r="CM486" s="121"/>
      <c r="CN486" s="121"/>
      <c r="CO486" s="121"/>
      <c r="CP486" s="121"/>
      <c r="CQ486" s="121"/>
      <c r="CR486" s="121"/>
      <c r="CS486" s="121"/>
      <c r="CT486" s="121"/>
      <c r="CU486" s="121"/>
      <c r="CV486" s="121"/>
      <c r="CW486" s="121"/>
      <c r="CX486" s="121"/>
      <c r="CY486" s="121"/>
      <c r="CZ486" s="121"/>
      <c r="DA486" s="121"/>
      <c r="DB486" s="121"/>
      <c r="DC486" s="121"/>
      <c r="DD486" s="121"/>
      <c r="DE486" s="121"/>
      <c r="DF486" s="121"/>
      <c r="DG486" s="121"/>
      <c r="DH486" s="121"/>
      <c r="DI486" s="121"/>
      <c r="DJ486" s="121"/>
      <c r="DK486" s="121"/>
      <c r="DL486" s="121"/>
      <c r="DM486" s="121"/>
      <c r="DN486" s="121"/>
      <c r="DO486" s="121"/>
      <c r="DP486" s="121"/>
      <c r="DQ486" s="121"/>
      <c r="DR486" s="121"/>
      <c r="DS486" s="121"/>
      <c r="DT486" s="240"/>
      <c r="DU486" s="240"/>
      <c r="DV486" s="240"/>
      <c r="DW486" s="240"/>
      <c r="DX486" s="240"/>
      <c r="DY486" s="240"/>
      <c r="DZ486" s="240"/>
      <c r="EA486" s="240"/>
      <c r="EB486" s="237">
        <f t="shared" si="56"/>
        <v>0</v>
      </c>
      <c r="EC486" s="237">
        <f t="shared" si="57"/>
        <v>0</v>
      </c>
      <c r="ED486" s="237">
        <f t="shared" si="58"/>
        <v>0</v>
      </c>
      <c r="EE486" s="237">
        <f t="shared" si="59"/>
        <v>0</v>
      </c>
      <c r="EF486" s="121"/>
      <c r="EG486" s="238">
        <f t="shared" si="60"/>
        <v>0</v>
      </c>
      <c r="EH486" s="121"/>
      <c r="EI486" s="237">
        <f t="shared" si="61"/>
        <v>0</v>
      </c>
      <c r="EJ486" s="121"/>
      <c r="EK486" s="237">
        <f t="shared" si="62"/>
        <v>0</v>
      </c>
      <c r="EL486" s="237"/>
      <c r="EM486" s="5"/>
      <c r="EN486" s="5"/>
      <c r="EO486" s="5"/>
      <c r="EP486" s="5"/>
      <c r="EQ486" s="237">
        <f t="shared" si="63"/>
        <v>0</v>
      </c>
      <c r="ER486" s="239">
        <v>23300</v>
      </c>
      <c r="ES486" s="5">
        <v>7.5</v>
      </c>
    </row>
    <row r="487" spans="1:149" x14ac:dyDescent="0.3">
      <c r="A487" s="124"/>
      <c r="B487" s="121"/>
      <c r="C487" s="121"/>
      <c r="D487" s="121"/>
      <c r="E487" s="121"/>
      <c r="F487" s="121"/>
      <c r="G487" s="121"/>
      <c r="H487" s="121"/>
      <c r="I487" s="121"/>
      <c r="J487" s="121"/>
      <c r="K487" s="121"/>
      <c r="L487" s="121"/>
      <c r="M487" s="121"/>
      <c r="N487" s="121"/>
      <c r="O487" s="235"/>
      <c r="P487" s="121"/>
      <c r="Q487" s="121"/>
      <c r="R487" s="121"/>
      <c r="S487" s="121"/>
      <c r="T487" s="121"/>
      <c r="U487" s="121"/>
      <c r="V487" s="121"/>
      <c r="W487" s="121"/>
      <c r="X487" s="117"/>
      <c r="Y487" s="117"/>
      <c r="Z487" s="121"/>
      <c r="AA487" s="121"/>
      <c r="AB487" s="121"/>
      <c r="AC487" s="121"/>
      <c r="AD487" s="121"/>
      <c r="AE487" s="121"/>
      <c r="AF487" s="121"/>
      <c r="AG487" s="121"/>
      <c r="AH487" s="121"/>
      <c r="AI487" s="121"/>
      <c r="AJ487" s="121"/>
      <c r="AK487" s="121"/>
      <c r="AL487" s="121"/>
      <c r="AM487" s="121"/>
      <c r="AN487" s="121"/>
      <c r="AO487" s="121"/>
      <c r="AP487" s="121"/>
      <c r="AQ487" s="121"/>
      <c r="AR487" s="121"/>
      <c r="AS487" s="121"/>
      <c r="AT487" s="121"/>
      <c r="AU487" s="121"/>
      <c r="AV487" s="121"/>
      <c r="AW487" s="121"/>
      <c r="AX487" s="121"/>
      <c r="AY487" s="121"/>
      <c r="AZ487" s="121"/>
      <c r="BA487" s="121"/>
      <c r="BB487" s="121"/>
      <c r="BC487" s="121"/>
      <c r="BD487" s="121"/>
      <c r="BE487" s="121"/>
      <c r="BF487" s="121"/>
      <c r="BG487" s="121"/>
      <c r="BH487" s="121"/>
      <c r="BI487" s="121"/>
      <c r="BJ487" s="121"/>
      <c r="BK487" s="121"/>
      <c r="BL487" s="121"/>
      <c r="BM487" s="121"/>
      <c r="BN487" s="121"/>
      <c r="BO487" s="121"/>
      <c r="BP487" s="121"/>
      <c r="BQ487" s="121"/>
      <c r="BR487" s="121"/>
      <c r="BS487" s="121"/>
      <c r="BT487" s="121"/>
      <c r="BU487" s="121"/>
      <c r="BV487" s="121"/>
      <c r="BW487" s="121"/>
      <c r="BX487" s="121"/>
      <c r="BY487" s="121"/>
      <c r="BZ487" s="121"/>
      <c r="CA487" s="121"/>
      <c r="CB487" s="121"/>
      <c r="CC487" s="121"/>
      <c r="CD487" s="121"/>
      <c r="CE487" s="121"/>
      <c r="CF487" s="121"/>
      <c r="CG487" s="121"/>
      <c r="CH487" s="121"/>
      <c r="CI487" s="121"/>
      <c r="CJ487" s="121"/>
      <c r="CK487" s="121"/>
      <c r="CL487" s="121"/>
      <c r="CM487" s="121"/>
      <c r="CN487" s="121"/>
      <c r="CO487" s="121"/>
      <c r="CP487" s="121"/>
      <c r="CQ487" s="121"/>
      <c r="CR487" s="121"/>
      <c r="CS487" s="121"/>
      <c r="CT487" s="121"/>
      <c r="CU487" s="121"/>
      <c r="CV487" s="121"/>
      <c r="CW487" s="121"/>
      <c r="CX487" s="121"/>
      <c r="CY487" s="121"/>
      <c r="CZ487" s="121"/>
      <c r="DA487" s="121"/>
      <c r="DB487" s="121"/>
      <c r="DC487" s="121"/>
      <c r="DD487" s="121"/>
      <c r="DE487" s="121"/>
      <c r="DF487" s="121"/>
      <c r="DG487" s="121"/>
      <c r="DH487" s="121"/>
      <c r="DI487" s="121"/>
      <c r="DJ487" s="121"/>
      <c r="DK487" s="121"/>
      <c r="DL487" s="121"/>
      <c r="DM487" s="121"/>
      <c r="DN487" s="121"/>
      <c r="DO487" s="121"/>
      <c r="DP487" s="121"/>
      <c r="DQ487" s="121"/>
      <c r="DR487" s="121"/>
      <c r="DS487" s="121"/>
      <c r="DT487" s="240"/>
      <c r="DU487" s="240"/>
      <c r="DV487" s="240"/>
      <c r="DW487" s="240"/>
      <c r="DX487" s="240"/>
      <c r="DY487" s="240"/>
      <c r="DZ487" s="240"/>
      <c r="EA487" s="240"/>
      <c r="EB487" s="237">
        <f t="shared" si="56"/>
        <v>0</v>
      </c>
      <c r="EC487" s="237">
        <f t="shared" si="57"/>
        <v>0</v>
      </c>
      <c r="ED487" s="237">
        <f t="shared" si="58"/>
        <v>0</v>
      </c>
      <c r="EE487" s="237">
        <f t="shared" si="59"/>
        <v>0</v>
      </c>
      <c r="EF487" s="121"/>
      <c r="EG487" s="238">
        <f t="shared" si="60"/>
        <v>0</v>
      </c>
      <c r="EH487" s="121"/>
      <c r="EI487" s="237">
        <f t="shared" si="61"/>
        <v>0</v>
      </c>
      <c r="EJ487" s="121"/>
      <c r="EK487" s="237">
        <f t="shared" si="62"/>
        <v>0</v>
      </c>
      <c r="EL487" s="237"/>
      <c r="EM487" s="5"/>
      <c r="EN487" s="5"/>
      <c r="EO487" s="5"/>
      <c r="EP487" s="5"/>
      <c r="EQ487" s="237">
        <f t="shared" si="63"/>
        <v>0</v>
      </c>
      <c r="ER487" s="239">
        <v>23300</v>
      </c>
      <c r="ES487" s="5">
        <v>7.5</v>
      </c>
    </row>
    <row r="488" spans="1:149" x14ac:dyDescent="0.3">
      <c r="A488" s="124"/>
      <c r="B488" s="121"/>
      <c r="C488" s="121"/>
      <c r="D488" s="121"/>
      <c r="E488" s="121"/>
      <c r="F488" s="121"/>
      <c r="G488" s="121"/>
      <c r="H488" s="121"/>
      <c r="I488" s="121"/>
      <c r="J488" s="121"/>
      <c r="K488" s="121"/>
      <c r="L488" s="121"/>
      <c r="M488" s="121"/>
      <c r="N488" s="121"/>
      <c r="O488" s="235"/>
      <c r="P488" s="121"/>
      <c r="Q488" s="121"/>
      <c r="R488" s="121"/>
      <c r="S488" s="121"/>
      <c r="T488" s="121"/>
      <c r="U488" s="121"/>
      <c r="V488" s="121"/>
      <c r="W488" s="121"/>
      <c r="X488" s="117"/>
      <c r="Y488" s="117"/>
      <c r="Z488" s="121"/>
      <c r="AA488" s="121"/>
      <c r="AB488" s="121"/>
      <c r="AC488" s="121"/>
      <c r="AD488" s="121"/>
      <c r="AE488" s="121"/>
      <c r="AF488" s="121"/>
      <c r="AG488" s="121"/>
      <c r="AH488" s="121"/>
      <c r="AI488" s="121"/>
      <c r="AJ488" s="121"/>
      <c r="AK488" s="121"/>
      <c r="AL488" s="121"/>
      <c r="AM488" s="121"/>
      <c r="AN488" s="121"/>
      <c r="AO488" s="121"/>
      <c r="AP488" s="121"/>
      <c r="AQ488" s="121"/>
      <c r="AR488" s="121"/>
      <c r="AS488" s="121"/>
      <c r="AT488" s="121"/>
      <c r="AU488" s="121"/>
      <c r="AV488" s="121"/>
      <c r="AW488" s="121"/>
      <c r="AX488" s="121"/>
      <c r="AY488" s="121"/>
      <c r="AZ488" s="121"/>
      <c r="BA488" s="121"/>
      <c r="BB488" s="121"/>
      <c r="BC488" s="121"/>
      <c r="BD488" s="121"/>
      <c r="BE488" s="121"/>
      <c r="BF488" s="121"/>
      <c r="BG488" s="121"/>
      <c r="BH488" s="121"/>
      <c r="BI488" s="121"/>
      <c r="BJ488" s="121"/>
      <c r="BK488" s="121"/>
      <c r="BL488" s="121"/>
      <c r="BM488" s="121"/>
      <c r="BN488" s="121"/>
      <c r="BO488" s="121"/>
      <c r="BP488" s="121"/>
      <c r="BQ488" s="121"/>
      <c r="BR488" s="121"/>
      <c r="BS488" s="121"/>
      <c r="BT488" s="121"/>
      <c r="BU488" s="121"/>
      <c r="BV488" s="121"/>
      <c r="BW488" s="121"/>
      <c r="BX488" s="121"/>
      <c r="BY488" s="121"/>
      <c r="BZ488" s="121"/>
      <c r="CA488" s="121"/>
      <c r="CB488" s="121"/>
      <c r="CC488" s="121"/>
      <c r="CD488" s="121"/>
      <c r="CE488" s="121"/>
      <c r="CF488" s="121"/>
      <c r="CG488" s="121"/>
      <c r="CH488" s="121"/>
      <c r="CI488" s="121"/>
      <c r="CJ488" s="121"/>
      <c r="CK488" s="121"/>
      <c r="CL488" s="121"/>
      <c r="CM488" s="121"/>
      <c r="CN488" s="121"/>
      <c r="CO488" s="121"/>
      <c r="CP488" s="121"/>
      <c r="CQ488" s="121"/>
      <c r="CR488" s="121"/>
      <c r="CS488" s="121"/>
      <c r="CT488" s="121"/>
      <c r="CU488" s="121"/>
      <c r="CV488" s="121"/>
      <c r="CW488" s="121"/>
      <c r="CX488" s="121"/>
      <c r="CY488" s="121"/>
      <c r="CZ488" s="121"/>
      <c r="DA488" s="121"/>
      <c r="DB488" s="121"/>
      <c r="DC488" s="121"/>
      <c r="DD488" s="121"/>
      <c r="DE488" s="121"/>
      <c r="DF488" s="121"/>
      <c r="DG488" s="121"/>
      <c r="DH488" s="121"/>
      <c r="DI488" s="121"/>
      <c r="DJ488" s="121"/>
      <c r="DK488" s="121"/>
      <c r="DL488" s="121"/>
      <c r="DM488" s="121"/>
      <c r="DN488" s="121"/>
      <c r="DO488" s="121"/>
      <c r="DP488" s="121"/>
      <c r="DQ488" s="121"/>
      <c r="DR488" s="121"/>
      <c r="DS488" s="121"/>
      <c r="DT488" s="240"/>
      <c r="DU488" s="240"/>
      <c r="DV488" s="240"/>
      <c r="DW488" s="240"/>
      <c r="DX488" s="240"/>
      <c r="DY488" s="240"/>
      <c r="DZ488" s="240"/>
      <c r="EA488" s="240"/>
      <c r="EB488" s="237">
        <f t="shared" si="56"/>
        <v>0</v>
      </c>
      <c r="EC488" s="237">
        <f t="shared" si="57"/>
        <v>0</v>
      </c>
      <c r="ED488" s="237">
        <f t="shared" si="58"/>
        <v>0</v>
      </c>
      <c r="EE488" s="237">
        <f t="shared" si="59"/>
        <v>0</v>
      </c>
      <c r="EF488" s="121"/>
      <c r="EG488" s="238">
        <f t="shared" si="60"/>
        <v>0</v>
      </c>
      <c r="EH488" s="121"/>
      <c r="EI488" s="237">
        <f t="shared" si="61"/>
        <v>0</v>
      </c>
      <c r="EJ488" s="121"/>
      <c r="EK488" s="237">
        <f t="shared" si="62"/>
        <v>0</v>
      </c>
      <c r="EL488" s="237"/>
      <c r="EM488" s="5"/>
      <c r="EN488" s="5"/>
      <c r="EO488" s="5"/>
      <c r="EP488" s="5"/>
      <c r="EQ488" s="237">
        <f t="shared" si="63"/>
        <v>0</v>
      </c>
      <c r="ER488" s="239">
        <v>23300</v>
      </c>
      <c r="ES488" s="5">
        <v>7.5</v>
      </c>
    </row>
    <row r="489" spans="1:149" x14ac:dyDescent="0.3">
      <c r="A489" s="124"/>
      <c r="B489" s="121"/>
      <c r="C489" s="121"/>
      <c r="D489" s="121"/>
      <c r="E489" s="121"/>
      <c r="F489" s="121"/>
      <c r="G489" s="121"/>
      <c r="H489" s="121"/>
      <c r="I489" s="121"/>
      <c r="J489" s="121"/>
      <c r="K489" s="121"/>
      <c r="L489" s="121"/>
      <c r="M489" s="121"/>
      <c r="N489" s="121"/>
      <c r="O489" s="235"/>
      <c r="P489" s="121"/>
      <c r="Q489" s="121"/>
      <c r="R489" s="121"/>
      <c r="S489" s="121"/>
      <c r="T489" s="121"/>
      <c r="U489" s="121"/>
      <c r="V489" s="121"/>
      <c r="W489" s="121"/>
      <c r="X489" s="117"/>
      <c r="Y489" s="117"/>
      <c r="Z489" s="121"/>
      <c r="AA489" s="121"/>
      <c r="AB489" s="121"/>
      <c r="AC489" s="121"/>
      <c r="AD489" s="121"/>
      <c r="AE489" s="121"/>
      <c r="AF489" s="121"/>
      <c r="AG489" s="121"/>
      <c r="AH489" s="121"/>
      <c r="AI489" s="121"/>
      <c r="AJ489" s="121"/>
      <c r="AK489" s="121"/>
      <c r="AL489" s="121"/>
      <c r="AM489" s="121"/>
      <c r="AN489" s="121"/>
      <c r="AO489" s="121"/>
      <c r="AP489" s="121"/>
      <c r="AQ489" s="121"/>
      <c r="AR489" s="121"/>
      <c r="AS489" s="121"/>
      <c r="AT489" s="121"/>
      <c r="AU489" s="121"/>
      <c r="AV489" s="121"/>
      <c r="AW489" s="121"/>
      <c r="AX489" s="121"/>
      <c r="AY489" s="121"/>
      <c r="AZ489" s="121"/>
      <c r="BA489" s="121"/>
      <c r="BB489" s="121"/>
      <c r="BC489" s="121"/>
      <c r="BD489" s="121"/>
      <c r="BE489" s="121"/>
      <c r="BF489" s="121"/>
      <c r="BG489" s="121"/>
      <c r="BH489" s="121"/>
      <c r="BI489" s="121"/>
      <c r="BJ489" s="121"/>
      <c r="BK489" s="121"/>
      <c r="BL489" s="121"/>
      <c r="BM489" s="121"/>
      <c r="BN489" s="121"/>
      <c r="BO489" s="121"/>
      <c r="BP489" s="121"/>
      <c r="BQ489" s="121"/>
      <c r="BR489" s="121"/>
      <c r="BS489" s="121"/>
      <c r="BT489" s="121"/>
      <c r="BU489" s="121"/>
      <c r="BV489" s="121"/>
      <c r="BW489" s="121"/>
      <c r="BX489" s="121"/>
      <c r="BY489" s="121"/>
      <c r="BZ489" s="121"/>
      <c r="CA489" s="121"/>
      <c r="CB489" s="121"/>
      <c r="CC489" s="121"/>
      <c r="CD489" s="121"/>
      <c r="CE489" s="121"/>
      <c r="CF489" s="121"/>
      <c r="CG489" s="121"/>
      <c r="CH489" s="121"/>
      <c r="CI489" s="121"/>
      <c r="CJ489" s="121"/>
      <c r="CK489" s="121"/>
      <c r="CL489" s="121"/>
      <c r="CM489" s="121"/>
      <c r="CN489" s="121"/>
      <c r="CO489" s="121"/>
      <c r="CP489" s="121"/>
      <c r="CQ489" s="121"/>
      <c r="CR489" s="121"/>
      <c r="CS489" s="121"/>
      <c r="CT489" s="121"/>
      <c r="CU489" s="121"/>
      <c r="CV489" s="121"/>
      <c r="CW489" s="121"/>
      <c r="CX489" s="121"/>
      <c r="CY489" s="121"/>
      <c r="CZ489" s="121"/>
      <c r="DA489" s="121"/>
      <c r="DB489" s="121"/>
      <c r="DC489" s="121"/>
      <c r="DD489" s="121"/>
      <c r="DE489" s="121"/>
      <c r="DF489" s="121"/>
      <c r="DG489" s="121"/>
      <c r="DH489" s="121"/>
      <c r="DI489" s="121"/>
      <c r="DJ489" s="121"/>
      <c r="DK489" s="121"/>
      <c r="DL489" s="121"/>
      <c r="DM489" s="121"/>
      <c r="DN489" s="121"/>
      <c r="DO489" s="121"/>
      <c r="DP489" s="121"/>
      <c r="DQ489" s="121"/>
      <c r="DR489" s="121"/>
      <c r="DS489" s="121"/>
      <c r="DT489" s="240"/>
      <c r="DU489" s="240"/>
      <c r="DV489" s="240"/>
      <c r="DW489" s="240"/>
      <c r="DX489" s="240"/>
      <c r="DY489" s="240"/>
      <c r="DZ489" s="240"/>
      <c r="EA489" s="240"/>
      <c r="EB489" s="237">
        <f t="shared" si="56"/>
        <v>0</v>
      </c>
      <c r="EC489" s="237">
        <f t="shared" si="57"/>
        <v>0</v>
      </c>
      <c r="ED489" s="237">
        <f t="shared" si="58"/>
        <v>0</v>
      </c>
      <c r="EE489" s="237">
        <f t="shared" si="59"/>
        <v>0</v>
      </c>
      <c r="EF489" s="121"/>
      <c r="EG489" s="238">
        <f t="shared" si="60"/>
        <v>0</v>
      </c>
      <c r="EH489" s="121"/>
      <c r="EI489" s="237">
        <f t="shared" si="61"/>
        <v>0</v>
      </c>
      <c r="EJ489" s="121"/>
      <c r="EK489" s="237">
        <f t="shared" si="62"/>
        <v>0</v>
      </c>
      <c r="EL489" s="237"/>
      <c r="EM489" s="5"/>
      <c r="EN489" s="5"/>
      <c r="EO489" s="5"/>
      <c r="EP489" s="5"/>
      <c r="EQ489" s="237">
        <f t="shared" si="63"/>
        <v>0</v>
      </c>
      <c r="ER489" s="239">
        <v>23300</v>
      </c>
      <c r="ES489" s="5">
        <v>7.5</v>
      </c>
    </row>
    <row r="490" spans="1:149" x14ac:dyDescent="0.3">
      <c r="A490" s="124"/>
      <c r="B490" s="121"/>
      <c r="C490" s="121"/>
      <c r="D490" s="121"/>
      <c r="E490" s="121"/>
      <c r="F490" s="121"/>
      <c r="G490" s="121"/>
      <c r="H490" s="121"/>
      <c r="I490" s="121"/>
      <c r="J490" s="121"/>
      <c r="K490" s="121"/>
      <c r="L490" s="121"/>
      <c r="M490" s="121"/>
      <c r="N490" s="121"/>
      <c r="O490" s="235"/>
      <c r="P490" s="121"/>
      <c r="Q490" s="121"/>
      <c r="R490" s="121"/>
      <c r="S490" s="121"/>
      <c r="T490" s="121"/>
      <c r="U490" s="121"/>
      <c r="V490" s="121"/>
      <c r="W490" s="121"/>
      <c r="X490" s="117"/>
      <c r="Y490" s="117"/>
      <c r="Z490" s="121"/>
      <c r="AA490" s="121"/>
      <c r="AB490" s="121"/>
      <c r="AC490" s="121"/>
      <c r="AD490" s="121"/>
      <c r="AE490" s="121"/>
      <c r="AF490" s="121"/>
      <c r="AG490" s="121"/>
      <c r="AH490" s="121"/>
      <c r="AI490" s="121"/>
      <c r="AJ490" s="121"/>
      <c r="AK490" s="121"/>
      <c r="AL490" s="121"/>
      <c r="AM490" s="121"/>
      <c r="AN490" s="121"/>
      <c r="AO490" s="121"/>
      <c r="AP490" s="121"/>
      <c r="AQ490" s="121"/>
      <c r="AR490" s="121"/>
      <c r="AS490" s="121"/>
      <c r="AT490" s="121"/>
      <c r="AU490" s="121"/>
      <c r="AV490" s="121"/>
      <c r="AW490" s="121"/>
      <c r="AX490" s="121"/>
      <c r="AY490" s="121"/>
      <c r="AZ490" s="121"/>
      <c r="BA490" s="121"/>
      <c r="BB490" s="121"/>
      <c r="BC490" s="121"/>
      <c r="BD490" s="121"/>
      <c r="BE490" s="121"/>
      <c r="BF490" s="121"/>
      <c r="BG490" s="121"/>
      <c r="BH490" s="121"/>
      <c r="BI490" s="121"/>
      <c r="BJ490" s="121"/>
      <c r="BK490" s="121"/>
      <c r="BL490" s="121"/>
      <c r="BM490" s="121"/>
      <c r="BN490" s="121"/>
      <c r="BO490" s="121"/>
      <c r="BP490" s="121"/>
      <c r="BQ490" s="121"/>
      <c r="BR490" s="121"/>
      <c r="BS490" s="121"/>
      <c r="BT490" s="121"/>
      <c r="BU490" s="121"/>
      <c r="BV490" s="121"/>
      <c r="BW490" s="121"/>
      <c r="BX490" s="121"/>
      <c r="BY490" s="121"/>
      <c r="BZ490" s="121"/>
      <c r="CA490" s="121"/>
      <c r="CB490" s="121"/>
      <c r="CC490" s="121"/>
      <c r="CD490" s="121"/>
      <c r="CE490" s="121"/>
      <c r="CF490" s="121"/>
      <c r="CG490" s="121"/>
      <c r="CH490" s="121"/>
      <c r="CI490" s="121"/>
      <c r="CJ490" s="121"/>
      <c r="CK490" s="121"/>
      <c r="CL490" s="121"/>
      <c r="CM490" s="121"/>
      <c r="CN490" s="121"/>
      <c r="CO490" s="121"/>
      <c r="CP490" s="121"/>
      <c r="CQ490" s="121"/>
      <c r="CR490" s="121"/>
      <c r="CS490" s="121"/>
      <c r="CT490" s="121"/>
      <c r="CU490" s="121"/>
      <c r="CV490" s="121"/>
      <c r="CW490" s="121"/>
      <c r="CX490" s="121"/>
      <c r="CY490" s="121"/>
      <c r="CZ490" s="121"/>
      <c r="DA490" s="121"/>
      <c r="DB490" s="121"/>
      <c r="DC490" s="121"/>
      <c r="DD490" s="121"/>
      <c r="DE490" s="121"/>
      <c r="DF490" s="121"/>
      <c r="DG490" s="121"/>
      <c r="DH490" s="121"/>
      <c r="DI490" s="121"/>
      <c r="DJ490" s="121"/>
      <c r="DK490" s="121"/>
      <c r="DL490" s="121"/>
      <c r="DM490" s="121"/>
      <c r="DN490" s="121"/>
      <c r="DO490" s="121"/>
      <c r="DP490" s="121"/>
      <c r="DQ490" s="121"/>
      <c r="DR490" s="121"/>
      <c r="DS490" s="121"/>
      <c r="DT490" s="240"/>
      <c r="DU490" s="240"/>
      <c r="DV490" s="240"/>
      <c r="DW490" s="240"/>
      <c r="DX490" s="240"/>
      <c r="DY490" s="240"/>
      <c r="DZ490" s="240"/>
      <c r="EA490" s="240"/>
      <c r="EB490" s="237">
        <f t="shared" si="56"/>
        <v>0</v>
      </c>
      <c r="EC490" s="237">
        <f t="shared" si="57"/>
        <v>0</v>
      </c>
      <c r="ED490" s="237">
        <f t="shared" si="58"/>
        <v>0</v>
      </c>
      <c r="EE490" s="237">
        <f t="shared" si="59"/>
        <v>0</v>
      </c>
      <c r="EF490" s="121"/>
      <c r="EG490" s="238">
        <f t="shared" si="60"/>
        <v>0</v>
      </c>
      <c r="EH490" s="121"/>
      <c r="EI490" s="237">
        <f t="shared" si="61"/>
        <v>0</v>
      </c>
      <c r="EJ490" s="121"/>
      <c r="EK490" s="237">
        <f t="shared" si="62"/>
        <v>0</v>
      </c>
      <c r="EL490" s="237"/>
      <c r="EM490" s="5"/>
      <c r="EN490" s="5"/>
      <c r="EO490" s="5"/>
      <c r="EP490" s="5"/>
      <c r="EQ490" s="237">
        <f t="shared" si="63"/>
        <v>0</v>
      </c>
      <c r="ER490" s="239">
        <v>23300</v>
      </c>
      <c r="ES490" s="5">
        <v>7.5</v>
      </c>
    </row>
    <row r="491" spans="1:149" x14ac:dyDescent="0.3">
      <c r="A491" s="124"/>
      <c r="B491" s="121"/>
      <c r="C491" s="121"/>
      <c r="D491" s="121"/>
      <c r="E491" s="121"/>
      <c r="F491" s="121"/>
      <c r="G491" s="121"/>
      <c r="H491" s="121"/>
      <c r="I491" s="121"/>
      <c r="J491" s="121"/>
      <c r="K491" s="121"/>
      <c r="L491" s="121"/>
      <c r="M491" s="121"/>
      <c r="N491" s="121"/>
      <c r="O491" s="235"/>
      <c r="P491" s="121"/>
      <c r="Q491" s="121"/>
      <c r="R491" s="121"/>
      <c r="S491" s="121"/>
      <c r="T491" s="121"/>
      <c r="U491" s="121"/>
      <c r="V491" s="121"/>
      <c r="W491" s="121"/>
      <c r="X491" s="117"/>
      <c r="Y491" s="117"/>
      <c r="Z491" s="121"/>
      <c r="AA491" s="121"/>
      <c r="AB491" s="121"/>
      <c r="AC491" s="121"/>
      <c r="AD491" s="121"/>
      <c r="AE491" s="121"/>
      <c r="AF491" s="121"/>
      <c r="AG491" s="121"/>
      <c r="AH491" s="121"/>
      <c r="AI491" s="121"/>
      <c r="AJ491" s="121"/>
      <c r="AK491" s="121"/>
      <c r="AL491" s="121"/>
      <c r="AM491" s="121"/>
      <c r="AN491" s="121"/>
      <c r="AO491" s="121"/>
      <c r="AP491" s="121"/>
      <c r="AQ491" s="121"/>
      <c r="AR491" s="121"/>
      <c r="AS491" s="121"/>
      <c r="AT491" s="121"/>
      <c r="AU491" s="121"/>
      <c r="AV491" s="121"/>
      <c r="AW491" s="121"/>
      <c r="AX491" s="121"/>
      <c r="AY491" s="121"/>
      <c r="AZ491" s="121"/>
      <c r="BA491" s="121"/>
      <c r="BB491" s="121"/>
      <c r="BC491" s="121"/>
      <c r="BD491" s="121"/>
      <c r="BE491" s="121"/>
      <c r="BF491" s="121"/>
      <c r="BG491" s="121"/>
      <c r="BH491" s="121"/>
      <c r="BI491" s="121"/>
      <c r="BJ491" s="121"/>
      <c r="BK491" s="121"/>
      <c r="BL491" s="121"/>
      <c r="BM491" s="121"/>
      <c r="BN491" s="121"/>
      <c r="BO491" s="121"/>
      <c r="BP491" s="121"/>
      <c r="BQ491" s="121"/>
      <c r="BR491" s="121"/>
      <c r="BS491" s="121"/>
      <c r="BT491" s="121"/>
      <c r="BU491" s="121"/>
      <c r="BV491" s="121"/>
      <c r="BW491" s="121"/>
      <c r="BX491" s="121"/>
      <c r="BY491" s="121"/>
      <c r="BZ491" s="121"/>
      <c r="CA491" s="121"/>
      <c r="CB491" s="121"/>
      <c r="CC491" s="121"/>
      <c r="CD491" s="121"/>
      <c r="CE491" s="121"/>
      <c r="CF491" s="121"/>
      <c r="CG491" s="121"/>
      <c r="CH491" s="121"/>
      <c r="CI491" s="121"/>
      <c r="CJ491" s="121"/>
      <c r="CK491" s="121"/>
      <c r="CL491" s="121"/>
      <c r="CM491" s="121"/>
      <c r="CN491" s="121"/>
      <c r="CO491" s="121"/>
      <c r="CP491" s="121"/>
      <c r="CQ491" s="121"/>
      <c r="CR491" s="121"/>
      <c r="CS491" s="121"/>
      <c r="CT491" s="121"/>
      <c r="CU491" s="121"/>
      <c r="CV491" s="121"/>
      <c r="CW491" s="121"/>
      <c r="CX491" s="121"/>
      <c r="CY491" s="121"/>
      <c r="CZ491" s="121"/>
      <c r="DA491" s="121"/>
      <c r="DB491" s="121"/>
      <c r="DC491" s="121"/>
      <c r="DD491" s="121"/>
      <c r="DE491" s="121"/>
      <c r="DF491" s="121"/>
      <c r="DG491" s="121"/>
      <c r="DH491" s="121"/>
      <c r="DI491" s="121"/>
      <c r="DJ491" s="121"/>
      <c r="DK491" s="121"/>
      <c r="DL491" s="121"/>
      <c r="DM491" s="121"/>
      <c r="DN491" s="121"/>
      <c r="DO491" s="121"/>
      <c r="DP491" s="121"/>
      <c r="DQ491" s="121"/>
      <c r="DR491" s="121"/>
      <c r="DS491" s="121"/>
      <c r="DT491" s="240"/>
      <c r="DU491" s="240"/>
      <c r="DV491" s="240"/>
      <c r="DW491" s="240"/>
      <c r="DX491" s="240"/>
      <c r="DY491" s="240"/>
      <c r="DZ491" s="240"/>
      <c r="EA491" s="240"/>
      <c r="EB491" s="237">
        <f t="shared" si="56"/>
        <v>0</v>
      </c>
      <c r="EC491" s="237">
        <f t="shared" si="57"/>
        <v>0</v>
      </c>
      <c r="ED491" s="237">
        <f t="shared" si="58"/>
        <v>0</v>
      </c>
      <c r="EE491" s="237">
        <f t="shared" si="59"/>
        <v>0</v>
      </c>
      <c r="EF491" s="121"/>
      <c r="EG491" s="238">
        <f t="shared" si="60"/>
        <v>0</v>
      </c>
      <c r="EH491" s="121"/>
      <c r="EI491" s="237">
        <f t="shared" si="61"/>
        <v>0</v>
      </c>
      <c r="EJ491" s="121"/>
      <c r="EK491" s="237">
        <f t="shared" si="62"/>
        <v>0</v>
      </c>
      <c r="EL491" s="237"/>
      <c r="EM491" s="5"/>
      <c r="EN491" s="5"/>
      <c r="EO491" s="5"/>
      <c r="EP491" s="5"/>
      <c r="EQ491" s="237">
        <f t="shared" si="63"/>
        <v>0</v>
      </c>
      <c r="ER491" s="239">
        <v>23300</v>
      </c>
      <c r="ES491" s="5">
        <v>7.5</v>
      </c>
    </row>
    <row r="492" spans="1:149" x14ac:dyDescent="0.3">
      <c r="A492" s="124"/>
      <c r="B492" s="121"/>
      <c r="C492" s="121"/>
      <c r="D492" s="121"/>
      <c r="E492" s="121"/>
      <c r="F492" s="121"/>
      <c r="G492" s="121"/>
      <c r="H492" s="121"/>
      <c r="I492" s="121"/>
      <c r="J492" s="121"/>
      <c r="K492" s="121"/>
      <c r="L492" s="121"/>
      <c r="M492" s="121"/>
      <c r="N492" s="121"/>
      <c r="O492" s="235"/>
      <c r="P492" s="121"/>
      <c r="Q492" s="121"/>
      <c r="R492" s="121"/>
      <c r="S492" s="121"/>
      <c r="T492" s="121"/>
      <c r="U492" s="121"/>
      <c r="V492" s="121"/>
      <c r="W492" s="121"/>
      <c r="X492" s="117"/>
      <c r="Y492" s="117"/>
      <c r="Z492" s="121"/>
      <c r="AA492" s="121"/>
      <c r="AB492" s="121"/>
      <c r="AC492" s="121"/>
      <c r="AD492" s="121"/>
      <c r="AE492" s="121"/>
      <c r="AF492" s="121"/>
      <c r="AG492" s="121"/>
      <c r="AH492" s="121"/>
      <c r="AI492" s="121"/>
      <c r="AJ492" s="121"/>
      <c r="AK492" s="121"/>
      <c r="AL492" s="121"/>
      <c r="AM492" s="121"/>
      <c r="AN492" s="121"/>
      <c r="AO492" s="121"/>
      <c r="AP492" s="121"/>
      <c r="AQ492" s="121"/>
      <c r="AR492" s="121"/>
      <c r="AS492" s="121"/>
      <c r="AT492" s="121"/>
      <c r="AU492" s="121"/>
      <c r="AV492" s="121"/>
      <c r="AW492" s="121"/>
      <c r="AX492" s="121"/>
      <c r="AY492" s="121"/>
      <c r="AZ492" s="121"/>
      <c r="BA492" s="121"/>
      <c r="BB492" s="121"/>
      <c r="BC492" s="121"/>
      <c r="BD492" s="121"/>
      <c r="BE492" s="121"/>
      <c r="BF492" s="121"/>
      <c r="BG492" s="121"/>
      <c r="BH492" s="121"/>
      <c r="BI492" s="121"/>
      <c r="BJ492" s="121"/>
      <c r="BK492" s="121"/>
      <c r="BL492" s="121"/>
      <c r="BM492" s="121"/>
      <c r="BN492" s="121"/>
      <c r="BO492" s="121"/>
      <c r="BP492" s="121"/>
      <c r="BQ492" s="121"/>
      <c r="BR492" s="121"/>
      <c r="BS492" s="121"/>
      <c r="BT492" s="121"/>
      <c r="BU492" s="121"/>
      <c r="BV492" s="121"/>
      <c r="BW492" s="121"/>
      <c r="BX492" s="121"/>
      <c r="BY492" s="121"/>
      <c r="BZ492" s="121"/>
      <c r="CA492" s="121"/>
      <c r="CB492" s="121"/>
      <c r="CC492" s="121"/>
      <c r="CD492" s="121"/>
      <c r="CE492" s="121"/>
      <c r="CF492" s="121"/>
      <c r="CG492" s="121"/>
      <c r="CH492" s="121"/>
      <c r="CI492" s="121"/>
      <c r="CJ492" s="121"/>
      <c r="CK492" s="121"/>
      <c r="CL492" s="121"/>
      <c r="CM492" s="121"/>
      <c r="CN492" s="121"/>
      <c r="CO492" s="121"/>
      <c r="CP492" s="121"/>
      <c r="CQ492" s="121"/>
      <c r="CR492" s="121"/>
      <c r="CS492" s="121"/>
      <c r="CT492" s="121"/>
      <c r="CU492" s="121"/>
      <c r="CV492" s="121"/>
      <c r="CW492" s="121"/>
      <c r="CX492" s="121"/>
      <c r="CY492" s="121"/>
      <c r="CZ492" s="121"/>
      <c r="DA492" s="121"/>
      <c r="DB492" s="121"/>
      <c r="DC492" s="121"/>
      <c r="DD492" s="121"/>
      <c r="DE492" s="121"/>
      <c r="DF492" s="121"/>
      <c r="DG492" s="121"/>
      <c r="DH492" s="121"/>
      <c r="DI492" s="121"/>
      <c r="DJ492" s="121"/>
      <c r="DK492" s="121"/>
      <c r="DL492" s="121"/>
      <c r="DM492" s="121"/>
      <c r="DN492" s="121"/>
      <c r="DO492" s="121"/>
      <c r="DP492" s="121"/>
      <c r="DQ492" s="121"/>
      <c r="DR492" s="121"/>
      <c r="DS492" s="121"/>
      <c r="DT492" s="240"/>
      <c r="DU492" s="240"/>
      <c r="DV492" s="240"/>
      <c r="DW492" s="240"/>
      <c r="DX492" s="240"/>
      <c r="DY492" s="240"/>
      <c r="DZ492" s="240"/>
      <c r="EA492" s="240"/>
      <c r="EB492" s="237">
        <f t="shared" si="56"/>
        <v>0</v>
      </c>
      <c r="EC492" s="237">
        <f t="shared" si="57"/>
        <v>0</v>
      </c>
      <c r="ED492" s="237">
        <f t="shared" si="58"/>
        <v>0</v>
      </c>
      <c r="EE492" s="237">
        <f t="shared" si="59"/>
        <v>0</v>
      </c>
      <c r="EF492" s="121"/>
      <c r="EG492" s="238">
        <f t="shared" si="60"/>
        <v>0</v>
      </c>
      <c r="EH492" s="121"/>
      <c r="EI492" s="237">
        <f t="shared" si="61"/>
        <v>0</v>
      </c>
      <c r="EJ492" s="121"/>
      <c r="EK492" s="237">
        <f t="shared" si="62"/>
        <v>0</v>
      </c>
      <c r="EL492" s="237"/>
      <c r="EM492" s="5"/>
      <c r="EN492" s="5"/>
      <c r="EO492" s="5"/>
      <c r="EP492" s="5"/>
      <c r="EQ492" s="237">
        <f t="shared" si="63"/>
        <v>0</v>
      </c>
      <c r="ER492" s="239">
        <v>23300</v>
      </c>
      <c r="ES492" s="5">
        <v>7.5</v>
      </c>
    </row>
    <row r="493" spans="1:149" x14ac:dyDescent="0.3">
      <c r="A493" s="124"/>
      <c r="B493" s="121"/>
      <c r="C493" s="121"/>
      <c r="D493" s="121"/>
      <c r="E493" s="121"/>
      <c r="F493" s="121"/>
      <c r="G493" s="121"/>
      <c r="H493" s="121"/>
      <c r="I493" s="121"/>
      <c r="J493" s="121"/>
      <c r="K493" s="121"/>
      <c r="L493" s="121"/>
      <c r="M493" s="121"/>
      <c r="N493" s="121"/>
      <c r="O493" s="235"/>
      <c r="P493" s="121"/>
      <c r="Q493" s="121"/>
      <c r="R493" s="121"/>
      <c r="S493" s="121"/>
      <c r="T493" s="121"/>
      <c r="U493" s="121"/>
      <c r="V493" s="121"/>
      <c r="W493" s="121"/>
      <c r="X493" s="117"/>
      <c r="Y493" s="117"/>
      <c r="Z493" s="121"/>
      <c r="AA493" s="121"/>
      <c r="AB493" s="121"/>
      <c r="AC493" s="121"/>
      <c r="AD493" s="121"/>
      <c r="AE493" s="121"/>
      <c r="AF493" s="121"/>
      <c r="AG493" s="121"/>
      <c r="AH493" s="121"/>
      <c r="AI493" s="121"/>
      <c r="AJ493" s="121"/>
      <c r="AK493" s="121"/>
      <c r="AL493" s="121"/>
      <c r="AM493" s="121"/>
      <c r="AN493" s="121"/>
      <c r="AO493" s="121"/>
      <c r="AP493" s="121"/>
      <c r="AQ493" s="121"/>
      <c r="AR493" s="121"/>
      <c r="AS493" s="121"/>
      <c r="AT493" s="121"/>
      <c r="AU493" s="121"/>
      <c r="AV493" s="121"/>
      <c r="AW493" s="121"/>
      <c r="AX493" s="121"/>
      <c r="AY493" s="121"/>
      <c r="AZ493" s="121"/>
      <c r="BA493" s="121"/>
      <c r="BB493" s="121"/>
      <c r="BC493" s="121"/>
      <c r="BD493" s="121"/>
      <c r="BE493" s="121"/>
      <c r="BF493" s="121"/>
      <c r="BG493" s="121"/>
      <c r="BH493" s="121"/>
      <c r="BI493" s="121"/>
      <c r="BJ493" s="121"/>
      <c r="BK493" s="121"/>
      <c r="BL493" s="121"/>
      <c r="BM493" s="121"/>
      <c r="BN493" s="121"/>
      <c r="BO493" s="121"/>
      <c r="BP493" s="121"/>
      <c r="BQ493" s="121"/>
      <c r="BR493" s="121"/>
      <c r="BS493" s="121"/>
      <c r="BT493" s="121"/>
      <c r="BU493" s="121"/>
      <c r="BV493" s="121"/>
      <c r="BW493" s="121"/>
      <c r="BX493" s="121"/>
      <c r="BY493" s="121"/>
      <c r="BZ493" s="121"/>
      <c r="CA493" s="121"/>
      <c r="CB493" s="121"/>
      <c r="CC493" s="121"/>
      <c r="CD493" s="121"/>
      <c r="CE493" s="121"/>
      <c r="CF493" s="121"/>
      <c r="CG493" s="121"/>
      <c r="CH493" s="121"/>
      <c r="CI493" s="121"/>
      <c r="CJ493" s="121"/>
      <c r="CK493" s="121"/>
      <c r="CL493" s="121"/>
      <c r="CM493" s="121"/>
      <c r="CN493" s="121"/>
      <c r="CO493" s="121"/>
      <c r="CP493" s="121"/>
      <c r="CQ493" s="121"/>
      <c r="CR493" s="121"/>
      <c r="CS493" s="121"/>
      <c r="CT493" s="121"/>
      <c r="CU493" s="121"/>
      <c r="CV493" s="121"/>
      <c r="CW493" s="121"/>
      <c r="CX493" s="121"/>
      <c r="CY493" s="121"/>
      <c r="CZ493" s="121"/>
      <c r="DA493" s="121"/>
      <c r="DB493" s="121"/>
      <c r="DC493" s="121"/>
      <c r="DD493" s="121"/>
      <c r="DE493" s="121"/>
      <c r="DF493" s="121"/>
      <c r="DG493" s="121"/>
      <c r="DH493" s="121"/>
      <c r="DI493" s="121"/>
      <c r="DJ493" s="121"/>
      <c r="DK493" s="121"/>
      <c r="DL493" s="121"/>
      <c r="DM493" s="121"/>
      <c r="DN493" s="121"/>
      <c r="DO493" s="121"/>
      <c r="DP493" s="121"/>
      <c r="DQ493" s="121"/>
      <c r="DR493" s="121"/>
      <c r="DS493" s="121"/>
      <c r="DT493" s="240"/>
      <c r="DU493" s="240"/>
      <c r="DV493" s="240"/>
      <c r="DW493" s="240"/>
      <c r="DX493" s="240"/>
      <c r="DY493" s="240"/>
      <c r="DZ493" s="240"/>
      <c r="EA493" s="240"/>
      <c r="EB493" s="237">
        <f t="shared" si="56"/>
        <v>0</v>
      </c>
      <c r="EC493" s="237">
        <f t="shared" si="57"/>
        <v>0</v>
      </c>
      <c r="ED493" s="237">
        <f t="shared" si="58"/>
        <v>0</v>
      </c>
      <c r="EE493" s="237">
        <f t="shared" si="59"/>
        <v>0</v>
      </c>
      <c r="EF493" s="121"/>
      <c r="EG493" s="238">
        <f t="shared" si="60"/>
        <v>0</v>
      </c>
      <c r="EH493" s="121"/>
      <c r="EI493" s="237">
        <f t="shared" si="61"/>
        <v>0</v>
      </c>
      <c r="EJ493" s="121"/>
      <c r="EK493" s="237">
        <f t="shared" si="62"/>
        <v>0</v>
      </c>
      <c r="EL493" s="237"/>
      <c r="EM493" s="5"/>
      <c r="EN493" s="5"/>
      <c r="EO493" s="5"/>
      <c r="EP493" s="5"/>
      <c r="EQ493" s="237">
        <f t="shared" si="63"/>
        <v>0</v>
      </c>
      <c r="ER493" s="239">
        <v>23300</v>
      </c>
      <c r="ES493" s="5">
        <v>7.5</v>
      </c>
    </row>
    <row r="494" spans="1:149" x14ac:dyDescent="0.3">
      <c r="A494" s="124"/>
      <c r="B494" s="121"/>
      <c r="C494" s="121"/>
      <c r="D494" s="121"/>
      <c r="E494" s="121"/>
      <c r="F494" s="121"/>
      <c r="G494" s="121"/>
      <c r="H494" s="121"/>
      <c r="I494" s="121"/>
      <c r="J494" s="121"/>
      <c r="K494" s="121"/>
      <c r="L494" s="121"/>
      <c r="M494" s="121"/>
      <c r="N494" s="121"/>
      <c r="O494" s="235"/>
      <c r="P494" s="121"/>
      <c r="Q494" s="121"/>
      <c r="R494" s="121"/>
      <c r="S494" s="121"/>
      <c r="T494" s="121"/>
      <c r="U494" s="121"/>
      <c r="V494" s="121"/>
      <c r="W494" s="121"/>
      <c r="X494" s="117"/>
      <c r="Y494" s="117"/>
      <c r="Z494" s="121"/>
      <c r="AA494" s="121"/>
      <c r="AB494" s="121"/>
      <c r="AC494" s="121"/>
      <c r="AD494" s="121"/>
      <c r="AE494" s="121"/>
      <c r="AF494" s="121"/>
      <c r="AG494" s="121"/>
      <c r="AH494" s="121"/>
      <c r="AI494" s="121"/>
      <c r="AJ494" s="121"/>
      <c r="AK494" s="121"/>
      <c r="AL494" s="121"/>
      <c r="AM494" s="121"/>
      <c r="AN494" s="121"/>
      <c r="AO494" s="121"/>
      <c r="AP494" s="121"/>
      <c r="AQ494" s="121"/>
      <c r="AR494" s="121"/>
      <c r="AS494" s="121"/>
      <c r="AT494" s="121"/>
      <c r="AU494" s="121"/>
      <c r="AV494" s="121"/>
      <c r="AW494" s="121"/>
      <c r="AX494" s="121"/>
      <c r="AY494" s="121"/>
      <c r="AZ494" s="121"/>
      <c r="BA494" s="121"/>
      <c r="BB494" s="121"/>
      <c r="BC494" s="121"/>
      <c r="BD494" s="121"/>
      <c r="BE494" s="121"/>
      <c r="BF494" s="121"/>
      <c r="BG494" s="121"/>
      <c r="BH494" s="121"/>
      <c r="BI494" s="121"/>
      <c r="BJ494" s="121"/>
      <c r="BK494" s="121"/>
      <c r="BL494" s="121"/>
      <c r="BM494" s="121"/>
      <c r="BN494" s="121"/>
      <c r="BO494" s="121"/>
      <c r="BP494" s="121"/>
      <c r="BQ494" s="121"/>
      <c r="BR494" s="121"/>
      <c r="BS494" s="121"/>
      <c r="BT494" s="121"/>
      <c r="BU494" s="121"/>
      <c r="BV494" s="121"/>
      <c r="BW494" s="121"/>
      <c r="BX494" s="121"/>
      <c r="BY494" s="121"/>
      <c r="BZ494" s="121"/>
      <c r="CA494" s="121"/>
      <c r="CB494" s="121"/>
      <c r="CC494" s="121"/>
      <c r="CD494" s="121"/>
      <c r="CE494" s="121"/>
      <c r="CF494" s="121"/>
      <c r="CG494" s="121"/>
      <c r="CH494" s="121"/>
      <c r="CI494" s="121"/>
      <c r="CJ494" s="121"/>
      <c r="CK494" s="121"/>
      <c r="CL494" s="121"/>
      <c r="CM494" s="121"/>
      <c r="CN494" s="121"/>
      <c r="CO494" s="121"/>
      <c r="CP494" s="121"/>
      <c r="CQ494" s="121"/>
      <c r="CR494" s="121"/>
      <c r="CS494" s="121"/>
      <c r="CT494" s="121"/>
      <c r="CU494" s="121"/>
      <c r="CV494" s="121"/>
      <c r="CW494" s="121"/>
      <c r="CX494" s="121"/>
      <c r="CY494" s="121"/>
      <c r="CZ494" s="121"/>
      <c r="DA494" s="121"/>
      <c r="DB494" s="121"/>
      <c r="DC494" s="121"/>
      <c r="DD494" s="121"/>
      <c r="DE494" s="121"/>
      <c r="DF494" s="121"/>
      <c r="DG494" s="121"/>
      <c r="DH494" s="121"/>
      <c r="DI494" s="121"/>
      <c r="DJ494" s="121"/>
      <c r="DK494" s="121"/>
      <c r="DL494" s="121"/>
      <c r="DM494" s="121"/>
      <c r="DN494" s="121"/>
      <c r="DO494" s="121"/>
      <c r="DP494" s="121"/>
      <c r="DQ494" s="121"/>
      <c r="DR494" s="121"/>
      <c r="DS494" s="121"/>
      <c r="DT494" s="240"/>
      <c r="DU494" s="240"/>
      <c r="DV494" s="240"/>
      <c r="DW494" s="240"/>
      <c r="DX494" s="240"/>
      <c r="DY494" s="240"/>
      <c r="DZ494" s="240"/>
      <c r="EA494" s="240"/>
      <c r="EB494" s="237">
        <f t="shared" si="56"/>
        <v>0</v>
      </c>
      <c r="EC494" s="237">
        <f t="shared" si="57"/>
        <v>0</v>
      </c>
      <c r="ED494" s="237">
        <f t="shared" si="58"/>
        <v>0</v>
      </c>
      <c r="EE494" s="237">
        <f t="shared" si="59"/>
        <v>0</v>
      </c>
      <c r="EF494" s="121"/>
      <c r="EG494" s="238">
        <f t="shared" si="60"/>
        <v>0</v>
      </c>
      <c r="EH494" s="121"/>
      <c r="EI494" s="237">
        <f t="shared" si="61"/>
        <v>0</v>
      </c>
      <c r="EJ494" s="121"/>
      <c r="EK494" s="237">
        <f t="shared" si="62"/>
        <v>0</v>
      </c>
      <c r="EL494" s="237"/>
      <c r="EM494" s="5"/>
      <c r="EN494" s="5"/>
      <c r="EO494" s="5"/>
      <c r="EP494" s="5"/>
      <c r="EQ494" s="237">
        <f t="shared" si="63"/>
        <v>0</v>
      </c>
      <c r="ER494" s="239">
        <v>23300</v>
      </c>
      <c r="ES494" s="5">
        <v>7.5</v>
      </c>
    </row>
    <row r="495" spans="1:149" x14ac:dyDescent="0.3">
      <c r="A495" s="124"/>
      <c r="B495" s="121"/>
      <c r="C495" s="121"/>
      <c r="D495" s="121"/>
      <c r="E495" s="121"/>
      <c r="F495" s="121"/>
      <c r="G495" s="121"/>
      <c r="H495" s="121"/>
      <c r="I495" s="121"/>
      <c r="J495" s="121"/>
      <c r="K495" s="121"/>
      <c r="L495" s="121"/>
      <c r="M495" s="121"/>
      <c r="N495" s="121"/>
      <c r="O495" s="235"/>
      <c r="P495" s="121"/>
      <c r="Q495" s="121"/>
      <c r="R495" s="121"/>
      <c r="S495" s="121"/>
      <c r="T495" s="121"/>
      <c r="U495" s="121"/>
      <c r="V495" s="121"/>
      <c r="W495" s="121"/>
      <c r="X495" s="117"/>
      <c r="Y495" s="117"/>
      <c r="Z495" s="121"/>
      <c r="AA495" s="121"/>
      <c r="AB495" s="121"/>
      <c r="AC495" s="121"/>
      <c r="AD495" s="121"/>
      <c r="AE495" s="121"/>
      <c r="AF495" s="121"/>
      <c r="AG495" s="121"/>
      <c r="AH495" s="121"/>
      <c r="AI495" s="121"/>
      <c r="AJ495" s="121"/>
      <c r="AK495" s="121"/>
      <c r="AL495" s="121"/>
      <c r="AM495" s="121"/>
      <c r="AN495" s="121"/>
      <c r="AO495" s="121"/>
      <c r="AP495" s="121"/>
      <c r="AQ495" s="121"/>
      <c r="AR495" s="121"/>
      <c r="AS495" s="121"/>
      <c r="AT495" s="121"/>
      <c r="AU495" s="121"/>
      <c r="AV495" s="121"/>
      <c r="AW495" s="121"/>
      <c r="AX495" s="121"/>
      <c r="AY495" s="121"/>
      <c r="AZ495" s="121"/>
      <c r="BA495" s="121"/>
      <c r="BB495" s="121"/>
      <c r="BC495" s="121"/>
      <c r="BD495" s="121"/>
      <c r="BE495" s="121"/>
      <c r="BF495" s="121"/>
      <c r="BG495" s="121"/>
      <c r="BH495" s="121"/>
      <c r="BI495" s="121"/>
      <c r="BJ495" s="121"/>
      <c r="BK495" s="121"/>
      <c r="BL495" s="121"/>
      <c r="BM495" s="121"/>
      <c r="BN495" s="121"/>
      <c r="BO495" s="121"/>
      <c r="BP495" s="121"/>
      <c r="BQ495" s="121"/>
      <c r="BR495" s="121"/>
      <c r="BS495" s="121"/>
      <c r="BT495" s="121"/>
      <c r="BU495" s="121"/>
      <c r="BV495" s="121"/>
      <c r="BW495" s="121"/>
      <c r="BX495" s="121"/>
      <c r="BY495" s="121"/>
      <c r="BZ495" s="121"/>
      <c r="CA495" s="121"/>
      <c r="CB495" s="121"/>
      <c r="CC495" s="121"/>
      <c r="CD495" s="121"/>
      <c r="CE495" s="121"/>
      <c r="CF495" s="121"/>
      <c r="CG495" s="121"/>
      <c r="CH495" s="121"/>
      <c r="CI495" s="121"/>
      <c r="CJ495" s="121"/>
      <c r="CK495" s="121"/>
      <c r="CL495" s="121"/>
      <c r="CM495" s="121"/>
      <c r="CN495" s="121"/>
      <c r="CO495" s="121"/>
      <c r="CP495" s="121"/>
      <c r="CQ495" s="121"/>
      <c r="CR495" s="121"/>
      <c r="CS495" s="121"/>
      <c r="CT495" s="121"/>
      <c r="CU495" s="121"/>
      <c r="CV495" s="121"/>
      <c r="CW495" s="121"/>
      <c r="CX495" s="121"/>
      <c r="CY495" s="121"/>
      <c r="CZ495" s="121"/>
      <c r="DA495" s="121"/>
      <c r="DB495" s="121"/>
      <c r="DC495" s="121"/>
      <c r="DD495" s="121"/>
      <c r="DE495" s="121"/>
      <c r="DF495" s="121"/>
      <c r="DG495" s="121"/>
      <c r="DH495" s="121"/>
      <c r="DI495" s="121"/>
      <c r="DJ495" s="121"/>
      <c r="DK495" s="121"/>
      <c r="DL495" s="121"/>
      <c r="DM495" s="121"/>
      <c r="DN495" s="121"/>
      <c r="DO495" s="121"/>
      <c r="DP495" s="121"/>
      <c r="DQ495" s="121"/>
      <c r="DR495" s="121"/>
      <c r="DS495" s="121"/>
      <c r="DT495" s="240"/>
      <c r="DU495" s="240"/>
      <c r="DV495" s="240"/>
      <c r="DW495" s="240"/>
      <c r="DX495" s="240"/>
      <c r="DY495" s="240"/>
      <c r="DZ495" s="240"/>
      <c r="EA495" s="240"/>
      <c r="EB495" s="237">
        <f t="shared" si="56"/>
        <v>0</v>
      </c>
      <c r="EC495" s="237">
        <f t="shared" si="57"/>
        <v>0</v>
      </c>
      <c r="ED495" s="237">
        <f t="shared" si="58"/>
        <v>0</v>
      </c>
      <c r="EE495" s="237">
        <f t="shared" si="59"/>
        <v>0</v>
      </c>
      <c r="EF495" s="121"/>
      <c r="EG495" s="238">
        <f t="shared" si="60"/>
        <v>0</v>
      </c>
      <c r="EH495" s="121"/>
      <c r="EI495" s="237">
        <f t="shared" si="61"/>
        <v>0</v>
      </c>
      <c r="EJ495" s="121"/>
      <c r="EK495" s="237">
        <f t="shared" si="62"/>
        <v>0</v>
      </c>
      <c r="EL495" s="237"/>
      <c r="EM495" s="5"/>
      <c r="EN495" s="5"/>
      <c r="EO495" s="5"/>
      <c r="EP495" s="5"/>
      <c r="EQ495" s="237">
        <f t="shared" si="63"/>
        <v>0</v>
      </c>
      <c r="ER495" s="239">
        <v>23300</v>
      </c>
      <c r="ES495" s="5">
        <v>7.5</v>
      </c>
    </row>
    <row r="496" spans="1:149" x14ac:dyDescent="0.3">
      <c r="A496" s="124"/>
      <c r="B496" s="121"/>
      <c r="C496" s="121"/>
      <c r="D496" s="121"/>
      <c r="E496" s="121"/>
      <c r="F496" s="121"/>
      <c r="G496" s="121"/>
      <c r="H496" s="121"/>
      <c r="I496" s="121"/>
      <c r="J496" s="121"/>
      <c r="K496" s="121"/>
      <c r="L496" s="121"/>
      <c r="M496" s="121"/>
      <c r="N496" s="121"/>
      <c r="O496" s="235"/>
      <c r="P496" s="121"/>
      <c r="Q496" s="121"/>
      <c r="R496" s="121"/>
      <c r="S496" s="121"/>
      <c r="T496" s="121"/>
      <c r="U496" s="121"/>
      <c r="V496" s="121"/>
      <c r="W496" s="121"/>
      <c r="X496" s="117"/>
      <c r="Y496" s="117"/>
      <c r="Z496" s="121"/>
      <c r="AA496" s="121"/>
      <c r="AB496" s="121"/>
      <c r="AC496" s="121"/>
      <c r="AD496" s="121"/>
      <c r="AE496" s="121"/>
      <c r="AF496" s="121"/>
      <c r="AG496" s="121"/>
      <c r="AH496" s="121"/>
      <c r="AI496" s="121"/>
      <c r="AJ496" s="121"/>
      <c r="AK496" s="121"/>
      <c r="AL496" s="121"/>
      <c r="AM496" s="121"/>
      <c r="AN496" s="121"/>
      <c r="AO496" s="121"/>
      <c r="AP496" s="121"/>
      <c r="AQ496" s="121"/>
      <c r="AR496" s="121"/>
      <c r="AS496" s="121"/>
      <c r="AT496" s="121"/>
      <c r="AU496" s="121"/>
      <c r="AV496" s="121"/>
      <c r="AW496" s="121"/>
      <c r="AX496" s="121"/>
      <c r="AY496" s="121"/>
      <c r="AZ496" s="121"/>
      <c r="BA496" s="121"/>
      <c r="BB496" s="121"/>
      <c r="BC496" s="121"/>
      <c r="BD496" s="121"/>
      <c r="BE496" s="121"/>
      <c r="BF496" s="121"/>
      <c r="BG496" s="121"/>
      <c r="BH496" s="121"/>
      <c r="BI496" s="121"/>
      <c r="BJ496" s="121"/>
      <c r="BK496" s="121"/>
      <c r="BL496" s="121"/>
      <c r="BM496" s="121"/>
      <c r="BN496" s="121"/>
      <c r="BO496" s="121"/>
      <c r="BP496" s="121"/>
      <c r="BQ496" s="121"/>
      <c r="BR496" s="121"/>
      <c r="BS496" s="121"/>
      <c r="BT496" s="121"/>
      <c r="BU496" s="121"/>
      <c r="BV496" s="121"/>
      <c r="BW496" s="121"/>
      <c r="BX496" s="121"/>
      <c r="BY496" s="121"/>
      <c r="BZ496" s="121"/>
      <c r="CA496" s="121"/>
      <c r="CB496" s="121"/>
      <c r="CC496" s="121"/>
      <c r="CD496" s="121"/>
      <c r="CE496" s="121"/>
      <c r="CF496" s="121"/>
      <c r="CG496" s="121"/>
      <c r="CH496" s="121"/>
      <c r="CI496" s="121"/>
      <c r="CJ496" s="121"/>
      <c r="CK496" s="121"/>
      <c r="CL496" s="121"/>
      <c r="CM496" s="121"/>
      <c r="CN496" s="121"/>
      <c r="CO496" s="121"/>
      <c r="CP496" s="121"/>
      <c r="CQ496" s="121"/>
      <c r="CR496" s="121"/>
      <c r="CS496" s="121"/>
      <c r="CT496" s="121"/>
      <c r="CU496" s="121"/>
      <c r="CV496" s="121"/>
      <c r="CW496" s="121"/>
      <c r="CX496" s="121"/>
      <c r="CY496" s="121"/>
      <c r="CZ496" s="121"/>
      <c r="DA496" s="121"/>
      <c r="DB496" s="121"/>
      <c r="DC496" s="121"/>
      <c r="DD496" s="121"/>
      <c r="DE496" s="121"/>
      <c r="DF496" s="121"/>
      <c r="DG496" s="121"/>
      <c r="DH496" s="121"/>
      <c r="DI496" s="121"/>
      <c r="DJ496" s="121"/>
      <c r="DK496" s="121"/>
      <c r="DL496" s="121"/>
      <c r="DM496" s="121"/>
      <c r="DN496" s="121"/>
      <c r="DO496" s="121"/>
      <c r="DP496" s="121"/>
      <c r="DQ496" s="121"/>
      <c r="DR496" s="121"/>
      <c r="DS496" s="121"/>
      <c r="DT496" s="240"/>
      <c r="DU496" s="240"/>
      <c r="DV496" s="240"/>
      <c r="DW496" s="240"/>
      <c r="DX496" s="240"/>
      <c r="DY496" s="240"/>
      <c r="DZ496" s="240"/>
      <c r="EA496" s="240"/>
      <c r="EB496" s="237">
        <f t="shared" si="56"/>
        <v>0</v>
      </c>
      <c r="EC496" s="237">
        <f t="shared" si="57"/>
        <v>0</v>
      </c>
      <c r="ED496" s="237">
        <f t="shared" si="58"/>
        <v>0</v>
      </c>
      <c r="EE496" s="237">
        <f t="shared" si="59"/>
        <v>0</v>
      </c>
      <c r="EF496" s="121"/>
      <c r="EG496" s="238">
        <f t="shared" si="60"/>
        <v>0</v>
      </c>
      <c r="EH496" s="121"/>
      <c r="EI496" s="237">
        <f t="shared" si="61"/>
        <v>0</v>
      </c>
      <c r="EJ496" s="121"/>
      <c r="EK496" s="237">
        <f t="shared" si="62"/>
        <v>0</v>
      </c>
      <c r="EL496" s="237"/>
      <c r="EM496" s="5"/>
      <c r="EN496" s="5"/>
      <c r="EO496" s="5"/>
      <c r="EP496" s="5"/>
      <c r="EQ496" s="237">
        <f t="shared" si="63"/>
        <v>0</v>
      </c>
      <c r="ER496" s="239">
        <v>23300</v>
      </c>
      <c r="ES496" s="5">
        <v>7.5</v>
      </c>
    </row>
    <row r="497" spans="1:149" x14ac:dyDescent="0.3">
      <c r="A497" s="124"/>
      <c r="B497" s="121"/>
      <c r="C497" s="121"/>
      <c r="D497" s="121"/>
      <c r="E497" s="121"/>
      <c r="F497" s="121"/>
      <c r="G497" s="121"/>
      <c r="H497" s="121"/>
      <c r="I497" s="121"/>
      <c r="J497" s="121"/>
      <c r="K497" s="121"/>
      <c r="L497" s="121"/>
      <c r="M497" s="121"/>
      <c r="N497" s="121"/>
      <c r="O497" s="235"/>
      <c r="P497" s="121"/>
      <c r="Q497" s="121"/>
      <c r="R497" s="121"/>
      <c r="S497" s="121"/>
      <c r="T497" s="121"/>
      <c r="U497" s="121"/>
      <c r="V497" s="121"/>
      <c r="W497" s="121"/>
      <c r="X497" s="117"/>
      <c r="Y497" s="117"/>
      <c r="Z497" s="121"/>
      <c r="AA497" s="121"/>
      <c r="AB497" s="121"/>
      <c r="AC497" s="121"/>
      <c r="AD497" s="121"/>
      <c r="AE497" s="121"/>
      <c r="AF497" s="121"/>
      <c r="AG497" s="121"/>
      <c r="AH497" s="121"/>
      <c r="AI497" s="121"/>
      <c r="AJ497" s="121"/>
      <c r="AK497" s="121"/>
      <c r="AL497" s="121"/>
      <c r="AM497" s="121"/>
      <c r="AN497" s="121"/>
      <c r="AO497" s="121"/>
      <c r="AP497" s="121"/>
      <c r="AQ497" s="121"/>
      <c r="AR497" s="121"/>
      <c r="AS497" s="121"/>
      <c r="AT497" s="121"/>
      <c r="AU497" s="121"/>
      <c r="AV497" s="121"/>
      <c r="AW497" s="121"/>
      <c r="AX497" s="121"/>
      <c r="AY497" s="121"/>
      <c r="AZ497" s="121"/>
      <c r="BA497" s="121"/>
      <c r="BB497" s="121"/>
      <c r="BC497" s="121"/>
      <c r="BD497" s="121"/>
      <c r="BE497" s="121"/>
      <c r="BF497" s="121"/>
      <c r="BG497" s="121"/>
      <c r="BH497" s="121"/>
      <c r="BI497" s="121"/>
      <c r="BJ497" s="121"/>
      <c r="BK497" s="121"/>
      <c r="BL497" s="121"/>
      <c r="BM497" s="121"/>
      <c r="BN497" s="121"/>
      <c r="BO497" s="121"/>
      <c r="BP497" s="121"/>
      <c r="BQ497" s="121"/>
      <c r="BR497" s="121"/>
      <c r="BS497" s="121"/>
      <c r="BT497" s="121"/>
      <c r="BU497" s="121"/>
      <c r="BV497" s="121"/>
      <c r="BW497" s="121"/>
      <c r="BX497" s="121"/>
      <c r="BY497" s="121"/>
      <c r="BZ497" s="121"/>
      <c r="CA497" s="121"/>
      <c r="CB497" s="121"/>
      <c r="CC497" s="121"/>
      <c r="CD497" s="121"/>
      <c r="CE497" s="121"/>
      <c r="CF497" s="121"/>
      <c r="CG497" s="121"/>
      <c r="CH497" s="121"/>
      <c r="CI497" s="121"/>
      <c r="CJ497" s="121"/>
      <c r="CK497" s="121"/>
      <c r="CL497" s="121"/>
      <c r="CM497" s="121"/>
      <c r="CN497" s="121"/>
      <c r="CO497" s="121"/>
      <c r="CP497" s="121"/>
      <c r="CQ497" s="121"/>
      <c r="CR497" s="121"/>
      <c r="CS497" s="121"/>
      <c r="CT497" s="121"/>
      <c r="CU497" s="121"/>
      <c r="CV497" s="121"/>
      <c r="CW497" s="121"/>
      <c r="CX497" s="121"/>
      <c r="CY497" s="121"/>
      <c r="CZ497" s="121"/>
      <c r="DA497" s="121"/>
      <c r="DB497" s="121"/>
      <c r="DC497" s="121"/>
      <c r="DD497" s="121"/>
      <c r="DE497" s="121"/>
      <c r="DF497" s="121"/>
      <c r="DG497" s="121"/>
      <c r="DH497" s="121"/>
      <c r="DI497" s="121"/>
      <c r="DJ497" s="121"/>
      <c r="DK497" s="121"/>
      <c r="DL497" s="121"/>
      <c r="DM497" s="121"/>
      <c r="DN497" s="121"/>
      <c r="DO497" s="121"/>
      <c r="DP497" s="121"/>
      <c r="DQ497" s="121"/>
      <c r="DR497" s="121"/>
      <c r="DS497" s="121"/>
      <c r="DT497" s="240"/>
      <c r="DU497" s="240"/>
      <c r="DV497" s="240"/>
      <c r="DW497" s="240"/>
      <c r="DX497" s="240"/>
      <c r="DY497" s="240"/>
      <c r="DZ497" s="240"/>
      <c r="EA497" s="240"/>
      <c r="EB497" s="237">
        <f t="shared" si="56"/>
        <v>0</v>
      </c>
      <c r="EC497" s="237">
        <f t="shared" si="57"/>
        <v>0</v>
      </c>
      <c r="ED497" s="237">
        <f t="shared" si="58"/>
        <v>0</v>
      </c>
      <c r="EE497" s="237">
        <f t="shared" si="59"/>
        <v>0</v>
      </c>
      <c r="EF497" s="121"/>
      <c r="EG497" s="238">
        <f t="shared" si="60"/>
        <v>0</v>
      </c>
      <c r="EH497" s="121"/>
      <c r="EI497" s="237">
        <f t="shared" si="61"/>
        <v>0</v>
      </c>
      <c r="EJ497" s="121"/>
      <c r="EK497" s="237">
        <f t="shared" si="62"/>
        <v>0</v>
      </c>
      <c r="EL497" s="237"/>
      <c r="EM497" s="5"/>
      <c r="EN497" s="5"/>
      <c r="EO497" s="5"/>
      <c r="EP497" s="5"/>
      <c r="EQ497" s="237">
        <f t="shared" si="63"/>
        <v>0</v>
      </c>
      <c r="ER497" s="239">
        <v>23300</v>
      </c>
      <c r="ES497" s="5">
        <v>7.5</v>
      </c>
    </row>
    <row r="498" spans="1:149" x14ac:dyDescent="0.3">
      <c r="A498" s="124"/>
      <c r="B498" s="121"/>
      <c r="C498" s="121"/>
      <c r="D498" s="121"/>
      <c r="E498" s="121"/>
      <c r="F498" s="121"/>
      <c r="G498" s="121"/>
      <c r="H498" s="121"/>
      <c r="I498" s="121"/>
      <c r="J498" s="121"/>
      <c r="K498" s="121"/>
      <c r="L498" s="121"/>
      <c r="M498" s="121"/>
      <c r="N498" s="121"/>
      <c r="O498" s="235"/>
      <c r="P498" s="121"/>
      <c r="Q498" s="121"/>
      <c r="R498" s="121"/>
      <c r="S498" s="121"/>
      <c r="T498" s="121"/>
      <c r="U498" s="121"/>
      <c r="V498" s="121"/>
      <c r="W498" s="121"/>
      <c r="X498" s="117"/>
      <c r="Y498" s="117"/>
      <c r="Z498" s="121"/>
      <c r="AA498" s="121"/>
      <c r="AB498" s="121"/>
      <c r="AC498" s="121"/>
      <c r="AD498" s="121"/>
      <c r="AE498" s="121"/>
      <c r="AF498" s="121"/>
      <c r="AG498" s="121"/>
      <c r="AH498" s="121"/>
      <c r="AI498" s="121"/>
      <c r="AJ498" s="121"/>
      <c r="AK498" s="121"/>
      <c r="AL498" s="121"/>
      <c r="AM498" s="121"/>
      <c r="AN498" s="121"/>
      <c r="AO498" s="121"/>
      <c r="AP498" s="121"/>
      <c r="AQ498" s="121"/>
      <c r="AR498" s="121"/>
      <c r="AS498" s="121"/>
      <c r="AT498" s="121"/>
      <c r="AU498" s="121"/>
      <c r="AV498" s="121"/>
      <c r="AW498" s="121"/>
      <c r="AX498" s="121"/>
      <c r="AY498" s="121"/>
      <c r="AZ498" s="121"/>
      <c r="BA498" s="121"/>
      <c r="BB498" s="121"/>
      <c r="BC498" s="121"/>
      <c r="BD498" s="121"/>
      <c r="BE498" s="121"/>
      <c r="BF498" s="121"/>
      <c r="BG498" s="121"/>
      <c r="BH498" s="121"/>
      <c r="BI498" s="121"/>
      <c r="BJ498" s="121"/>
      <c r="BK498" s="121"/>
      <c r="BL498" s="121"/>
      <c r="BM498" s="121"/>
      <c r="BN498" s="121"/>
      <c r="BO498" s="121"/>
      <c r="BP498" s="121"/>
      <c r="BQ498" s="121"/>
      <c r="BR498" s="121"/>
      <c r="BS498" s="121"/>
      <c r="BT498" s="121"/>
      <c r="BU498" s="121"/>
      <c r="BV498" s="121"/>
      <c r="BW498" s="121"/>
      <c r="BX498" s="121"/>
      <c r="BY498" s="121"/>
      <c r="BZ498" s="121"/>
      <c r="CA498" s="121"/>
      <c r="CB498" s="121"/>
      <c r="CC498" s="121"/>
      <c r="CD498" s="121"/>
      <c r="CE498" s="121"/>
      <c r="CF498" s="121"/>
      <c r="CG498" s="121"/>
      <c r="CH498" s="121"/>
      <c r="CI498" s="121"/>
      <c r="CJ498" s="121"/>
      <c r="CK498" s="121"/>
      <c r="CL498" s="121"/>
      <c r="CM498" s="121"/>
      <c r="CN498" s="121"/>
      <c r="CO498" s="121"/>
      <c r="CP498" s="121"/>
      <c r="CQ498" s="121"/>
      <c r="CR498" s="121"/>
      <c r="CS498" s="121"/>
      <c r="CT498" s="121"/>
      <c r="CU498" s="121"/>
      <c r="CV498" s="121"/>
      <c r="CW498" s="121"/>
      <c r="CX498" s="121"/>
      <c r="CY498" s="121"/>
      <c r="CZ498" s="121"/>
      <c r="DA498" s="121"/>
      <c r="DB498" s="121"/>
      <c r="DC498" s="121"/>
      <c r="DD498" s="121"/>
      <c r="DE498" s="121"/>
      <c r="DF498" s="121"/>
      <c r="DG498" s="121"/>
      <c r="DH498" s="121"/>
      <c r="DI498" s="121"/>
      <c r="DJ498" s="121"/>
      <c r="DK498" s="121"/>
      <c r="DL498" s="121"/>
      <c r="DM498" s="121"/>
      <c r="DN498" s="121"/>
      <c r="DO498" s="121"/>
      <c r="DP498" s="121"/>
      <c r="DQ498" s="121"/>
      <c r="DR498" s="121"/>
      <c r="DS498" s="121"/>
      <c r="DT498" s="240"/>
      <c r="DU498" s="240"/>
      <c r="DV498" s="240"/>
      <c r="DW498" s="240"/>
      <c r="DX498" s="240"/>
      <c r="DY498" s="240"/>
      <c r="DZ498" s="240"/>
      <c r="EA498" s="240"/>
      <c r="EB498" s="237">
        <f t="shared" si="56"/>
        <v>0</v>
      </c>
      <c r="EC498" s="237">
        <f t="shared" si="57"/>
        <v>0</v>
      </c>
      <c r="ED498" s="237">
        <f t="shared" si="58"/>
        <v>0</v>
      </c>
      <c r="EE498" s="237">
        <f t="shared" si="59"/>
        <v>0</v>
      </c>
      <c r="EF498" s="121"/>
      <c r="EG498" s="238">
        <f t="shared" si="60"/>
        <v>0</v>
      </c>
      <c r="EH498" s="121"/>
      <c r="EI498" s="237">
        <f t="shared" si="61"/>
        <v>0</v>
      </c>
      <c r="EJ498" s="121"/>
      <c r="EK498" s="237">
        <f t="shared" si="62"/>
        <v>0</v>
      </c>
      <c r="EL498" s="237"/>
      <c r="EM498" s="5"/>
      <c r="EN498" s="5"/>
      <c r="EO498" s="5"/>
      <c r="EP498" s="5"/>
      <c r="EQ498" s="237">
        <f t="shared" si="63"/>
        <v>0</v>
      </c>
      <c r="ER498" s="239">
        <v>23300</v>
      </c>
      <c r="ES498" s="5">
        <v>7.5</v>
      </c>
    </row>
    <row r="499" spans="1:149" x14ac:dyDescent="0.3">
      <c r="A499" s="124"/>
      <c r="B499" s="121"/>
      <c r="C499" s="121"/>
      <c r="D499" s="121"/>
      <c r="E499" s="121"/>
      <c r="F499" s="121"/>
      <c r="G499" s="121"/>
      <c r="H499" s="121"/>
      <c r="I499" s="121"/>
      <c r="J499" s="121"/>
      <c r="K499" s="121"/>
      <c r="L499" s="121"/>
      <c r="M499" s="121"/>
      <c r="N499" s="121"/>
      <c r="O499" s="235"/>
      <c r="P499" s="121"/>
      <c r="Q499" s="121"/>
      <c r="R499" s="121"/>
      <c r="S499" s="121"/>
      <c r="T499" s="121"/>
      <c r="U499" s="121"/>
      <c r="V499" s="121"/>
      <c r="W499" s="121"/>
      <c r="X499" s="117"/>
      <c r="Y499" s="117"/>
      <c r="Z499" s="121"/>
      <c r="AA499" s="121"/>
      <c r="AB499" s="121"/>
      <c r="AC499" s="121"/>
      <c r="AD499" s="121"/>
      <c r="AE499" s="121"/>
      <c r="AF499" s="121"/>
      <c r="AG499" s="121"/>
      <c r="AH499" s="121"/>
      <c r="AI499" s="121"/>
      <c r="AJ499" s="121"/>
      <c r="AK499" s="121"/>
      <c r="AL499" s="121"/>
      <c r="AM499" s="121"/>
      <c r="AN499" s="121"/>
      <c r="AO499" s="121"/>
      <c r="AP499" s="121"/>
      <c r="AQ499" s="121"/>
      <c r="AR499" s="121"/>
      <c r="AS499" s="121"/>
      <c r="AT499" s="121"/>
      <c r="AU499" s="121"/>
      <c r="AV499" s="121"/>
      <c r="AW499" s="121"/>
      <c r="AX499" s="121"/>
      <c r="AY499" s="121"/>
      <c r="AZ499" s="121"/>
      <c r="BA499" s="121"/>
      <c r="BB499" s="121"/>
      <c r="BC499" s="121"/>
      <c r="BD499" s="121"/>
      <c r="BE499" s="121"/>
      <c r="BF499" s="121"/>
      <c r="BG499" s="121"/>
      <c r="BH499" s="121"/>
      <c r="BI499" s="121"/>
      <c r="BJ499" s="121"/>
      <c r="BK499" s="121"/>
      <c r="BL499" s="121"/>
      <c r="BM499" s="121"/>
      <c r="BN499" s="121"/>
      <c r="BO499" s="121"/>
      <c r="BP499" s="121"/>
      <c r="BQ499" s="121"/>
      <c r="BR499" s="121"/>
      <c r="BS499" s="121"/>
      <c r="BT499" s="121"/>
      <c r="BU499" s="121"/>
      <c r="BV499" s="121"/>
      <c r="BW499" s="121"/>
      <c r="BX499" s="121"/>
      <c r="BY499" s="121"/>
      <c r="BZ499" s="121"/>
      <c r="CA499" s="121"/>
      <c r="CB499" s="121"/>
      <c r="CC499" s="121"/>
      <c r="CD499" s="121"/>
      <c r="CE499" s="121"/>
      <c r="CF499" s="121"/>
      <c r="CG499" s="121"/>
      <c r="CH499" s="121"/>
      <c r="CI499" s="121"/>
      <c r="CJ499" s="121"/>
      <c r="CK499" s="121"/>
      <c r="CL499" s="121"/>
      <c r="CM499" s="121"/>
      <c r="CN499" s="121"/>
      <c r="CO499" s="121"/>
      <c r="CP499" s="121"/>
      <c r="CQ499" s="121"/>
      <c r="CR499" s="121"/>
      <c r="CS499" s="121"/>
      <c r="CT499" s="121"/>
      <c r="CU499" s="121"/>
      <c r="CV499" s="121"/>
      <c r="CW499" s="121"/>
      <c r="CX499" s="121"/>
      <c r="CY499" s="121"/>
      <c r="CZ499" s="121"/>
      <c r="DA499" s="121"/>
      <c r="DB499" s="121"/>
      <c r="DC499" s="121"/>
      <c r="DD499" s="121"/>
      <c r="DE499" s="121"/>
      <c r="DF499" s="121"/>
      <c r="DG499" s="121"/>
      <c r="DH499" s="121"/>
      <c r="DI499" s="121"/>
      <c r="DJ499" s="121"/>
      <c r="DK499" s="121"/>
      <c r="DL499" s="121"/>
      <c r="DM499" s="121"/>
      <c r="DN499" s="121"/>
      <c r="DO499" s="121"/>
      <c r="DP499" s="121"/>
      <c r="DQ499" s="121"/>
      <c r="DR499" s="121"/>
      <c r="DS499" s="121"/>
      <c r="DT499" s="240"/>
      <c r="DU499" s="240"/>
      <c r="DV499" s="240"/>
      <c r="DW499" s="240"/>
      <c r="DX499" s="240"/>
      <c r="DY499" s="240"/>
      <c r="DZ499" s="240"/>
      <c r="EA499" s="240"/>
      <c r="EB499" s="237">
        <f t="shared" si="56"/>
        <v>0</v>
      </c>
      <c r="EC499" s="237">
        <f t="shared" si="57"/>
        <v>0</v>
      </c>
      <c r="ED499" s="237">
        <f t="shared" si="58"/>
        <v>0</v>
      </c>
      <c r="EE499" s="237">
        <f t="shared" si="59"/>
        <v>0</v>
      </c>
      <c r="EF499" s="121"/>
      <c r="EG499" s="238">
        <f t="shared" si="60"/>
        <v>0</v>
      </c>
      <c r="EH499" s="121"/>
      <c r="EI499" s="237">
        <f t="shared" si="61"/>
        <v>0</v>
      </c>
      <c r="EJ499" s="121"/>
      <c r="EK499" s="237">
        <f t="shared" si="62"/>
        <v>0</v>
      </c>
      <c r="EL499" s="237"/>
      <c r="EM499" s="5"/>
      <c r="EN499" s="5"/>
      <c r="EO499" s="5"/>
      <c r="EP499" s="5"/>
      <c r="EQ499" s="237">
        <f t="shared" si="63"/>
        <v>0</v>
      </c>
      <c r="ER499" s="239">
        <v>23300</v>
      </c>
      <c r="ES499" s="5">
        <v>7.5</v>
      </c>
    </row>
    <row r="500" spans="1:149" x14ac:dyDescent="0.3">
      <c r="A500" s="124"/>
      <c r="B500" s="121"/>
      <c r="C500" s="121"/>
      <c r="D500" s="121"/>
      <c r="E500" s="121"/>
      <c r="F500" s="121"/>
      <c r="G500" s="121"/>
      <c r="H500" s="121"/>
      <c r="I500" s="121"/>
      <c r="J500" s="121"/>
      <c r="K500" s="121"/>
      <c r="L500" s="121"/>
      <c r="M500" s="121"/>
      <c r="N500" s="121"/>
      <c r="O500" s="235"/>
      <c r="P500" s="121"/>
      <c r="Q500" s="121"/>
      <c r="R500" s="121"/>
      <c r="S500" s="121"/>
      <c r="T500" s="121"/>
      <c r="U500" s="121"/>
      <c r="V500" s="121"/>
      <c r="W500" s="121"/>
      <c r="X500" s="117"/>
      <c r="Y500" s="117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/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121"/>
      <c r="BJ500" s="121"/>
      <c r="BK500" s="121"/>
      <c r="BL500" s="121"/>
      <c r="BM500" s="121"/>
      <c r="BN500" s="121"/>
      <c r="BO500" s="121"/>
      <c r="BP500" s="121"/>
      <c r="BQ500" s="121"/>
      <c r="BR500" s="121"/>
      <c r="BS500" s="121"/>
      <c r="BT500" s="121"/>
      <c r="BU500" s="121"/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/>
      <c r="CP500" s="121"/>
      <c r="CQ500" s="121"/>
      <c r="CR500" s="121"/>
      <c r="CS500" s="121"/>
      <c r="CT500" s="121"/>
      <c r="CU500" s="121"/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/>
      <c r="DF500" s="121"/>
      <c r="DG500" s="121"/>
      <c r="DH500" s="121"/>
      <c r="DI500" s="121"/>
      <c r="DJ500" s="121"/>
      <c r="DK500" s="121"/>
      <c r="DL500" s="121"/>
      <c r="DM500" s="121"/>
      <c r="DN500" s="121"/>
      <c r="DO500" s="121"/>
      <c r="DP500" s="121"/>
      <c r="DQ500" s="121"/>
      <c r="DR500" s="121"/>
      <c r="DS500" s="121"/>
      <c r="DT500" s="240"/>
      <c r="DU500" s="240"/>
      <c r="DV500" s="240"/>
      <c r="DW500" s="240"/>
      <c r="DX500" s="240"/>
      <c r="DY500" s="240"/>
      <c r="DZ500" s="240"/>
      <c r="EA500" s="240"/>
      <c r="EB500" s="237">
        <f t="shared" si="56"/>
        <v>0</v>
      </c>
      <c r="EC500" s="237">
        <f t="shared" si="57"/>
        <v>0</v>
      </c>
      <c r="ED500" s="237">
        <f t="shared" si="58"/>
        <v>0</v>
      </c>
      <c r="EE500" s="237">
        <f t="shared" si="59"/>
        <v>0</v>
      </c>
      <c r="EF500" s="121"/>
      <c r="EG500" s="238">
        <f t="shared" si="60"/>
        <v>0</v>
      </c>
      <c r="EH500" s="121"/>
      <c r="EI500" s="237">
        <f t="shared" si="61"/>
        <v>0</v>
      </c>
      <c r="EJ500" s="121"/>
      <c r="EK500" s="237">
        <f t="shared" si="62"/>
        <v>0</v>
      </c>
      <c r="EL500" s="237"/>
      <c r="EM500" s="5"/>
      <c r="EN500" s="5"/>
      <c r="EO500" s="5"/>
      <c r="EP500" s="5"/>
      <c r="EQ500" s="237">
        <f t="shared" si="63"/>
        <v>0</v>
      </c>
      <c r="ER500" s="239">
        <v>23300</v>
      </c>
      <c r="ES500" s="5">
        <v>7.5</v>
      </c>
    </row>
    <row r="501" spans="1:149" x14ac:dyDescent="0.3">
      <c r="A501" s="124"/>
      <c r="B501" s="121"/>
      <c r="C501" s="121"/>
      <c r="D501" s="121"/>
      <c r="E501" s="121"/>
      <c r="F501" s="121"/>
      <c r="G501" s="121"/>
      <c r="H501" s="121"/>
      <c r="I501" s="121"/>
      <c r="J501" s="121"/>
      <c r="K501" s="121"/>
      <c r="L501" s="121"/>
      <c r="M501" s="121"/>
      <c r="N501" s="121"/>
      <c r="O501" s="235"/>
      <c r="P501" s="121"/>
      <c r="Q501" s="121"/>
      <c r="R501" s="121"/>
      <c r="S501" s="121"/>
      <c r="T501" s="121"/>
      <c r="U501" s="121"/>
      <c r="V501" s="121"/>
      <c r="W501" s="121"/>
      <c r="X501" s="117"/>
      <c r="Y501" s="117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21"/>
      <c r="BJ501" s="121"/>
      <c r="BK501" s="121"/>
      <c r="BL501" s="121"/>
      <c r="BM501" s="121"/>
      <c r="BN501" s="121"/>
      <c r="BO501" s="121"/>
      <c r="BP501" s="121"/>
      <c r="BQ501" s="121"/>
      <c r="BR501" s="121"/>
      <c r="BS501" s="121"/>
      <c r="BT501" s="121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21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  <c r="DK501" s="121"/>
      <c r="DL501" s="121"/>
      <c r="DM501" s="121"/>
      <c r="DN501" s="121"/>
      <c r="DO501" s="121"/>
      <c r="DP501" s="121"/>
      <c r="DQ501" s="121"/>
      <c r="DR501" s="121"/>
      <c r="DS501" s="121"/>
      <c r="DT501" s="240"/>
      <c r="DU501" s="240"/>
      <c r="DV501" s="240"/>
      <c r="DW501" s="240"/>
      <c r="DX501" s="240"/>
      <c r="DY501" s="240"/>
      <c r="DZ501" s="240"/>
      <c r="EA501" s="240"/>
      <c r="EB501" s="237">
        <f t="shared" si="56"/>
        <v>0</v>
      </c>
      <c r="EC501" s="237">
        <f t="shared" si="57"/>
        <v>0</v>
      </c>
      <c r="ED501" s="237">
        <f t="shared" si="58"/>
        <v>0</v>
      </c>
      <c r="EE501" s="237">
        <f t="shared" si="59"/>
        <v>0</v>
      </c>
      <c r="EF501" s="121"/>
      <c r="EG501" s="238">
        <f t="shared" si="60"/>
        <v>0</v>
      </c>
      <c r="EH501" s="121"/>
      <c r="EI501" s="237">
        <f t="shared" si="61"/>
        <v>0</v>
      </c>
      <c r="EJ501" s="121"/>
      <c r="EK501" s="237">
        <f t="shared" si="62"/>
        <v>0</v>
      </c>
      <c r="EL501" s="237"/>
      <c r="EM501" s="5"/>
      <c r="EN501" s="5"/>
      <c r="EO501" s="5"/>
      <c r="EP501" s="5"/>
      <c r="EQ501" s="237">
        <f t="shared" si="63"/>
        <v>0</v>
      </c>
      <c r="ER501" s="239">
        <v>23300</v>
      </c>
      <c r="ES501" s="5">
        <v>7.5</v>
      </c>
    </row>
    <row r="502" spans="1:149" x14ac:dyDescent="0.3">
      <c r="A502" s="124"/>
      <c r="B502" s="121"/>
      <c r="C502" s="121"/>
      <c r="D502" s="121"/>
      <c r="E502" s="121"/>
      <c r="F502" s="121"/>
      <c r="G502" s="121"/>
      <c r="H502" s="121"/>
      <c r="I502" s="121"/>
      <c r="J502" s="121"/>
      <c r="K502" s="121"/>
      <c r="L502" s="121"/>
      <c r="M502" s="121"/>
      <c r="N502" s="121"/>
      <c r="O502" s="235"/>
      <c r="P502" s="121"/>
      <c r="Q502" s="121"/>
      <c r="R502" s="121"/>
      <c r="S502" s="121"/>
      <c r="T502" s="121"/>
      <c r="U502" s="121"/>
      <c r="V502" s="121"/>
      <c r="W502" s="121"/>
      <c r="X502" s="117"/>
      <c r="Y502" s="117"/>
      <c r="Z502" s="121"/>
      <c r="AA502" s="121"/>
      <c r="AB502" s="121"/>
      <c r="AC502" s="121"/>
      <c r="AD502" s="121"/>
      <c r="AE502" s="121"/>
      <c r="AF502" s="121"/>
      <c r="AG502" s="121"/>
      <c r="AH502" s="121"/>
      <c r="AI502" s="121"/>
      <c r="AJ502" s="121"/>
      <c r="AK502" s="121"/>
      <c r="AL502" s="121"/>
      <c r="AM502" s="121"/>
      <c r="AN502" s="121"/>
      <c r="AO502" s="121"/>
      <c r="AP502" s="121"/>
      <c r="AQ502" s="121"/>
      <c r="AR502" s="121"/>
      <c r="AS502" s="121"/>
      <c r="AT502" s="121"/>
      <c r="AU502" s="121"/>
      <c r="AV502" s="121"/>
      <c r="AW502" s="121"/>
      <c r="AX502" s="121"/>
      <c r="AY502" s="121"/>
      <c r="AZ502" s="121"/>
      <c r="BA502" s="121"/>
      <c r="BB502" s="121"/>
      <c r="BC502" s="121"/>
      <c r="BD502" s="121"/>
      <c r="BE502" s="121"/>
      <c r="BF502" s="121"/>
      <c r="BG502" s="121"/>
      <c r="BH502" s="121"/>
      <c r="BI502" s="121"/>
      <c r="BJ502" s="121"/>
      <c r="BK502" s="121"/>
      <c r="BL502" s="121"/>
      <c r="BM502" s="121"/>
      <c r="BN502" s="121"/>
      <c r="BO502" s="121"/>
      <c r="BP502" s="121"/>
      <c r="BQ502" s="121"/>
      <c r="BR502" s="121"/>
      <c r="BS502" s="121"/>
      <c r="BT502" s="121"/>
      <c r="BU502" s="121"/>
      <c r="BV502" s="121"/>
      <c r="BW502" s="121"/>
      <c r="BX502" s="121"/>
      <c r="BY502" s="121"/>
      <c r="BZ502" s="121"/>
      <c r="CA502" s="121"/>
      <c r="CB502" s="121"/>
      <c r="CC502" s="121"/>
      <c r="CD502" s="121"/>
      <c r="CE502" s="121"/>
      <c r="CF502" s="121"/>
      <c r="CG502" s="121"/>
      <c r="CH502" s="121"/>
      <c r="CI502" s="121"/>
      <c r="CJ502" s="121"/>
      <c r="CK502" s="121"/>
      <c r="CL502" s="121"/>
      <c r="CM502" s="121"/>
      <c r="CN502" s="121"/>
      <c r="CO502" s="121"/>
      <c r="CP502" s="121"/>
      <c r="CQ502" s="121"/>
      <c r="CR502" s="121"/>
      <c r="CS502" s="121"/>
      <c r="CT502" s="121"/>
      <c r="CU502" s="121"/>
      <c r="CV502" s="121"/>
      <c r="CW502" s="121"/>
      <c r="CX502" s="121"/>
      <c r="CY502" s="121"/>
      <c r="CZ502" s="121"/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  <c r="DK502" s="121"/>
      <c r="DL502" s="121"/>
      <c r="DM502" s="121"/>
      <c r="DN502" s="121"/>
      <c r="DO502" s="121"/>
      <c r="DP502" s="121"/>
      <c r="DQ502" s="121"/>
      <c r="DR502" s="121"/>
      <c r="DS502" s="121"/>
      <c r="DT502" s="240"/>
      <c r="DU502" s="240"/>
      <c r="DV502" s="240"/>
      <c r="DW502" s="240"/>
      <c r="DX502" s="240"/>
      <c r="DY502" s="240"/>
      <c r="DZ502" s="240"/>
      <c r="EA502" s="240"/>
      <c r="EB502" s="237">
        <f t="shared" si="56"/>
        <v>0</v>
      </c>
      <c r="EC502" s="237">
        <f t="shared" si="57"/>
        <v>0</v>
      </c>
      <c r="ED502" s="237">
        <f t="shared" si="58"/>
        <v>0</v>
      </c>
      <c r="EE502" s="237">
        <f t="shared" si="59"/>
        <v>0</v>
      </c>
      <c r="EF502" s="121"/>
      <c r="EG502" s="238">
        <f t="shared" si="60"/>
        <v>0</v>
      </c>
      <c r="EH502" s="121"/>
      <c r="EI502" s="237">
        <f t="shared" si="61"/>
        <v>0</v>
      </c>
      <c r="EJ502" s="121"/>
      <c r="EK502" s="237">
        <f t="shared" si="62"/>
        <v>0</v>
      </c>
      <c r="EL502" s="237"/>
      <c r="EM502" s="5"/>
      <c r="EN502" s="5"/>
      <c r="EO502" s="5"/>
      <c r="EP502" s="5"/>
      <c r="EQ502" s="237">
        <f t="shared" si="63"/>
        <v>0</v>
      </c>
      <c r="ER502" s="239">
        <v>23300</v>
      </c>
      <c r="ES502" s="5">
        <v>7.5</v>
      </c>
    </row>
    <row r="503" spans="1:149" x14ac:dyDescent="0.3">
      <c r="A503" s="124"/>
      <c r="B503" s="121"/>
      <c r="C503" s="121"/>
      <c r="D503" s="121"/>
      <c r="E503" s="121"/>
      <c r="F503" s="121"/>
      <c r="G503" s="121"/>
      <c r="H503" s="121"/>
      <c r="I503" s="121"/>
      <c r="J503" s="121"/>
      <c r="K503" s="121"/>
      <c r="L503" s="121"/>
      <c r="M503" s="121"/>
      <c r="N503" s="121"/>
      <c r="O503" s="235"/>
      <c r="P503" s="121"/>
      <c r="Q503" s="121"/>
      <c r="R503" s="121"/>
      <c r="S503" s="121"/>
      <c r="T503" s="121"/>
      <c r="U503" s="121"/>
      <c r="V503" s="121"/>
      <c r="W503" s="121"/>
      <c r="X503" s="117"/>
      <c r="Y503" s="117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1"/>
      <c r="AL503" s="121"/>
      <c r="AM503" s="121"/>
      <c r="AN503" s="121"/>
      <c r="AO503" s="121"/>
      <c r="AP503" s="121"/>
      <c r="AQ503" s="121"/>
      <c r="AR503" s="121"/>
      <c r="AS503" s="121"/>
      <c r="AT503" s="121"/>
      <c r="AU503" s="121"/>
      <c r="AV503" s="121"/>
      <c r="AW503" s="121"/>
      <c r="AX503" s="121"/>
      <c r="AY503" s="121"/>
      <c r="AZ503" s="121"/>
      <c r="BA503" s="121"/>
      <c r="BB503" s="121"/>
      <c r="BC503" s="121"/>
      <c r="BD503" s="121"/>
      <c r="BE503" s="121"/>
      <c r="BF503" s="121"/>
      <c r="BG503" s="121"/>
      <c r="BH503" s="121"/>
      <c r="BI503" s="121"/>
      <c r="BJ503" s="121"/>
      <c r="BK503" s="121"/>
      <c r="BL503" s="121"/>
      <c r="BM503" s="121"/>
      <c r="BN503" s="121"/>
      <c r="BO503" s="121"/>
      <c r="BP503" s="121"/>
      <c r="BQ503" s="121"/>
      <c r="BR503" s="121"/>
      <c r="BS503" s="121"/>
      <c r="BT503" s="121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21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  <c r="DK503" s="121"/>
      <c r="DL503" s="121"/>
      <c r="DM503" s="121"/>
      <c r="DN503" s="121"/>
      <c r="DO503" s="121"/>
      <c r="DP503" s="121"/>
      <c r="DQ503" s="121"/>
      <c r="DR503" s="121"/>
      <c r="DS503" s="121"/>
      <c r="DT503" s="240"/>
      <c r="DU503" s="240"/>
      <c r="DV503" s="240"/>
      <c r="DW503" s="240"/>
      <c r="DX503" s="240"/>
      <c r="DY503" s="240"/>
      <c r="DZ503" s="240"/>
      <c r="EA503" s="240"/>
      <c r="EB503" s="237">
        <f t="shared" si="56"/>
        <v>0</v>
      </c>
      <c r="EC503" s="237">
        <f t="shared" si="57"/>
        <v>0</v>
      </c>
      <c r="ED503" s="237">
        <f t="shared" si="58"/>
        <v>0</v>
      </c>
      <c r="EE503" s="237">
        <f t="shared" si="59"/>
        <v>0</v>
      </c>
      <c r="EF503" s="121"/>
      <c r="EG503" s="238">
        <f t="shared" si="60"/>
        <v>0</v>
      </c>
      <c r="EH503" s="121"/>
      <c r="EI503" s="237">
        <f t="shared" si="61"/>
        <v>0</v>
      </c>
      <c r="EJ503" s="121"/>
      <c r="EK503" s="237">
        <f t="shared" si="62"/>
        <v>0</v>
      </c>
      <c r="EL503" s="237"/>
      <c r="EM503" s="5"/>
      <c r="EN503" s="5"/>
      <c r="EO503" s="5"/>
      <c r="EP503" s="5"/>
      <c r="EQ503" s="237">
        <f t="shared" si="63"/>
        <v>0</v>
      </c>
      <c r="ER503" s="239">
        <v>23300</v>
      </c>
      <c r="ES503" s="5">
        <v>7.5</v>
      </c>
    </row>
    <row r="504" spans="1:149" x14ac:dyDescent="0.3">
      <c r="A504" s="124"/>
      <c r="B504" s="121"/>
      <c r="C504" s="121"/>
      <c r="D504" s="121"/>
      <c r="E504" s="121"/>
      <c r="F504" s="121"/>
      <c r="G504" s="121"/>
      <c r="H504" s="121"/>
      <c r="I504" s="121"/>
      <c r="J504" s="121"/>
      <c r="K504" s="121"/>
      <c r="L504" s="121"/>
      <c r="M504" s="121"/>
      <c r="N504" s="121"/>
      <c r="O504" s="235"/>
      <c r="P504" s="121"/>
      <c r="Q504" s="121"/>
      <c r="R504" s="121"/>
      <c r="S504" s="121"/>
      <c r="T504" s="121"/>
      <c r="U504" s="121"/>
      <c r="V504" s="121"/>
      <c r="W504" s="121"/>
      <c r="X504" s="117"/>
      <c r="Y504" s="117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21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  <c r="DK504" s="121"/>
      <c r="DL504" s="121"/>
      <c r="DM504" s="121"/>
      <c r="DN504" s="121"/>
      <c r="DO504" s="121"/>
      <c r="DP504" s="121"/>
      <c r="DQ504" s="121"/>
      <c r="DR504" s="121"/>
      <c r="DS504" s="121"/>
      <c r="DT504" s="240"/>
      <c r="DU504" s="240"/>
      <c r="DV504" s="240"/>
      <c r="DW504" s="240"/>
      <c r="DX504" s="240"/>
      <c r="DY504" s="240"/>
      <c r="DZ504" s="240"/>
      <c r="EA504" s="240"/>
      <c r="EB504" s="237">
        <f t="shared" si="56"/>
        <v>0</v>
      </c>
      <c r="EC504" s="237">
        <f t="shared" si="57"/>
        <v>0</v>
      </c>
      <c r="ED504" s="237">
        <f t="shared" si="58"/>
        <v>0</v>
      </c>
      <c r="EE504" s="237">
        <f t="shared" si="59"/>
        <v>0</v>
      </c>
      <c r="EF504" s="121"/>
      <c r="EG504" s="238">
        <f t="shared" si="60"/>
        <v>0</v>
      </c>
      <c r="EH504" s="121"/>
      <c r="EI504" s="237">
        <f t="shared" si="61"/>
        <v>0</v>
      </c>
      <c r="EJ504" s="121"/>
      <c r="EK504" s="237">
        <f t="shared" si="62"/>
        <v>0</v>
      </c>
      <c r="EL504" s="237"/>
      <c r="EM504" s="5"/>
      <c r="EN504" s="5"/>
      <c r="EO504" s="5"/>
      <c r="EP504" s="5"/>
      <c r="EQ504" s="237">
        <f t="shared" si="63"/>
        <v>0</v>
      </c>
      <c r="ER504" s="239">
        <v>23300</v>
      </c>
      <c r="ES504" s="5">
        <v>7.5</v>
      </c>
    </row>
    <row r="505" spans="1:149" x14ac:dyDescent="0.3">
      <c r="A505" s="124"/>
      <c r="B505" s="121"/>
      <c r="C505" s="121"/>
      <c r="D505" s="121"/>
      <c r="E505" s="121"/>
      <c r="F505" s="121"/>
      <c r="G505" s="121"/>
      <c r="H505" s="121"/>
      <c r="I505" s="121"/>
      <c r="J505" s="121"/>
      <c r="K505" s="121"/>
      <c r="L505" s="121"/>
      <c r="M505" s="121"/>
      <c r="N505" s="121"/>
      <c r="O505" s="235"/>
      <c r="P505" s="121"/>
      <c r="Q505" s="121"/>
      <c r="R505" s="121"/>
      <c r="S505" s="121"/>
      <c r="T505" s="121"/>
      <c r="U505" s="121"/>
      <c r="V505" s="121"/>
      <c r="W505" s="121"/>
      <c r="X505" s="117"/>
      <c r="Y505" s="117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21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  <c r="DK505" s="121"/>
      <c r="DL505" s="121"/>
      <c r="DM505" s="121"/>
      <c r="DN505" s="121"/>
      <c r="DO505" s="121"/>
      <c r="DP505" s="121"/>
      <c r="DQ505" s="121"/>
      <c r="DR505" s="121"/>
      <c r="DS505" s="121"/>
      <c r="DT505" s="240"/>
      <c r="DU505" s="240"/>
      <c r="DV505" s="240"/>
      <c r="DW505" s="240"/>
      <c r="DX505" s="240"/>
      <c r="DY505" s="240"/>
      <c r="DZ505" s="240"/>
      <c r="EA505" s="240"/>
      <c r="EB505" s="237">
        <f t="shared" si="56"/>
        <v>0</v>
      </c>
      <c r="EC505" s="237">
        <f t="shared" si="57"/>
        <v>0</v>
      </c>
      <c r="ED505" s="237">
        <f t="shared" si="58"/>
        <v>0</v>
      </c>
      <c r="EE505" s="237">
        <f t="shared" si="59"/>
        <v>0</v>
      </c>
      <c r="EF505" s="121"/>
      <c r="EG505" s="238">
        <f t="shared" si="60"/>
        <v>0</v>
      </c>
      <c r="EH505" s="121"/>
      <c r="EI505" s="237">
        <f t="shared" si="61"/>
        <v>0</v>
      </c>
      <c r="EJ505" s="121"/>
      <c r="EK505" s="237">
        <f t="shared" si="62"/>
        <v>0</v>
      </c>
      <c r="EL505" s="237"/>
      <c r="EM505" s="5"/>
      <c r="EN505" s="5"/>
      <c r="EO505" s="5"/>
      <c r="EP505" s="5"/>
      <c r="EQ505" s="237">
        <f t="shared" si="63"/>
        <v>0</v>
      </c>
      <c r="ER505" s="239">
        <v>23300</v>
      </c>
      <c r="ES505" s="5">
        <v>7.5</v>
      </c>
    </row>
    <row r="506" spans="1:149" x14ac:dyDescent="0.3">
      <c r="A506" s="124"/>
      <c r="B506" s="121"/>
      <c r="C506" s="121"/>
      <c r="D506" s="121"/>
      <c r="E506" s="121"/>
      <c r="F506" s="121"/>
      <c r="G506" s="121"/>
      <c r="H506" s="121"/>
      <c r="I506" s="121"/>
      <c r="J506" s="121"/>
      <c r="K506" s="121"/>
      <c r="L506" s="121"/>
      <c r="M506" s="121"/>
      <c r="N506" s="121"/>
      <c r="O506" s="235"/>
      <c r="P506" s="121"/>
      <c r="Q506" s="121"/>
      <c r="R506" s="121"/>
      <c r="S506" s="121"/>
      <c r="T506" s="121"/>
      <c r="U506" s="121"/>
      <c r="V506" s="121"/>
      <c r="W506" s="121"/>
      <c r="X506" s="117"/>
      <c r="Y506" s="117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21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  <c r="DK506" s="121"/>
      <c r="DL506" s="121"/>
      <c r="DM506" s="121"/>
      <c r="DN506" s="121"/>
      <c r="DO506" s="121"/>
      <c r="DP506" s="121"/>
      <c r="DQ506" s="121"/>
      <c r="DR506" s="121"/>
      <c r="DS506" s="121"/>
      <c r="DT506" s="240"/>
      <c r="DU506" s="240"/>
      <c r="DV506" s="240"/>
      <c r="DW506" s="240"/>
      <c r="DX506" s="240"/>
      <c r="DY506" s="240"/>
      <c r="DZ506" s="240"/>
      <c r="EA506" s="240"/>
      <c r="EB506" s="237">
        <f t="shared" si="56"/>
        <v>0</v>
      </c>
      <c r="EC506" s="237">
        <f t="shared" si="57"/>
        <v>0</v>
      </c>
      <c r="ED506" s="237">
        <f t="shared" si="58"/>
        <v>0</v>
      </c>
      <c r="EE506" s="237">
        <f t="shared" si="59"/>
        <v>0</v>
      </c>
      <c r="EF506" s="121"/>
      <c r="EG506" s="238">
        <f t="shared" si="60"/>
        <v>0</v>
      </c>
      <c r="EH506" s="121"/>
      <c r="EI506" s="237">
        <f t="shared" si="61"/>
        <v>0</v>
      </c>
      <c r="EJ506" s="121"/>
      <c r="EK506" s="237">
        <f t="shared" si="62"/>
        <v>0</v>
      </c>
      <c r="EL506" s="237"/>
      <c r="EM506" s="5"/>
      <c r="EN506" s="5"/>
      <c r="EO506" s="5"/>
      <c r="EP506" s="5"/>
      <c r="EQ506" s="237">
        <f t="shared" si="63"/>
        <v>0</v>
      </c>
      <c r="ER506" s="239">
        <v>23300</v>
      </c>
      <c r="ES506" s="5">
        <v>7.5</v>
      </c>
    </row>
    <row r="507" spans="1:149" x14ac:dyDescent="0.3">
      <c r="A507" s="124"/>
      <c r="B507" s="121"/>
      <c r="C507" s="121"/>
      <c r="D507" s="121"/>
      <c r="E507" s="121"/>
      <c r="F507" s="121"/>
      <c r="G507" s="121"/>
      <c r="H507" s="121"/>
      <c r="I507" s="121"/>
      <c r="J507" s="121"/>
      <c r="K507" s="121"/>
      <c r="L507" s="121"/>
      <c r="M507" s="121"/>
      <c r="N507" s="121"/>
      <c r="O507" s="235"/>
      <c r="P507" s="121"/>
      <c r="Q507" s="121"/>
      <c r="R507" s="121"/>
      <c r="S507" s="121"/>
      <c r="T507" s="121"/>
      <c r="U507" s="121"/>
      <c r="V507" s="121"/>
      <c r="W507" s="121"/>
      <c r="X507" s="117"/>
      <c r="Y507" s="117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21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  <c r="DK507" s="121"/>
      <c r="DL507" s="121"/>
      <c r="DM507" s="121"/>
      <c r="DN507" s="121"/>
      <c r="DO507" s="121"/>
      <c r="DP507" s="121"/>
      <c r="DQ507" s="121"/>
      <c r="DR507" s="121"/>
      <c r="DS507" s="121"/>
      <c r="DT507" s="240"/>
      <c r="DU507" s="240"/>
      <c r="DV507" s="240"/>
      <c r="DW507" s="240"/>
      <c r="DX507" s="240"/>
      <c r="DY507" s="240"/>
      <c r="DZ507" s="240"/>
      <c r="EA507" s="240"/>
      <c r="EB507" s="237">
        <f t="shared" si="56"/>
        <v>0</v>
      </c>
      <c r="EC507" s="237">
        <f t="shared" si="57"/>
        <v>0</v>
      </c>
      <c r="ED507" s="237">
        <f t="shared" si="58"/>
        <v>0</v>
      </c>
      <c r="EE507" s="237">
        <f t="shared" si="59"/>
        <v>0</v>
      </c>
      <c r="EF507" s="121"/>
      <c r="EG507" s="238">
        <f t="shared" si="60"/>
        <v>0</v>
      </c>
      <c r="EH507" s="121"/>
      <c r="EI507" s="237">
        <f t="shared" si="61"/>
        <v>0</v>
      </c>
      <c r="EJ507" s="121"/>
      <c r="EK507" s="237">
        <f t="shared" si="62"/>
        <v>0</v>
      </c>
      <c r="EL507" s="237"/>
      <c r="EM507" s="5"/>
      <c r="EN507" s="5"/>
      <c r="EO507" s="5"/>
      <c r="EP507" s="5"/>
      <c r="EQ507" s="237">
        <f t="shared" si="63"/>
        <v>0</v>
      </c>
      <c r="ER507" s="239">
        <v>23300</v>
      </c>
      <c r="ES507" s="5">
        <v>7.5</v>
      </c>
    </row>
    <row r="508" spans="1:149" x14ac:dyDescent="0.3">
      <c r="A508" s="124"/>
      <c r="B508" s="121"/>
      <c r="C508" s="121"/>
      <c r="D508" s="121"/>
      <c r="E508" s="121"/>
      <c r="F508" s="121"/>
      <c r="G508" s="121"/>
      <c r="H508" s="121"/>
      <c r="I508" s="121"/>
      <c r="J508" s="121"/>
      <c r="K508" s="121"/>
      <c r="L508" s="121"/>
      <c r="M508" s="121"/>
      <c r="N508" s="121"/>
      <c r="O508" s="235"/>
      <c r="P508" s="121"/>
      <c r="Q508" s="121"/>
      <c r="R508" s="121"/>
      <c r="S508" s="121"/>
      <c r="T508" s="121"/>
      <c r="U508" s="121"/>
      <c r="V508" s="121"/>
      <c r="W508" s="121"/>
      <c r="X508" s="117"/>
      <c r="Y508" s="117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21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  <c r="DK508" s="121"/>
      <c r="DL508" s="121"/>
      <c r="DM508" s="121"/>
      <c r="DN508" s="121"/>
      <c r="DO508" s="121"/>
      <c r="DP508" s="121"/>
      <c r="DQ508" s="121"/>
      <c r="DR508" s="121"/>
      <c r="DS508" s="121"/>
      <c r="DT508" s="240"/>
      <c r="DU508" s="240"/>
      <c r="DV508" s="240"/>
      <c r="DW508" s="240"/>
      <c r="DX508" s="240"/>
      <c r="DY508" s="240"/>
      <c r="DZ508" s="240"/>
      <c r="EA508" s="240"/>
      <c r="EB508" s="237">
        <f t="shared" si="56"/>
        <v>0</v>
      </c>
      <c r="EC508" s="237">
        <f t="shared" si="57"/>
        <v>0</v>
      </c>
      <c r="ED508" s="237">
        <f t="shared" si="58"/>
        <v>0</v>
      </c>
      <c r="EE508" s="237">
        <f t="shared" si="59"/>
        <v>0</v>
      </c>
      <c r="EF508" s="121"/>
      <c r="EG508" s="238">
        <f t="shared" si="60"/>
        <v>0</v>
      </c>
      <c r="EH508" s="121"/>
      <c r="EI508" s="237">
        <f t="shared" si="61"/>
        <v>0</v>
      </c>
      <c r="EJ508" s="121"/>
      <c r="EK508" s="237">
        <f t="shared" si="62"/>
        <v>0</v>
      </c>
      <c r="EL508" s="237"/>
      <c r="EM508" s="5"/>
      <c r="EN508" s="5"/>
      <c r="EO508" s="5"/>
      <c r="EP508" s="5"/>
      <c r="EQ508" s="237">
        <f t="shared" si="63"/>
        <v>0</v>
      </c>
      <c r="ER508" s="239">
        <v>23300</v>
      </c>
      <c r="ES508" s="5">
        <v>7.5</v>
      </c>
    </row>
    <row r="509" spans="1:149" x14ac:dyDescent="0.3">
      <c r="A509" s="124"/>
      <c r="B509" s="121"/>
      <c r="C509" s="121"/>
      <c r="D509" s="121"/>
      <c r="E509" s="121"/>
      <c r="F509" s="121"/>
      <c r="G509" s="121"/>
      <c r="H509" s="121"/>
      <c r="I509" s="121"/>
      <c r="J509" s="121"/>
      <c r="K509" s="121"/>
      <c r="L509" s="121"/>
      <c r="M509" s="121"/>
      <c r="N509" s="121"/>
      <c r="O509" s="235"/>
      <c r="P509" s="121"/>
      <c r="Q509" s="121"/>
      <c r="R509" s="121"/>
      <c r="S509" s="121"/>
      <c r="T509" s="121"/>
      <c r="U509" s="121"/>
      <c r="V509" s="121"/>
      <c r="W509" s="121"/>
      <c r="X509" s="117"/>
      <c r="Y509" s="117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21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  <c r="DK509" s="121"/>
      <c r="DL509" s="121"/>
      <c r="DM509" s="121"/>
      <c r="DN509" s="121"/>
      <c r="DO509" s="121"/>
      <c r="DP509" s="121"/>
      <c r="DQ509" s="121"/>
      <c r="DR509" s="121"/>
      <c r="DS509" s="121"/>
      <c r="DT509" s="240"/>
      <c r="DU509" s="240"/>
      <c r="DV509" s="240"/>
      <c r="DW509" s="240"/>
      <c r="DX509" s="240"/>
      <c r="DY509" s="240"/>
      <c r="DZ509" s="240"/>
      <c r="EA509" s="240"/>
      <c r="EB509" s="237">
        <f t="shared" si="56"/>
        <v>0</v>
      </c>
      <c r="EC509" s="237">
        <f t="shared" si="57"/>
        <v>0</v>
      </c>
      <c r="ED509" s="237">
        <f t="shared" si="58"/>
        <v>0</v>
      </c>
      <c r="EE509" s="237">
        <f t="shared" si="59"/>
        <v>0</v>
      </c>
      <c r="EF509" s="121"/>
      <c r="EG509" s="238">
        <f t="shared" si="60"/>
        <v>0</v>
      </c>
      <c r="EH509" s="121"/>
      <c r="EI509" s="237">
        <f t="shared" si="61"/>
        <v>0</v>
      </c>
      <c r="EJ509" s="121"/>
      <c r="EK509" s="237">
        <f t="shared" si="62"/>
        <v>0</v>
      </c>
      <c r="EL509" s="237"/>
      <c r="EM509" s="5"/>
      <c r="EN509" s="5"/>
      <c r="EO509" s="5"/>
      <c r="EP509" s="5"/>
      <c r="EQ509" s="237">
        <f t="shared" si="63"/>
        <v>0</v>
      </c>
      <c r="ER509" s="239">
        <v>23300</v>
      </c>
      <c r="ES509" s="5">
        <v>7.5</v>
      </c>
    </row>
    <row r="510" spans="1:149" x14ac:dyDescent="0.3">
      <c r="A510" s="124"/>
      <c r="B510" s="121"/>
      <c r="C510" s="121"/>
      <c r="D510" s="121"/>
      <c r="E510" s="121"/>
      <c r="F510" s="121"/>
      <c r="G510" s="121"/>
      <c r="H510" s="121"/>
      <c r="I510" s="121"/>
      <c r="J510" s="121"/>
      <c r="K510" s="121"/>
      <c r="L510" s="121"/>
      <c r="M510" s="121"/>
      <c r="N510" s="121"/>
      <c r="O510" s="235"/>
      <c r="P510" s="121"/>
      <c r="Q510" s="121"/>
      <c r="R510" s="121"/>
      <c r="S510" s="121"/>
      <c r="T510" s="121"/>
      <c r="U510" s="121"/>
      <c r="V510" s="121"/>
      <c r="W510" s="121"/>
      <c r="X510" s="117"/>
      <c r="Y510" s="117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21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  <c r="DK510" s="121"/>
      <c r="DL510" s="121"/>
      <c r="DM510" s="121"/>
      <c r="DN510" s="121"/>
      <c r="DO510" s="121"/>
      <c r="DP510" s="121"/>
      <c r="DQ510" s="121"/>
      <c r="DR510" s="121"/>
      <c r="DS510" s="121"/>
      <c r="DT510" s="240"/>
      <c r="DU510" s="240"/>
      <c r="DV510" s="240"/>
      <c r="DW510" s="240"/>
      <c r="DX510" s="240"/>
      <c r="DY510" s="240"/>
      <c r="DZ510" s="240"/>
      <c r="EA510" s="240"/>
      <c r="EB510" s="237">
        <f t="shared" si="56"/>
        <v>0</v>
      </c>
      <c r="EC510" s="237">
        <f t="shared" si="57"/>
        <v>0</v>
      </c>
      <c r="ED510" s="237">
        <f t="shared" si="58"/>
        <v>0</v>
      </c>
      <c r="EE510" s="237">
        <f t="shared" si="59"/>
        <v>0</v>
      </c>
      <c r="EF510" s="121"/>
      <c r="EG510" s="238">
        <f t="shared" si="60"/>
        <v>0</v>
      </c>
      <c r="EH510" s="121"/>
      <c r="EI510" s="237">
        <f t="shared" si="61"/>
        <v>0</v>
      </c>
      <c r="EJ510" s="121"/>
      <c r="EK510" s="237">
        <f t="shared" si="62"/>
        <v>0</v>
      </c>
      <c r="EL510" s="237"/>
      <c r="EM510" s="5"/>
      <c r="EN510" s="5"/>
      <c r="EO510" s="5"/>
      <c r="EP510" s="5"/>
      <c r="EQ510" s="237">
        <f t="shared" si="63"/>
        <v>0</v>
      </c>
      <c r="ER510" s="239">
        <v>23300</v>
      </c>
      <c r="ES510" s="5">
        <v>7.5</v>
      </c>
    </row>
    <row r="511" spans="1:149" x14ac:dyDescent="0.3">
      <c r="A511" s="124"/>
      <c r="B511" s="121"/>
      <c r="C511" s="121"/>
      <c r="D511" s="121"/>
      <c r="E511" s="121"/>
      <c r="F511" s="121"/>
      <c r="G511" s="121"/>
      <c r="H511" s="121"/>
      <c r="I511" s="121"/>
      <c r="J511" s="121"/>
      <c r="K511" s="121"/>
      <c r="L511" s="121"/>
      <c r="M511" s="121"/>
      <c r="N511" s="121"/>
      <c r="O511" s="235"/>
      <c r="P511" s="121"/>
      <c r="Q511" s="121"/>
      <c r="R511" s="121"/>
      <c r="S511" s="121"/>
      <c r="T511" s="121"/>
      <c r="U511" s="121"/>
      <c r="V511" s="121"/>
      <c r="W511" s="121"/>
      <c r="X511" s="117"/>
      <c r="Y511" s="117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21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  <c r="DK511" s="121"/>
      <c r="DL511" s="121"/>
      <c r="DM511" s="121"/>
      <c r="DN511" s="121"/>
      <c r="DO511" s="121"/>
      <c r="DP511" s="121"/>
      <c r="DQ511" s="121"/>
      <c r="DR511" s="121"/>
      <c r="DS511" s="121"/>
      <c r="DT511" s="240"/>
      <c r="DU511" s="240"/>
      <c r="DV511" s="240"/>
      <c r="DW511" s="240"/>
      <c r="DX511" s="240"/>
      <c r="DY511" s="240"/>
      <c r="DZ511" s="240"/>
      <c r="EA511" s="240"/>
      <c r="EB511" s="237">
        <f t="shared" si="56"/>
        <v>0</v>
      </c>
      <c r="EC511" s="237">
        <f t="shared" si="57"/>
        <v>0</v>
      </c>
      <c r="ED511" s="237">
        <f t="shared" si="58"/>
        <v>0</v>
      </c>
      <c r="EE511" s="237">
        <f t="shared" si="59"/>
        <v>0</v>
      </c>
      <c r="EF511" s="121"/>
      <c r="EG511" s="238">
        <f t="shared" si="60"/>
        <v>0</v>
      </c>
      <c r="EH511" s="121"/>
      <c r="EI511" s="237">
        <f t="shared" si="61"/>
        <v>0</v>
      </c>
      <c r="EJ511" s="121"/>
      <c r="EK511" s="237">
        <f t="shared" si="62"/>
        <v>0</v>
      </c>
      <c r="EL511" s="237"/>
      <c r="EM511" s="5"/>
      <c r="EN511" s="5"/>
      <c r="EO511" s="5"/>
      <c r="EP511" s="5"/>
      <c r="EQ511" s="237">
        <f t="shared" si="63"/>
        <v>0</v>
      </c>
      <c r="ER511" s="239">
        <v>23300</v>
      </c>
      <c r="ES511" s="5">
        <v>7.5</v>
      </c>
    </row>
    <row r="512" spans="1:149" x14ac:dyDescent="0.3">
      <c r="A512" s="124"/>
      <c r="B512" s="121"/>
      <c r="C512" s="121"/>
      <c r="D512" s="121"/>
      <c r="E512" s="121"/>
      <c r="F512" s="121"/>
      <c r="G512" s="121"/>
      <c r="H512" s="121"/>
      <c r="I512" s="121"/>
      <c r="J512" s="121"/>
      <c r="K512" s="121"/>
      <c r="L512" s="121"/>
      <c r="M512" s="121"/>
      <c r="N512" s="121"/>
      <c r="O512" s="235"/>
      <c r="P512" s="121"/>
      <c r="Q512" s="121"/>
      <c r="R512" s="121"/>
      <c r="S512" s="121"/>
      <c r="T512" s="121"/>
      <c r="U512" s="121"/>
      <c r="V512" s="121"/>
      <c r="W512" s="121"/>
      <c r="X512" s="117"/>
      <c r="Y512" s="117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21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  <c r="DK512" s="121"/>
      <c r="DL512" s="121"/>
      <c r="DM512" s="121"/>
      <c r="DN512" s="121"/>
      <c r="DO512" s="121"/>
      <c r="DP512" s="121"/>
      <c r="DQ512" s="121"/>
      <c r="DR512" s="121"/>
      <c r="DS512" s="121"/>
      <c r="DT512" s="240"/>
      <c r="DU512" s="240"/>
      <c r="DV512" s="240"/>
      <c r="DW512" s="240"/>
      <c r="DX512" s="240"/>
      <c r="DY512" s="240"/>
      <c r="DZ512" s="240"/>
      <c r="EA512" s="240"/>
      <c r="EB512" s="237">
        <f t="shared" si="56"/>
        <v>0</v>
      </c>
      <c r="EC512" s="237">
        <f t="shared" si="57"/>
        <v>0</v>
      </c>
      <c r="ED512" s="237">
        <f t="shared" si="58"/>
        <v>0</v>
      </c>
      <c r="EE512" s="237">
        <f t="shared" si="59"/>
        <v>0</v>
      </c>
      <c r="EF512" s="121"/>
      <c r="EG512" s="238">
        <f t="shared" si="60"/>
        <v>0</v>
      </c>
      <c r="EH512" s="121"/>
      <c r="EI512" s="237">
        <f t="shared" si="61"/>
        <v>0</v>
      </c>
      <c r="EJ512" s="121"/>
      <c r="EK512" s="237">
        <f t="shared" si="62"/>
        <v>0</v>
      </c>
      <c r="EL512" s="237"/>
      <c r="EM512" s="5"/>
      <c r="EN512" s="5"/>
      <c r="EO512" s="5"/>
      <c r="EP512" s="5"/>
      <c r="EQ512" s="237">
        <f t="shared" si="63"/>
        <v>0</v>
      </c>
      <c r="ER512" s="239">
        <v>23300</v>
      </c>
      <c r="ES512" s="5">
        <v>7.5</v>
      </c>
    </row>
    <row r="513" spans="1:149" x14ac:dyDescent="0.3">
      <c r="A513" s="124"/>
      <c r="B513" s="121"/>
      <c r="C513" s="121"/>
      <c r="D513" s="121"/>
      <c r="E513" s="121"/>
      <c r="F513" s="121"/>
      <c r="G513" s="121"/>
      <c r="H513" s="121"/>
      <c r="I513" s="121"/>
      <c r="J513" s="121"/>
      <c r="K513" s="121"/>
      <c r="L513" s="121"/>
      <c r="M513" s="121"/>
      <c r="N513" s="121"/>
      <c r="O513" s="235"/>
      <c r="P513" s="121"/>
      <c r="Q513" s="121"/>
      <c r="R513" s="121"/>
      <c r="S513" s="121"/>
      <c r="T513" s="121"/>
      <c r="U513" s="121"/>
      <c r="V513" s="121"/>
      <c r="W513" s="121"/>
      <c r="X513" s="117"/>
      <c r="Y513" s="117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21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  <c r="DK513" s="121"/>
      <c r="DL513" s="121"/>
      <c r="DM513" s="121"/>
      <c r="DN513" s="121"/>
      <c r="DO513" s="121"/>
      <c r="DP513" s="121"/>
      <c r="DQ513" s="121"/>
      <c r="DR513" s="121"/>
      <c r="DS513" s="121"/>
      <c r="DT513" s="240"/>
      <c r="DU513" s="240"/>
      <c r="DV513" s="240"/>
      <c r="DW513" s="240"/>
      <c r="DX513" s="240"/>
      <c r="DY513" s="240"/>
      <c r="DZ513" s="240"/>
      <c r="EA513" s="240"/>
      <c r="EB513" s="237">
        <f t="shared" si="56"/>
        <v>0</v>
      </c>
      <c r="EC513" s="237">
        <f t="shared" si="57"/>
        <v>0</v>
      </c>
      <c r="ED513" s="237">
        <f t="shared" si="58"/>
        <v>0</v>
      </c>
      <c r="EE513" s="237">
        <f t="shared" si="59"/>
        <v>0</v>
      </c>
      <c r="EF513" s="121"/>
      <c r="EG513" s="238">
        <f t="shared" si="60"/>
        <v>0</v>
      </c>
      <c r="EH513" s="121"/>
      <c r="EI513" s="237">
        <f t="shared" si="61"/>
        <v>0</v>
      </c>
      <c r="EJ513" s="121"/>
      <c r="EK513" s="237">
        <f t="shared" si="62"/>
        <v>0</v>
      </c>
      <c r="EL513" s="237"/>
      <c r="EM513" s="5"/>
      <c r="EN513" s="5"/>
      <c r="EO513" s="5"/>
      <c r="EP513" s="5"/>
      <c r="EQ513" s="237">
        <f t="shared" si="63"/>
        <v>0</v>
      </c>
      <c r="ER513" s="239">
        <v>23300</v>
      </c>
      <c r="ES513" s="5">
        <v>7.5</v>
      </c>
    </row>
    <row r="514" spans="1:149" x14ac:dyDescent="0.3">
      <c r="A514" s="124"/>
      <c r="B514" s="121"/>
      <c r="C514" s="121"/>
      <c r="D514" s="121"/>
      <c r="E514" s="121"/>
      <c r="F514" s="121"/>
      <c r="G514" s="121"/>
      <c r="H514" s="121"/>
      <c r="I514" s="121"/>
      <c r="J514" s="121"/>
      <c r="K514" s="121"/>
      <c r="L514" s="121"/>
      <c r="M514" s="121"/>
      <c r="N514" s="121"/>
      <c r="O514" s="235"/>
      <c r="P514" s="121"/>
      <c r="Q514" s="121"/>
      <c r="R514" s="121"/>
      <c r="S514" s="121"/>
      <c r="T514" s="121"/>
      <c r="U514" s="121"/>
      <c r="V514" s="121"/>
      <c r="W514" s="121"/>
      <c r="X514" s="117"/>
      <c r="Y514" s="117"/>
      <c r="Z514" s="121"/>
      <c r="AA514" s="121"/>
      <c r="AB514" s="121"/>
      <c r="AC514" s="121"/>
      <c r="AD514" s="121"/>
      <c r="AE514" s="121"/>
      <c r="AF514" s="121"/>
      <c r="AG514" s="121"/>
      <c r="AH514" s="121"/>
      <c r="AI514" s="121"/>
      <c r="AJ514" s="121"/>
      <c r="AK514" s="121"/>
      <c r="AL514" s="121"/>
      <c r="AM514" s="121"/>
      <c r="AN514" s="121"/>
      <c r="AO514" s="121"/>
      <c r="AP514" s="121"/>
      <c r="AQ514" s="121"/>
      <c r="AR514" s="121"/>
      <c r="AS514" s="121"/>
      <c r="AT514" s="121"/>
      <c r="AU514" s="121"/>
      <c r="AV514" s="121"/>
      <c r="AW514" s="121"/>
      <c r="AX514" s="121"/>
      <c r="AY514" s="121"/>
      <c r="AZ514" s="121"/>
      <c r="BA514" s="121"/>
      <c r="BB514" s="121"/>
      <c r="BC514" s="121"/>
      <c r="BD514" s="121"/>
      <c r="BE514" s="121"/>
      <c r="BF514" s="121"/>
      <c r="BG514" s="121"/>
      <c r="BH514" s="121"/>
      <c r="BI514" s="121"/>
      <c r="BJ514" s="121"/>
      <c r="BK514" s="121"/>
      <c r="BL514" s="121"/>
      <c r="BM514" s="121"/>
      <c r="BN514" s="121"/>
      <c r="BO514" s="121"/>
      <c r="BP514" s="121"/>
      <c r="BQ514" s="121"/>
      <c r="BR514" s="121"/>
      <c r="BS514" s="121"/>
      <c r="BT514" s="121"/>
      <c r="BU514" s="121"/>
      <c r="BV514" s="121"/>
      <c r="BW514" s="121"/>
      <c r="BX514" s="121"/>
      <c r="BY514" s="121"/>
      <c r="BZ514" s="121"/>
      <c r="CA514" s="121"/>
      <c r="CB514" s="121"/>
      <c r="CC514" s="121"/>
      <c r="CD514" s="121"/>
      <c r="CE514" s="121"/>
      <c r="CF514" s="121"/>
      <c r="CG514" s="121"/>
      <c r="CH514" s="121"/>
      <c r="CI514" s="121"/>
      <c r="CJ514" s="121"/>
      <c r="CK514" s="121"/>
      <c r="CL514" s="121"/>
      <c r="CM514" s="121"/>
      <c r="CN514" s="121"/>
      <c r="CO514" s="121"/>
      <c r="CP514" s="121"/>
      <c r="CQ514" s="121"/>
      <c r="CR514" s="121"/>
      <c r="CS514" s="121"/>
      <c r="CT514" s="121"/>
      <c r="CU514" s="121"/>
      <c r="CV514" s="121"/>
      <c r="CW514" s="121"/>
      <c r="CX514" s="121"/>
      <c r="CY514" s="121"/>
      <c r="CZ514" s="121"/>
      <c r="DA514" s="121"/>
      <c r="DB514" s="121"/>
      <c r="DC514" s="121"/>
      <c r="DD514" s="121"/>
      <c r="DE514" s="121"/>
      <c r="DF514" s="121"/>
      <c r="DG514" s="121"/>
      <c r="DH514" s="121"/>
      <c r="DI514" s="121"/>
      <c r="DJ514" s="121"/>
      <c r="DK514" s="121"/>
      <c r="DL514" s="121"/>
      <c r="DM514" s="121"/>
      <c r="DN514" s="121"/>
      <c r="DO514" s="121"/>
      <c r="DP514" s="121"/>
      <c r="DQ514" s="121"/>
      <c r="DR514" s="121"/>
      <c r="DS514" s="121"/>
      <c r="DT514" s="240"/>
      <c r="DU514" s="240"/>
      <c r="DV514" s="240"/>
      <c r="DW514" s="240"/>
      <c r="DX514" s="240"/>
      <c r="DY514" s="240"/>
      <c r="DZ514" s="240"/>
      <c r="EA514" s="240"/>
      <c r="EB514" s="237">
        <f t="shared" si="56"/>
        <v>0</v>
      </c>
      <c r="EC514" s="237">
        <f t="shared" si="57"/>
        <v>0</v>
      </c>
      <c r="ED514" s="237">
        <f t="shared" si="58"/>
        <v>0</v>
      </c>
      <c r="EE514" s="237">
        <f t="shared" si="59"/>
        <v>0</v>
      </c>
      <c r="EF514" s="121"/>
      <c r="EG514" s="238">
        <f t="shared" si="60"/>
        <v>0</v>
      </c>
      <c r="EH514" s="121"/>
      <c r="EI514" s="237">
        <f t="shared" si="61"/>
        <v>0</v>
      </c>
      <c r="EJ514" s="121"/>
      <c r="EK514" s="237">
        <f t="shared" si="62"/>
        <v>0</v>
      </c>
      <c r="EL514" s="237"/>
      <c r="EM514" s="5"/>
      <c r="EN514" s="5"/>
      <c r="EO514" s="5"/>
      <c r="EP514" s="5"/>
      <c r="EQ514" s="237">
        <f t="shared" si="63"/>
        <v>0</v>
      </c>
      <c r="ER514" s="239">
        <v>23300</v>
      </c>
      <c r="ES514" s="5">
        <v>7.5</v>
      </c>
    </row>
    <row r="515" spans="1:149" x14ac:dyDescent="0.3">
      <c r="A515" s="124"/>
      <c r="B515" s="121"/>
      <c r="C515" s="121"/>
      <c r="D515" s="121"/>
      <c r="E515" s="121"/>
      <c r="F515" s="121"/>
      <c r="G515" s="121"/>
      <c r="H515" s="121"/>
      <c r="I515" s="121"/>
      <c r="J515" s="121"/>
      <c r="K515" s="121"/>
      <c r="L515" s="121"/>
      <c r="M515" s="121"/>
      <c r="N515" s="121"/>
      <c r="O515" s="235"/>
      <c r="P515" s="121"/>
      <c r="Q515" s="121"/>
      <c r="R515" s="121"/>
      <c r="S515" s="121"/>
      <c r="T515" s="121"/>
      <c r="U515" s="121"/>
      <c r="V515" s="121"/>
      <c r="W515" s="121"/>
      <c r="X515" s="117"/>
      <c r="Y515" s="117"/>
      <c r="Z515" s="121"/>
      <c r="AA515" s="121"/>
      <c r="AB515" s="121"/>
      <c r="AC515" s="121"/>
      <c r="AD515" s="121"/>
      <c r="AE515" s="121"/>
      <c r="AF515" s="121"/>
      <c r="AG515" s="121"/>
      <c r="AH515" s="121"/>
      <c r="AI515" s="121"/>
      <c r="AJ515" s="121"/>
      <c r="AK515" s="121"/>
      <c r="AL515" s="121"/>
      <c r="AM515" s="121"/>
      <c r="AN515" s="121"/>
      <c r="AO515" s="121"/>
      <c r="AP515" s="121"/>
      <c r="AQ515" s="121"/>
      <c r="AR515" s="121"/>
      <c r="AS515" s="121"/>
      <c r="AT515" s="121"/>
      <c r="AU515" s="121"/>
      <c r="AV515" s="121"/>
      <c r="AW515" s="121"/>
      <c r="AX515" s="121"/>
      <c r="AY515" s="121"/>
      <c r="AZ515" s="121"/>
      <c r="BA515" s="121"/>
      <c r="BB515" s="121"/>
      <c r="BC515" s="121"/>
      <c r="BD515" s="121"/>
      <c r="BE515" s="121"/>
      <c r="BF515" s="121"/>
      <c r="BG515" s="121"/>
      <c r="BH515" s="121"/>
      <c r="BI515" s="121"/>
      <c r="BJ515" s="121"/>
      <c r="BK515" s="121"/>
      <c r="BL515" s="121"/>
      <c r="BM515" s="121"/>
      <c r="BN515" s="121"/>
      <c r="BO515" s="121"/>
      <c r="BP515" s="121"/>
      <c r="BQ515" s="121"/>
      <c r="BR515" s="121"/>
      <c r="BS515" s="121"/>
      <c r="BT515" s="121"/>
      <c r="BU515" s="121"/>
      <c r="BV515" s="121"/>
      <c r="BW515" s="121"/>
      <c r="BX515" s="121"/>
      <c r="BY515" s="121"/>
      <c r="BZ515" s="121"/>
      <c r="CA515" s="121"/>
      <c r="CB515" s="121"/>
      <c r="CC515" s="121"/>
      <c r="CD515" s="121"/>
      <c r="CE515" s="121"/>
      <c r="CF515" s="121"/>
      <c r="CG515" s="121"/>
      <c r="CH515" s="121"/>
      <c r="CI515" s="121"/>
      <c r="CJ515" s="121"/>
      <c r="CK515" s="121"/>
      <c r="CL515" s="121"/>
      <c r="CM515" s="121"/>
      <c r="CN515" s="121"/>
      <c r="CO515" s="121"/>
      <c r="CP515" s="121"/>
      <c r="CQ515" s="121"/>
      <c r="CR515" s="121"/>
      <c r="CS515" s="121"/>
      <c r="CT515" s="121"/>
      <c r="CU515" s="121"/>
      <c r="CV515" s="121"/>
      <c r="CW515" s="121"/>
      <c r="CX515" s="121"/>
      <c r="CY515" s="121"/>
      <c r="CZ515" s="121"/>
      <c r="DA515" s="121"/>
      <c r="DB515" s="121"/>
      <c r="DC515" s="121"/>
      <c r="DD515" s="121"/>
      <c r="DE515" s="121"/>
      <c r="DF515" s="121"/>
      <c r="DG515" s="121"/>
      <c r="DH515" s="121"/>
      <c r="DI515" s="121"/>
      <c r="DJ515" s="121"/>
      <c r="DK515" s="121"/>
      <c r="DL515" s="121"/>
      <c r="DM515" s="121"/>
      <c r="DN515" s="121"/>
      <c r="DO515" s="121"/>
      <c r="DP515" s="121"/>
      <c r="DQ515" s="121"/>
      <c r="DR515" s="121"/>
      <c r="DS515" s="121"/>
      <c r="DT515" s="240"/>
      <c r="DU515" s="240"/>
      <c r="DV515" s="240"/>
      <c r="DW515" s="240"/>
      <c r="DX515" s="240"/>
      <c r="DY515" s="240"/>
      <c r="DZ515" s="240"/>
      <c r="EA515" s="240"/>
      <c r="EB515" s="237">
        <f t="shared" si="56"/>
        <v>0</v>
      </c>
      <c r="EC515" s="237">
        <f t="shared" si="57"/>
        <v>0</v>
      </c>
      <c r="ED515" s="237">
        <f t="shared" si="58"/>
        <v>0</v>
      </c>
      <c r="EE515" s="237">
        <f t="shared" si="59"/>
        <v>0</v>
      </c>
      <c r="EF515" s="121"/>
      <c r="EG515" s="238">
        <f t="shared" si="60"/>
        <v>0</v>
      </c>
      <c r="EH515" s="121"/>
      <c r="EI515" s="237">
        <f t="shared" si="61"/>
        <v>0</v>
      </c>
      <c r="EJ515" s="121"/>
      <c r="EK515" s="237">
        <f t="shared" si="62"/>
        <v>0</v>
      </c>
      <c r="EL515" s="237"/>
      <c r="EM515" s="5"/>
      <c r="EN515" s="5"/>
      <c r="EO515" s="5"/>
      <c r="EP515" s="5"/>
      <c r="EQ515" s="237">
        <f t="shared" si="63"/>
        <v>0</v>
      </c>
      <c r="ER515" s="239">
        <v>23300</v>
      </c>
      <c r="ES515" s="5">
        <v>7.5</v>
      </c>
    </row>
    <row r="516" spans="1:149" x14ac:dyDescent="0.3">
      <c r="A516" s="124"/>
      <c r="B516" s="121"/>
      <c r="C516" s="121"/>
      <c r="D516" s="121"/>
      <c r="E516" s="121"/>
      <c r="F516" s="121"/>
      <c r="G516" s="121"/>
      <c r="H516" s="121"/>
      <c r="I516" s="121"/>
      <c r="J516" s="121"/>
      <c r="K516" s="121"/>
      <c r="L516" s="121"/>
      <c r="M516" s="121"/>
      <c r="N516" s="121"/>
      <c r="O516" s="235"/>
      <c r="P516" s="121"/>
      <c r="Q516" s="121"/>
      <c r="R516" s="121"/>
      <c r="S516" s="121"/>
      <c r="T516" s="121"/>
      <c r="U516" s="121"/>
      <c r="V516" s="121"/>
      <c r="W516" s="121"/>
      <c r="X516" s="117"/>
      <c r="Y516" s="117"/>
      <c r="Z516" s="121"/>
      <c r="AA516" s="121"/>
      <c r="AB516" s="121"/>
      <c r="AC516" s="121"/>
      <c r="AD516" s="121"/>
      <c r="AE516" s="121"/>
      <c r="AF516" s="121"/>
      <c r="AG516" s="121"/>
      <c r="AH516" s="121"/>
      <c r="AI516" s="121"/>
      <c r="AJ516" s="121"/>
      <c r="AK516" s="121"/>
      <c r="AL516" s="121"/>
      <c r="AM516" s="121"/>
      <c r="AN516" s="121"/>
      <c r="AO516" s="121"/>
      <c r="AP516" s="121"/>
      <c r="AQ516" s="121"/>
      <c r="AR516" s="121"/>
      <c r="AS516" s="121"/>
      <c r="AT516" s="121"/>
      <c r="AU516" s="121"/>
      <c r="AV516" s="121"/>
      <c r="AW516" s="121"/>
      <c r="AX516" s="121"/>
      <c r="AY516" s="121"/>
      <c r="AZ516" s="121"/>
      <c r="BA516" s="121"/>
      <c r="BB516" s="121"/>
      <c r="BC516" s="121"/>
      <c r="BD516" s="121"/>
      <c r="BE516" s="121"/>
      <c r="BF516" s="121"/>
      <c r="BG516" s="121"/>
      <c r="BH516" s="121"/>
      <c r="BI516" s="121"/>
      <c r="BJ516" s="121"/>
      <c r="BK516" s="121"/>
      <c r="BL516" s="121"/>
      <c r="BM516" s="121"/>
      <c r="BN516" s="121"/>
      <c r="BO516" s="121"/>
      <c r="BP516" s="121"/>
      <c r="BQ516" s="121"/>
      <c r="BR516" s="121"/>
      <c r="BS516" s="121"/>
      <c r="BT516" s="121"/>
      <c r="BU516" s="121"/>
      <c r="BV516" s="121"/>
      <c r="BW516" s="121"/>
      <c r="BX516" s="121"/>
      <c r="BY516" s="121"/>
      <c r="BZ516" s="121"/>
      <c r="CA516" s="121"/>
      <c r="CB516" s="121"/>
      <c r="CC516" s="121"/>
      <c r="CD516" s="121"/>
      <c r="CE516" s="121"/>
      <c r="CF516" s="121"/>
      <c r="CG516" s="121"/>
      <c r="CH516" s="121"/>
      <c r="CI516" s="121"/>
      <c r="CJ516" s="121"/>
      <c r="CK516" s="121"/>
      <c r="CL516" s="121"/>
      <c r="CM516" s="121"/>
      <c r="CN516" s="121"/>
      <c r="CO516" s="121"/>
      <c r="CP516" s="121"/>
      <c r="CQ516" s="121"/>
      <c r="CR516" s="121"/>
      <c r="CS516" s="121"/>
      <c r="CT516" s="121"/>
      <c r="CU516" s="121"/>
      <c r="CV516" s="121"/>
      <c r="CW516" s="121"/>
      <c r="CX516" s="121"/>
      <c r="CY516" s="121"/>
      <c r="CZ516" s="121"/>
      <c r="DA516" s="121"/>
      <c r="DB516" s="121"/>
      <c r="DC516" s="121"/>
      <c r="DD516" s="121"/>
      <c r="DE516" s="121"/>
      <c r="DF516" s="121"/>
      <c r="DG516" s="121"/>
      <c r="DH516" s="121"/>
      <c r="DI516" s="121"/>
      <c r="DJ516" s="121"/>
      <c r="DK516" s="121"/>
      <c r="DL516" s="121"/>
      <c r="DM516" s="121"/>
      <c r="DN516" s="121"/>
      <c r="DO516" s="121"/>
      <c r="DP516" s="121"/>
      <c r="DQ516" s="121"/>
      <c r="DR516" s="121"/>
      <c r="DS516" s="121"/>
      <c r="DT516" s="240"/>
      <c r="DU516" s="240"/>
      <c r="DV516" s="240"/>
      <c r="DW516" s="240"/>
      <c r="DX516" s="240"/>
      <c r="DY516" s="240"/>
      <c r="DZ516" s="240"/>
      <c r="EA516" s="240"/>
      <c r="EB516" s="237">
        <f t="shared" si="56"/>
        <v>0</v>
      </c>
      <c r="EC516" s="237">
        <f t="shared" si="57"/>
        <v>0</v>
      </c>
      <c r="ED516" s="237">
        <f t="shared" si="58"/>
        <v>0</v>
      </c>
      <c r="EE516" s="237">
        <f t="shared" si="59"/>
        <v>0</v>
      </c>
      <c r="EF516" s="121"/>
      <c r="EG516" s="238">
        <f t="shared" si="60"/>
        <v>0</v>
      </c>
      <c r="EH516" s="121"/>
      <c r="EI516" s="237">
        <f t="shared" si="61"/>
        <v>0</v>
      </c>
      <c r="EJ516" s="121"/>
      <c r="EK516" s="237">
        <f t="shared" si="62"/>
        <v>0</v>
      </c>
      <c r="EL516" s="237"/>
      <c r="EM516" s="5"/>
      <c r="EN516" s="5"/>
      <c r="EO516" s="5"/>
      <c r="EP516" s="5"/>
      <c r="EQ516" s="237">
        <f t="shared" si="63"/>
        <v>0</v>
      </c>
      <c r="ER516" s="239">
        <v>23300</v>
      </c>
      <c r="ES516" s="5">
        <v>7.5</v>
      </c>
    </row>
    <row r="517" spans="1:149" x14ac:dyDescent="0.3">
      <c r="A517" s="124"/>
      <c r="B517" s="121"/>
      <c r="C517" s="121"/>
      <c r="D517" s="121"/>
      <c r="E517" s="121"/>
      <c r="F517" s="121"/>
      <c r="G517" s="121"/>
      <c r="H517" s="121"/>
      <c r="I517" s="121"/>
      <c r="J517" s="121"/>
      <c r="K517" s="121"/>
      <c r="L517" s="121"/>
      <c r="M517" s="121"/>
      <c r="N517" s="121"/>
      <c r="O517" s="235"/>
      <c r="P517" s="121"/>
      <c r="Q517" s="121"/>
      <c r="R517" s="121"/>
      <c r="S517" s="121"/>
      <c r="T517" s="121"/>
      <c r="U517" s="121"/>
      <c r="V517" s="121"/>
      <c r="W517" s="121"/>
      <c r="X517" s="117"/>
      <c r="Y517" s="117"/>
      <c r="Z517" s="121"/>
      <c r="AA517" s="121"/>
      <c r="AB517" s="121"/>
      <c r="AC517" s="121"/>
      <c r="AD517" s="121"/>
      <c r="AE517" s="121"/>
      <c r="AF517" s="121"/>
      <c r="AG517" s="121"/>
      <c r="AH517" s="121"/>
      <c r="AI517" s="121"/>
      <c r="AJ517" s="121"/>
      <c r="AK517" s="121"/>
      <c r="AL517" s="121"/>
      <c r="AM517" s="121"/>
      <c r="AN517" s="121"/>
      <c r="AO517" s="121"/>
      <c r="AP517" s="121"/>
      <c r="AQ517" s="121"/>
      <c r="AR517" s="121"/>
      <c r="AS517" s="121"/>
      <c r="AT517" s="121"/>
      <c r="AU517" s="121"/>
      <c r="AV517" s="121"/>
      <c r="AW517" s="121"/>
      <c r="AX517" s="121"/>
      <c r="AY517" s="121"/>
      <c r="AZ517" s="121"/>
      <c r="BA517" s="121"/>
      <c r="BB517" s="121"/>
      <c r="BC517" s="121"/>
      <c r="BD517" s="121"/>
      <c r="BE517" s="121"/>
      <c r="BF517" s="121"/>
      <c r="BG517" s="121"/>
      <c r="BH517" s="121"/>
      <c r="BI517" s="121"/>
      <c r="BJ517" s="121"/>
      <c r="BK517" s="121"/>
      <c r="BL517" s="121"/>
      <c r="BM517" s="121"/>
      <c r="BN517" s="121"/>
      <c r="BO517" s="121"/>
      <c r="BP517" s="121"/>
      <c r="BQ517" s="121"/>
      <c r="BR517" s="121"/>
      <c r="BS517" s="121"/>
      <c r="BT517" s="121"/>
      <c r="BU517" s="121"/>
      <c r="BV517" s="121"/>
      <c r="BW517" s="121"/>
      <c r="BX517" s="121"/>
      <c r="BY517" s="121"/>
      <c r="BZ517" s="121"/>
      <c r="CA517" s="121"/>
      <c r="CB517" s="121"/>
      <c r="CC517" s="121"/>
      <c r="CD517" s="121"/>
      <c r="CE517" s="121"/>
      <c r="CF517" s="121"/>
      <c r="CG517" s="121"/>
      <c r="CH517" s="121"/>
      <c r="CI517" s="121"/>
      <c r="CJ517" s="121"/>
      <c r="CK517" s="121"/>
      <c r="CL517" s="121"/>
      <c r="CM517" s="121"/>
      <c r="CN517" s="121"/>
      <c r="CO517" s="121"/>
      <c r="CP517" s="121"/>
      <c r="CQ517" s="121"/>
      <c r="CR517" s="121"/>
      <c r="CS517" s="121"/>
      <c r="CT517" s="121"/>
      <c r="CU517" s="121"/>
      <c r="CV517" s="121"/>
      <c r="CW517" s="121"/>
      <c r="CX517" s="121"/>
      <c r="CY517" s="121"/>
      <c r="CZ517" s="121"/>
      <c r="DA517" s="121"/>
      <c r="DB517" s="121"/>
      <c r="DC517" s="121"/>
      <c r="DD517" s="121"/>
      <c r="DE517" s="121"/>
      <c r="DF517" s="121"/>
      <c r="DG517" s="121"/>
      <c r="DH517" s="121"/>
      <c r="DI517" s="121"/>
      <c r="DJ517" s="121"/>
      <c r="DK517" s="121"/>
      <c r="DL517" s="121"/>
      <c r="DM517" s="121"/>
      <c r="DN517" s="121"/>
      <c r="DO517" s="121"/>
      <c r="DP517" s="121"/>
      <c r="DQ517" s="121"/>
      <c r="DR517" s="121"/>
      <c r="DS517" s="121"/>
      <c r="DT517" s="240"/>
      <c r="DU517" s="240"/>
      <c r="DV517" s="240"/>
      <c r="DW517" s="240"/>
      <c r="DX517" s="240"/>
      <c r="DY517" s="240"/>
      <c r="DZ517" s="240"/>
      <c r="EA517" s="240"/>
      <c r="EB517" s="237">
        <f t="shared" si="56"/>
        <v>0</v>
      </c>
      <c r="EC517" s="237">
        <f t="shared" si="57"/>
        <v>0</v>
      </c>
      <c r="ED517" s="237">
        <f t="shared" si="58"/>
        <v>0</v>
      </c>
      <c r="EE517" s="237">
        <f t="shared" si="59"/>
        <v>0</v>
      </c>
      <c r="EF517" s="121"/>
      <c r="EG517" s="238">
        <f t="shared" si="60"/>
        <v>0</v>
      </c>
      <c r="EH517" s="121"/>
      <c r="EI517" s="237">
        <f t="shared" si="61"/>
        <v>0</v>
      </c>
      <c r="EJ517" s="121"/>
      <c r="EK517" s="237">
        <f t="shared" si="62"/>
        <v>0</v>
      </c>
      <c r="EL517" s="237"/>
      <c r="EM517" s="5"/>
      <c r="EN517" s="5"/>
      <c r="EO517" s="5"/>
      <c r="EP517" s="5"/>
      <c r="EQ517" s="237">
        <f t="shared" si="63"/>
        <v>0</v>
      </c>
      <c r="ER517" s="239">
        <v>23300</v>
      </c>
      <c r="ES517" s="5">
        <v>7.5</v>
      </c>
    </row>
    <row r="518" spans="1:149" x14ac:dyDescent="0.3">
      <c r="A518" s="124"/>
      <c r="B518" s="121"/>
      <c r="C518" s="121"/>
      <c r="D518" s="121"/>
      <c r="E518" s="121"/>
      <c r="F518" s="121"/>
      <c r="G518" s="121"/>
      <c r="H518" s="121"/>
      <c r="I518" s="121"/>
      <c r="J518" s="121"/>
      <c r="K518" s="121"/>
      <c r="L518" s="121"/>
      <c r="M518" s="121"/>
      <c r="N518" s="121"/>
      <c r="O518" s="235"/>
      <c r="P518" s="121"/>
      <c r="Q518" s="121"/>
      <c r="R518" s="121"/>
      <c r="S518" s="121"/>
      <c r="T518" s="121"/>
      <c r="U518" s="121"/>
      <c r="V518" s="121"/>
      <c r="W518" s="121"/>
      <c r="X518" s="117"/>
      <c r="Y518" s="117"/>
      <c r="Z518" s="121"/>
      <c r="AA518" s="121"/>
      <c r="AB518" s="121"/>
      <c r="AC518" s="121"/>
      <c r="AD518" s="121"/>
      <c r="AE518" s="121"/>
      <c r="AF518" s="121"/>
      <c r="AG518" s="121"/>
      <c r="AH518" s="121"/>
      <c r="AI518" s="121"/>
      <c r="AJ518" s="121"/>
      <c r="AK518" s="121"/>
      <c r="AL518" s="121"/>
      <c r="AM518" s="121"/>
      <c r="AN518" s="121"/>
      <c r="AO518" s="121"/>
      <c r="AP518" s="121"/>
      <c r="AQ518" s="121"/>
      <c r="AR518" s="121"/>
      <c r="AS518" s="121"/>
      <c r="AT518" s="121"/>
      <c r="AU518" s="121"/>
      <c r="AV518" s="121"/>
      <c r="AW518" s="121"/>
      <c r="AX518" s="121"/>
      <c r="AY518" s="121"/>
      <c r="AZ518" s="121"/>
      <c r="BA518" s="121"/>
      <c r="BB518" s="121"/>
      <c r="BC518" s="121"/>
      <c r="BD518" s="121"/>
      <c r="BE518" s="121"/>
      <c r="BF518" s="121"/>
      <c r="BG518" s="121"/>
      <c r="BH518" s="121"/>
      <c r="BI518" s="121"/>
      <c r="BJ518" s="121"/>
      <c r="BK518" s="121"/>
      <c r="BL518" s="121"/>
      <c r="BM518" s="121"/>
      <c r="BN518" s="121"/>
      <c r="BO518" s="121"/>
      <c r="BP518" s="121"/>
      <c r="BQ518" s="121"/>
      <c r="BR518" s="121"/>
      <c r="BS518" s="121"/>
      <c r="BT518" s="121"/>
      <c r="BU518" s="121"/>
      <c r="BV518" s="121"/>
      <c r="BW518" s="121"/>
      <c r="BX518" s="121"/>
      <c r="BY518" s="121"/>
      <c r="BZ518" s="121"/>
      <c r="CA518" s="121"/>
      <c r="CB518" s="121"/>
      <c r="CC518" s="121"/>
      <c r="CD518" s="121"/>
      <c r="CE518" s="121"/>
      <c r="CF518" s="121"/>
      <c r="CG518" s="121"/>
      <c r="CH518" s="121"/>
      <c r="CI518" s="121"/>
      <c r="CJ518" s="121"/>
      <c r="CK518" s="121"/>
      <c r="CL518" s="121"/>
      <c r="CM518" s="121"/>
      <c r="CN518" s="121"/>
      <c r="CO518" s="121"/>
      <c r="CP518" s="121"/>
      <c r="CQ518" s="121"/>
      <c r="CR518" s="121"/>
      <c r="CS518" s="121"/>
      <c r="CT518" s="121"/>
      <c r="CU518" s="121"/>
      <c r="CV518" s="121"/>
      <c r="CW518" s="121"/>
      <c r="CX518" s="121"/>
      <c r="CY518" s="121"/>
      <c r="CZ518" s="121"/>
      <c r="DA518" s="121"/>
      <c r="DB518" s="121"/>
      <c r="DC518" s="121"/>
      <c r="DD518" s="121"/>
      <c r="DE518" s="121"/>
      <c r="DF518" s="121"/>
      <c r="DG518" s="121"/>
      <c r="DH518" s="121"/>
      <c r="DI518" s="121"/>
      <c r="DJ518" s="121"/>
      <c r="DK518" s="121"/>
      <c r="DL518" s="121"/>
      <c r="DM518" s="121"/>
      <c r="DN518" s="121"/>
      <c r="DO518" s="121"/>
      <c r="DP518" s="121"/>
      <c r="DQ518" s="121"/>
      <c r="DR518" s="121"/>
      <c r="DS518" s="121"/>
      <c r="DT518" s="240"/>
      <c r="DU518" s="240"/>
      <c r="DV518" s="240"/>
      <c r="DW518" s="240"/>
      <c r="DX518" s="240"/>
      <c r="DY518" s="240"/>
      <c r="DZ518" s="240"/>
      <c r="EA518" s="240"/>
      <c r="EB518" s="237">
        <f t="shared" ref="EB518:EB581" si="64">AB518+AC518*K518+AD518*K518+((AF518+AG518+AH518+AJ518+AK518)*K518+AE518+AI518+AL518*K518+AM518*K518)+AP518+AQ518*L518+AR518*L518+((AT518+AU518+AV518+AX518+AY518)*L518+AS518+AW518+AZ518*L518+BA518*L518)+IF(AND(M518&gt;0,MAX(M518,N518/1000)&lt;1),BD518+1*(BE518+BF518)+(1*(BH518+BI518+BJ518+BL518+BM518)+BG518+BK518+BN518+BO518),IF(AND(M518&gt;0,MAX(M518,N518/1000)&gt;1),BD518+MAX(M518,N518/1000)*(BE518+BF518)+(MAX(M518,N518/1000)*(BH518+BI518+BJ518+BL518+BM518)+BG518+BK518+BN518+BO518),IF(AND(K518="",L518="",M518=""),BD518+N518*(BE518+BF518)+((BH518+BI518+BJ518+BL518+BM518)*N518+BG518+BK518+BN518+BO518),0)))</f>
        <v>0</v>
      </c>
      <c r="EC518" s="237">
        <f t="shared" ref="EC518:EC581" si="65">BR518+BS518*K518+BT518*K518+((BV518+BW518+BX518+BZ518+CA518)*K518+BU518+BY518+CB518*K518+CC518*K518)+CJ518+CK518*L518+CL518*L518+((CN518+CO518+CP518+CR518+CS518)*L518+CM518+CQ518+CT518*L518+CU518*L518)+IF(AND(M518&gt;0,MAX(M518,N518/1000)&lt;1),DB518+1*(DC518+DD518)+(1*(DF518+DG518+DH518+DJ518+DK518)+DE518+DI518+DL518+DM518),IF(AND(M518&gt;0,MAX(M518,N518/1000)&gt;1),DB518+MAX(M518,N518/1000)*(DC518+DD518)+(MAX(M518,N518/1000)*(DF518+DG518+DH518+DJ518+DK518)+DE518+DI518+DL518+DM518),IF(AND(K518="",L518="",M518=""),DB518+N518*(DC518+DD518)+((DF518+DG518+DH518+DJ518+DK518)*N518+DE518+DI518+DL518+DM518),0)))</f>
        <v>0</v>
      </c>
      <c r="ED518" s="237">
        <f t="shared" ref="ED518:ED581" si="66">AN518*K518*(1-AO518%)+BB518*L518*(1-BC518%)+BP518*IF(AND(M518&gt;0,M518&lt;1),1,IF(M518&gt;1,MAX(M518,N518/1000),N518))*(1-BQ518%)</f>
        <v>0</v>
      </c>
      <c r="EE518" s="237">
        <f t="shared" ref="EE518:EE581" si="67">(CD518+CE518*K518)*(1-CF518%)+(CG518+CH518*K518)*(1-CI518%)+(CV518+CW518*L518)*(1-CX518%)+(CY518+CZ518*L518)*(1-DA518%)+(DN518+DO518*IF(AND(M518&gt;0,M518&lt;1),1,IF(M518&gt;1,MAX(M518,N518/1000),N518)))*(1-DP518%)+(DQ518+DR518*IF(AND(M518&gt;0,M518&lt;1),1,IF(M518&gt;1,MAX(M518,N518/1000),N518)))*(1-DS518%)</f>
        <v>0</v>
      </c>
      <c r="EF518" s="121"/>
      <c r="EG518" s="238">
        <f t="shared" ref="EG518:EG581" si="68">((BR518+BS518*K518+BT518*K518)+(CJ518+CK518*L518*+CL518*L518)+IF(AND(M518&gt;0,MAX(M518,N518/1000)&lt;1),DB518+DC518+DD518,IF(AND(M518&gt;0,MAX(M518,N518/1000)&gt;1),DB518+DC518*M518+DD518*M518,IF(AND(M518&gt;0,MAX(M518,N518/1000)&gt;1),DB518+MAX(M518,N518/1000)*DC518+MAX(M518,N518/1000)*DD518+IF(AND(K518="",L518="",M518=""),DB518+DC518*N518+DD518*N518,0)))))*EF518/365*ES518%</f>
        <v>0</v>
      </c>
      <c r="EH518" s="121"/>
      <c r="EI518" s="237">
        <f t="shared" ref="EI518:EI581" si="69">(((BV518+BW518+BX518+BZ518+CA518)*K518+BU518+BY518)*1.08+CJ518+CK518*L518+CL518*L518+((CN518+CO518+CP518+CR518+CS518)*L518+CM518+CQ518)*1.08+IF(AND(M518&gt;0,MAX(M518,N518/1000)&lt;1),DB518+1*(DC518+DD518)+(1*(DF518+DG518+DH518+DJ518+DK518)+DE518+DI518)*1.08,IF(AND(M518&gt;0,MAX(M518,N518/1000)&gt;1),DB518+MAX(M518,N518/1000)*(DC518+DD518)+(MAX(M518,N518/1000)*(DF518+DG518+DH518+DJ518+DK518)+DE518+DI518)*1.08,IF(AND(K518="",L518="",M518=""),DB518+N518*(DC518+DD518)+((DF518+DG518+DH518+DJ518+DK518)*N518+DE518+DI518)*1.08,0))))*EH518/365*ES518%</f>
        <v>0</v>
      </c>
      <c r="EJ518" s="121"/>
      <c r="EK518" s="237">
        <f t="shared" ref="EK518:EK581" si="70">((CB518*K518+CC518*K518)*1.1+(CT518*L518+CU518*L518)*1.1+(DL518+DM518)*1.1)*EJ518/365*ES518%</f>
        <v>0</v>
      </c>
      <c r="EL518" s="237"/>
      <c r="EM518" s="5"/>
      <c r="EN518" s="5"/>
      <c r="EO518" s="5"/>
      <c r="EP518" s="5"/>
      <c r="EQ518" s="237">
        <f t="shared" ref="EQ518:EQ581" si="71">EC518-EB518-EG518-EI518-EK518-(AN518*K518+BB518*L518+BP518*IF(AND(M518&gt;0,M518&lt;1),1,IF(M518&gt;1,MAX(M518,N518/1000),N518))+CD518+CE518*K518+CV518+CW518*L518+DN518+DO518*IF(AND(M518&gt;0,M518&lt;1),1,IF(M518&gt;1,MAX(M518,N518/1000),N518))+CG518+CH518*K518+CY518+CZ518*L518+DQ518+DR518*IF(AND(M518&gt;0,M518&lt;1),1,IF(M518&gt;1,MAX(M518,N518/1000),N518)))-EL518-EM518*EN518/365*ES518%-EO518*EP518/365*ES518%</f>
        <v>0</v>
      </c>
      <c r="ER518" s="239">
        <v>23300</v>
      </c>
      <c r="ES518" s="5">
        <v>7.5</v>
      </c>
    </row>
    <row r="519" spans="1:149" x14ac:dyDescent="0.3">
      <c r="A519" s="124"/>
      <c r="B519" s="121"/>
      <c r="C519" s="121"/>
      <c r="D519" s="121"/>
      <c r="E519" s="121"/>
      <c r="F519" s="121"/>
      <c r="G519" s="121"/>
      <c r="H519" s="121"/>
      <c r="I519" s="121"/>
      <c r="J519" s="121"/>
      <c r="K519" s="121"/>
      <c r="L519" s="121"/>
      <c r="M519" s="121"/>
      <c r="N519" s="121"/>
      <c r="O519" s="235"/>
      <c r="P519" s="121"/>
      <c r="Q519" s="121"/>
      <c r="R519" s="121"/>
      <c r="S519" s="121"/>
      <c r="T519" s="121"/>
      <c r="U519" s="121"/>
      <c r="V519" s="121"/>
      <c r="W519" s="121"/>
      <c r="X519" s="117"/>
      <c r="Y519" s="117"/>
      <c r="Z519" s="121"/>
      <c r="AA519" s="121"/>
      <c r="AB519" s="121"/>
      <c r="AC519" s="121"/>
      <c r="AD519" s="121"/>
      <c r="AE519" s="121"/>
      <c r="AF519" s="121"/>
      <c r="AG519" s="121"/>
      <c r="AH519" s="121"/>
      <c r="AI519" s="121"/>
      <c r="AJ519" s="121"/>
      <c r="AK519" s="121"/>
      <c r="AL519" s="121"/>
      <c r="AM519" s="121"/>
      <c r="AN519" s="121"/>
      <c r="AO519" s="121"/>
      <c r="AP519" s="121"/>
      <c r="AQ519" s="121"/>
      <c r="AR519" s="121"/>
      <c r="AS519" s="121"/>
      <c r="AT519" s="121"/>
      <c r="AU519" s="121"/>
      <c r="AV519" s="121"/>
      <c r="AW519" s="121"/>
      <c r="AX519" s="121"/>
      <c r="AY519" s="121"/>
      <c r="AZ519" s="121"/>
      <c r="BA519" s="121"/>
      <c r="BB519" s="121"/>
      <c r="BC519" s="121"/>
      <c r="BD519" s="121"/>
      <c r="BE519" s="121"/>
      <c r="BF519" s="121"/>
      <c r="BG519" s="121"/>
      <c r="BH519" s="121"/>
      <c r="BI519" s="121"/>
      <c r="BJ519" s="121"/>
      <c r="BK519" s="121"/>
      <c r="BL519" s="121"/>
      <c r="BM519" s="121"/>
      <c r="BN519" s="121"/>
      <c r="BO519" s="121"/>
      <c r="BP519" s="121"/>
      <c r="BQ519" s="121"/>
      <c r="BR519" s="121"/>
      <c r="BS519" s="121"/>
      <c r="BT519" s="121"/>
      <c r="BU519" s="121"/>
      <c r="BV519" s="121"/>
      <c r="BW519" s="121"/>
      <c r="BX519" s="121"/>
      <c r="BY519" s="121"/>
      <c r="BZ519" s="121"/>
      <c r="CA519" s="121"/>
      <c r="CB519" s="121"/>
      <c r="CC519" s="121"/>
      <c r="CD519" s="121"/>
      <c r="CE519" s="121"/>
      <c r="CF519" s="121"/>
      <c r="CG519" s="121"/>
      <c r="CH519" s="121"/>
      <c r="CI519" s="121"/>
      <c r="CJ519" s="121"/>
      <c r="CK519" s="121"/>
      <c r="CL519" s="121"/>
      <c r="CM519" s="121"/>
      <c r="CN519" s="121"/>
      <c r="CO519" s="121"/>
      <c r="CP519" s="121"/>
      <c r="CQ519" s="121"/>
      <c r="CR519" s="121"/>
      <c r="CS519" s="121"/>
      <c r="CT519" s="121"/>
      <c r="CU519" s="121"/>
      <c r="CV519" s="121"/>
      <c r="CW519" s="121"/>
      <c r="CX519" s="121"/>
      <c r="CY519" s="121"/>
      <c r="CZ519" s="121"/>
      <c r="DA519" s="121"/>
      <c r="DB519" s="121"/>
      <c r="DC519" s="121"/>
      <c r="DD519" s="121"/>
      <c r="DE519" s="121"/>
      <c r="DF519" s="121"/>
      <c r="DG519" s="121"/>
      <c r="DH519" s="121"/>
      <c r="DI519" s="121"/>
      <c r="DJ519" s="121"/>
      <c r="DK519" s="121"/>
      <c r="DL519" s="121"/>
      <c r="DM519" s="121"/>
      <c r="DN519" s="121"/>
      <c r="DO519" s="121"/>
      <c r="DP519" s="121"/>
      <c r="DQ519" s="121"/>
      <c r="DR519" s="121"/>
      <c r="DS519" s="121"/>
      <c r="DT519" s="240"/>
      <c r="DU519" s="240"/>
      <c r="DV519" s="240"/>
      <c r="DW519" s="240"/>
      <c r="DX519" s="240"/>
      <c r="DY519" s="240"/>
      <c r="DZ519" s="240"/>
      <c r="EA519" s="240"/>
      <c r="EB519" s="237">
        <f t="shared" si="64"/>
        <v>0</v>
      </c>
      <c r="EC519" s="237">
        <f t="shared" si="65"/>
        <v>0</v>
      </c>
      <c r="ED519" s="237">
        <f t="shared" si="66"/>
        <v>0</v>
      </c>
      <c r="EE519" s="237">
        <f t="shared" si="67"/>
        <v>0</v>
      </c>
      <c r="EF519" s="121"/>
      <c r="EG519" s="238">
        <f t="shared" si="68"/>
        <v>0</v>
      </c>
      <c r="EH519" s="121"/>
      <c r="EI519" s="237">
        <f t="shared" si="69"/>
        <v>0</v>
      </c>
      <c r="EJ519" s="121"/>
      <c r="EK519" s="237">
        <f t="shared" si="70"/>
        <v>0</v>
      </c>
      <c r="EL519" s="237"/>
      <c r="EM519" s="5"/>
      <c r="EN519" s="5"/>
      <c r="EO519" s="5"/>
      <c r="EP519" s="5"/>
      <c r="EQ519" s="237">
        <f t="shared" si="71"/>
        <v>0</v>
      </c>
      <c r="ER519" s="239">
        <v>23300</v>
      </c>
      <c r="ES519" s="5">
        <v>7.5</v>
      </c>
    </row>
    <row r="520" spans="1:149" x14ac:dyDescent="0.3">
      <c r="A520" s="124"/>
      <c r="B520" s="121"/>
      <c r="C520" s="121"/>
      <c r="D520" s="121"/>
      <c r="E520" s="121"/>
      <c r="F520" s="121"/>
      <c r="G520" s="121"/>
      <c r="H520" s="121"/>
      <c r="I520" s="121"/>
      <c r="J520" s="121"/>
      <c r="K520" s="121"/>
      <c r="L520" s="121"/>
      <c r="M520" s="121"/>
      <c r="N520" s="121"/>
      <c r="O520" s="235"/>
      <c r="P520" s="121"/>
      <c r="Q520" s="121"/>
      <c r="R520" s="121"/>
      <c r="S520" s="121"/>
      <c r="T520" s="121"/>
      <c r="U520" s="121"/>
      <c r="V520" s="121"/>
      <c r="W520" s="121"/>
      <c r="X520" s="117"/>
      <c r="Y520" s="117"/>
      <c r="Z520" s="121"/>
      <c r="AA520" s="121"/>
      <c r="AB520" s="121"/>
      <c r="AC520" s="121"/>
      <c r="AD520" s="121"/>
      <c r="AE520" s="121"/>
      <c r="AF520" s="121"/>
      <c r="AG520" s="121"/>
      <c r="AH520" s="121"/>
      <c r="AI520" s="121"/>
      <c r="AJ520" s="121"/>
      <c r="AK520" s="121"/>
      <c r="AL520" s="121"/>
      <c r="AM520" s="121"/>
      <c r="AN520" s="121"/>
      <c r="AO520" s="121"/>
      <c r="AP520" s="121"/>
      <c r="AQ520" s="121"/>
      <c r="AR520" s="121"/>
      <c r="AS520" s="121"/>
      <c r="AT520" s="121"/>
      <c r="AU520" s="121"/>
      <c r="AV520" s="121"/>
      <c r="AW520" s="121"/>
      <c r="AX520" s="121"/>
      <c r="AY520" s="121"/>
      <c r="AZ520" s="121"/>
      <c r="BA520" s="121"/>
      <c r="BB520" s="121"/>
      <c r="BC520" s="121"/>
      <c r="BD520" s="121"/>
      <c r="BE520" s="121"/>
      <c r="BF520" s="121"/>
      <c r="BG520" s="121"/>
      <c r="BH520" s="121"/>
      <c r="BI520" s="121"/>
      <c r="BJ520" s="121"/>
      <c r="BK520" s="121"/>
      <c r="BL520" s="121"/>
      <c r="BM520" s="121"/>
      <c r="BN520" s="121"/>
      <c r="BO520" s="121"/>
      <c r="BP520" s="121"/>
      <c r="BQ520" s="121"/>
      <c r="BR520" s="121"/>
      <c r="BS520" s="121"/>
      <c r="BT520" s="121"/>
      <c r="BU520" s="121"/>
      <c r="BV520" s="121"/>
      <c r="BW520" s="121"/>
      <c r="BX520" s="121"/>
      <c r="BY520" s="121"/>
      <c r="BZ520" s="121"/>
      <c r="CA520" s="121"/>
      <c r="CB520" s="121"/>
      <c r="CC520" s="121"/>
      <c r="CD520" s="121"/>
      <c r="CE520" s="121"/>
      <c r="CF520" s="121"/>
      <c r="CG520" s="121"/>
      <c r="CH520" s="121"/>
      <c r="CI520" s="121"/>
      <c r="CJ520" s="121"/>
      <c r="CK520" s="121"/>
      <c r="CL520" s="121"/>
      <c r="CM520" s="121"/>
      <c r="CN520" s="121"/>
      <c r="CO520" s="121"/>
      <c r="CP520" s="121"/>
      <c r="CQ520" s="121"/>
      <c r="CR520" s="121"/>
      <c r="CS520" s="121"/>
      <c r="CT520" s="121"/>
      <c r="CU520" s="121"/>
      <c r="CV520" s="121"/>
      <c r="CW520" s="121"/>
      <c r="CX520" s="121"/>
      <c r="CY520" s="121"/>
      <c r="CZ520" s="121"/>
      <c r="DA520" s="121"/>
      <c r="DB520" s="121"/>
      <c r="DC520" s="121"/>
      <c r="DD520" s="121"/>
      <c r="DE520" s="121"/>
      <c r="DF520" s="121"/>
      <c r="DG520" s="121"/>
      <c r="DH520" s="121"/>
      <c r="DI520" s="121"/>
      <c r="DJ520" s="121"/>
      <c r="DK520" s="121"/>
      <c r="DL520" s="121"/>
      <c r="DM520" s="121"/>
      <c r="DN520" s="121"/>
      <c r="DO520" s="121"/>
      <c r="DP520" s="121"/>
      <c r="DQ520" s="121"/>
      <c r="DR520" s="121"/>
      <c r="DS520" s="121"/>
      <c r="DT520" s="240"/>
      <c r="DU520" s="240"/>
      <c r="DV520" s="240"/>
      <c r="DW520" s="240"/>
      <c r="DX520" s="240"/>
      <c r="DY520" s="240"/>
      <c r="DZ520" s="240"/>
      <c r="EA520" s="240"/>
      <c r="EB520" s="237">
        <f t="shared" si="64"/>
        <v>0</v>
      </c>
      <c r="EC520" s="237">
        <f t="shared" si="65"/>
        <v>0</v>
      </c>
      <c r="ED520" s="237">
        <f t="shared" si="66"/>
        <v>0</v>
      </c>
      <c r="EE520" s="237">
        <f t="shared" si="67"/>
        <v>0</v>
      </c>
      <c r="EF520" s="121"/>
      <c r="EG520" s="238">
        <f t="shared" si="68"/>
        <v>0</v>
      </c>
      <c r="EH520" s="121"/>
      <c r="EI520" s="237">
        <f t="shared" si="69"/>
        <v>0</v>
      </c>
      <c r="EJ520" s="121"/>
      <c r="EK520" s="237">
        <f t="shared" si="70"/>
        <v>0</v>
      </c>
      <c r="EL520" s="237"/>
      <c r="EM520" s="5"/>
      <c r="EN520" s="5"/>
      <c r="EO520" s="5"/>
      <c r="EP520" s="5"/>
      <c r="EQ520" s="237">
        <f t="shared" si="71"/>
        <v>0</v>
      </c>
      <c r="ER520" s="239">
        <v>23300</v>
      </c>
      <c r="ES520" s="5">
        <v>7.5</v>
      </c>
    </row>
    <row r="521" spans="1:149" x14ac:dyDescent="0.3">
      <c r="A521" s="124"/>
      <c r="B521" s="121"/>
      <c r="C521" s="121"/>
      <c r="D521" s="121"/>
      <c r="E521" s="121"/>
      <c r="F521" s="121"/>
      <c r="G521" s="121"/>
      <c r="H521" s="121"/>
      <c r="I521" s="121"/>
      <c r="J521" s="121"/>
      <c r="K521" s="121"/>
      <c r="L521" s="121"/>
      <c r="M521" s="121"/>
      <c r="N521" s="121"/>
      <c r="O521" s="235"/>
      <c r="P521" s="121"/>
      <c r="Q521" s="121"/>
      <c r="R521" s="121"/>
      <c r="S521" s="121"/>
      <c r="T521" s="121"/>
      <c r="U521" s="121"/>
      <c r="V521" s="121"/>
      <c r="W521" s="121"/>
      <c r="X521" s="117"/>
      <c r="Y521" s="117"/>
      <c r="Z521" s="121"/>
      <c r="AA521" s="121"/>
      <c r="AB521" s="121"/>
      <c r="AC521" s="121"/>
      <c r="AD521" s="121"/>
      <c r="AE521" s="121"/>
      <c r="AF521" s="121"/>
      <c r="AG521" s="121"/>
      <c r="AH521" s="121"/>
      <c r="AI521" s="121"/>
      <c r="AJ521" s="121"/>
      <c r="AK521" s="121"/>
      <c r="AL521" s="121"/>
      <c r="AM521" s="121"/>
      <c r="AN521" s="121"/>
      <c r="AO521" s="121"/>
      <c r="AP521" s="121"/>
      <c r="AQ521" s="121"/>
      <c r="AR521" s="121"/>
      <c r="AS521" s="121"/>
      <c r="AT521" s="121"/>
      <c r="AU521" s="121"/>
      <c r="AV521" s="121"/>
      <c r="AW521" s="121"/>
      <c r="AX521" s="121"/>
      <c r="AY521" s="121"/>
      <c r="AZ521" s="121"/>
      <c r="BA521" s="121"/>
      <c r="BB521" s="121"/>
      <c r="BC521" s="121"/>
      <c r="BD521" s="121"/>
      <c r="BE521" s="121"/>
      <c r="BF521" s="121"/>
      <c r="BG521" s="121"/>
      <c r="BH521" s="121"/>
      <c r="BI521" s="121"/>
      <c r="BJ521" s="121"/>
      <c r="BK521" s="121"/>
      <c r="BL521" s="121"/>
      <c r="BM521" s="121"/>
      <c r="BN521" s="121"/>
      <c r="BO521" s="121"/>
      <c r="BP521" s="121"/>
      <c r="BQ521" s="121"/>
      <c r="BR521" s="121"/>
      <c r="BS521" s="121"/>
      <c r="BT521" s="121"/>
      <c r="BU521" s="121"/>
      <c r="BV521" s="121"/>
      <c r="BW521" s="121"/>
      <c r="BX521" s="121"/>
      <c r="BY521" s="121"/>
      <c r="BZ521" s="121"/>
      <c r="CA521" s="121"/>
      <c r="CB521" s="121"/>
      <c r="CC521" s="121"/>
      <c r="CD521" s="121"/>
      <c r="CE521" s="121"/>
      <c r="CF521" s="121"/>
      <c r="CG521" s="121"/>
      <c r="CH521" s="121"/>
      <c r="CI521" s="121"/>
      <c r="CJ521" s="121"/>
      <c r="CK521" s="121"/>
      <c r="CL521" s="121"/>
      <c r="CM521" s="121"/>
      <c r="CN521" s="121"/>
      <c r="CO521" s="121"/>
      <c r="CP521" s="121"/>
      <c r="CQ521" s="121"/>
      <c r="CR521" s="121"/>
      <c r="CS521" s="121"/>
      <c r="CT521" s="121"/>
      <c r="CU521" s="121"/>
      <c r="CV521" s="121"/>
      <c r="CW521" s="121"/>
      <c r="CX521" s="121"/>
      <c r="CY521" s="121"/>
      <c r="CZ521" s="121"/>
      <c r="DA521" s="121"/>
      <c r="DB521" s="121"/>
      <c r="DC521" s="121"/>
      <c r="DD521" s="121"/>
      <c r="DE521" s="121"/>
      <c r="DF521" s="121"/>
      <c r="DG521" s="121"/>
      <c r="DH521" s="121"/>
      <c r="DI521" s="121"/>
      <c r="DJ521" s="121"/>
      <c r="DK521" s="121"/>
      <c r="DL521" s="121"/>
      <c r="DM521" s="121"/>
      <c r="DN521" s="121"/>
      <c r="DO521" s="121"/>
      <c r="DP521" s="121"/>
      <c r="DQ521" s="121"/>
      <c r="DR521" s="121"/>
      <c r="DS521" s="121"/>
      <c r="DT521" s="240"/>
      <c r="DU521" s="240"/>
      <c r="DV521" s="240"/>
      <c r="DW521" s="240"/>
      <c r="DX521" s="240"/>
      <c r="DY521" s="240"/>
      <c r="DZ521" s="240"/>
      <c r="EA521" s="240"/>
      <c r="EB521" s="237">
        <f t="shared" si="64"/>
        <v>0</v>
      </c>
      <c r="EC521" s="237">
        <f t="shared" si="65"/>
        <v>0</v>
      </c>
      <c r="ED521" s="237">
        <f t="shared" si="66"/>
        <v>0</v>
      </c>
      <c r="EE521" s="237">
        <f t="shared" si="67"/>
        <v>0</v>
      </c>
      <c r="EF521" s="121"/>
      <c r="EG521" s="238">
        <f t="shared" si="68"/>
        <v>0</v>
      </c>
      <c r="EH521" s="121"/>
      <c r="EI521" s="237">
        <f t="shared" si="69"/>
        <v>0</v>
      </c>
      <c r="EJ521" s="121"/>
      <c r="EK521" s="237">
        <f t="shared" si="70"/>
        <v>0</v>
      </c>
      <c r="EL521" s="237"/>
      <c r="EM521" s="5"/>
      <c r="EN521" s="5"/>
      <c r="EO521" s="5"/>
      <c r="EP521" s="5"/>
      <c r="EQ521" s="237">
        <f t="shared" si="71"/>
        <v>0</v>
      </c>
      <c r="ER521" s="239">
        <v>23300</v>
      </c>
      <c r="ES521" s="5">
        <v>7.5</v>
      </c>
    </row>
    <row r="522" spans="1:149" x14ac:dyDescent="0.3">
      <c r="A522" s="124"/>
      <c r="B522" s="121"/>
      <c r="C522" s="121"/>
      <c r="D522" s="121"/>
      <c r="E522" s="121"/>
      <c r="F522" s="121"/>
      <c r="G522" s="121"/>
      <c r="H522" s="121"/>
      <c r="I522" s="121"/>
      <c r="J522" s="121"/>
      <c r="K522" s="121"/>
      <c r="L522" s="121"/>
      <c r="M522" s="121"/>
      <c r="N522" s="121"/>
      <c r="O522" s="235"/>
      <c r="P522" s="121"/>
      <c r="Q522" s="121"/>
      <c r="R522" s="121"/>
      <c r="S522" s="121"/>
      <c r="T522" s="121"/>
      <c r="U522" s="121"/>
      <c r="V522" s="121"/>
      <c r="W522" s="121"/>
      <c r="X522" s="117"/>
      <c r="Y522" s="117"/>
      <c r="Z522" s="121"/>
      <c r="AA522" s="121"/>
      <c r="AB522" s="121"/>
      <c r="AC522" s="121"/>
      <c r="AD522" s="121"/>
      <c r="AE522" s="121"/>
      <c r="AF522" s="121"/>
      <c r="AG522" s="121"/>
      <c r="AH522" s="121"/>
      <c r="AI522" s="121"/>
      <c r="AJ522" s="121"/>
      <c r="AK522" s="121"/>
      <c r="AL522" s="121"/>
      <c r="AM522" s="121"/>
      <c r="AN522" s="121"/>
      <c r="AO522" s="121"/>
      <c r="AP522" s="121"/>
      <c r="AQ522" s="121"/>
      <c r="AR522" s="121"/>
      <c r="AS522" s="121"/>
      <c r="AT522" s="121"/>
      <c r="AU522" s="121"/>
      <c r="AV522" s="121"/>
      <c r="AW522" s="121"/>
      <c r="AX522" s="121"/>
      <c r="AY522" s="121"/>
      <c r="AZ522" s="121"/>
      <c r="BA522" s="121"/>
      <c r="BB522" s="121"/>
      <c r="BC522" s="121"/>
      <c r="BD522" s="121"/>
      <c r="BE522" s="121"/>
      <c r="BF522" s="121"/>
      <c r="BG522" s="121"/>
      <c r="BH522" s="121"/>
      <c r="BI522" s="121"/>
      <c r="BJ522" s="121"/>
      <c r="BK522" s="121"/>
      <c r="BL522" s="121"/>
      <c r="BM522" s="121"/>
      <c r="BN522" s="121"/>
      <c r="BO522" s="121"/>
      <c r="BP522" s="121"/>
      <c r="BQ522" s="121"/>
      <c r="BR522" s="121"/>
      <c r="BS522" s="121"/>
      <c r="BT522" s="121"/>
      <c r="BU522" s="121"/>
      <c r="BV522" s="121"/>
      <c r="BW522" s="121"/>
      <c r="BX522" s="121"/>
      <c r="BY522" s="121"/>
      <c r="BZ522" s="121"/>
      <c r="CA522" s="121"/>
      <c r="CB522" s="121"/>
      <c r="CC522" s="121"/>
      <c r="CD522" s="121"/>
      <c r="CE522" s="121"/>
      <c r="CF522" s="121"/>
      <c r="CG522" s="121"/>
      <c r="CH522" s="121"/>
      <c r="CI522" s="121"/>
      <c r="CJ522" s="121"/>
      <c r="CK522" s="121"/>
      <c r="CL522" s="121"/>
      <c r="CM522" s="121"/>
      <c r="CN522" s="121"/>
      <c r="CO522" s="121"/>
      <c r="CP522" s="121"/>
      <c r="CQ522" s="121"/>
      <c r="CR522" s="121"/>
      <c r="CS522" s="121"/>
      <c r="CT522" s="121"/>
      <c r="CU522" s="121"/>
      <c r="CV522" s="121"/>
      <c r="CW522" s="121"/>
      <c r="CX522" s="121"/>
      <c r="CY522" s="121"/>
      <c r="CZ522" s="121"/>
      <c r="DA522" s="121"/>
      <c r="DB522" s="121"/>
      <c r="DC522" s="121"/>
      <c r="DD522" s="121"/>
      <c r="DE522" s="121"/>
      <c r="DF522" s="121"/>
      <c r="DG522" s="121"/>
      <c r="DH522" s="121"/>
      <c r="DI522" s="121"/>
      <c r="DJ522" s="121"/>
      <c r="DK522" s="121"/>
      <c r="DL522" s="121"/>
      <c r="DM522" s="121"/>
      <c r="DN522" s="121"/>
      <c r="DO522" s="121"/>
      <c r="DP522" s="121"/>
      <c r="DQ522" s="121"/>
      <c r="DR522" s="121"/>
      <c r="DS522" s="121"/>
      <c r="DT522" s="240"/>
      <c r="DU522" s="240"/>
      <c r="DV522" s="240"/>
      <c r="DW522" s="240"/>
      <c r="DX522" s="240"/>
      <c r="DY522" s="240"/>
      <c r="DZ522" s="240"/>
      <c r="EA522" s="240"/>
      <c r="EB522" s="237">
        <f t="shared" si="64"/>
        <v>0</v>
      </c>
      <c r="EC522" s="237">
        <f t="shared" si="65"/>
        <v>0</v>
      </c>
      <c r="ED522" s="237">
        <f t="shared" si="66"/>
        <v>0</v>
      </c>
      <c r="EE522" s="237">
        <f t="shared" si="67"/>
        <v>0</v>
      </c>
      <c r="EF522" s="121"/>
      <c r="EG522" s="238">
        <f t="shared" si="68"/>
        <v>0</v>
      </c>
      <c r="EH522" s="121"/>
      <c r="EI522" s="237">
        <f t="shared" si="69"/>
        <v>0</v>
      </c>
      <c r="EJ522" s="121"/>
      <c r="EK522" s="237">
        <f t="shared" si="70"/>
        <v>0</v>
      </c>
      <c r="EL522" s="237"/>
      <c r="EM522" s="5"/>
      <c r="EN522" s="5"/>
      <c r="EO522" s="5"/>
      <c r="EP522" s="5"/>
      <c r="EQ522" s="237">
        <f t="shared" si="71"/>
        <v>0</v>
      </c>
      <c r="ER522" s="239">
        <v>23300</v>
      </c>
      <c r="ES522" s="5">
        <v>7.5</v>
      </c>
    </row>
    <row r="523" spans="1:149" x14ac:dyDescent="0.3">
      <c r="A523" s="124"/>
      <c r="B523" s="121"/>
      <c r="C523" s="121"/>
      <c r="D523" s="121"/>
      <c r="E523" s="121"/>
      <c r="F523" s="121"/>
      <c r="G523" s="121"/>
      <c r="H523" s="121"/>
      <c r="I523" s="121"/>
      <c r="J523" s="121"/>
      <c r="K523" s="121"/>
      <c r="L523" s="121"/>
      <c r="M523" s="121"/>
      <c r="N523" s="121"/>
      <c r="O523" s="235"/>
      <c r="P523" s="121"/>
      <c r="Q523" s="121"/>
      <c r="R523" s="121"/>
      <c r="S523" s="121"/>
      <c r="T523" s="121"/>
      <c r="U523" s="121"/>
      <c r="V523" s="121"/>
      <c r="W523" s="121"/>
      <c r="X523" s="117"/>
      <c r="Y523" s="117"/>
      <c r="Z523" s="121"/>
      <c r="AA523" s="121"/>
      <c r="AB523" s="121"/>
      <c r="AC523" s="121"/>
      <c r="AD523" s="121"/>
      <c r="AE523" s="121"/>
      <c r="AF523" s="121"/>
      <c r="AG523" s="121"/>
      <c r="AH523" s="121"/>
      <c r="AI523" s="121"/>
      <c r="AJ523" s="121"/>
      <c r="AK523" s="121"/>
      <c r="AL523" s="121"/>
      <c r="AM523" s="121"/>
      <c r="AN523" s="121"/>
      <c r="AO523" s="121"/>
      <c r="AP523" s="121"/>
      <c r="AQ523" s="121"/>
      <c r="AR523" s="121"/>
      <c r="AS523" s="121"/>
      <c r="AT523" s="121"/>
      <c r="AU523" s="121"/>
      <c r="AV523" s="121"/>
      <c r="AW523" s="121"/>
      <c r="AX523" s="121"/>
      <c r="AY523" s="121"/>
      <c r="AZ523" s="121"/>
      <c r="BA523" s="121"/>
      <c r="BB523" s="121"/>
      <c r="BC523" s="121"/>
      <c r="BD523" s="121"/>
      <c r="BE523" s="121"/>
      <c r="BF523" s="121"/>
      <c r="BG523" s="121"/>
      <c r="BH523" s="121"/>
      <c r="BI523" s="121"/>
      <c r="BJ523" s="121"/>
      <c r="BK523" s="121"/>
      <c r="BL523" s="121"/>
      <c r="BM523" s="121"/>
      <c r="BN523" s="121"/>
      <c r="BO523" s="121"/>
      <c r="BP523" s="121"/>
      <c r="BQ523" s="121"/>
      <c r="BR523" s="121"/>
      <c r="BS523" s="121"/>
      <c r="BT523" s="121"/>
      <c r="BU523" s="121"/>
      <c r="BV523" s="121"/>
      <c r="BW523" s="121"/>
      <c r="BX523" s="121"/>
      <c r="BY523" s="121"/>
      <c r="BZ523" s="121"/>
      <c r="CA523" s="121"/>
      <c r="CB523" s="121"/>
      <c r="CC523" s="121"/>
      <c r="CD523" s="121"/>
      <c r="CE523" s="121"/>
      <c r="CF523" s="121"/>
      <c r="CG523" s="121"/>
      <c r="CH523" s="121"/>
      <c r="CI523" s="121"/>
      <c r="CJ523" s="121"/>
      <c r="CK523" s="121"/>
      <c r="CL523" s="121"/>
      <c r="CM523" s="121"/>
      <c r="CN523" s="121"/>
      <c r="CO523" s="121"/>
      <c r="CP523" s="121"/>
      <c r="CQ523" s="121"/>
      <c r="CR523" s="121"/>
      <c r="CS523" s="121"/>
      <c r="CT523" s="121"/>
      <c r="CU523" s="121"/>
      <c r="CV523" s="121"/>
      <c r="CW523" s="121"/>
      <c r="CX523" s="121"/>
      <c r="CY523" s="121"/>
      <c r="CZ523" s="121"/>
      <c r="DA523" s="121"/>
      <c r="DB523" s="121"/>
      <c r="DC523" s="121"/>
      <c r="DD523" s="121"/>
      <c r="DE523" s="121"/>
      <c r="DF523" s="121"/>
      <c r="DG523" s="121"/>
      <c r="DH523" s="121"/>
      <c r="DI523" s="121"/>
      <c r="DJ523" s="121"/>
      <c r="DK523" s="121"/>
      <c r="DL523" s="121"/>
      <c r="DM523" s="121"/>
      <c r="DN523" s="121"/>
      <c r="DO523" s="121"/>
      <c r="DP523" s="121"/>
      <c r="DQ523" s="121"/>
      <c r="DR523" s="121"/>
      <c r="DS523" s="121"/>
      <c r="DT523" s="240"/>
      <c r="DU523" s="240"/>
      <c r="DV523" s="240"/>
      <c r="DW523" s="240"/>
      <c r="DX523" s="240"/>
      <c r="DY523" s="240"/>
      <c r="DZ523" s="240"/>
      <c r="EA523" s="240"/>
      <c r="EB523" s="237">
        <f t="shared" si="64"/>
        <v>0</v>
      </c>
      <c r="EC523" s="237">
        <f t="shared" si="65"/>
        <v>0</v>
      </c>
      <c r="ED523" s="237">
        <f t="shared" si="66"/>
        <v>0</v>
      </c>
      <c r="EE523" s="237">
        <f t="shared" si="67"/>
        <v>0</v>
      </c>
      <c r="EF523" s="121"/>
      <c r="EG523" s="238">
        <f t="shared" si="68"/>
        <v>0</v>
      </c>
      <c r="EH523" s="121"/>
      <c r="EI523" s="237">
        <f t="shared" si="69"/>
        <v>0</v>
      </c>
      <c r="EJ523" s="121"/>
      <c r="EK523" s="237">
        <f t="shared" si="70"/>
        <v>0</v>
      </c>
      <c r="EL523" s="237"/>
      <c r="EM523" s="5"/>
      <c r="EN523" s="5"/>
      <c r="EO523" s="5"/>
      <c r="EP523" s="5"/>
      <c r="EQ523" s="237">
        <f t="shared" si="71"/>
        <v>0</v>
      </c>
      <c r="ER523" s="239">
        <v>23300</v>
      </c>
      <c r="ES523" s="5">
        <v>7.5</v>
      </c>
    </row>
    <row r="524" spans="1:149" x14ac:dyDescent="0.3">
      <c r="A524" s="124"/>
      <c r="B524" s="121"/>
      <c r="C524" s="121"/>
      <c r="D524" s="121"/>
      <c r="E524" s="121"/>
      <c r="F524" s="121"/>
      <c r="G524" s="121"/>
      <c r="H524" s="121"/>
      <c r="I524" s="121"/>
      <c r="J524" s="121"/>
      <c r="K524" s="121"/>
      <c r="L524" s="121"/>
      <c r="M524" s="121"/>
      <c r="N524" s="121"/>
      <c r="O524" s="235"/>
      <c r="P524" s="121"/>
      <c r="Q524" s="121"/>
      <c r="R524" s="121"/>
      <c r="S524" s="121"/>
      <c r="T524" s="121"/>
      <c r="U524" s="121"/>
      <c r="V524" s="121"/>
      <c r="W524" s="121"/>
      <c r="X524" s="117"/>
      <c r="Y524" s="117"/>
      <c r="Z524" s="121"/>
      <c r="AA524" s="121"/>
      <c r="AB524" s="121"/>
      <c r="AC524" s="121"/>
      <c r="AD524" s="121"/>
      <c r="AE524" s="121"/>
      <c r="AF524" s="121"/>
      <c r="AG524" s="121"/>
      <c r="AH524" s="121"/>
      <c r="AI524" s="121"/>
      <c r="AJ524" s="121"/>
      <c r="AK524" s="121"/>
      <c r="AL524" s="121"/>
      <c r="AM524" s="121"/>
      <c r="AN524" s="121"/>
      <c r="AO524" s="121"/>
      <c r="AP524" s="121"/>
      <c r="AQ524" s="121"/>
      <c r="AR524" s="121"/>
      <c r="AS524" s="121"/>
      <c r="AT524" s="121"/>
      <c r="AU524" s="121"/>
      <c r="AV524" s="121"/>
      <c r="AW524" s="121"/>
      <c r="AX524" s="121"/>
      <c r="AY524" s="121"/>
      <c r="AZ524" s="121"/>
      <c r="BA524" s="121"/>
      <c r="BB524" s="121"/>
      <c r="BC524" s="121"/>
      <c r="BD524" s="121"/>
      <c r="BE524" s="121"/>
      <c r="BF524" s="121"/>
      <c r="BG524" s="121"/>
      <c r="BH524" s="121"/>
      <c r="BI524" s="121"/>
      <c r="BJ524" s="121"/>
      <c r="BK524" s="121"/>
      <c r="BL524" s="121"/>
      <c r="BM524" s="121"/>
      <c r="BN524" s="121"/>
      <c r="BO524" s="121"/>
      <c r="BP524" s="121"/>
      <c r="BQ524" s="121"/>
      <c r="BR524" s="121"/>
      <c r="BS524" s="121"/>
      <c r="BT524" s="121"/>
      <c r="BU524" s="121"/>
      <c r="BV524" s="121"/>
      <c r="BW524" s="121"/>
      <c r="BX524" s="121"/>
      <c r="BY524" s="121"/>
      <c r="BZ524" s="121"/>
      <c r="CA524" s="121"/>
      <c r="CB524" s="121"/>
      <c r="CC524" s="121"/>
      <c r="CD524" s="121"/>
      <c r="CE524" s="121"/>
      <c r="CF524" s="121"/>
      <c r="CG524" s="121"/>
      <c r="CH524" s="121"/>
      <c r="CI524" s="121"/>
      <c r="CJ524" s="121"/>
      <c r="CK524" s="121"/>
      <c r="CL524" s="121"/>
      <c r="CM524" s="121"/>
      <c r="CN524" s="121"/>
      <c r="CO524" s="121"/>
      <c r="CP524" s="121"/>
      <c r="CQ524" s="121"/>
      <c r="CR524" s="121"/>
      <c r="CS524" s="121"/>
      <c r="CT524" s="121"/>
      <c r="CU524" s="121"/>
      <c r="CV524" s="121"/>
      <c r="CW524" s="121"/>
      <c r="CX524" s="121"/>
      <c r="CY524" s="121"/>
      <c r="CZ524" s="121"/>
      <c r="DA524" s="121"/>
      <c r="DB524" s="121"/>
      <c r="DC524" s="121"/>
      <c r="DD524" s="121"/>
      <c r="DE524" s="121"/>
      <c r="DF524" s="121"/>
      <c r="DG524" s="121"/>
      <c r="DH524" s="121"/>
      <c r="DI524" s="121"/>
      <c r="DJ524" s="121"/>
      <c r="DK524" s="121"/>
      <c r="DL524" s="121"/>
      <c r="DM524" s="121"/>
      <c r="DN524" s="121"/>
      <c r="DO524" s="121"/>
      <c r="DP524" s="121"/>
      <c r="DQ524" s="121"/>
      <c r="DR524" s="121"/>
      <c r="DS524" s="121"/>
      <c r="DT524" s="240"/>
      <c r="DU524" s="240"/>
      <c r="DV524" s="240"/>
      <c r="DW524" s="240"/>
      <c r="DX524" s="240"/>
      <c r="DY524" s="240"/>
      <c r="DZ524" s="240"/>
      <c r="EA524" s="240"/>
      <c r="EB524" s="237">
        <f t="shared" si="64"/>
        <v>0</v>
      </c>
      <c r="EC524" s="237">
        <f t="shared" si="65"/>
        <v>0</v>
      </c>
      <c r="ED524" s="237">
        <f t="shared" si="66"/>
        <v>0</v>
      </c>
      <c r="EE524" s="237">
        <f t="shared" si="67"/>
        <v>0</v>
      </c>
      <c r="EF524" s="121"/>
      <c r="EG524" s="238">
        <f t="shared" si="68"/>
        <v>0</v>
      </c>
      <c r="EH524" s="121"/>
      <c r="EI524" s="237">
        <f t="shared" si="69"/>
        <v>0</v>
      </c>
      <c r="EJ524" s="121"/>
      <c r="EK524" s="237">
        <f t="shared" si="70"/>
        <v>0</v>
      </c>
      <c r="EL524" s="237"/>
      <c r="EM524" s="5"/>
      <c r="EN524" s="5"/>
      <c r="EO524" s="5"/>
      <c r="EP524" s="5"/>
      <c r="EQ524" s="237">
        <f t="shared" si="71"/>
        <v>0</v>
      </c>
      <c r="ER524" s="239">
        <v>23300</v>
      </c>
      <c r="ES524" s="5">
        <v>7.5</v>
      </c>
    </row>
    <row r="525" spans="1:149" x14ac:dyDescent="0.3">
      <c r="A525" s="124"/>
      <c r="B525" s="121"/>
      <c r="C525" s="121"/>
      <c r="D525" s="121"/>
      <c r="E525" s="121"/>
      <c r="F525" s="121"/>
      <c r="G525" s="121"/>
      <c r="H525" s="121"/>
      <c r="I525" s="121"/>
      <c r="J525" s="121"/>
      <c r="K525" s="121"/>
      <c r="L525" s="121"/>
      <c r="M525" s="121"/>
      <c r="N525" s="121"/>
      <c r="O525" s="235"/>
      <c r="P525" s="121"/>
      <c r="Q525" s="121"/>
      <c r="R525" s="121"/>
      <c r="S525" s="121"/>
      <c r="T525" s="121"/>
      <c r="U525" s="121"/>
      <c r="V525" s="121"/>
      <c r="W525" s="121"/>
      <c r="X525" s="117"/>
      <c r="Y525" s="117"/>
      <c r="Z525" s="121"/>
      <c r="AA525" s="121"/>
      <c r="AB525" s="121"/>
      <c r="AC525" s="121"/>
      <c r="AD525" s="121"/>
      <c r="AE525" s="121"/>
      <c r="AF525" s="121"/>
      <c r="AG525" s="121"/>
      <c r="AH525" s="121"/>
      <c r="AI525" s="121"/>
      <c r="AJ525" s="121"/>
      <c r="AK525" s="121"/>
      <c r="AL525" s="121"/>
      <c r="AM525" s="121"/>
      <c r="AN525" s="121"/>
      <c r="AO525" s="121"/>
      <c r="AP525" s="121"/>
      <c r="AQ525" s="121"/>
      <c r="AR525" s="121"/>
      <c r="AS525" s="121"/>
      <c r="AT525" s="121"/>
      <c r="AU525" s="121"/>
      <c r="AV525" s="121"/>
      <c r="AW525" s="121"/>
      <c r="AX525" s="121"/>
      <c r="AY525" s="121"/>
      <c r="AZ525" s="121"/>
      <c r="BA525" s="121"/>
      <c r="BB525" s="121"/>
      <c r="BC525" s="121"/>
      <c r="BD525" s="121"/>
      <c r="BE525" s="121"/>
      <c r="BF525" s="121"/>
      <c r="BG525" s="121"/>
      <c r="BH525" s="121"/>
      <c r="BI525" s="121"/>
      <c r="BJ525" s="121"/>
      <c r="BK525" s="121"/>
      <c r="BL525" s="121"/>
      <c r="BM525" s="121"/>
      <c r="BN525" s="121"/>
      <c r="BO525" s="121"/>
      <c r="BP525" s="121"/>
      <c r="BQ525" s="121"/>
      <c r="BR525" s="121"/>
      <c r="BS525" s="121"/>
      <c r="BT525" s="121"/>
      <c r="BU525" s="121"/>
      <c r="BV525" s="121"/>
      <c r="BW525" s="121"/>
      <c r="BX525" s="121"/>
      <c r="BY525" s="121"/>
      <c r="BZ525" s="121"/>
      <c r="CA525" s="121"/>
      <c r="CB525" s="121"/>
      <c r="CC525" s="121"/>
      <c r="CD525" s="121"/>
      <c r="CE525" s="121"/>
      <c r="CF525" s="121"/>
      <c r="CG525" s="121"/>
      <c r="CH525" s="121"/>
      <c r="CI525" s="121"/>
      <c r="CJ525" s="121"/>
      <c r="CK525" s="121"/>
      <c r="CL525" s="121"/>
      <c r="CM525" s="121"/>
      <c r="CN525" s="121"/>
      <c r="CO525" s="121"/>
      <c r="CP525" s="121"/>
      <c r="CQ525" s="121"/>
      <c r="CR525" s="121"/>
      <c r="CS525" s="121"/>
      <c r="CT525" s="121"/>
      <c r="CU525" s="121"/>
      <c r="CV525" s="121"/>
      <c r="CW525" s="121"/>
      <c r="CX525" s="121"/>
      <c r="CY525" s="121"/>
      <c r="CZ525" s="121"/>
      <c r="DA525" s="121"/>
      <c r="DB525" s="121"/>
      <c r="DC525" s="121"/>
      <c r="DD525" s="121"/>
      <c r="DE525" s="121"/>
      <c r="DF525" s="121"/>
      <c r="DG525" s="121"/>
      <c r="DH525" s="121"/>
      <c r="DI525" s="121"/>
      <c r="DJ525" s="121"/>
      <c r="DK525" s="121"/>
      <c r="DL525" s="121"/>
      <c r="DM525" s="121"/>
      <c r="DN525" s="121"/>
      <c r="DO525" s="121"/>
      <c r="DP525" s="121"/>
      <c r="DQ525" s="121"/>
      <c r="DR525" s="121"/>
      <c r="DS525" s="121"/>
      <c r="DT525" s="240"/>
      <c r="DU525" s="240"/>
      <c r="DV525" s="240"/>
      <c r="DW525" s="240"/>
      <c r="DX525" s="240"/>
      <c r="DY525" s="240"/>
      <c r="DZ525" s="240"/>
      <c r="EA525" s="240"/>
      <c r="EB525" s="237">
        <f t="shared" si="64"/>
        <v>0</v>
      </c>
      <c r="EC525" s="237">
        <f t="shared" si="65"/>
        <v>0</v>
      </c>
      <c r="ED525" s="237">
        <f t="shared" si="66"/>
        <v>0</v>
      </c>
      <c r="EE525" s="237">
        <f t="shared" si="67"/>
        <v>0</v>
      </c>
      <c r="EF525" s="121"/>
      <c r="EG525" s="238">
        <f t="shared" si="68"/>
        <v>0</v>
      </c>
      <c r="EH525" s="121"/>
      <c r="EI525" s="237">
        <f t="shared" si="69"/>
        <v>0</v>
      </c>
      <c r="EJ525" s="121"/>
      <c r="EK525" s="237">
        <f t="shared" si="70"/>
        <v>0</v>
      </c>
      <c r="EL525" s="237"/>
      <c r="EM525" s="5"/>
      <c r="EN525" s="5"/>
      <c r="EO525" s="5"/>
      <c r="EP525" s="5"/>
      <c r="EQ525" s="237">
        <f t="shared" si="71"/>
        <v>0</v>
      </c>
      <c r="ER525" s="239">
        <v>23300</v>
      </c>
      <c r="ES525" s="5">
        <v>7.5</v>
      </c>
    </row>
    <row r="526" spans="1:149" x14ac:dyDescent="0.3">
      <c r="A526" s="124"/>
      <c r="B526" s="121"/>
      <c r="C526" s="121"/>
      <c r="D526" s="121"/>
      <c r="E526" s="121"/>
      <c r="F526" s="121"/>
      <c r="G526" s="121"/>
      <c r="H526" s="121"/>
      <c r="I526" s="121"/>
      <c r="J526" s="121"/>
      <c r="K526" s="121"/>
      <c r="L526" s="121"/>
      <c r="M526" s="121"/>
      <c r="N526" s="121"/>
      <c r="O526" s="235"/>
      <c r="P526" s="121"/>
      <c r="Q526" s="121"/>
      <c r="R526" s="121"/>
      <c r="S526" s="121"/>
      <c r="T526" s="121"/>
      <c r="U526" s="121"/>
      <c r="V526" s="121"/>
      <c r="W526" s="121"/>
      <c r="X526" s="117"/>
      <c r="Y526" s="117"/>
      <c r="Z526" s="121"/>
      <c r="AA526" s="121"/>
      <c r="AB526" s="121"/>
      <c r="AC526" s="121"/>
      <c r="AD526" s="121"/>
      <c r="AE526" s="121"/>
      <c r="AF526" s="121"/>
      <c r="AG526" s="121"/>
      <c r="AH526" s="121"/>
      <c r="AI526" s="121"/>
      <c r="AJ526" s="121"/>
      <c r="AK526" s="121"/>
      <c r="AL526" s="121"/>
      <c r="AM526" s="121"/>
      <c r="AN526" s="121"/>
      <c r="AO526" s="121"/>
      <c r="AP526" s="121"/>
      <c r="AQ526" s="121"/>
      <c r="AR526" s="121"/>
      <c r="AS526" s="121"/>
      <c r="AT526" s="121"/>
      <c r="AU526" s="121"/>
      <c r="AV526" s="121"/>
      <c r="AW526" s="121"/>
      <c r="AX526" s="121"/>
      <c r="AY526" s="121"/>
      <c r="AZ526" s="121"/>
      <c r="BA526" s="121"/>
      <c r="BB526" s="121"/>
      <c r="BC526" s="121"/>
      <c r="BD526" s="121"/>
      <c r="BE526" s="121"/>
      <c r="BF526" s="121"/>
      <c r="BG526" s="121"/>
      <c r="BH526" s="121"/>
      <c r="BI526" s="121"/>
      <c r="BJ526" s="121"/>
      <c r="BK526" s="121"/>
      <c r="BL526" s="121"/>
      <c r="BM526" s="121"/>
      <c r="BN526" s="121"/>
      <c r="BO526" s="121"/>
      <c r="BP526" s="121"/>
      <c r="BQ526" s="121"/>
      <c r="BR526" s="121"/>
      <c r="BS526" s="121"/>
      <c r="BT526" s="121"/>
      <c r="BU526" s="121"/>
      <c r="BV526" s="121"/>
      <c r="BW526" s="121"/>
      <c r="BX526" s="121"/>
      <c r="BY526" s="121"/>
      <c r="BZ526" s="121"/>
      <c r="CA526" s="121"/>
      <c r="CB526" s="121"/>
      <c r="CC526" s="121"/>
      <c r="CD526" s="121"/>
      <c r="CE526" s="121"/>
      <c r="CF526" s="121"/>
      <c r="CG526" s="121"/>
      <c r="CH526" s="121"/>
      <c r="CI526" s="121"/>
      <c r="CJ526" s="121"/>
      <c r="CK526" s="121"/>
      <c r="CL526" s="121"/>
      <c r="CM526" s="121"/>
      <c r="CN526" s="121"/>
      <c r="CO526" s="121"/>
      <c r="CP526" s="121"/>
      <c r="CQ526" s="121"/>
      <c r="CR526" s="121"/>
      <c r="CS526" s="121"/>
      <c r="CT526" s="121"/>
      <c r="CU526" s="121"/>
      <c r="CV526" s="121"/>
      <c r="CW526" s="121"/>
      <c r="CX526" s="121"/>
      <c r="CY526" s="121"/>
      <c r="CZ526" s="121"/>
      <c r="DA526" s="121"/>
      <c r="DB526" s="121"/>
      <c r="DC526" s="121"/>
      <c r="DD526" s="121"/>
      <c r="DE526" s="121"/>
      <c r="DF526" s="121"/>
      <c r="DG526" s="121"/>
      <c r="DH526" s="121"/>
      <c r="DI526" s="121"/>
      <c r="DJ526" s="121"/>
      <c r="DK526" s="121"/>
      <c r="DL526" s="121"/>
      <c r="DM526" s="121"/>
      <c r="DN526" s="121"/>
      <c r="DO526" s="121"/>
      <c r="DP526" s="121"/>
      <c r="DQ526" s="121"/>
      <c r="DR526" s="121"/>
      <c r="DS526" s="121"/>
      <c r="DT526" s="240"/>
      <c r="DU526" s="240"/>
      <c r="DV526" s="240"/>
      <c r="DW526" s="240"/>
      <c r="DX526" s="240"/>
      <c r="DY526" s="240"/>
      <c r="DZ526" s="240"/>
      <c r="EA526" s="240"/>
      <c r="EB526" s="237">
        <f t="shared" si="64"/>
        <v>0</v>
      </c>
      <c r="EC526" s="237">
        <f t="shared" si="65"/>
        <v>0</v>
      </c>
      <c r="ED526" s="237">
        <f t="shared" si="66"/>
        <v>0</v>
      </c>
      <c r="EE526" s="237">
        <f t="shared" si="67"/>
        <v>0</v>
      </c>
      <c r="EF526" s="121"/>
      <c r="EG526" s="238">
        <f t="shared" si="68"/>
        <v>0</v>
      </c>
      <c r="EH526" s="121"/>
      <c r="EI526" s="237">
        <f t="shared" si="69"/>
        <v>0</v>
      </c>
      <c r="EJ526" s="121"/>
      <c r="EK526" s="237">
        <f t="shared" si="70"/>
        <v>0</v>
      </c>
      <c r="EL526" s="237"/>
      <c r="EM526" s="5"/>
      <c r="EN526" s="5"/>
      <c r="EO526" s="5"/>
      <c r="EP526" s="5"/>
      <c r="EQ526" s="237">
        <f t="shared" si="71"/>
        <v>0</v>
      </c>
      <c r="ER526" s="239">
        <v>23300</v>
      </c>
      <c r="ES526" s="5">
        <v>7.5</v>
      </c>
    </row>
    <row r="527" spans="1:149" x14ac:dyDescent="0.3">
      <c r="A527" s="124"/>
      <c r="B527" s="121"/>
      <c r="C527" s="121"/>
      <c r="D527" s="121"/>
      <c r="E527" s="121"/>
      <c r="F527" s="121"/>
      <c r="G527" s="121"/>
      <c r="H527" s="121"/>
      <c r="I527" s="121"/>
      <c r="J527" s="121"/>
      <c r="K527" s="121"/>
      <c r="L527" s="121"/>
      <c r="M527" s="121"/>
      <c r="N527" s="121"/>
      <c r="O527" s="235"/>
      <c r="P527" s="121"/>
      <c r="Q527" s="121"/>
      <c r="R527" s="121"/>
      <c r="S527" s="121"/>
      <c r="T527" s="121"/>
      <c r="U527" s="121"/>
      <c r="V527" s="121"/>
      <c r="W527" s="121"/>
      <c r="X527" s="117"/>
      <c r="Y527" s="117"/>
      <c r="Z527" s="121"/>
      <c r="AA527" s="121"/>
      <c r="AB527" s="121"/>
      <c r="AC527" s="121"/>
      <c r="AD527" s="121"/>
      <c r="AE527" s="121"/>
      <c r="AF527" s="121"/>
      <c r="AG527" s="121"/>
      <c r="AH527" s="121"/>
      <c r="AI527" s="121"/>
      <c r="AJ527" s="121"/>
      <c r="AK527" s="121"/>
      <c r="AL527" s="121"/>
      <c r="AM527" s="121"/>
      <c r="AN527" s="121"/>
      <c r="AO527" s="121"/>
      <c r="AP527" s="121"/>
      <c r="AQ527" s="121"/>
      <c r="AR527" s="121"/>
      <c r="AS527" s="121"/>
      <c r="AT527" s="121"/>
      <c r="AU527" s="121"/>
      <c r="AV527" s="121"/>
      <c r="AW527" s="121"/>
      <c r="AX527" s="121"/>
      <c r="AY527" s="121"/>
      <c r="AZ527" s="121"/>
      <c r="BA527" s="121"/>
      <c r="BB527" s="121"/>
      <c r="BC527" s="121"/>
      <c r="BD527" s="121"/>
      <c r="BE527" s="121"/>
      <c r="BF527" s="121"/>
      <c r="BG527" s="121"/>
      <c r="BH527" s="121"/>
      <c r="BI527" s="121"/>
      <c r="BJ527" s="121"/>
      <c r="BK527" s="121"/>
      <c r="BL527" s="121"/>
      <c r="BM527" s="121"/>
      <c r="BN527" s="121"/>
      <c r="BO527" s="121"/>
      <c r="BP527" s="121"/>
      <c r="BQ527" s="121"/>
      <c r="BR527" s="121"/>
      <c r="BS527" s="121"/>
      <c r="BT527" s="121"/>
      <c r="BU527" s="121"/>
      <c r="BV527" s="121"/>
      <c r="BW527" s="121"/>
      <c r="BX527" s="121"/>
      <c r="BY527" s="121"/>
      <c r="BZ527" s="121"/>
      <c r="CA527" s="121"/>
      <c r="CB527" s="121"/>
      <c r="CC527" s="121"/>
      <c r="CD527" s="121"/>
      <c r="CE527" s="121"/>
      <c r="CF527" s="121"/>
      <c r="CG527" s="121"/>
      <c r="CH527" s="121"/>
      <c r="CI527" s="121"/>
      <c r="CJ527" s="121"/>
      <c r="CK527" s="121"/>
      <c r="CL527" s="121"/>
      <c r="CM527" s="121"/>
      <c r="CN527" s="121"/>
      <c r="CO527" s="121"/>
      <c r="CP527" s="121"/>
      <c r="CQ527" s="121"/>
      <c r="CR527" s="121"/>
      <c r="CS527" s="121"/>
      <c r="CT527" s="121"/>
      <c r="CU527" s="121"/>
      <c r="CV527" s="121"/>
      <c r="CW527" s="121"/>
      <c r="CX527" s="121"/>
      <c r="CY527" s="121"/>
      <c r="CZ527" s="121"/>
      <c r="DA527" s="121"/>
      <c r="DB527" s="121"/>
      <c r="DC527" s="121"/>
      <c r="DD527" s="121"/>
      <c r="DE527" s="121"/>
      <c r="DF527" s="121"/>
      <c r="DG527" s="121"/>
      <c r="DH527" s="121"/>
      <c r="DI527" s="121"/>
      <c r="DJ527" s="121"/>
      <c r="DK527" s="121"/>
      <c r="DL527" s="121"/>
      <c r="DM527" s="121"/>
      <c r="DN527" s="121"/>
      <c r="DO527" s="121"/>
      <c r="DP527" s="121"/>
      <c r="DQ527" s="121"/>
      <c r="DR527" s="121"/>
      <c r="DS527" s="121"/>
      <c r="DT527" s="240"/>
      <c r="DU527" s="240"/>
      <c r="DV527" s="240"/>
      <c r="DW527" s="240"/>
      <c r="DX527" s="240"/>
      <c r="DY527" s="240"/>
      <c r="DZ527" s="240"/>
      <c r="EA527" s="240"/>
      <c r="EB527" s="237">
        <f t="shared" si="64"/>
        <v>0</v>
      </c>
      <c r="EC527" s="237">
        <f t="shared" si="65"/>
        <v>0</v>
      </c>
      <c r="ED527" s="237">
        <f t="shared" si="66"/>
        <v>0</v>
      </c>
      <c r="EE527" s="237">
        <f t="shared" si="67"/>
        <v>0</v>
      </c>
      <c r="EF527" s="121"/>
      <c r="EG527" s="238">
        <f t="shared" si="68"/>
        <v>0</v>
      </c>
      <c r="EH527" s="121"/>
      <c r="EI527" s="237">
        <f t="shared" si="69"/>
        <v>0</v>
      </c>
      <c r="EJ527" s="121"/>
      <c r="EK527" s="237">
        <f t="shared" si="70"/>
        <v>0</v>
      </c>
      <c r="EL527" s="237"/>
      <c r="EM527" s="5"/>
      <c r="EN527" s="5"/>
      <c r="EO527" s="5"/>
      <c r="EP527" s="5"/>
      <c r="EQ527" s="237">
        <f t="shared" si="71"/>
        <v>0</v>
      </c>
      <c r="ER527" s="239">
        <v>23300</v>
      </c>
      <c r="ES527" s="5">
        <v>7.5</v>
      </c>
    </row>
    <row r="528" spans="1:149" x14ac:dyDescent="0.3">
      <c r="A528" s="124"/>
      <c r="B528" s="121"/>
      <c r="C528" s="121"/>
      <c r="D528" s="121"/>
      <c r="E528" s="121"/>
      <c r="F528" s="121"/>
      <c r="G528" s="121"/>
      <c r="H528" s="121"/>
      <c r="I528" s="121"/>
      <c r="J528" s="121"/>
      <c r="K528" s="121"/>
      <c r="L528" s="121"/>
      <c r="M528" s="121"/>
      <c r="N528" s="121"/>
      <c r="O528" s="235"/>
      <c r="P528" s="121"/>
      <c r="Q528" s="121"/>
      <c r="R528" s="121"/>
      <c r="S528" s="121"/>
      <c r="T528" s="121"/>
      <c r="U528" s="121"/>
      <c r="V528" s="121"/>
      <c r="W528" s="121"/>
      <c r="X528" s="117"/>
      <c r="Y528" s="117"/>
      <c r="Z528" s="121"/>
      <c r="AA528" s="121"/>
      <c r="AB528" s="121"/>
      <c r="AC528" s="121"/>
      <c r="AD528" s="121"/>
      <c r="AE528" s="121"/>
      <c r="AF528" s="121"/>
      <c r="AG528" s="121"/>
      <c r="AH528" s="121"/>
      <c r="AI528" s="121"/>
      <c r="AJ528" s="121"/>
      <c r="AK528" s="121"/>
      <c r="AL528" s="121"/>
      <c r="AM528" s="121"/>
      <c r="AN528" s="121"/>
      <c r="AO528" s="121"/>
      <c r="AP528" s="121"/>
      <c r="AQ528" s="121"/>
      <c r="AR528" s="121"/>
      <c r="AS528" s="121"/>
      <c r="AT528" s="121"/>
      <c r="AU528" s="121"/>
      <c r="AV528" s="121"/>
      <c r="AW528" s="121"/>
      <c r="AX528" s="121"/>
      <c r="AY528" s="121"/>
      <c r="AZ528" s="121"/>
      <c r="BA528" s="121"/>
      <c r="BB528" s="121"/>
      <c r="BC528" s="121"/>
      <c r="BD528" s="121"/>
      <c r="BE528" s="121"/>
      <c r="BF528" s="121"/>
      <c r="BG528" s="121"/>
      <c r="BH528" s="121"/>
      <c r="BI528" s="121"/>
      <c r="BJ528" s="121"/>
      <c r="BK528" s="121"/>
      <c r="BL528" s="121"/>
      <c r="BM528" s="121"/>
      <c r="BN528" s="121"/>
      <c r="BO528" s="121"/>
      <c r="BP528" s="121"/>
      <c r="BQ528" s="121"/>
      <c r="BR528" s="121"/>
      <c r="BS528" s="121"/>
      <c r="BT528" s="121"/>
      <c r="BU528" s="121"/>
      <c r="BV528" s="121"/>
      <c r="BW528" s="121"/>
      <c r="BX528" s="121"/>
      <c r="BY528" s="121"/>
      <c r="BZ528" s="121"/>
      <c r="CA528" s="121"/>
      <c r="CB528" s="121"/>
      <c r="CC528" s="121"/>
      <c r="CD528" s="121"/>
      <c r="CE528" s="121"/>
      <c r="CF528" s="121"/>
      <c r="CG528" s="121"/>
      <c r="CH528" s="121"/>
      <c r="CI528" s="121"/>
      <c r="CJ528" s="121"/>
      <c r="CK528" s="121"/>
      <c r="CL528" s="121"/>
      <c r="CM528" s="121"/>
      <c r="CN528" s="121"/>
      <c r="CO528" s="121"/>
      <c r="CP528" s="121"/>
      <c r="CQ528" s="121"/>
      <c r="CR528" s="121"/>
      <c r="CS528" s="121"/>
      <c r="CT528" s="121"/>
      <c r="CU528" s="121"/>
      <c r="CV528" s="121"/>
      <c r="CW528" s="121"/>
      <c r="CX528" s="121"/>
      <c r="CY528" s="121"/>
      <c r="CZ528" s="121"/>
      <c r="DA528" s="121"/>
      <c r="DB528" s="121"/>
      <c r="DC528" s="121"/>
      <c r="DD528" s="121"/>
      <c r="DE528" s="121"/>
      <c r="DF528" s="121"/>
      <c r="DG528" s="121"/>
      <c r="DH528" s="121"/>
      <c r="DI528" s="121"/>
      <c r="DJ528" s="121"/>
      <c r="DK528" s="121"/>
      <c r="DL528" s="121"/>
      <c r="DM528" s="121"/>
      <c r="DN528" s="121"/>
      <c r="DO528" s="121"/>
      <c r="DP528" s="121"/>
      <c r="DQ528" s="121"/>
      <c r="DR528" s="121"/>
      <c r="DS528" s="121"/>
      <c r="DT528" s="240"/>
      <c r="DU528" s="240"/>
      <c r="DV528" s="240"/>
      <c r="DW528" s="240"/>
      <c r="DX528" s="240"/>
      <c r="DY528" s="240"/>
      <c r="DZ528" s="240"/>
      <c r="EA528" s="240"/>
      <c r="EB528" s="237">
        <f t="shared" si="64"/>
        <v>0</v>
      </c>
      <c r="EC528" s="237">
        <f t="shared" si="65"/>
        <v>0</v>
      </c>
      <c r="ED528" s="237">
        <f t="shared" si="66"/>
        <v>0</v>
      </c>
      <c r="EE528" s="237">
        <f t="shared" si="67"/>
        <v>0</v>
      </c>
      <c r="EF528" s="121"/>
      <c r="EG528" s="238">
        <f t="shared" si="68"/>
        <v>0</v>
      </c>
      <c r="EH528" s="121"/>
      <c r="EI528" s="237">
        <f t="shared" si="69"/>
        <v>0</v>
      </c>
      <c r="EJ528" s="121"/>
      <c r="EK528" s="237">
        <f t="shared" si="70"/>
        <v>0</v>
      </c>
      <c r="EL528" s="237"/>
      <c r="EM528" s="5"/>
      <c r="EN528" s="5"/>
      <c r="EO528" s="5"/>
      <c r="EP528" s="5"/>
      <c r="EQ528" s="237">
        <f t="shared" si="71"/>
        <v>0</v>
      </c>
      <c r="ER528" s="239">
        <v>23300</v>
      </c>
      <c r="ES528" s="5">
        <v>7.5</v>
      </c>
    </row>
    <row r="529" spans="1:149" x14ac:dyDescent="0.3">
      <c r="A529" s="124"/>
      <c r="B529" s="121"/>
      <c r="C529" s="121"/>
      <c r="D529" s="121"/>
      <c r="E529" s="121"/>
      <c r="F529" s="121"/>
      <c r="G529" s="121"/>
      <c r="H529" s="121"/>
      <c r="I529" s="121"/>
      <c r="J529" s="121"/>
      <c r="K529" s="121"/>
      <c r="L529" s="121"/>
      <c r="M529" s="121"/>
      <c r="N529" s="121"/>
      <c r="O529" s="235"/>
      <c r="P529" s="121"/>
      <c r="Q529" s="121"/>
      <c r="R529" s="121"/>
      <c r="S529" s="121"/>
      <c r="T529" s="121"/>
      <c r="U529" s="121"/>
      <c r="V529" s="121"/>
      <c r="W529" s="121"/>
      <c r="X529" s="117"/>
      <c r="Y529" s="117"/>
      <c r="Z529" s="121"/>
      <c r="AA529" s="121"/>
      <c r="AB529" s="121"/>
      <c r="AC529" s="121"/>
      <c r="AD529" s="121"/>
      <c r="AE529" s="121"/>
      <c r="AF529" s="121"/>
      <c r="AG529" s="121"/>
      <c r="AH529" s="121"/>
      <c r="AI529" s="121"/>
      <c r="AJ529" s="121"/>
      <c r="AK529" s="121"/>
      <c r="AL529" s="121"/>
      <c r="AM529" s="121"/>
      <c r="AN529" s="121"/>
      <c r="AO529" s="121"/>
      <c r="AP529" s="121"/>
      <c r="AQ529" s="121"/>
      <c r="AR529" s="121"/>
      <c r="AS529" s="121"/>
      <c r="AT529" s="121"/>
      <c r="AU529" s="121"/>
      <c r="AV529" s="121"/>
      <c r="AW529" s="121"/>
      <c r="AX529" s="121"/>
      <c r="AY529" s="121"/>
      <c r="AZ529" s="121"/>
      <c r="BA529" s="121"/>
      <c r="BB529" s="121"/>
      <c r="BC529" s="121"/>
      <c r="BD529" s="121"/>
      <c r="BE529" s="121"/>
      <c r="BF529" s="121"/>
      <c r="BG529" s="121"/>
      <c r="BH529" s="121"/>
      <c r="BI529" s="121"/>
      <c r="BJ529" s="121"/>
      <c r="BK529" s="121"/>
      <c r="BL529" s="121"/>
      <c r="BM529" s="121"/>
      <c r="BN529" s="121"/>
      <c r="BO529" s="121"/>
      <c r="BP529" s="121"/>
      <c r="BQ529" s="121"/>
      <c r="BR529" s="121"/>
      <c r="BS529" s="121"/>
      <c r="BT529" s="121"/>
      <c r="BU529" s="121"/>
      <c r="BV529" s="121"/>
      <c r="BW529" s="121"/>
      <c r="BX529" s="121"/>
      <c r="BY529" s="121"/>
      <c r="BZ529" s="121"/>
      <c r="CA529" s="121"/>
      <c r="CB529" s="121"/>
      <c r="CC529" s="121"/>
      <c r="CD529" s="121"/>
      <c r="CE529" s="121"/>
      <c r="CF529" s="121"/>
      <c r="CG529" s="121"/>
      <c r="CH529" s="121"/>
      <c r="CI529" s="121"/>
      <c r="CJ529" s="121"/>
      <c r="CK529" s="121"/>
      <c r="CL529" s="121"/>
      <c r="CM529" s="121"/>
      <c r="CN529" s="121"/>
      <c r="CO529" s="121"/>
      <c r="CP529" s="121"/>
      <c r="CQ529" s="121"/>
      <c r="CR529" s="121"/>
      <c r="CS529" s="121"/>
      <c r="CT529" s="121"/>
      <c r="CU529" s="121"/>
      <c r="CV529" s="121"/>
      <c r="CW529" s="121"/>
      <c r="CX529" s="121"/>
      <c r="CY529" s="121"/>
      <c r="CZ529" s="121"/>
      <c r="DA529" s="121"/>
      <c r="DB529" s="121"/>
      <c r="DC529" s="121"/>
      <c r="DD529" s="121"/>
      <c r="DE529" s="121"/>
      <c r="DF529" s="121"/>
      <c r="DG529" s="121"/>
      <c r="DH529" s="121"/>
      <c r="DI529" s="121"/>
      <c r="DJ529" s="121"/>
      <c r="DK529" s="121"/>
      <c r="DL529" s="121"/>
      <c r="DM529" s="121"/>
      <c r="DN529" s="121"/>
      <c r="DO529" s="121"/>
      <c r="DP529" s="121"/>
      <c r="DQ529" s="121"/>
      <c r="DR529" s="121"/>
      <c r="DS529" s="121"/>
      <c r="DT529" s="240"/>
      <c r="DU529" s="240"/>
      <c r="DV529" s="240"/>
      <c r="DW529" s="240"/>
      <c r="DX529" s="240"/>
      <c r="DY529" s="240"/>
      <c r="DZ529" s="240"/>
      <c r="EA529" s="240"/>
      <c r="EB529" s="237">
        <f t="shared" si="64"/>
        <v>0</v>
      </c>
      <c r="EC529" s="237">
        <f t="shared" si="65"/>
        <v>0</v>
      </c>
      <c r="ED529" s="237">
        <f t="shared" si="66"/>
        <v>0</v>
      </c>
      <c r="EE529" s="237">
        <f t="shared" si="67"/>
        <v>0</v>
      </c>
      <c r="EF529" s="121"/>
      <c r="EG529" s="238">
        <f t="shared" si="68"/>
        <v>0</v>
      </c>
      <c r="EH529" s="121"/>
      <c r="EI529" s="237">
        <f t="shared" si="69"/>
        <v>0</v>
      </c>
      <c r="EJ529" s="121"/>
      <c r="EK529" s="237">
        <f t="shared" si="70"/>
        <v>0</v>
      </c>
      <c r="EL529" s="237"/>
      <c r="EM529" s="5"/>
      <c r="EN529" s="5"/>
      <c r="EO529" s="5"/>
      <c r="EP529" s="5"/>
      <c r="EQ529" s="237">
        <f t="shared" si="71"/>
        <v>0</v>
      </c>
      <c r="ER529" s="239">
        <v>23300</v>
      </c>
      <c r="ES529" s="5">
        <v>7.5</v>
      </c>
    </row>
    <row r="530" spans="1:149" x14ac:dyDescent="0.3">
      <c r="A530" s="124"/>
      <c r="B530" s="121"/>
      <c r="C530" s="121"/>
      <c r="D530" s="121"/>
      <c r="E530" s="121"/>
      <c r="F530" s="121"/>
      <c r="G530" s="121"/>
      <c r="H530" s="121"/>
      <c r="I530" s="121"/>
      <c r="J530" s="121"/>
      <c r="K530" s="121"/>
      <c r="L530" s="121"/>
      <c r="M530" s="121"/>
      <c r="N530" s="121"/>
      <c r="O530" s="235"/>
      <c r="P530" s="121"/>
      <c r="Q530" s="121"/>
      <c r="R530" s="121"/>
      <c r="S530" s="121"/>
      <c r="T530" s="121"/>
      <c r="U530" s="121"/>
      <c r="V530" s="121"/>
      <c r="W530" s="121"/>
      <c r="X530" s="117"/>
      <c r="Y530" s="117"/>
      <c r="Z530" s="121"/>
      <c r="AA530" s="121"/>
      <c r="AB530" s="121"/>
      <c r="AC530" s="121"/>
      <c r="AD530" s="121"/>
      <c r="AE530" s="121"/>
      <c r="AF530" s="121"/>
      <c r="AG530" s="121"/>
      <c r="AH530" s="121"/>
      <c r="AI530" s="121"/>
      <c r="AJ530" s="121"/>
      <c r="AK530" s="121"/>
      <c r="AL530" s="121"/>
      <c r="AM530" s="121"/>
      <c r="AN530" s="121"/>
      <c r="AO530" s="121"/>
      <c r="AP530" s="121"/>
      <c r="AQ530" s="121"/>
      <c r="AR530" s="121"/>
      <c r="AS530" s="121"/>
      <c r="AT530" s="121"/>
      <c r="AU530" s="121"/>
      <c r="AV530" s="121"/>
      <c r="AW530" s="121"/>
      <c r="AX530" s="121"/>
      <c r="AY530" s="121"/>
      <c r="AZ530" s="121"/>
      <c r="BA530" s="121"/>
      <c r="BB530" s="121"/>
      <c r="BC530" s="121"/>
      <c r="BD530" s="121"/>
      <c r="BE530" s="121"/>
      <c r="BF530" s="121"/>
      <c r="BG530" s="121"/>
      <c r="BH530" s="121"/>
      <c r="BI530" s="121"/>
      <c r="BJ530" s="121"/>
      <c r="BK530" s="121"/>
      <c r="BL530" s="121"/>
      <c r="BM530" s="121"/>
      <c r="BN530" s="121"/>
      <c r="BO530" s="121"/>
      <c r="BP530" s="121"/>
      <c r="BQ530" s="121"/>
      <c r="BR530" s="121"/>
      <c r="BS530" s="121"/>
      <c r="BT530" s="121"/>
      <c r="BU530" s="121"/>
      <c r="BV530" s="121"/>
      <c r="BW530" s="121"/>
      <c r="BX530" s="121"/>
      <c r="BY530" s="121"/>
      <c r="BZ530" s="121"/>
      <c r="CA530" s="121"/>
      <c r="CB530" s="121"/>
      <c r="CC530" s="121"/>
      <c r="CD530" s="121"/>
      <c r="CE530" s="121"/>
      <c r="CF530" s="121"/>
      <c r="CG530" s="121"/>
      <c r="CH530" s="121"/>
      <c r="CI530" s="121"/>
      <c r="CJ530" s="121"/>
      <c r="CK530" s="121"/>
      <c r="CL530" s="121"/>
      <c r="CM530" s="121"/>
      <c r="CN530" s="121"/>
      <c r="CO530" s="121"/>
      <c r="CP530" s="121"/>
      <c r="CQ530" s="121"/>
      <c r="CR530" s="121"/>
      <c r="CS530" s="121"/>
      <c r="CT530" s="121"/>
      <c r="CU530" s="121"/>
      <c r="CV530" s="121"/>
      <c r="CW530" s="121"/>
      <c r="CX530" s="121"/>
      <c r="CY530" s="121"/>
      <c r="CZ530" s="121"/>
      <c r="DA530" s="121"/>
      <c r="DB530" s="121"/>
      <c r="DC530" s="121"/>
      <c r="DD530" s="121"/>
      <c r="DE530" s="121"/>
      <c r="DF530" s="121"/>
      <c r="DG530" s="121"/>
      <c r="DH530" s="121"/>
      <c r="DI530" s="121"/>
      <c r="DJ530" s="121"/>
      <c r="DK530" s="121"/>
      <c r="DL530" s="121"/>
      <c r="DM530" s="121"/>
      <c r="DN530" s="121"/>
      <c r="DO530" s="121"/>
      <c r="DP530" s="121"/>
      <c r="DQ530" s="121"/>
      <c r="DR530" s="121"/>
      <c r="DS530" s="121"/>
      <c r="DT530" s="240"/>
      <c r="DU530" s="240"/>
      <c r="DV530" s="240"/>
      <c r="DW530" s="240"/>
      <c r="DX530" s="240"/>
      <c r="DY530" s="240"/>
      <c r="DZ530" s="240"/>
      <c r="EA530" s="240"/>
      <c r="EB530" s="237">
        <f t="shared" si="64"/>
        <v>0</v>
      </c>
      <c r="EC530" s="237">
        <f t="shared" si="65"/>
        <v>0</v>
      </c>
      <c r="ED530" s="237">
        <f t="shared" si="66"/>
        <v>0</v>
      </c>
      <c r="EE530" s="237">
        <f t="shared" si="67"/>
        <v>0</v>
      </c>
      <c r="EF530" s="121"/>
      <c r="EG530" s="238">
        <f t="shared" si="68"/>
        <v>0</v>
      </c>
      <c r="EH530" s="121"/>
      <c r="EI530" s="237">
        <f t="shared" si="69"/>
        <v>0</v>
      </c>
      <c r="EJ530" s="121"/>
      <c r="EK530" s="237">
        <f t="shared" si="70"/>
        <v>0</v>
      </c>
      <c r="EL530" s="237"/>
      <c r="EM530" s="5"/>
      <c r="EN530" s="5"/>
      <c r="EO530" s="5"/>
      <c r="EP530" s="5"/>
      <c r="EQ530" s="237">
        <f t="shared" si="71"/>
        <v>0</v>
      </c>
      <c r="ER530" s="239">
        <v>23300</v>
      </c>
      <c r="ES530" s="5">
        <v>7.5</v>
      </c>
    </row>
    <row r="531" spans="1:149" x14ac:dyDescent="0.3">
      <c r="A531" s="124"/>
      <c r="B531" s="121"/>
      <c r="C531" s="121"/>
      <c r="D531" s="121"/>
      <c r="E531" s="121"/>
      <c r="F531" s="121"/>
      <c r="G531" s="121"/>
      <c r="H531" s="121"/>
      <c r="I531" s="121"/>
      <c r="J531" s="121"/>
      <c r="K531" s="121"/>
      <c r="L531" s="121"/>
      <c r="M531" s="121"/>
      <c r="N531" s="121"/>
      <c r="O531" s="235"/>
      <c r="P531" s="121"/>
      <c r="Q531" s="121"/>
      <c r="R531" s="121"/>
      <c r="S531" s="121"/>
      <c r="T531" s="121"/>
      <c r="U531" s="121"/>
      <c r="V531" s="121"/>
      <c r="W531" s="121"/>
      <c r="X531" s="117"/>
      <c r="Y531" s="117"/>
      <c r="Z531" s="121"/>
      <c r="AA531" s="121"/>
      <c r="AB531" s="121"/>
      <c r="AC531" s="121"/>
      <c r="AD531" s="121"/>
      <c r="AE531" s="121"/>
      <c r="AF531" s="121"/>
      <c r="AG531" s="121"/>
      <c r="AH531" s="121"/>
      <c r="AI531" s="121"/>
      <c r="AJ531" s="121"/>
      <c r="AK531" s="121"/>
      <c r="AL531" s="121"/>
      <c r="AM531" s="121"/>
      <c r="AN531" s="121"/>
      <c r="AO531" s="121"/>
      <c r="AP531" s="121"/>
      <c r="AQ531" s="121"/>
      <c r="AR531" s="121"/>
      <c r="AS531" s="121"/>
      <c r="AT531" s="121"/>
      <c r="AU531" s="121"/>
      <c r="AV531" s="121"/>
      <c r="AW531" s="121"/>
      <c r="AX531" s="121"/>
      <c r="AY531" s="121"/>
      <c r="AZ531" s="121"/>
      <c r="BA531" s="121"/>
      <c r="BB531" s="121"/>
      <c r="BC531" s="121"/>
      <c r="BD531" s="121"/>
      <c r="BE531" s="121"/>
      <c r="BF531" s="121"/>
      <c r="BG531" s="121"/>
      <c r="BH531" s="121"/>
      <c r="BI531" s="121"/>
      <c r="BJ531" s="121"/>
      <c r="BK531" s="121"/>
      <c r="BL531" s="121"/>
      <c r="BM531" s="121"/>
      <c r="BN531" s="121"/>
      <c r="BO531" s="121"/>
      <c r="BP531" s="121"/>
      <c r="BQ531" s="121"/>
      <c r="BR531" s="121"/>
      <c r="BS531" s="121"/>
      <c r="BT531" s="121"/>
      <c r="BU531" s="121"/>
      <c r="BV531" s="121"/>
      <c r="BW531" s="121"/>
      <c r="BX531" s="121"/>
      <c r="BY531" s="121"/>
      <c r="BZ531" s="121"/>
      <c r="CA531" s="121"/>
      <c r="CB531" s="121"/>
      <c r="CC531" s="121"/>
      <c r="CD531" s="121"/>
      <c r="CE531" s="121"/>
      <c r="CF531" s="121"/>
      <c r="CG531" s="121"/>
      <c r="CH531" s="121"/>
      <c r="CI531" s="121"/>
      <c r="CJ531" s="121"/>
      <c r="CK531" s="121"/>
      <c r="CL531" s="121"/>
      <c r="CM531" s="121"/>
      <c r="CN531" s="121"/>
      <c r="CO531" s="121"/>
      <c r="CP531" s="121"/>
      <c r="CQ531" s="121"/>
      <c r="CR531" s="121"/>
      <c r="CS531" s="121"/>
      <c r="CT531" s="121"/>
      <c r="CU531" s="121"/>
      <c r="CV531" s="121"/>
      <c r="CW531" s="121"/>
      <c r="CX531" s="121"/>
      <c r="CY531" s="121"/>
      <c r="CZ531" s="121"/>
      <c r="DA531" s="121"/>
      <c r="DB531" s="121"/>
      <c r="DC531" s="121"/>
      <c r="DD531" s="121"/>
      <c r="DE531" s="121"/>
      <c r="DF531" s="121"/>
      <c r="DG531" s="121"/>
      <c r="DH531" s="121"/>
      <c r="DI531" s="121"/>
      <c r="DJ531" s="121"/>
      <c r="DK531" s="121"/>
      <c r="DL531" s="121"/>
      <c r="DM531" s="121"/>
      <c r="DN531" s="121"/>
      <c r="DO531" s="121"/>
      <c r="DP531" s="121"/>
      <c r="DQ531" s="121"/>
      <c r="DR531" s="121"/>
      <c r="DS531" s="121"/>
      <c r="DT531" s="240"/>
      <c r="DU531" s="240"/>
      <c r="DV531" s="240"/>
      <c r="DW531" s="240"/>
      <c r="DX531" s="240"/>
      <c r="DY531" s="240"/>
      <c r="DZ531" s="240"/>
      <c r="EA531" s="240"/>
      <c r="EB531" s="237">
        <f t="shared" si="64"/>
        <v>0</v>
      </c>
      <c r="EC531" s="237">
        <f t="shared" si="65"/>
        <v>0</v>
      </c>
      <c r="ED531" s="237">
        <f t="shared" si="66"/>
        <v>0</v>
      </c>
      <c r="EE531" s="237">
        <f t="shared" si="67"/>
        <v>0</v>
      </c>
      <c r="EF531" s="121"/>
      <c r="EG531" s="238">
        <f t="shared" si="68"/>
        <v>0</v>
      </c>
      <c r="EH531" s="121"/>
      <c r="EI531" s="237">
        <f t="shared" si="69"/>
        <v>0</v>
      </c>
      <c r="EJ531" s="121"/>
      <c r="EK531" s="237">
        <f t="shared" si="70"/>
        <v>0</v>
      </c>
      <c r="EL531" s="237"/>
      <c r="EM531" s="5"/>
      <c r="EN531" s="5"/>
      <c r="EO531" s="5"/>
      <c r="EP531" s="5"/>
      <c r="EQ531" s="237">
        <f t="shared" si="71"/>
        <v>0</v>
      </c>
      <c r="ER531" s="239">
        <v>23300</v>
      </c>
      <c r="ES531" s="5">
        <v>7.5</v>
      </c>
    </row>
    <row r="532" spans="1:149" x14ac:dyDescent="0.3">
      <c r="A532" s="124"/>
      <c r="B532" s="121"/>
      <c r="C532" s="121"/>
      <c r="D532" s="121"/>
      <c r="E532" s="121"/>
      <c r="F532" s="121"/>
      <c r="G532" s="121"/>
      <c r="H532" s="121"/>
      <c r="I532" s="121"/>
      <c r="J532" s="121"/>
      <c r="K532" s="121"/>
      <c r="L532" s="121"/>
      <c r="M532" s="121"/>
      <c r="N532" s="121"/>
      <c r="O532" s="235"/>
      <c r="P532" s="121"/>
      <c r="Q532" s="121"/>
      <c r="R532" s="121"/>
      <c r="S532" s="121"/>
      <c r="T532" s="121"/>
      <c r="U532" s="121"/>
      <c r="V532" s="121"/>
      <c r="W532" s="121"/>
      <c r="X532" s="117"/>
      <c r="Y532" s="117"/>
      <c r="Z532" s="121"/>
      <c r="AA532" s="121"/>
      <c r="AB532" s="121"/>
      <c r="AC532" s="121"/>
      <c r="AD532" s="121"/>
      <c r="AE532" s="121"/>
      <c r="AF532" s="121"/>
      <c r="AG532" s="121"/>
      <c r="AH532" s="121"/>
      <c r="AI532" s="121"/>
      <c r="AJ532" s="121"/>
      <c r="AK532" s="121"/>
      <c r="AL532" s="121"/>
      <c r="AM532" s="121"/>
      <c r="AN532" s="121"/>
      <c r="AO532" s="121"/>
      <c r="AP532" s="121"/>
      <c r="AQ532" s="121"/>
      <c r="AR532" s="121"/>
      <c r="AS532" s="121"/>
      <c r="AT532" s="121"/>
      <c r="AU532" s="121"/>
      <c r="AV532" s="121"/>
      <c r="AW532" s="121"/>
      <c r="AX532" s="121"/>
      <c r="AY532" s="121"/>
      <c r="AZ532" s="121"/>
      <c r="BA532" s="121"/>
      <c r="BB532" s="121"/>
      <c r="BC532" s="121"/>
      <c r="BD532" s="121"/>
      <c r="BE532" s="121"/>
      <c r="BF532" s="121"/>
      <c r="BG532" s="121"/>
      <c r="BH532" s="121"/>
      <c r="BI532" s="121"/>
      <c r="BJ532" s="121"/>
      <c r="BK532" s="121"/>
      <c r="BL532" s="121"/>
      <c r="BM532" s="121"/>
      <c r="BN532" s="121"/>
      <c r="BO532" s="121"/>
      <c r="BP532" s="121"/>
      <c r="BQ532" s="121"/>
      <c r="BR532" s="121"/>
      <c r="BS532" s="121"/>
      <c r="BT532" s="121"/>
      <c r="BU532" s="121"/>
      <c r="BV532" s="121"/>
      <c r="BW532" s="121"/>
      <c r="BX532" s="121"/>
      <c r="BY532" s="121"/>
      <c r="BZ532" s="121"/>
      <c r="CA532" s="121"/>
      <c r="CB532" s="121"/>
      <c r="CC532" s="121"/>
      <c r="CD532" s="121"/>
      <c r="CE532" s="121"/>
      <c r="CF532" s="121"/>
      <c r="CG532" s="121"/>
      <c r="CH532" s="121"/>
      <c r="CI532" s="121"/>
      <c r="CJ532" s="121"/>
      <c r="CK532" s="121"/>
      <c r="CL532" s="121"/>
      <c r="CM532" s="121"/>
      <c r="CN532" s="121"/>
      <c r="CO532" s="121"/>
      <c r="CP532" s="121"/>
      <c r="CQ532" s="121"/>
      <c r="CR532" s="121"/>
      <c r="CS532" s="121"/>
      <c r="CT532" s="121"/>
      <c r="CU532" s="121"/>
      <c r="CV532" s="121"/>
      <c r="CW532" s="121"/>
      <c r="CX532" s="121"/>
      <c r="CY532" s="121"/>
      <c r="CZ532" s="121"/>
      <c r="DA532" s="121"/>
      <c r="DB532" s="121"/>
      <c r="DC532" s="121"/>
      <c r="DD532" s="121"/>
      <c r="DE532" s="121"/>
      <c r="DF532" s="121"/>
      <c r="DG532" s="121"/>
      <c r="DH532" s="121"/>
      <c r="DI532" s="121"/>
      <c r="DJ532" s="121"/>
      <c r="DK532" s="121"/>
      <c r="DL532" s="121"/>
      <c r="DM532" s="121"/>
      <c r="DN532" s="121"/>
      <c r="DO532" s="121"/>
      <c r="DP532" s="121"/>
      <c r="DQ532" s="121"/>
      <c r="DR532" s="121"/>
      <c r="DS532" s="121"/>
      <c r="DT532" s="240"/>
      <c r="DU532" s="240"/>
      <c r="DV532" s="240"/>
      <c r="DW532" s="240"/>
      <c r="DX532" s="240"/>
      <c r="DY532" s="240"/>
      <c r="DZ532" s="240"/>
      <c r="EA532" s="240"/>
      <c r="EB532" s="237">
        <f t="shared" si="64"/>
        <v>0</v>
      </c>
      <c r="EC532" s="237">
        <f t="shared" si="65"/>
        <v>0</v>
      </c>
      <c r="ED532" s="237">
        <f t="shared" si="66"/>
        <v>0</v>
      </c>
      <c r="EE532" s="237">
        <f t="shared" si="67"/>
        <v>0</v>
      </c>
      <c r="EF532" s="121"/>
      <c r="EG532" s="238">
        <f t="shared" si="68"/>
        <v>0</v>
      </c>
      <c r="EH532" s="121"/>
      <c r="EI532" s="237">
        <f t="shared" si="69"/>
        <v>0</v>
      </c>
      <c r="EJ532" s="121"/>
      <c r="EK532" s="237">
        <f t="shared" si="70"/>
        <v>0</v>
      </c>
      <c r="EL532" s="237"/>
      <c r="EM532" s="5"/>
      <c r="EN532" s="5"/>
      <c r="EO532" s="5"/>
      <c r="EP532" s="5"/>
      <c r="EQ532" s="237">
        <f t="shared" si="71"/>
        <v>0</v>
      </c>
      <c r="ER532" s="239">
        <v>23300</v>
      </c>
      <c r="ES532" s="5">
        <v>7.5</v>
      </c>
    </row>
    <row r="533" spans="1:149" x14ac:dyDescent="0.3">
      <c r="A533" s="124"/>
      <c r="B533" s="121"/>
      <c r="C533" s="121"/>
      <c r="D533" s="121"/>
      <c r="E533" s="121"/>
      <c r="F533" s="121"/>
      <c r="G533" s="121"/>
      <c r="H533" s="121"/>
      <c r="I533" s="121"/>
      <c r="J533" s="121"/>
      <c r="K533" s="121"/>
      <c r="L533" s="121"/>
      <c r="M533" s="121"/>
      <c r="N533" s="121"/>
      <c r="O533" s="235"/>
      <c r="P533" s="121"/>
      <c r="Q533" s="121"/>
      <c r="R533" s="121"/>
      <c r="S533" s="121"/>
      <c r="T533" s="121"/>
      <c r="U533" s="121"/>
      <c r="V533" s="121"/>
      <c r="W533" s="121"/>
      <c r="X533" s="117"/>
      <c r="Y533" s="117"/>
      <c r="Z533" s="121"/>
      <c r="AA533" s="121"/>
      <c r="AB533" s="121"/>
      <c r="AC533" s="121"/>
      <c r="AD533" s="121"/>
      <c r="AE533" s="121"/>
      <c r="AF533" s="121"/>
      <c r="AG533" s="121"/>
      <c r="AH533" s="121"/>
      <c r="AI533" s="121"/>
      <c r="AJ533" s="121"/>
      <c r="AK533" s="121"/>
      <c r="AL533" s="121"/>
      <c r="AM533" s="121"/>
      <c r="AN533" s="121"/>
      <c r="AO533" s="121"/>
      <c r="AP533" s="121"/>
      <c r="AQ533" s="121"/>
      <c r="AR533" s="121"/>
      <c r="AS533" s="121"/>
      <c r="AT533" s="121"/>
      <c r="AU533" s="121"/>
      <c r="AV533" s="121"/>
      <c r="AW533" s="121"/>
      <c r="AX533" s="121"/>
      <c r="AY533" s="121"/>
      <c r="AZ533" s="121"/>
      <c r="BA533" s="121"/>
      <c r="BB533" s="121"/>
      <c r="BC533" s="121"/>
      <c r="BD533" s="121"/>
      <c r="BE533" s="121"/>
      <c r="BF533" s="121"/>
      <c r="BG533" s="121"/>
      <c r="BH533" s="121"/>
      <c r="BI533" s="121"/>
      <c r="BJ533" s="121"/>
      <c r="BK533" s="121"/>
      <c r="BL533" s="121"/>
      <c r="BM533" s="121"/>
      <c r="BN533" s="121"/>
      <c r="BO533" s="121"/>
      <c r="BP533" s="121"/>
      <c r="BQ533" s="121"/>
      <c r="BR533" s="121"/>
      <c r="BS533" s="121"/>
      <c r="BT533" s="121"/>
      <c r="BU533" s="121"/>
      <c r="BV533" s="121"/>
      <c r="BW533" s="121"/>
      <c r="BX533" s="121"/>
      <c r="BY533" s="121"/>
      <c r="BZ533" s="121"/>
      <c r="CA533" s="121"/>
      <c r="CB533" s="121"/>
      <c r="CC533" s="121"/>
      <c r="CD533" s="121"/>
      <c r="CE533" s="121"/>
      <c r="CF533" s="121"/>
      <c r="CG533" s="121"/>
      <c r="CH533" s="121"/>
      <c r="CI533" s="121"/>
      <c r="CJ533" s="121"/>
      <c r="CK533" s="121"/>
      <c r="CL533" s="121"/>
      <c r="CM533" s="121"/>
      <c r="CN533" s="121"/>
      <c r="CO533" s="121"/>
      <c r="CP533" s="121"/>
      <c r="CQ533" s="121"/>
      <c r="CR533" s="121"/>
      <c r="CS533" s="121"/>
      <c r="CT533" s="121"/>
      <c r="CU533" s="121"/>
      <c r="CV533" s="121"/>
      <c r="CW533" s="121"/>
      <c r="CX533" s="121"/>
      <c r="CY533" s="121"/>
      <c r="CZ533" s="121"/>
      <c r="DA533" s="121"/>
      <c r="DB533" s="121"/>
      <c r="DC533" s="121"/>
      <c r="DD533" s="121"/>
      <c r="DE533" s="121"/>
      <c r="DF533" s="121"/>
      <c r="DG533" s="121"/>
      <c r="DH533" s="121"/>
      <c r="DI533" s="121"/>
      <c r="DJ533" s="121"/>
      <c r="DK533" s="121"/>
      <c r="DL533" s="121"/>
      <c r="DM533" s="121"/>
      <c r="DN533" s="121"/>
      <c r="DO533" s="121"/>
      <c r="DP533" s="121"/>
      <c r="DQ533" s="121"/>
      <c r="DR533" s="121"/>
      <c r="DS533" s="121"/>
      <c r="DT533" s="240"/>
      <c r="DU533" s="240"/>
      <c r="DV533" s="240"/>
      <c r="DW533" s="240"/>
      <c r="DX533" s="240"/>
      <c r="DY533" s="240"/>
      <c r="DZ533" s="240"/>
      <c r="EA533" s="240"/>
      <c r="EB533" s="237">
        <f t="shared" si="64"/>
        <v>0</v>
      </c>
      <c r="EC533" s="237">
        <f t="shared" si="65"/>
        <v>0</v>
      </c>
      <c r="ED533" s="237">
        <f t="shared" si="66"/>
        <v>0</v>
      </c>
      <c r="EE533" s="237">
        <f t="shared" si="67"/>
        <v>0</v>
      </c>
      <c r="EF533" s="121"/>
      <c r="EG533" s="238">
        <f t="shared" si="68"/>
        <v>0</v>
      </c>
      <c r="EH533" s="121"/>
      <c r="EI533" s="237">
        <f t="shared" si="69"/>
        <v>0</v>
      </c>
      <c r="EJ533" s="121"/>
      <c r="EK533" s="237">
        <f t="shared" si="70"/>
        <v>0</v>
      </c>
      <c r="EL533" s="237"/>
      <c r="EM533" s="5"/>
      <c r="EN533" s="5"/>
      <c r="EO533" s="5"/>
      <c r="EP533" s="5"/>
      <c r="EQ533" s="237">
        <f t="shared" si="71"/>
        <v>0</v>
      </c>
      <c r="ER533" s="239">
        <v>23300</v>
      </c>
      <c r="ES533" s="5">
        <v>7.5</v>
      </c>
    </row>
    <row r="534" spans="1:149" x14ac:dyDescent="0.3">
      <c r="A534" s="124"/>
      <c r="B534" s="121"/>
      <c r="C534" s="121"/>
      <c r="D534" s="121"/>
      <c r="E534" s="121"/>
      <c r="F534" s="121"/>
      <c r="G534" s="121"/>
      <c r="H534" s="121"/>
      <c r="I534" s="121"/>
      <c r="J534" s="121"/>
      <c r="K534" s="121"/>
      <c r="L534" s="121"/>
      <c r="M534" s="121"/>
      <c r="N534" s="121"/>
      <c r="O534" s="235"/>
      <c r="P534" s="121"/>
      <c r="Q534" s="121"/>
      <c r="R534" s="121"/>
      <c r="S534" s="121"/>
      <c r="T534" s="121"/>
      <c r="U534" s="121"/>
      <c r="V534" s="121"/>
      <c r="W534" s="121"/>
      <c r="X534" s="117"/>
      <c r="Y534" s="117"/>
      <c r="Z534" s="121"/>
      <c r="AA534" s="121"/>
      <c r="AB534" s="121"/>
      <c r="AC534" s="121"/>
      <c r="AD534" s="121"/>
      <c r="AE534" s="121"/>
      <c r="AF534" s="121"/>
      <c r="AG534" s="121"/>
      <c r="AH534" s="121"/>
      <c r="AI534" s="121"/>
      <c r="AJ534" s="121"/>
      <c r="AK534" s="121"/>
      <c r="AL534" s="121"/>
      <c r="AM534" s="121"/>
      <c r="AN534" s="121"/>
      <c r="AO534" s="121"/>
      <c r="AP534" s="121"/>
      <c r="AQ534" s="121"/>
      <c r="AR534" s="121"/>
      <c r="AS534" s="121"/>
      <c r="AT534" s="121"/>
      <c r="AU534" s="121"/>
      <c r="AV534" s="121"/>
      <c r="AW534" s="121"/>
      <c r="AX534" s="121"/>
      <c r="AY534" s="121"/>
      <c r="AZ534" s="121"/>
      <c r="BA534" s="121"/>
      <c r="BB534" s="121"/>
      <c r="BC534" s="121"/>
      <c r="BD534" s="121"/>
      <c r="BE534" s="121"/>
      <c r="BF534" s="121"/>
      <c r="BG534" s="121"/>
      <c r="BH534" s="121"/>
      <c r="BI534" s="121"/>
      <c r="BJ534" s="121"/>
      <c r="BK534" s="121"/>
      <c r="BL534" s="121"/>
      <c r="BM534" s="121"/>
      <c r="BN534" s="121"/>
      <c r="BO534" s="121"/>
      <c r="BP534" s="121"/>
      <c r="BQ534" s="121"/>
      <c r="BR534" s="121"/>
      <c r="BS534" s="121"/>
      <c r="BT534" s="121"/>
      <c r="BU534" s="121"/>
      <c r="BV534" s="121"/>
      <c r="BW534" s="121"/>
      <c r="BX534" s="121"/>
      <c r="BY534" s="121"/>
      <c r="BZ534" s="121"/>
      <c r="CA534" s="121"/>
      <c r="CB534" s="121"/>
      <c r="CC534" s="121"/>
      <c r="CD534" s="121"/>
      <c r="CE534" s="121"/>
      <c r="CF534" s="121"/>
      <c r="CG534" s="121"/>
      <c r="CH534" s="121"/>
      <c r="CI534" s="121"/>
      <c r="CJ534" s="121"/>
      <c r="CK534" s="121"/>
      <c r="CL534" s="121"/>
      <c r="CM534" s="121"/>
      <c r="CN534" s="121"/>
      <c r="CO534" s="121"/>
      <c r="CP534" s="121"/>
      <c r="CQ534" s="121"/>
      <c r="CR534" s="121"/>
      <c r="CS534" s="121"/>
      <c r="CT534" s="121"/>
      <c r="CU534" s="121"/>
      <c r="CV534" s="121"/>
      <c r="CW534" s="121"/>
      <c r="CX534" s="121"/>
      <c r="CY534" s="121"/>
      <c r="CZ534" s="121"/>
      <c r="DA534" s="121"/>
      <c r="DB534" s="121"/>
      <c r="DC534" s="121"/>
      <c r="DD534" s="121"/>
      <c r="DE534" s="121"/>
      <c r="DF534" s="121"/>
      <c r="DG534" s="121"/>
      <c r="DH534" s="121"/>
      <c r="DI534" s="121"/>
      <c r="DJ534" s="121"/>
      <c r="DK534" s="121"/>
      <c r="DL534" s="121"/>
      <c r="DM534" s="121"/>
      <c r="DN534" s="121"/>
      <c r="DO534" s="121"/>
      <c r="DP534" s="121"/>
      <c r="DQ534" s="121"/>
      <c r="DR534" s="121"/>
      <c r="DS534" s="121"/>
      <c r="DT534" s="240"/>
      <c r="DU534" s="240"/>
      <c r="DV534" s="240"/>
      <c r="DW534" s="240"/>
      <c r="DX534" s="240"/>
      <c r="DY534" s="240"/>
      <c r="DZ534" s="240"/>
      <c r="EA534" s="240"/>
      <c r="EB534" s="237">
        <f t="shared" si="64"/>
        <v>0</v>
      </c>
      <c r="EC534" s="237">
        <f t="shared" si="65"/>
        <v>0</v>
      </c>
      <c r="ED534" s="237">
        <f t="shared" si="66"/>
        <v>0</v>
      </c>
      <c r="EE534" s="237">
        <f t="shared" si="67"/>
        <v>0</v>
      </c>
      <c r="EF534" s="121"/>
      <c r="EG534" s="238">
        <f t="shared" si="68"/>
        <v>0</v>
      </c>
      <c r="EH534" s="121"/>
      <c r="EI534" s="237">
        <f t="shared" si="69"/>
        <v>0</v>
      </c>
      <c r="EJ534" s="121"/>
      <c r="EK534" s="237">
        <f t="shared" si="70"/>
        <v>0</v>
      </c>
      <c r="EL534" s="237"/>
      <c r="EM534" s="5"/>
      <c r="EN534" s="5"/>
      <c r="EO534" s="5"/>
      <c r="EP534" s="5"/>
      <c r="EQ534" s="237">
        <f t="shared" si="71"/>
        <v>0</v>
      </c>
      <c r="ER534" s="239">
        <v>23300</v>
      </c>
      <c r="ES534" s="5">
        <v>7.5</v>
      </c>
    </row>
    <row r="535" spans="1:149" x14ac:dyDescent="0.3">
      <c r="A535" s="124"/>
      <c r="B535" s="121"/>
      <c r="C535" s="121"/>
      <c r="D535" s="121"/>
      <c r="E535" s="121"/>
      <c r="F535" s="121"/>
      <c r="G535" s="121"/>
      <c r="H535" s="121"/>
      <c r="I535" s="121"/>
      <c r="J535" s="121"/>
      <c r="K535" s="121"/>
      <c r="L535" s="121"/>
      <c r="M535" s="121"/>
      <c r="N535" s="121"/>
      <c r="O535" s="235"/>
      <c r="P535" s="121"/>
      <c r="Q535" s="121"/>
      <c r="R535" s="121"/>
      <c r="S535" s="121"/>
      <c r="T535" s="121"/>
      <c r="U535" s="121"/>
      <c r="V535" s="121"/>
      <c r="W535" s="121"/>
      <c r="X535" s="117"/>
      <c r="Y535" s="117"/>
      <c r="Z535" s="121"/>
      <c r="AA535" s="121"/>
      <c r="AB535" s="121"/>
      <c r="AC535" s="121"/>
      <c r="AD535" s="121"/>
      <c r="AE535" s="121"/>
      <c r="AF535" s="121"/>
      <c r="AG535" s="121"/>
      <c r="AH535" s="121"/>
      <c r="AI535" s="121"/>
      <c r="AJ535" s="121"/>
      <c r="AK535" s="121"/>
      <c r="AL535" s="121"/>
      <c r="AM535" s="121"/>
      <c r="AN535" s="121"/>
      <c r="AO535" s="121"/>
      <c r="AP535" s="121"/>
      <c r="AQ535" s="121"/>
      <c r="AR535" s="121"/>
      <c r="AS535" s="121"/>
      <c r="AT535" s="121"/>
      <c r="AU535" s="121"/>
      <c r="AV535" s="121"/>
      <c r="AW535" s="121"/>
      <c r="AX535" s="121"/>
      <c r="AY535" s="121"/>
      <c r="AZ535" s="121"/>
      <c r="BA535" s="121"/>
      <c r="BB535" s="121"/>
      <c r="BC535" s="121"/>
      <c r="BD535" s="121"/>
      <c r="BE535" s="121"/>
      <c r="BF535" s="121"/>
      <c r="BG535" s="121"/>
      <c r="BH535" s="121"/>
      <c r="BI535" s="121"/>
      <c r="BJ535" s="121"/>
      <c r="BK535" s="121"/>
      <c r="BL535" s="121"/>
      <c r="BM535" s="121"/>
      <c r="BN535" s="121"/>
      <c r="BO535" s="121"/>
      <c r="BP535" s="121"/>
      <c r="BQ535" s="121"/>
      <c r="BR535" s="121"/>
      <c r="BS535" s="121"/>
      <c r="BT535" s="121"/>
      <c r="BU535" s="121"/>
      <c r="BV535" s="121"/>
      <c r="BW535" s="121"/>
      <c r="BX535" s="121"/>
      <c r="BY535" s="121"/>
      <c r="BZ535" s="121"/>
      <c r="CA535" s="121"/>
      <c r="CB535" s="121"/>
      <c r="CC535" s="121"/>
      <c r="CD535" s="121"/>
      <c r="CE535" s="121"/>
      <c r="CF535" s="121"/>
      <c r="CG535" s="121"/>
      <c r="CH535" s="121"/>
      <c r="CI535" s="121"/>
      <c r="CJ535" s="121"/>
      <c r="CK535" s="121"/>
      <c r="CL535" s="121"/>
      <c r="CM535" s="121"/>
      <c r="CN535" s="121"/>
      <c r="CO535" s="121"/>
      <c r="CP535" s="121"/>
      <c r="CQ535" s="121"/>
      <c r="CR535" s="121"/>
      <c r="CS535" s="121"/>
      <c r="CT535" s="121"/>
      <c r="CU535" s="121"/>
      <c r="CV535" s="121"/>
      <c r="CW535" s="121"/>
      <c r="CX535" s="121"/>
      <c r="CY535" s="121"/>
      <c r="CZ535" s="121"/>
      <c r="DA535" s="121"/>
      <c r="DB535" s="121"/>
      <c r="DC535" s="121"/>
      <c r="DD535" s="121"/>
      <c r="DE535" s="121"/>
      <c r="DF535" s="121"/>
      <c r="DG535" s="121"/>
      <c r="DH535" s="121"/>
      <c r="DI535" s="121"/>
      <c r="DJ535" s="121"/>
      <c r="DK535" s="121"/>
      <c r="DL535" s="121"/>
      <c r="DM535" s="121"/>
      <c r="DN535" s="121"/>
      <c r="DO535" s="121"/>
      <c r="DP535" s="121"/>
      <c r="DQ535" s="121"/>
      <c r="DR535" s="121"/>
      <c r="DS535" s="121"/>
      <c r="DT535" s="240"/>
      <c r="DU535" s="240"/>
      <c r="DV535" s="240"/>
      <c r="DW535" s="240"/>
      <c r="DX535" s="240"/>
      <c r="DY535" s="240"/>
      <c r="DZ535" s="240"/>
      <c r="EA535" s="240"/>
      <c r="EB535" s="237">
        <f t="shared" si="64"/>
        <v>0</v>
      </c>
      <c r="EC535" s="237">
        <f t="shared" si="65"/>
        <v>0</v>
      </c>
      <c r="ED535" s="237">
        <f t="shared" si="66"/>
        <v>0</v>
      </c>
      <c r="EE535" s="237">
        <f t="shared" si="67"/>
        <v>0</v>
      </c>
      <c r="EF535" s="121"/>
      <c r="EG535" s="238">
        <f t="shared" si="68"/>
        <v>0</v>
      </c>
      <c r="EH535" s="121"/>
      <c r="EI535" s="237">
        <f t="shared" si="69"/>
        <v>0</v>
      </c>
      <c r="EJ535" s="121"/>
      <c r="EK535" s="237">
        <f t="shared" si="70"/>
        <v>0</v>
      </c>
      <c r="EL535" s="237"/>
      <c r="EM535" s="5"/>
      <c r="EN535" s="5"/>
      <c r="EO535" s="5"/>
      <c r="EP535" s="5"/>
      <c r="EQ535" s="237">
        <f t="shared" si="71"/>
        <v>0</v>
      </c>
      <c r="ER535" s="239">
        <v>23300</v>
      </c>
      <c r="ES535" s="5">
        <v>7.5</v>
      </c>
    </row>
    <row r="536" spans="1:149" x14ac:dyDescent="0.3">
      <c r="A536" s="124"/>
      <c r="B536" s="121"/>
      <c r="C536" s="121"/>
      <c r="D536" s="121"/>
      <c r="E536" s="121"/>
      <c r="F536" s="121"/>
      <c r="G536" s="121"/>
      <c r="H536" s="121"/>
      <c r="I536" s="121"/>
      <c r="J536" s="121"/>
      <c r="K536" s="121"/>
      <c r="L536" s="121"/>
      <c r="M536" s="121"/>
      <c r="N536" s="121"/>
      <c r="O536" s="235"/>
      <c r="P536" s="121"/>
      <c r="Q536" s="121"/>
      <c r="R536" s="121"/>
      <c r="S536" s="121"/>
      <c r="T536" s="121"/>
      <c r="U536" s="121"/>
      <c r="V536" s="121"/>
      <c r="W536" s="121"/>
      <c r="X536" s="117"/>
      <c r="Y536" s="117"/>
      <c r="Z536" s="121"/>
      <c r="AA536" s="121"/>
      <c r="AB536" s="121"/>
      <c r="AC536" s="121"/>
      <c r="AD536" s="121"/>
      <c r="AE536" s="121"/>
      <c r="AF536" s="121"/>
      <c r="AG536" s="121"/>
      <c r="AH536" s="121"/>
      <c r="AI536" s="121"/>
      <c r="AJ536" s="121"/>
      <c r="AK536" s="121"/>
      <c r="AL536" s="121"/>
      <c r="AM536" s="121"/>
      <c r="AN536" s="121"/>
      <c r="AO536" s="121"/>
      <c r="AP536" s="121"/>
      <c r="AQ536" s="121"/>
      <c r="AR536" s="121"/>
      <c r="AS536" s="121"/>
      <c r="AT536" s="121"/>
      <c r="AU536" s="121"/>
      <c r="AV536" s="121"/>
      <c r="AW536" s="121"/>
      <c r="AX536" s="121"/>
      <c r="AY536" s="121"/>
      <c r="AZ536" s="121"/>
      <c r="BA536" s="121"/>
      <c r="BB536" s="121"/>
      <c r="BC536" s="121"/>
      <c r="BD536" s="121"/>
      <c r="BE536" s="121"/>
      <c r="BF536" s="121"/>
      <c r="BG536" s="121"/>
      <c r="BH536" s="121"/>
      <c r="BI536" s="121"/>
      <c r="BJ536" s="121"/>
      <c r="BK536" s="121"/>
      <c r="BL536" s="121"/>
      <c r="BM536" s="121"/>
      <c r="BN536" s="121"/>
      <c r="BO536" s="121"/>
      <c r="BP536" s="121"/>
      <c r="BQ536" s="121"/>
      <c r="BR536" s="121"/>
      <c r="BS536" s="121"/>
      <c r="BT536" s="121"/>
      <c r="BU536" s="121"/>
      <c r="BV536" s="121"/>
      <c r="BW536" s="121"/>
      <c r="BX536" s="121"/>
      <c r="BY536" s="121"/>
      <c r="BZ536" s="121"/>
      <c r="CA536" s="121"/>
      <c r="CB536" s="121"/>
      <c r="CC536" s="121"/>
      <c r="CD536" s="121"/>
      <c r="CE536" s="121"/>
      <c r="CF536" s="121"/>
      <c r="CG536" s="121"/>
      <c r="CH536" s="121"/>
      <c r="CI536" s="121"/>
      <c r="CJ536" s="121"/>
      <c r="CK536" s="121"/>
      <c r="CL536" s="121"/>
      <c r="CM536" s="121"/>
      <c r="CN536" s="121"/>
      <c r="CO536" s="121"/>
      <c r="CP536" s="121"/>
      <c r="CQ536" s="121"/>
      <c r="CR536" s="121"/>
      <c r="CS536" s="121"/>
      <c r="CT536" s="121"/>
      <c r="CU536" s="121"/>
      <c r="CV536" s="121"/>
      <c r="CW536" s="121"/>
      <c r="CX536" s="121"/>
      <c r="CY536" s="121"/>
      <c r="CZ536" s="121"/>
      <c r="DA536" s="121"/>
      <c r="DB536" s="121"/>
      <c r="DC536" s="121"/>
      <c r="DD536" s="121"/>
      <c r="DE536" s="121"/>
      <c r="DF536" s="121"/>
      <c r="DG536" s="121"/>
      <c r="DH536" s="121"/>
      <c r="DI536" s="121"/>
      <c r="DJ536" s="121"/>
      <c r="DK536" s="121"/>
      <c r="DL536" s="121"/>
      <c r="DM536" s="121"/>
      <c r="DN536" s="121"/>
      <c r="DO536" s="121"/>
      <c r="DP536" s="121"/>
      <c r="DQ536" s="121"/>
      <c r="DR536" s="121"/>
      <c r="DS536" s="121"/>
      <c r="DT536" s="240"/>
      <c r="DU536" s="240"/>
      <c r="DV536" s="240"/>
      <c r="DW536" s="240"/>
      <c r="DX536" s="240"/>
      <c r="DY536" s="240"/>
      <c r="DZ536" s="240"/>
      <c r="EA536" s="240"/>
      <c r="EB536" s="237">
        <f t="shared" si="64"/>
        <v>0</v>
      </c>
      <c r="EC536" s="237">
        <f t="shared" si="65"/>
        <v>0</v>
      </c>
      <c r="ED536" s="237">
        <f t="shared" si="66"/>
        <v>0</v>
      </c>
      <c r="EE536" s="237">
        <f t="shared" si="67"/>
        <v>0</v>
      </c>
      <c r="EF536" s="121"/>
      <c r="EG536" s="238">
        <f t="shared" si="68"/>
        <v>0</v>
      </c>
      <c r="EH536" s="121"/>
      <c r="EI536" s="237">
        <f t="shared" si="69"/>
        <v>0</v>
      </c>
      <c r="EJ536" s="121"/>
      <c r="EK536" s="237">
        <f t="shared" si="70"/>
        <v>0</v>
      </c>
      <c r="EL536" s="237"/>
      <c r="EM536" s="5"/>
      <c r="EN536" s="5"/>
      <c r="EO536" s="5"/>
      <c r="EP536" s="5"/>
      <c r="EQ536" s="237">
        <f t="shared" si="71"/>
        <v>0</v>
      </c>
      <c r="ER536" s="239">
        <v>23300</v>
      </c>
      <c r="ES536" s="5">
        <v>7.5</v>
      </c>
    </row>
    <row r="537" spans="1:149" x14ac:dyDescent="0.3">
      <c r="A537" s="124"/>
      <c r="B537" s="121"/>
      <c r="C537" s="121"/>
      <c r="D537" s="121"/>
      <c r="E537" s="121"/>
      <c r="F537" s="121"/>
      <c r="G537" s="121"/>
      <c r="H537" s="121"/>
      <c r="I537" s="121"/>
      <c r="J537" s="121"/>
      <c r="K537" s="121"/>
      <c r="L537" s="121"/>
      <c r="M537" s="121"/>
      <c r="N537" s="121"/>
      <c r="O537" s="235"/>
      <c r="P537" s="121"/>
      <c r="Q537" s="121"/>
      <c r="R537" s="121"/>
      <c r="S537" s="121"/>
      <c r="T537" s="121"/>
      <c r="U537" s="121"/>
      <c r="V537" s="121"/>
      <c r="W537" s="121"/>
      <c r="X537" s="117"/>
      <c r="Y537" s="117"/>
      <c r="Z537" s="121"/>
      <c r="AA537" s="121"/>
      <c r="AB537" s="121"/>
      <c r="AC537" s="121"/>
      <c r="AD537" s="121"/>
      <c r="AE537" s="121"/>
      <c r="AF537" s="121"/>
      <c r="AG537" s="121"/>
      <c r="AH537" s="121"/>
      <c r="AI537" s="121"/>
      <c r="AJ537" s="121"/>
      <c r="AK537" s="121"/>
      <c r="AL537" s="121"/>
      <c r="AM537" s="121"/>
      <c r="AN537" s="121"/>
      <c r="AO537" s="121"/>
      <c r="AP537" s="121"/>
      <c r="AQ537" s="121"/>
      <c r="AR537" s="121"/>
      <c r="AS537" s="121"/>
      <c r="AT537" s="121"/>
      <c r="AU537" s="121"/>
      <c r="AV537" s="121"/>
      <c r="AW537" s="121"/>
      <c r="AX537" s="121"/>
      <c r="AY537" s="121"/>
      <c r="AZ537" s="121"/>
      <c r="BA537" s="121"/>
      <c r="BB537" s="121"/>
      <c r="BC537" s="121"/>
      <c r="BD537" s="121"/>
      <c r="BE537" s="121"/>
      <c r="BF537" s="121"/>
      <c r="BG537" s="121"/>
      <c r="BH537" s="121"/>
      <c r="BI537" s="121"/>
      <c r="BJ537" s="121"/>
      <c r="BK537" s="121"/>
      <c r="BL537" s="121"/>
      <c r="BM537" s="121"/>
      <c r="BN537" s="121"/>
      <c r="BO537" s="121"/>
      <c r="BP537" s="121"/>
      <c r="BQ537" s="121"/>
      <c r="BR537" s="121"/>
      <c r="BS537" s="121"/>
      <c r="BT537" s="121"/>
      <c r="BU537" s="121"/>
      <c r="BV537" s="121"/>
      <c r="BW537" s="121"/>
      <c r="BX537" s="121"/>
      <c r="BY537" s="121"/>
      <c r="BZ537" s="121"/>
      <c r="CA537" s="121"/>
      <c r="CB537" s="121"/>
      <c r="CC537" s="121"/>
      <c r="CD537" s="121"/>
      <c r="CE537" s="121"/>
      <c r="CF537" s="121"/>
      <c r="CG537" s="121"/>
      <c r="CH537" s="121"/>
      <c r="CI537" s="121"/>
      <c r="CJ537" s="121"/>
      <c r="CK537" s="121"/>
      <c r="CL537" s="121"/>
      <c r="CM537" s="121"/>
      <c r="CN537" s="121"/>
      <c r="CO537" s="121"/>
      <c r="CP537" s="121"/>
      <c r="CQ537" s="121"/>
      <c r="CR537" s="121"/>
      <c r="CS537" s="121"/>
      <c r="CT537" s="121"/>
      <c r="CU537" s="121"/>
      <c r="CV537" s="121"/>
      <c r="CW537" s="121"/>
      <c r="CX537" s="121"/>
      <c r="CY537" s="121"/>
      <c r="CZ537" s="121"/>
      <c r="DA537" s="121"/>
      <c r="DB537" s="121"/>
      <c r="DC537" s="121"/>
      <c r="DD537" s="121"/>
      <c r="DE537" s="121"/>
      <c r="DF537" s="121"/>
      <c r="DG537" s="121"/>
      <c r="DH537" s="121"/>
      <c r="DI537" s="121"/>
      <c r="DJ537" s="121"/>
      <c r="DK537" s="121"/>
      <c r="DL537" s="121"/>
      <c r="DM537" s="121"/>
      <c r="DN537" s="121"/>
      <c r="DO537" s="121"/>
      <c r="DP537" s="121"/>
      <c r="DQ537" s="121"/>
      <c r="DR537" s="121"/>
      <c r="DS537" s="121"/>
      <c r="DT537" s="240"/>
      <c r="DU537" s="240"/>
      <c r="DV537" s="240"/>
      <c r="DW537" s="240"/>
      <c r="DX537" s="240"/>
      <c r="DY537" s="240"/>
      <c r="DZ537" s="240"/>
      <c r="EA537" s="240"/>
      <c r="EB537" s="237">
        <f t="shared" si="64"/>
        <v>0</v>
      </c>
      <c r="EC537" s="237">
        <f t="shared" si="65"/>
        <v>0</v>
      </c>
      <c r="ED537" s="237">
        <f t="shared" si="66"/>
        <v>0</v>
      </c>
      <c r="EE537" s="237">
        <f t="shared" si="67"/>
        <v>0</v>
      </c>
      <c r="EF537" s="121"/>
      <c r="EG537" s="238">
        <f t="shared" si="68"/>
        <v>0</v>
      </c>
      <c r="EH537" s="121"/>
      <c r="EI537" s="237">
        <f t="shared" si="69"/>
        <v>0</v>
      </c>
      <c r="EJ537" s="121"/>
      <c r="EK537" s="237">
        <f t="shared" si="70"/>
        <v>0</v>
      </c>
      <c r="EL537" s="237"/>
      <c r="EM537" s="5"/>
      <c r="EN537" s="5"/>
      <c r="EO537" s="5"/>
      <c r="EP537" s="5"/>
      <c r="EQ537" s="237">
        <f t="shared" si="71"/>
        <v>0</v>
      </c>
      <c r="ER537" s="239">
        <v>23300</v>
      </c>
      <c r="ES537" s="5">
        <v>7.5</v>
      </c>
    </row>
    <row r="538" spans="1:149" x14ac:dyDescent="0.3">
      <c r="A538" s="124"/>
      <c r="B538" s="121"/>
      <c r="C538" s="121"/>
      <c r="D538" s="121"/>
      <c r="E538" s="121"/>
      <c r="F538" s="121"/>
      <c r="G538" s="121"/>
      <c r="H538" s="121"/>
      <c r="I538" s="121"/>
      <c r="J538" s="121"/>
      <c r="K538" s="121"/>
      <c r="L538" s="121"/>
      <c r="M538" s="121"/>
      <c r="N538" s="121"/>
      <c r="O538" s="235"/>
      <c r="P538" s="121"/>
      <c r="Q538" s="121"/>
      <c r="R538" s="121"/>
      <c r="S538" s="121"/>
      <c r="T538" s="121"/>
      <c r="U538" s="121"/>
      <c r="V538" s="121"/>
      <c r="W538" s="121"/>
      <c r="X538" s="117"/>
      <c r="Y538" s="117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/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121"/>
      <c r="BJ538" s="121"/>
      <c r="BK538" s="121"/>
      <c r="BL538" s="121"/>
      <c r="BM538" s="121"/>
      <c r="BN538" s="121"/>
      <c r="BO538" s="121"/>
      <c r="BP538" s="121"/>
      <c r="BQ538" s="121"/>
      <c r="BR538" s="121"/>
      <c r="BS538" s="121"/>
      <c r="BT538" s="121"/>
      <c r="BU538" s="121"/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/>
      <c r="CP538" s="121"/>
      <c r="CQ538" s="121"/>
      <c r="CR538" s="121"/>
      <c r="CS538" s="121"/>
      <c r="CT538" s="121"/>
      <c r="CU538" s="121"/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/>
      <c r="DF538" s="121"/>
      <c r="DG538" s="121"/>
      <c r="DH538" s="121"/>
      <c r="DI538" s="121"/>
      <c r="DJ538" s="121"/>
      <c r="DK538" s="121"/>
      <c r="DL538" s="121"/>
      <c r="DM538" s="121"/>
      <c r="DN538" s="121"/>
      <c r="DO538" s="121"/>
      <c r="DP538" s="121"/>
      <c r="DQ538" s="121"/>
      <c r="DR538" s="121"/>
      <c r="DS538" s="121"/>
      <c r="DT538" s="240"/>
      <c r="DU538" s="240"/>
      <c r="DV538" s="240"/>
      <c r="DW538" s="240"/>
      <c r="DX538" s="240"/>
      <c r="DY538" s="240"/>
      <c r="DZ538" s="240"/>
      <c r="EA538" s="240"/>
      <c r="EB538" s="237">
        <f t="shared" si="64"/>
        <v>0</v>
      </c>
      <c r="EC538" s="237">
        <f t="shared" si="65"/>
        <v>0</v>
      </c>
      <c r="ED538" s="237">
        <f t="shared" si="66"/>
        <v>0</v>
      </c>
      <c r="EE538" s="237">
        <f t="shared" si="67"/>
        <v>0</v>
      </c>
      <c r="EF538" s="121"/>
      <c r="EG538" s="238">
        <f t="shared" si="68"/>
        <v>0</v>
      </c>
      <c r="EH538" s="121"/>
      <c r="EI538" s="237">
        <f t="shared" si="69"/>
        <v>0</v>
      </c>
      <c r="EJ538" s="121"/>
      <c r="EK538" s="237">
        <f t="shared" si="70"/>
        <v>0</v>
      </c>
      <c r="EL538" s="237"/>
      <c r="EM538" s="5"/>
      <c r="EN538" s="5"/>
      <c r="EO538" s="5"/>
      <c r="EP538" s="5"/>
      <c r="EQ538" s="237">
        <f t="shared" si="71"/>
        <v>0</v>
      </c>
      <c r="ER538" s="239">
        <v>23300</v>
      </c>
      <c r="ES538" s="5">
        <v>7.5</v>
      </c>
    </row>
    <row r="539" spans="1:149" x14ac:dyDescent="0.3">
      <c r="A539" s="124"/>
      <c r="B539" s="121"/>
      <c r="C539" s="121"/>
      <c r="D539" s="121"/>
      <c r="E539" s="121"/>
      <c r="F539" s="121"/>
      <c r="G539" s="121"/>
      <c r="H539" s="121"/>
      <c r="I539" s="121"/>
      <c r="J539" s="121"/>
      <c r="K539" s="121"/>
      <c r="L539" s="121"/>
      <c r="M539" s="121"/>
      <c r="N539" s="121"/>
      <c r="O539" s="235"/>
      <c r="P539" s="121"/>
      <c r="Q539" s="121"/>
      <c r="R539" s="121"/>
      <c r="S539" s="121"/>
      <c r="T539" s="121"/>
      <c r="U539" s="121"/>
      <c r="V539" s="121"/>
      <c r="W539" s="121"/>
      <c r="X539" s="117"/>
      <c r="Y539" s="117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21"/>
      <c r="BJ539" s="121"/>
      <c r="BK539" s="121"/>
      <c r="BL539" s="121"/>
      <c r="BM539" s="121"/>
      <c r="BN539" s="121"/>
      <c r="BO539" s="121"/>
      <c r="BP539" s="121"/>
      <c r="BQ539" s="121"/>
      <c r="BR539" s="121"/>
      <c r="BS539" s="121"/>
      <c r="BT539" s="121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21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  <c r="DK539" s="121"/>
      <c r="DL539" s="121"/>
      <c r="DM539" s="121"/>
      <c r="DN539" s="121"/>
      <c r="DO539" s="121"/>
      <c r="DP539" s="121"/>
      <c r="DQ539" s="121"/>
      <c r="DR539" s="121"/>
      <c r="DS539" s="121"/>
      <c r="DT539" s="240"/>
      <c r="DU539" s="240"/>
      <c r="DV539" s="240"/>
      <c r="DW539" s="240"/>
      <c r="DX539" s="240"/>
      <c r="DY539" s="240"/>
      <c r="DZ539" s="240"/>
      <c r="EA539" s="240"/>
      <c r="EB539" s="237">
        <f t="shared" si="64"/>
        <v>0</v>
      </c>
      <c r="EC539" s="237">
        <f t="shared" si="65"/>
        <v>0</v>
      </c>
      <c r="ED539" s="237">
        <f t="shared" si="66"/>
        <v>0</v>
      </c>
      <c r="EE539" s="237">
        <f t="shared" si="67"/>
        <v>0</v>
      </c>
      <c r="EF539" s="121"/>
      <c r="EG539" s="238">
        <f t="shared" si="68"/>
        <v>0</v>
      </c>
      <c r="EH539" s="121"/>
      <c r="EI539" s="237">
        <f t="shared" si="69"/>
        <v>0</v>
      </c>
      <c r="EJ539" s="121"/>
      <c r="EK539" s="237">
        <f t="shared" si="70"/>
        <v>0</v>
      </c>
      <c r="EL539" s="237"/>
      <c r="EM539" s="5"/>
      <c r="EN539" s="5"/>
      <c r="EO539" s="5"/>
      <c r="EP539" s="5"/>
      <c r="EQ539" s="237">
        <f t="shared" si="71"/>
        <v>0</v>
      </c>
      <c r="ER539" s="239">
        <v>23300</v>
      </c>
      <c r="ES539" s="5">
        <v>7.5</v>
      </c>
    </row>
    <row r="540" spans="1:149" x14ac:dyDescent="0.3">
      <c r="A540" s="124"/>
      <c r="B540" s="121"/>
      <c r="C540" s="121"/>
      <c r="D540" s="121"/>
      <c r="E540" s="121"/>
      <c r="F540" s="121"/>
      <c r="G540" s="121"/>
      <c r="H540" s="121"/>
      <c r="I540" s="121"/>
      <c r="J540" s="121"/>
      <c r="K540" s="121"/>
      <c r="L540" s="121"/>
      <c r="M540" s="121"/>
      <c r="N540" s="121"/>
      <c r="O540" s="235"/>
      <c r="P540" s="121"/>
      <c r="Q540" s="121"/>
      <c r="R540" s="121"/>
      <c r="S540" s="121"/>
      <c r="T540" s="121"/>
      <c r="U540" s="121"/>
      <c r="V540" s="121"/>
      <c r="W540" s="121"/>
      <c r="X540" s="117"/>
      <c r="Y540" s="117"/>
      <c r="Z540" s="121"/>
      <c r="AA540" s="121"/>
      <c r="AB540" s="121"/>
      <c r="AC540" s="121"/>
      <c r="AD540" s="121"/>
      <c r="AE540" s="121"/>
      <c r="AF540" s="121"/>
      <c r="AG540" s="121"/>
      <c r="AH540" s="121"/>
      <c r="AI540" s="121"/>
      <c r="AJ540" s="121"/>
      <c r="AK540" s="121"/>
      <c r="AL540" s="121"/>
      <c r="AM540" s="121"/>
      <c r="AN540" s="121"/>
      <c r="AO540" s="121"/>
      <c r="AP540" s="121"/>
      <c r="AQ540" s="121"/>
      <c r="AR540" s="121"/>
      <c r="AS540" s="121"/>
      <c r="AT540" s="121"/>
      <c r="AU540" s="121"/>
      <c r="AV540" s="121"/>
      <c r="AW540" s="121"/>
      <c r="AX540" s="121"/>
      <c r="AY540" s="121"/>
      <c r="AZ540" s="121"/>
      <c r="BA540" s="121"/>
      <c r="BB540" s="121"/>
      <c r="BC540" s="121"/>
      <c r="BD540" s="121"/>
      <c r="BE540" s="121"/>
      <c r="BF540" s="121"/>
      <c r="BG540" s="121"/>
      <c r="BH540" s="121"/>
      <c r="BI540" s="121"/>
      <c r="BJ540" s="121"/>
      <c r="BK540" s="121"/>
      <c r="BL540" s="121"/>
      <c r="BM540" s="121"/>
      <c r="BN540" s="121"/>
      <c r="BO540" s="121"/>
      <c r="BP540" s="121"/>
      <c r="BQ540" s="121"/>
      <c r="BR540" s="121"/>
      <c r="BS540" s="121"/>
      <c r="BT540" s="121"/>
      <c r="BU540" s="121"/>
      <c r="BV540" s="121"/>
      <c r="BW540" s="121"/>
      <c r="BX540" s="121"/>
      <c r="BY540" s="121"/>
      <c r="BZ540" s="121"/>
      <c r="CA540" s="121"/>
      <c r="CB540" s="121"/>
      <c r="CC540" s="121"/>
      <c r="CD540" s="121"/>
      <c r="CE540" s="121"/>
      <c r="CF540" s="121"/>
      <c r="CG540" s="121"/>
      <c r="CH540" s="121"/>
      <c r="CI540" s="121"/>
      <c r="CJ540" s="121"/>
      <c r="CK540" s="121"/>
      <c r="CL540" s="121"/>
      <c r="CM540" s="121"/>
      <c r="CN540" s="121"/>
      <c r="CO540" s="121"/>
      <c r="CP540" s="121"/>
      <c r="CQ540" s="121"/>
      <c r="CR540" s="121"/>
      <c r="CS540" s="121"/>
      <c r="CT540" s="121"/>
      <c r="CU540" s="121"/>
      <c r="CV540" s="121"/>
      <c r="CW540" s="121"/>
      <c r="CX540" s="121"/>
      <c r="CY540" s="121"/>
      <c r="CZ540" s="121"/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  <c r="DK540" s="121"/>
      <c r="DL540" s="121"/>
      <c r="DM540" s="121"/>
      <c r="DN540" s="121"/>
      <c r="DO540" s="121"/>
      <c r="DP540" s="121"/>
      <c r="DQ540" s="121"/>
      <c r="DR540" s="121"/>
      <c r="DS540" s="121"/>
      <c r="DT540" s="240"/>
      <c r="DU540" s="240"/>
      <c r="DV540" s="240"/>
      <c r="DW540" s="240"/>
      <c r="DX540" s="240"/>
      <c r="DY540" s="240"/>
      <c r="DZ540" s="240"/>
      <c r="EA540" s="240"/>
      <c r="EB540" s="237">
        <f t="shared" si="64"/>
        <v>0</v>
      </c>
      <c r="EC540" s="237">
        <f t="shared" si="65"/>
        <v>0</v>
      </c>
      <c r="ED540" s="237">
        <f t="shared" si="66"/>
        <v>0</v>
      </c>
      <c r="EE540" s="237">
        <f t="shared" si="67"/>
        <v>0</v>
      </c>
      <c r="EF540" s="121"/>
      <c r="EG540" s="238">
        <f t="shared" si="68"/>
        <v>0</v>
      </c>
      <c r="EH540" s="121"/>
      <c r="EI540" s="237">
        <f t="shared" si="69"/>
        <v>0</v>
      </c>
      <c r="EJ540" s="121"/>
      <c r="EK540" s="237">
        <f t="shared" si="70"/>
        <v>0</v>
      </c>
      <c r="EL540" s="237"/>
      <c r="EM540" s="5"/>
      <c r="EN540" s="5"/>
      <c r="EO540" s="5"/>
      <c r="EP540" s="5"/>
      <c r="EQ540" s="237">
        <f t="shared" si="71"/>
        <v>0</v>
      </c>
      <c r="ER540" s="239">
        <v>23300</v>
      </c>
      <c r="ES540" s="5">
        <v>7.5</v>
      </c>
    </row>
    <row r="541" spans="1:149" x14ac:dyDescent="0.3">
      <c r="A541" s="124"/>
      <c r="B541" s="121"/>
      <c r="C541" s="121"/>
      <c r="D541" s="121"/>
      <c r="E541" s="121"/>
      <c r="F541" s="121"/>
      <c r="G541" s="121"/>
      <c r="H541" s="121"/>
      <c r="I541" s="121"/>
      <c r="J541" s="121"/>
      <c r="K541" s="121"/>
      <c r="L541" s="121"/>
      <c r="M541" s="121"/>
      <c r="N541" s="121"/>
      <c r="O541" s="235"/>
      <c r="P541" s="121"/>
      <c r="Q541" s="121"/>
      <c r="R541" s="121"/>
      <c r="S541" s="121"/>
      <c r="T541" s="121"/>
      <c r="U541" s="121"/>
      <c r="V541" s="121"/>
      <c r="W541" s="121"/>
      <c r="X541" s="117"/>
      <c r="Y541" s="117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1"/>
      <c r="AL541" s="121"/>
      <c r="AM541" s="121"/>
      <c r="AN541" s="121"/>
      <c r="AO541" s="121"/>
      <c r="AP541" s="121"/>
      <c r="AQ541" s="121"/>
      <c r="AR541" s="121"/>
      <c r="AS541" s="121"/>
      <c r="AT541" s="121"/>
      <c r="AU541" s="121"/>
      <c r="AV541" s="121"/>
      <c r="AW541" s="121"/>
      <c r="AX541" s="121"/>
      <c r="AY541" s="121"/>
      <c r="AZ541" s="121"/>
      <c r="BA541" s="121"/>
      <c r="BB541" s="121"/>
      <c r="BC541" s="121"/>
      <c r="BD541" s="121"/>
      <c r="BE541" s="121"/>
      <c r="BF541" s="121"/>
      <c r="BG541" s="121"/>
      <c r="BH541" s="121"/>
      <c r="BI541" s="121"/>
      <c r="BJ541" s="121"/>
      <c r="BK541" s="121"/>
      <c r="BL541" s="121"/>
      <c r="BM541" s="121"/>
      <c r="BN541" s="121"/>
      <c r="BO541" s="121"/>
      <c r="BP541" s="121"/>
      <c r="BQ541" s="121"/>
      <c r="BR541" s="121"/>
      <c r="BS541" s="121"/>
      <c r="BT541" s="12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21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  <c r="DK541" s="121"/>
      <c r="DL541" s="121"/>
      <c r="DM541" s="121"/>
      <c r="DN541" s="121"/>
      <c r="DO541" s="121"/>
      <c r="DP541" s="121"/>
      <c r="DQ541" s="121"/>
      <c r="DR541" s="121"/>
      <c r="DS541" s="121"/>
      <c r="DT541" s="240"/>
      <c r="DU541" s="240"/>
      <c r="DV541" s="240"/>
      <c r="DW541" s="240"/>
      <c r="DX541" s="240"/>
      <c r="DY541" s="240"/>
      <c r="DZ541" s="240"/>
      <c r="EA541" s="240"/>
      <c r="EB541" s="237">
        <f t="shared" si="64"/>
        <v>0</v>
      </c>
      <c r="EC541" s="237">
        <f t="shared" si="65"/>
        <v>0</v>
      </c>
      <c r="ED541" s="237">
        <f t="shared" si="66"/>
        <v>0</v>
      </c>
      <c r="EE541" s="237">
        <f t="shared" si="67"/>
        <v>0</v>
      </c>
      <c r="EF541" s="121"/>
      <c r="EG541" s="238">
        <f t="shared" si="68"/>
        <v>0</v>
      </c>
      <c r="EH541" s="121"/>
      <c r="EI541" s="237">
        <f t="shared" si="69"/>
        <v>0</v>
      </c>
      <c r="EJ541" s="121"/>
      <c r="EK541" s="237">
        <f t="shared" si="70"/>
        <v>0</v>
      </c>
      <c r="EL541" s="237"/>
      <c r="EM541" s="5"/>
      <c r="EN541" s="5"/>
      <c r="EO541" s="5"/>
      <c r="EP541" s="5"/>
      <c r="EQ541" s="237">
        <f t="shared" si="71"/>
        <v>0</v>
      </c>
      <c r="ER541" s="239">
        <v>23300</v>
      </c>
      <c r="ES541" s="5">
        <v>7.5</v>
      </c>
    </row>
    <row r="542" spans="1:149" x14ac:dyDescent="0.3">
      <c r="A542" s="124"/>
      <c r="B542" s="121"/>
      <c r="C542" s="121"/>
      <c r="D542" s="121"/>
      <c r="E542" s="121"/>
      <c r="F542" s="121"/>
      <c r="G542" s="121"/>
      <c r="H542" s="121"/>
      <c r="I542" s="121"/>
      <c r="J542" s="121"/>
      <c r="K542" s="121"/>
      <c r="L542" s="121"/>
      <c r="M542" s="121"/>
      <c r="N542" s="121"/>
      <c r="O542" s="235"/>
      <c r="P542" s="121"/>
      <c r="Q542" s="121"/>
      <c r="R542" s="121"/>
      <c r="S542" s="121"/>
      <c r="T542" s="121"/>
      <c r="U542" s="121"/>
      <c r="V542" s="121"/>
      <c r="W542" s="121"/>
      <c r="X542" s="117"/>
      <c r="Y542" s="117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21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  <c r="DK542" s="121"/>
      <c r="DL542" s="121"/>
      <c r="DM542" s="121"/>
      <c r="DN542" s="121"/>
      <c r="DO542" s="121"/>
      <c r="DP542" s="121"/>
      <c r="DQ542" s="121"/>
      <c r="DR542" s="121"/>
      <c r="DS542" s="121"/>
      <c r="DT542" s="240"/>
      <c r="DU542" s="240"/>
      <c r="DV542" s="240"/>
      <c r="DW542" s="240"/>
      <c r="DX542" s="240"/>
      <c r="DY542" s="240"/>
      <c r="DZ542" s="240"/>
      <c r="EA542" s="240"/>
      <c r="EB542" s="237">
        <f t="shared" si="64"/>
        <v>0</v>
      </c>
      <c r="EC542" s="237">
        <f t="shared" si="65"/>
        <v>0</v>
      </c>
      <c r="ED542" s="237">
        <f t="shared" si="66"/>
        <v>0</v>
      </c>
      <c r="EE542" s="237">
        <f t="shared" si="67"/>
        <v>0</v>
      </c>
      <c r="EF542" s="121"/>
      <c r="EG542" s="238">
        <f t="shared" si="68"/>
        <v>0</v>
      </c>
      <c r="EH542" s="121"/>
      <c r="EI542" s="237">
        <f t="shared" si="69"/>
        <v>0</v>
      </c>
      <c r="EJ542" s="121"/>
      <c r="EK542" s="237">
        <f t="shared" si="70"/>
        <v>0</v>
      </c>
      <c r="EL542" s="237"/>
      <c r="EM542" s="5"/>
      <c r="EN542" s="5"/>
      <c r="EO542" s="5"/>
      <c r="EP542" s="5"/>
      <c r="EQ542" s="237">
        <f t="shared" si="71"/>
        <v>0</v>
      </c>
      <c r="ER542" s="239">
        <v>23300</v>
      </c>
      <c r="ES542" s="5">
        <v>7.5</v>
      </c>
    </row>
    <row r="543" spans="1:149" x14ac:dyDescent="0.3">
      <c r="A543" s="124"/>
      <c r="B543" s="121"/>
      <c r="C543" s="121"/>
      <c r="D543" s="121"/>
      <c r="E543" s="121"/>
      <c r="F543" s="121"/>
      <c r="G543" s="121"/>
      <c r="H543" s="121"/>
      <c r="I543" s="121"/>
      <c r="J543" s="121"/>
      <c r="K543" s="121"/>
      <c r="L543" s="121"/>
      <c r="M543" s="121"/>
      <c r="N543" s="121"/>
      <c r="O543" s="235"/>
      <c r="P543" s="121"/>
      <c r="Q543" s="121"/>
      <c r="R543" s="121"/>
      <c r="S543" s="121"/>
      <c r="T543" s="121"/>
      <c r="U543" s="121"/>
      <c r="V543" s="121"/>
      <c r="W543" s="121"/>
      <c r="X543" s="117"/>
      <c r="Y543" s="117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21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  <c r="DK543" s="121"/>
      <c r="DL543" s="121"/>
      <c r="DM543" s="121"/>
      <c r="DN543" s="121"/>
      <c r="DO543" s="121"/>
      <c r="DP543" s="121"/>
      <c r="DQ543" s="121"/>
      <c r="DR543" s="121"/>
      <c r="DS543" s="121"/>
      <c r="DT543" s="240"/>
      <c r="DU543" s="240"/>
      <c r="DV543" s="240"/>
      <c r="DW543" s="240"/>
      <c r="DX543" s="240"/>
      <c r="DY543" s="240"/>
      <c r="DZ543" s="240"/>
      <c r="EA543" s="240"/>
      <c r="EB543" s="237">
        <f t="shared" si="64"/>
        <v>0</v>
      </c>
      <c r="EC543" s="237">
        <f t="shared" si="65"/>
        <v>0</v>
      </c>
      <c r="ED543" s="237">
        <f t="shared" si="66"/>
        <v>0</v>
      </c>
      <c r="EE543" s="237">
        <f t="shared" si="67"/>
        <v>0</v>
      </c>
      <c r="EF543" s="121"/>
      <c r="EG543" s="238">
        <f t="shared" si="68"/>
        <v>0</v>
      </c>
      <c r="EH543" s="121"/>
      <c r="EI543" s="237">
        <f t="shared" si="69"/>
        <v>0</v>
      </c>
      <c r="EJ543" s="121"/>
      <c r="EK543" s="237">
        <f t="shared" si="70"/>
        <v>0</v>
      </c>
      <c r="EL543" s="237"/>
      <c r="EM543" s="5"/>
      <c r="EN543" s="5"/>
      <c r="EO543" s="5"/>
      <c r="EP543" s="5"/>
      <c r="EQ543" s="237">
        <f t="shared" si="71"/>
        <v>0</v>
      </c>
      <c r="ER543" s="239">
        <v>23300</v>
      </c>
      <c r="ES543" s="5">
        <v>7.5</v>
      </c>
    </row>
    <row r="544" spans="1:149" x14ac:dyDescent="0.3">
      <c r="A544" s="124"/>
      <c r="B544" s="121"/>
      <c r="C544" s="121"/>
      <c r="D544" s="121"/>
      <c r="E544" s="121"/>
      <c r="F544" s="121"/>
      <c r="G544" s="121"/>
      <c r="H544" s="121"/>
      <c r="I544" s="121"/>
      <c r="J544" s="121"/>
      <c r="K544" s="121"/>
      <c r="L544" s="121"/>
      <c r="M544" s="121"/>
      <c r="N544" s="121"/>
      <c r="O544" s="235"/>
      <c r="P544" s="121"/>
      <c r="Q544" s="121"/>
      <c r="R544" s="121"/>
      <c r="S544" s="121"/>
      <c r="T544" s="121"/>
      <c r="U544" s="121"/>
      <c r="V544" s="121"/>
      <c r="W544" s="121"/>
      <c r="X544" s="117"/>
      <c r="Y544" s="117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21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  <c r="DK544" s="121"/>
      <c r="DL544" s="121"/>
      <c r="DM544" s="121"/>
      <c r="DN544" s="121"/>
      <c r="DO544" s="121"/>
      <c r="DP544" s="121"/>
      <c r="DQ544" s="121"/>
      <c r="DR544" s="121"/>
      <c r="DS544" s="121"/>
      <c r="DT544" s="240"/>
      <c r="DU544" s="240"/>
      <c r="DV544" s="240"/>
      <c r="DW544" s="240"/>
      <c r="DX544" s="240"/>
      <c r="DY544" s="240"/>
      <c r="DZ544" s="240"/>
      <c r="EA544" s="240"/>
      <c r="EB544" s="237">
        <f t="shared" si="64"/>
        <v>0</v>
      </c>
      <c r="EC544" s="237">
        <f t="shared" si="65"/>
        <v>0</v>
      </c>
      <c r="ED544" s="237">
        <f t="shared" si="66"/>
        <v>0</v>
      </c>
      <c r="EE544" s="237">
        <f t="shared" si="67"/>
        <v>0</v>
      </c>
      <c r="EF544" s="121"/>
      <c r="EG544" s="238">
        <f t="shared" si="68"/>
        <v>0</v>
      </c>
      <c r="EH544" s="121"/>
      <c r="EI544" s="237">
        <f t="shared" si="69"/>
        <v>0</v>
      </c>
      <c r="EJ544" s="121"/>
      <c r="EK544" s="237">
        <f t="shared" si="70"/>
        <v>0</v>
      </c>
      <c r="EL544" s="237"/>
      <c r="EM544" s="5"/>
      <c r="EN544" s="5"/>
      <c r="EO544" s="5"/>
      <c r="EP544" s="5"/>
      <c r="EQ544" s="237">
        <f t="shared" si="71"/>
        <v>0</v>
      </c>
      <c r="ER544" s="239">
        <v>23300</v>
      </c>
      <c r="ES544" s="5">
        <v>7.5</v>
      </c>
    </row>
    <row r="545" spans="1:149" x14ac:dyDescent="0.3">
      <c r="A545" s="124"/>
      <c r="B545" s="121"/>
      <c r="C545" s="121"/>
      <c r="D545" s="121"/>
      <c r="E545" s="121"/>
      <c r="F545" s="121"/>
      <c r="G545" s="121"/>
      <c r="H545" s="121"/>
      <c r="I545" s="121"/>
      <c r="J545" s="121"/>
      <c r="K545" s="121"/>
      <c r="L545" s="121"/>
      <c r="M545" s="121"/>
      <c r="N545" s="121"/>
      <c r="O545" s="235"/>
      <c r="P545" s="121"/>
      <c r="Q545" s="121"/>
      <c r="R545" s="121"/>
      <c r="S545" s="121"/>
      <c r="T545" s="121"/>
      <c r="U545" s="121"/>
      <c r="V545" s="121"/>
      <c r="W545" s="121"/>
      <c r="X545" s="117"/>
      <c r="Y545" s="117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21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  <c r="DK545" s="121"/>
      <c r="DL545" s="121"/>
      <c r="DM545" s="121"/>
      <c r="DN545" s="121"/>
      <c r="DO545" s="121"/>
      <c r="DP545" s="121"/>
      <c r="DQ545" s="121"/>
      <c r="DR545" s="121"/>
      <c r="DS545" s="121"/>
      <c r="DT545" s="240"/>
      <c r="DU545" s="240"/>
      <c r="DV545" s="240"/>
      <c r="DW545" s="240"/>
      <c r="DX545" s="240"/>
      <c r="DY545" s="240"/>
      <c r="DZ545" s="240"/>
      <c r="EA545" s="240"/>
      <c r="EB545" s="237">
        <f t="shared" si="64"/>
        <v>0</v>
      </c>
      <c r="EC545" s="237">
        <f t="shared" si="65"/>
        <v>0</v>
      </c>
      <c r="ED545" s="237">
        <f t="shared" si="66"/>
        <v>0</v>
      </c>
      <c r="EE545" s="237">
        <f t="shared" si="67"/>
        <v>0</v>
      </c>
      <c r="EF545" s="121"/>
      <c r="EG545" s="238">
        <f t="shared" si="68"/>
        <v>0</v>
      </c>
      <c r="EH545" s="121"/>
      <c r="EI545" s="237">
        <f t="shared" si="69"/>
        <v>0</v>
      </c>
      <c r="EJ545" s="121"/>
      <c r="EK545" s="237">
        <f t="shared" si="70"/>
        <v>0</v>
      </c>
      <c r="EL545" s="237"/>
      <c r="EM545" s="5"/>
      <c r="EN545" s="5"/>
      <c r="EO545" s="5"/>
      <c r="EP545" s="5"/>
      <c r="EQ545" s="237">
        <f t="shared" si="71"/>
        <v>0</v>
      </c>
      <c r="ER545" s="239">
        <v>23300</v>
      </c>
      <c r="ES545" s="5">
        <v>7.5</v>
      </c>
    </row>
    <row r="546" spans="1:149" x14ac:dyDescent="0.3">
      <c r="A546" s="124"/>
      <c r="B546" s="121"/>
      <c r="C546" s="121"/>
      <c r="D546" s="121"/>
      <c r="E546" s="121"/>
      <c r="F546" s="121"/>
      <c r="G546" s="121"/>
      <c r="H546" s="121"/>
      <c r="I546" s="121"/>
      <c r="J546" s="121"/>
      <c r="K546" s="121"/>
      <c r="L546" s="121"/>
      <c r="M546" s="121"/>
      <c r="N546" s="121"/>
      <c r="O546" s="235"/>
      <c r="P546" s="121"/>
      <c r="Q546" s="121"/>
      <c r="R546" s="121"/>
      <c r="S546" s="121"/>
      <c r="T546" s="121"/>
      <c r="U546" s="121"/>
      <c r="V546" s="121"/>
      <c r="W546" s="121"/>
      <c r="X546" s="117"/>
      <c r="Y546" s="117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21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  <c r="DK546" s="121"/>
      <c r="DL546" s="121"/>
      <c r="DM546" s="121"/>
      <c r="DN546" s="121"/>
      <c r="DO546" s="121"/>
      <c r="DP546" s="121"/>
      <c r="DQ546" s="121"/>
      <c r="DR546" s="121"/>
      <c r="DS546" s="121"/>
      <c r="DT546" s="240"/>
      <c r="DU546" s="240"/>
      <c r="DV546" s="240"/>
      <c r="DW546" s="240"/>
      <c r="DX546" s="240"/>
      <c r="DY546" s="240"/>
      <c r="DZ546" s="240"/>
      <c r="EA546" s="240"/>
      <c r="EB546" s="237">
        <f t="shared" si="64"/>
        <v>0</v>
      </c>
      <c r="EC546" s="237">
        <f t="shared" si="65"/>
        <v>0</v>
      </c>
      <c r="ED546" s="237">
        <f t="shared" si="66"/>
        <v>0</v>
      </c>
      <c r="EE546" s="237">
        <f t="shared" si="67"/>
        <v>0</v>
      </c>
      <c r="EF546" s="121"/>
      <c r="EG546" s="238">
        <f t="shared" si="68"/>
        <v>0</v>
      </c>
      <c r="EH546" s="121"/>
      <c r="EI546" s="237">
        <f t="shared" si="69"/>
        <v>0</v>
      </c>
      <c r="EJ546" s="121"/>
      <c r="EK546" s="237">
        <f t="shared" si="70"/>
        <v>0</v>
      </c>
      <c r="EL546" s="237"/>
      <c r="EM546" s="5"/>
      <c r="EN546" s="5"/>
      <c r="EO546" s="5"/>
      <c r="EP546" s="5"/>
      <c r="EQ546" s="237">
        <f t="shared" si="71"/>
        <v>0</v>
      </c>
      <c r="ER546" s="239">
        <v>23300</v>
      </c>
      <c r="ES546" s="5">
        <v>7.5</v>
      </c>
    </row>
    <row r="547" spans="1:149" x14ac:dyDescent="0.3">
      <c r="A547" s="124"/>
      <c r="B547" s="121"/>
      <c r="C547" s="121"/>
      <c r="D547" s="121"/>
      <c r="E547" s="121"/>
      <c r="F547" s="121"/>
      <c r="G547" s="121"/>
      <c r="H547" s="121"/>
      <c r="I547" s="121"/>
      <c r="J547" s="121"/>
      <c r="K547" s="121"/>
      <c r="L547" s="121"/>
      <c r="M547" s="121"/>
      <c r="N547" s="121"/>
      <c r="O547" s="235"/>
      <c r="P547" s="121"/>
      <c r="Q547" s="121"/>
      <c r="R547" s="121"/>
      <c r="S547" s="121"/>
      <c r="T547" s="121"/>
      <c r="U547" s="121"/>
      <c r="V547" s="121"/>
      <c r="W547" s="121"/>
      <c r="X547" s="117"/>
      <c r="Y547" s="117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21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  <c r="DK547" s="121"/>
      <c r="DL547" s="121"/>
      <c r="DM547" s="121"/>
      <c r="DN547" s="121"/>
      <c r="DO547" s="121"/>
      <c r="DP547" s="121"/>
      <c r="DQ547" s="121"/>
      <c r="DR547" s="121"/>
      <c r="DS547" s="121"/>
      <c r="DT547" s="240"/>
      <c r="DU547" s="240"/>
      <c r="DV547" s="240"/>
      <c r="DW547" s="240"/>
      <c r="DX547" s="240"/>
      <c r="DY547" s="240"/>
      <c r="DZ547" s="240"/>
      <c r="EA547" s="240"/>
      <c r="EB547" s="237">
        <f t="shared" si="64"/>
        <v>0</v>
      </c>
      <c r="EC547" s="237">
        <f t="shared" si="65"/>
        <v>0</v>
      </c>
      <c r="ED547" s="237">
        <f t="shared" si="66"/>
        <v>0</v>
      </c>
      <c r="EE547" s="237">
        <f t="shared" si="67"/>
        <v>0</v>
      </c>
      <c r="EF547" s="121"/>
      <c r="EG547" s="238">
        <f t="shared" si="68"/>
        <v>0</v>
      </c>
      <c r="EH547" s="121"/>
      <c r="EI547" s="237">
        <f t="shared" si="69"/>
        <v>0</v>
      </c>
      <c r="EJ547" s="121"/>
      <c r="EK547" s="237">
        <f t="shared" si="70"/>
        <v>0</v>
      </c>
      <c r="EL547" s="237"/>
      <c r="EM547" s="5"/>
      <c r="EN547" s="5"/>
      <c r="EO547" s="5"/>
      <c r="EP547" s="5"/>
      <c r="EQ547" s="237">
        <f t="shared" si="71"/>
        <v>0</v>
      </c>
      <c r="ER547" s="239">
        <v>23300</v>
      </c>
      <c r="ES547" s="5">
        <v>7.5</v>
      </c>
    </row>
    <row r="548" spans="1:149" x14ac:dyDescent="0.3">
      <c r="A548" s="124"/>
      <c r="B548" s="121"/>
      <c r="C548" s="121"/>
      <c r="D548" s="121"/>
      <c r="E548" s="121"/>
      <c r="F548" s="121"/>
      <c r="G548" s="121"/>
      <c r="H548" s="121"/>
      <c r="I548" s="121"/>
      <c r="J548" s="121"/>
      <c r="K548" s="121"/>
      <c r="L548" s="121"/>
      <c r="M548" s="121"/>
      <c r="N548" s="121"/>
      <c r="O548" s="235"/>
      <c r="P548" s="121"/>
      <c r="Q548" s="121"/>
      <c r="R548" s="121"/>
      <c r="S548" s="121"/>
      <c r="T548" s="121"/>
      <c r="U548" s="121"/>
      <c r="V548" s="121"/>
      <c r="W548" s="121"/>
      <c r="X548" s="117"/>
      <c r="Y548" s="117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21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  <c r="DK548" s="121"/>
      <c r="DL548" s="121"/>
      <c r="DM548" s="121"/>
      <c r="DN548" s="121"/>
      <c r="DO548" s="121"/>
      <c r="DP548" s="121"/>
      <c r="DQ548" s="121"/>
      <c r="DR548" s="121"/>
      <c r="DS548" s="121"/>
      <c r="DT548" s="240"/>
      <c r="DU548" s="240"/>
      <c r="DV548" s="240"/>
      <c r="DW548" s="240"/>
      <c r="DX548" s="240"/>
      <c r="DY548" s="240"/>
      <c r="DZ548" s="240"/>
      <c r="EA548" s="240"/>
      <c r="EB548" s="237">
        <f t="shared" si="64"/>
        <v>0</v>
      </c>
      <c r="EC548" s="237">
        <f t="shared" si="65"/>
        <v>0</v>
      </c>
      <c r="ED548" s="237">
        <f t="shared" si="66"/>
        <v>0</v>
      </c>
      <c r="EE548" s="237">
        <f t="shared" si="67"/>
        <v>0</v>
      </c>
      <c r="EF548" s="121"/>
      <c r="EG548" s="238">
        <f t="shared" si="68"/>
        <v>0</v>
      </c>
      <c r="EH548" s="121"/>
      <c r="EI548" s="237">
        <f t="shared" si="69"/>
        <v>0</v>
      </c>
      <c r="EJ548" s="121"/>
      <c r="EK548" s="237">
        <f t="shared" si="70"/>
        <v>0</v>
      </c>
      <c r="EL548" s="237"/>
      <c r="EM548" s="5"/>
      <c r="EN548" s="5"/>
      <c r="EO548" s="5"/>
      <c r="EP548" s="5"/>
      <c r="EQ548" s="237">
        <f t="shared" si="71"/>
        <v>0</v>
      </c>
      <c r="ER548" s="239">
        <v>23300</v>
      </c>
      <c r="ES548" s="5">
        <v>7.5</v>
      </c>
    </row>
    <row r="549" spans="1:149" x14ac:dyDescent="0.3">
      <c r="A549" s="124"/>
      <c r="B549" s="121"/>
      <c r="C549" s="121"/>
      <c r="D549" s="121"/>
      <c r="E549" s="121"/>
      <c r="F549" s="121"/>
      <c r="G549" s="121"/>
      <c r="H549" s="121"/>
      <c r="I549" s="121"/>
      <c r="J549" s="121"/>
      <c r="K549" s="121"/>
      <c r="L549" s="121"/>
      <c r="M549" s="121"/>
      <c r="N549" s="121"/>
      <c r="O549" s="235"/>
      <c r="P549" s="121"/>
      <c r="Q549" s="121"/>
      <c r="R549" s="121"/>
      <c r="S549" s="121"/>
      <c r="T549" s="121"/>
      <c r="U549" s="121"/>
      <c r="V549" s="121"/>
      <c r="W549" s="121"/>
      <c r="X549" s="117"/>
      <c r="Y549" s="117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21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  <c r="DK549" s="121"/>
      <c r="DL549" s="121"/>
      <c r="DM549" s="121"/>
      <c r="DN549" s="121"/>
      <c r="DO549" s="121"/>
      <c r="DP549" s="121"/>
      <c r="DQ549" s="121"/>
      <c r="DR549" s="121"/>
      <c r="DS549" s="121"/>
      <c r="DT549" s="240"/>
      <c r="DU549" s="240"/>
      <c r="DV549" s="240"/>
      <c r="DW549" s="240"/>
      <c r="DX549" s="240"/>
      <c r="DY549" s="240"/>
      <c r="DZ549" s="240"/>
      <c r="EA549" s="240"/>
      <c r="EB549" s="237">
        <f t="shared" si="64"/>
        <v>0</v>
      </c>
      <c r="EC549" s="237">
        <f t="shared" si="65"/>
        <v>0</v>
      </c>
      <c r="ED549" s="237">
        <f t="shared" si="66"/>
        <v>0</v>
      </c>
      <c r="EE549" s="237">
        <f t="shared" si="67"/>
        <v>0</v>
      </c>
      <c r="EF549" s="121"/>
      <c r="EG549" s="238">
        <f t="shared" si="68"/>
        <v>0</v>
      </c>
      <c r="EH549" s="121"/>
      <c r="EI549" s="237">
        <f t="shared" si="69"/>
        <v>0</v>
      </c>
      <c r="EJ549" s="121"/>
      <c r="EK549" s="237">
        <f t="shared" si="70"/>
        <v>0</v>
      </c>
      <c r="EL549" s="237"/>
      <c r="EM549" s="5"/>
      <c r="EN549" s="5"/>
      <c r="EO549" s="5"/>
      <c r="EP549" s="5"/>
      <c r="EQ549" s="237">
        <f t="shared" si="71"/>
        <v>0</v>
      </c>
      <c r="ER549" s="239">
        <v>23300</v>
      </c>
      <c r="ES549" s="5">
        <v>7.5</v>
      </c>
    </row>
    <row r="550" spans="1:149" x14ac:dyDescent="0.3">
      <c r="A550" s="124"/>
      <c r="B550" s="121"/>
      <c r="C550" s="121"/>
      <c r="D550" s="121"/>
      <c r="E550" s="121"/>
      <c r="F550" s="121"/>
      <c r="G550" s="121"/>
      <c r="H550" s="121"/>
      <c r="I550" s="121"/>
      <c r="J550" s="121"/>
      <c r="K550" s="121"/>
      <c r="L550" s="121"/>
      <c r="M550" s="121"/>
      <c r="N550" s="121"/>
      <c r="O550" s="235"/>
      <c r="P550" s="121"/>
      <c r="Q550" s="121"/>
      <c r="R550" s="121"/>
      <c r="S550" s="121"/>
      <c r="T550" s="121"/>
      <c r="U550" s="121"/>
      <c r="V550" s="121"/>
      <c r="W550" s="121"/>
      <c r="X550" s="117"/>
      <c r="Y550" s="117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21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  <c r="DK550" s="121"/>
      <c r="DL550" s="121"/>
      <c r="DM550" s="121"/>
      <c r="DN550" s="121"/>
      <c r="DO550" s="121"/>
      <c r="DP550" s="121"/>
      <c r="DQ550" s="121"/>
      <c r="DR550" s="121"/>
      <c r="DS550" s="121"/>
      <c r="DT550" s="240"/>
      <c r="DU550" s="240"/>
      <c r="DV550" s="240"/>
      <c r="DW550" s="240"/>
      <c r="DX550" s="240"/>
      <c r="DY550" s="240"/>
      <c r="DZ550" s="240"/>
      <c r="EA550" s="240"/>
      <c r="EB550" s="237">
        <f t="shared" si="64"/>
        <v>0</v>
      </c>
      <c r="EC550" s="237">
        <f t="shared" si="65"/>
        <v>0</v>
      </c>
      <c r="ED550" s="237">
        <f t="shared" si="66"/>
        <v>0</v>
      </c>
      <c r="EE550" s="237">
        <f t="shared" si="67"/>
        <v>0</v>
      </c>
      <c r="EF550" s="121"/>
      <c r="EG550" s="238">
        <f t="shared" si="68"/>
        <v>0</v>
      </c>
      <c r="EH550" s="121"/>
      <c r="EI550" s="237">
        <f t="shared" si="69"/>
        <v>0</v>
      </c>
      <c r="EJ550" s="121"/>
      <c r="EK550" s="237">
        <f t="shared" si="70"/>
        <v>0</v>
      </c>
      <c r="EL550" s="237"/>
      <c r="EM550" s="5"/>
      <c r="EN550" s="5"/>
      <c r="EO550" s="5"/>
      <c r="EP550" s="5"/>
      <c r="EQ550" s="237">
        <f t="shared" si="71"/>
        <v>0</v>
      </c>
      <c r="ER550" s="239">
        <v>23300</v>
      </c>
      <c r="ES550" s="5">
        <v>7.5</v>
      </c>
    </row>
    <row r="551" spans="1:149" x14ac:dyDescent="0.3">
      <c r="A551" s="124"/>
      <c r="B551" s="121"/>
      <c r="C551" s="121"/>
      <c r="D551" s="121"/>
      <c r="E551" s="121"/>
      <c r="F551" s="121"/>
      <c r="G551" s="121"/>
      <c r="H551" s="121"/>
      <c r="I551" s="121"/>
      <c r="J551" s="121"/>
      <c r="K551" s="121"/>
      <c r="L551" s="121"/>
      <c r="M551" s="121"/>
      <c r="N551" s="121"/>
      <c r="O551" s="235"/>
      <c r="P551" s="121"/>
      <c r="Q551" s="121"/>
      <c r="R551" s="121"/>
      <c r="S551" s="121"/>
      <c r="T551" s="121"/>
      <c r="U551" s="121"/>
      <c r="V551" s="121"/>
      <c r="W551" s="121"/>
      <c r="X551" s="117"/>
      <c r="Y551" s="117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21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  <c r="DK551" s="121"/>
      <c r="DL551" s="121"/>
      <c r="DM551" s="121"/>
      <c r="DN551" s="121"/>
      <c r="DO551" s="121"/>
      <c r="DP551" s="121"/>
      <c r="DQ551" s="121"/>
      <c r="DR551" s="121"/>
      <c r="DS551" s="121"/>
      <c r="DT551" s="240"/>
      <c r="DU551" s="240"/>
      <c r="DV551" s="240"/>
      <c r="DW551" s="240"/>
      <c r="DX551" s="240"/>
      <c r="DY551" s="240"/>
      <c r="DZ551" s="240"/>
      <c r="EA551" s="240"/>
      <c r="EB551" s="237">
        <f t="shared" si="64"/>
        <v>0</v>
      </c>
      <c r="EC551" s="237">
        <f t="shared" si="65"/>
        <v>0</v>
      </c>
      <c r="ED551" s="237">
        <f t="shared" si="66"/>
        <v>0</v>
      </c>
      <c r="EE551" s="237">
        <f t="shared" si="67"/>
        <v>0</v>
      </c>
      <c r="EF551" s="121"/>
      <c r="EG551" s="238">
        <f t="shared" si="68"/>
        <v>0</v>
      </c>
      <c r="EH551" s="121"/>
      <c r="EI551" s="237">
        <f t="shared" si="69"/>
        <v>0</v>
      </c>
      <c r="EJ551" s="121"/>
      <c r="EK551" s="237">
        <f t="shared" si="70"/>
        <v>0</v>
      </c>
      <c r="EL551" s="237"/>
      <c r="EM551" s="5"/>
      <c r="EN551" s="5"/>
      <c r="EO551" s="5"/>
      <c r="EP551" s="5"/>
      <c r="EQ551" s="237">
        <f t="shared" si="71"/>
        <v>0</v>
      </c>
      <c r="ER551" s="239">
        <v>23300</v>
      </c>
      <c r="ES551" s="5">
        <v>7.5</v>
      </c>
    </row>
    <row r="552" spans="1:149" x14ac:dyDescent="0.3">
      <c r="A552" s="124"/>
      <c r="B552" s="121"/>
      <c r="C552" s="121"/>
      <c r="D552" s="121"/>
      <c r="E552" s="121"/>
      <c r="F552" s="121"/>
      <c r="G552" s="121"/>
      <c r="H552" s="121"/>
      <c r="I552" s="121"/>
      <c r="J552" s="121"/>
      <c r="K552" s="121"/>
      <c r="L552" s="121"/>
      <c r="M552" s="121"/>
      <c r="N552" s="121"/>
      <c r="O552" s="235"/>
      <c r="P552" s="121"/>
      <c r="Q552" s="121"/>
      <c r="R552" s="121"/>
      <c r="S552" s="121"/>
      <c r="T552" s="121"/>
      <c r="U552" s="121"/>
      <c r="V552" s="121"/>
      <c r="W552" s="121"/>
      <c r="X552" s="117"/>
      <c r="Y552" s="117"/>
      <c r="Z552" s="121"/>
      <c r="AA552" s="121"/>
      <c r="AB552" s="121"/>
      <c r="AC552" s="121"/>
      <c r="AD552" s="121"/>
      <c r="AE552" s="121"/>
      <c r="AF552" s="121"/>
      <c r="AG552" s="121"/>
      <c r="AH552" s="121"/>
      <c r="AI552" s="121"/>
      <c r="AJ552" s="121"/>
      <c r="AK552" s="121"/>
      <c r="AL552" s="121"/>
      <c r="AM552" s="121"/>
      <c r="AN552" s="121"/>
      <c r="AO552" s="121"/>
      <c r="AP552" s="121"/>
      <c r="AQ552" s="121"/>
      <c r="AR552" s="121"/>
      <c r="AS552" s="121"/>
      <c r="AT552" s="121"/>
      <c r="AU552" s="121"/>
      <c r="AV552" s="121"/>
      <c r="AW552" s="121"/>
      <c r="AX552" s="121"/>
      <c r="AY552" s="121"/>
      <c r="AZ552" s="121"/>
      <c r="BA552" s="121"/>
      <c r="BB552" s="121"/>
      <c r="BC552" s="121"/>
      <c r="BD552" s="121"/>
      <c r="BE552" s="121"/>
      <c r="BF552" s="121"/>
      <c r="BG552" s="121"/>
      <c r="BH552" s="121"/>
      <c r="BI552" s="121"/>
      <c r="BJ552" s="121"/>
      <c r="BK552" s="121"/>
      <c r="BL552" s="121"/>
      <c r="BM552" s="121"/>
      <c r="BN552" s="121"/>
      <c r="BO552" s="121"/>
      <c r="BP552" s="121"/>
      <c r="BQ552" s="121"/>
      <c r="BR552" s="121"/>
      <c r="BS552" s="121"/>
      <c r="BT552" s="121"/>
      <c r="BU552" s="121"/>
      <c r="BV552" s="121"/>
      <c r="BW552" s="121"/>
      <c r="BX552" s="121"/>
      <c r="BY552" s="121"/>
      <c r="BZ552" s="121"/>
      <c r="CA552" s="121"/>
      <c r="CB552" s="121"/>
      <c r="CC552" s="121"/>
      <c r="CD552" s="121"/>
      <c r="CE552" s="121"/>
      <c r="CF552" s="121"/>
      <c r="CG552" s="121"/>
      <c r="CH552" s="121"/>
      <c r="CI552" s="121"/>
      <c r="CJ552" s="121"/>
      <c r="CK552" s="121"/>
      <c r="CL552" s="121"/>
      <c r="CM552" s="121"/>
      <c r="CN552" s="121"/>
      <c r="CO552" s="121"/>
      <c r="CP552" s="121"/>
      <c r="CQ552" s="121"/>
      <c r="CR552" s="121"/>
      <c r="CS552" s="121"/>
      <c r="CT552" s="121"/>
      <c r="CU552" s="121"/>
      <c r="CV552" s="121"/>
      <c r="CW552" s="121"/>
      <c r="CX552" s="121"/>
      <c r="CY552" s="121"/>
      <c r="CZ552" s="121"/>
      <c r="DA552" s="121"/>
      <c r="DB552" s="121"/>
      <c r="DC552" s="121"/>
      <c r="DD552" s="121"/>
      <c r="DE552" s="121"/>
      <c r="DF552" s="121"/>
      <c r="DG552" s="121"/>
      <c r="DH552" s="121"/>
      <c r="DI552" s="121"/>
      <c r="DJ552" s="121"/>
      <c r="DK552" s="121"/>
      <c r="DL552" s="121"/>
      <c r="DM552" s="121"/>
      <c r="DN552" s="121"/>
      <c r="DO552" s="121"/>
      <c r="DP552" s="121"/>
      <c r="DQ552" s="121"/>
      <c r="DR552" s="121"/>
      <c r="DS552" s="121"/>
      <c r="DT552" s="240"/>
      <c r="DU552" s="240"/>
      <c r="DV552" s="240"/>
      <c r="DW552" s="240"/>
      <c r="DX552" s="240"/>
      <c r="DY552" s="240"/>
      <c r="DZ552" s="240"/>
      <c r="EA552" s="240"/>
      <c r="EB552" s="237">
        <f t="shared" si="64"/>
        <v>0</v>
      </c>
      <c r="EC552" s="237">
        <f t="shared" si="65"/>
        <v>0</v>
      </c>
      <c r="ED552" s="237">
        <f t="shared" si="66"/>
        <v>0</v>
      </c>
      <c r="EE552" s="237">
        <f t="shared" si="67"/>
        <v>0</v>
      </c>
      <c r="EF552" s="121"/>
      <c r="EG552" s="238">
        <f t="shared" si="68"/>
        <v>0</v>
      </c>
      <c r="EH552" s="121"/>
      <c r="EI552" s="237">
        <f t="shared" si="69"/>
        <v>0</v>
      </c>
      <c r="EJ552" s="121"/>
      <c r="EK552" s="237">
        <f t="shared" si="70"/>
        <v>0</v>
      </c>
      <c r="EL552" s="237"/>
      <c r="EM552" s="5"/>
      <c r="EN552" s="5"/>
      <c r="EO552" s="5"/>
      <c r="EP552" s="5"/>
      <c r="EQ552" s="237">
        <f t="shared" si="71"/>
        <v>0</v>
      </c>
      <c r="ER552" s="239">
        <v>23300</v>
      </c>
      <c r="ES552" s="5">
        <v>7.5</v>
      </c>
    </row>
    <row r="553" spans="1:149" x14ac:dyDescent="0.3">
      <c r="A553" s="124"/>
      <c r="B553" s="121"/>
      <c r="C553" s="121"/>
      <c r="D553" s="121"/>
      <c r="E553" s="121"/>
      <c r="F553" s="121"/>
      <c r="G553" s="121"/>
      <c r="H553" s="121"/>
      <c r="I553" s="121"/>
      <c r="J553" s="121"/>
      <c r="K553" s="121"/>
      <c r="L553" s="121"/>
      <c r="M553" s="121"/>
      <c r="N553" s="121"/>
      <c r="O553" s="235"/>
      <c r="P553" s="121"/>
      <c r="Q553" s="121"/>
      <c r="R553" s="121"/>
      <c r="S553" s="121"/>
      <c r="T553" s="121"/>
      <c r="U553" s="121"/>
      <c r="V553" s="121"/>
      <c r="W553" s="121"/>
      <c r="X553" s="117"/>
      <c r="Y553" s="117"/>
      <c r="Z553" s="121"/>
      <c r="AA553" s="121"/>
      <c r="AB553" s="121"/>
      <c r="AC553" s="121"/>
      <c r="AD553" s="121"/>
      <c r="AE553" s="121"/>
      <c r="AF553" s="121"/>
      <c r="AG553" s="121"/>
      <c r="AH553" s="121"/>
      <c r="AI553" s="121"/>
      <c r="AJ553" s="121"/>
      <c r="AK553" s="121"/>
      <c r="AL553" s="121"/>
      <c r="AM553" s="121"/>
      <c r="AN553" s="121"/>
      <c r="AO553" s="121"/>
      <c r="AP553" s="121"/>
      <c r="AQ553" s="121"/>
      <c r="AR553" s="121"/>
      <c r="AS553" s="121"/>
      <c r="AT553" s="121"/>
      <c r="AU553" s="121"/>
      <c r="AV553" s="121"/>
      <c r="AW553" s="121"/>
      <c r="AX553" s="121"/>
      <c r="AY553" s="121"/>
      <c r="AZ553" s="121"/>
      <c r="BA553" s="121"/>
      <c r="BB553" s="121"/>
      <c r="BC553" s="121"/>
      <c r="BD553" s="121"/>
      <c r="BE553" s="121"/>
      <c r="BF553" s="121"/>
      <c r="BG553" s="121"/>
      <c r="BH553" s="121"/>
      <c r="BI553" s="121"/>
      <c r="BJ553" s="121"/>
      <c r="BK553" s="121"/>
      <c r="BL553" s="121"/>
      <c r="BM553" s="121"/>
      <c r="BN553" s="121"/>
      <c r="BO553" s="121"/>
      <c r="BP553" s="121"/>
      <c r="BQ553" s="121"/>
      <c r="BR553" s="121"/>
      <c r="BS553" s="121"/>
      <c r="BT553" s="121"/>
      <c r="BU553" s="121"/>
      <c r="BV553" s="121"/>
      <c r="BW553" s="121"/>
      <c r="BX553" s="121"/>
      <c r="BY553" s="121"/>
      <c r="BZ553" s="121"/>
      <c r="CA553" s="121"/>
      <c r="CB553" s="121"/>
      <c r="CC553" s="121"/>
      <c r="CD553" s="121"/>
      <c r="CE553" s="121"/>
      <c r="CF553" s="121"/>
      <c r="CG553" s="121"/>
      <c r="CH553" s="121"/>
      <c r="CI553" s="121"/>
      <c r="CJ553" s="121"/>
      <c r="CK553" s="121"/>
      <c r="CL553" s="121"/>
      <c r="CM553" s="121"/>
      <c r="CN553" s="121"/>
      <c r="CO553" s="121"/>
      <c r="CP553" s="121"/>
      <c r="CQ553" s="121"/>
      <c r="CR553" s="121"/>
      <c r="CS553" s="121"/>
      <c r="CT553" s="121"/>
      <c r="CU553" s="121"/>
      <c r="CV553" s="121"/>
      <c r="CW553" s="121"/>
      <c r="CX553" s="121"/>
      <c r="CY553" s="121"/>
      <c r="CZ553" s="121"/>
      <c r="DA553" s="121"/>
      <c r="DB553" s="121"/>
      <c r="DC553" s="121"/>
      <c r="DD553" s="121"/>
      <c r="DE553" s="121"/>
      <c r="DF553" s="121"/>
      <c r="DG553" s="121"/>
      <c r="DH553" s="121"/>
      <c r="DI553" s="121"/>
      <c r="DJ553" s="121"/>
      <c r="DK553" s="121"/>
      <c r="DL553" s="121"/>
      <c r="DM553" s="121"/>
      <c r="DN553" s="121"/>
      <c r="DO553" s="121"/>
      <c r="DP553" s="121"/>
      <c r="DQ553" s="121"/>
      <c r="DR553" s="121"/>
      <c r="DS553" s="121"/>
      <c r="DT553" s="240"/>
      <c r="DU553" s="240"/>
      <c r="DV553" s="240"/>
      <c r="DW553" s="240"/>
      <c r="DX553" s="240"/>
      <c r="DY553" s="240"/>
      <c r="DZ553" s="240"/>
      <c r="EA553" s="240"/>
      <c r="EB553" s="237">
        <f t="shared" si="64"/>
        <v>0</v>
      </c>
      <c r="EC553" s="237">
        <f t="shared" si="65"/>
        <v>0</v>
      </c>
      <c r="ED553" s="237">
        <f t="shared" si="66"/>
        <v>0</v>
      </c>
      <c r="EE553" s="237">
        <f t="shared" si="67"/>
        <v>0</v>
      </c>
      <c r="EF553" s="121"/>
      <c r="EG553" s="238">
        <f t="shared" si="68"/>
        <v>0</v>
      </c>
      <c r="EH553" s="121"/>
      <c r="EI553" s="237">
        <f t="shared" si="69"/>
        <v>0</v>
      </c>
      <c r="EJ553" s="121"/>
      <c r="EK553" s="237">
        <f t="shared" si="70"/>
        <v>0</v>
      </c>
      <c r="EL553" s="237"/>
      <c r="EM553" s="5"/>
      <c r="EN553" s="5"/>
      <c r="EO553" s="5"/>
      <c r="EP553" s="5"/>
      <c r="EQ553" s="237">
        <f t="shared" si="71"/>
        <v>0</v>
      </c>
      <c r="ER553" s="239">
        <v>23300</v>
      </c>
      <c r="ES553" s="5">
        <v>7.5</v>
      </c>
    </row>
    <row r="554" spans="1:149" x14ac:dyDescent="0.3">
      <c r="A554" s="124"/>
      <c r="B554" s="121"/>
      <c r="C554" s="121"/>
      <c r="D554" s="121"/>
      <c r="E554" s="121"/>
      <c r="F554" s="121"/>
      <c r="G554" s="121"/>
      <c r="H554" s="121"/>
      <c r="I554" s="121"/>
      <c r="J554" s="121"/>
      <c r="K554" s="121"/>
      <c r="L554" s="121"/>
      <c r="M554" s="121"/>
      <c r="N554" s="121"/>
      <c r="O554" s="235"/>
      <c r="P554" s="121"/>
      <c r="Q554" s="121"/>
      <c r="R554" s="121"/>
      <c r="S554" s="121"/>
      <c r="T554" s="121"/>
      <c r="U554" s="121"/>
      <c r="V554" s="121"/>
      <c r="W554" s="121"/>
      <c r="X554" s="117"/>
      <c r="Y554" s="117"/>
      <c r="Z554" s="121"/>
      <c r="AA554" s="121"/>
      <c r="AB554" s="121"/>
      <c r="AC554" s="121"/>
      <c r="AD554" s="121"/>
      <c r="AE554" s="121"/>
      <c r="AF554" s="121"/>
      <c r="AG554" s="121"/>
      <c r="AH554" s="121"/>
      <c r="AI554" s="121"/>
      <c r="AJ554" s="121"/>
      <c r="AK554" s="121"/>
      <c r="AL554" s="121"/>
      <c r="AM554" s="121"/>
      <c r="AN554" s="121"/>
      <c r="AO554" s="121"/>
      <c r="AP554" s="121"/>
      <c r="AQ554" s="121"/>
      <c r="AR554" s="121"/>
      <c r="AS554" s="121"/>
      <c r="AT554" s="121"/>
      <c r="AU554" s="121"/>
      <c r="AV554" s="121"/>
      <c r="AW554" s="121"/>
      <c r="AX554" s="121"/>
      <c r="AY554" s="121"/>
      <c r="AZ554" s="121"/>
      <c r="BA554" s="121"/>
      <c r="BB554" s="121"/>
      <c r="BC554" s="121"/>
      <c r="BD554" s="121"/>
      <c r="BE554" s="121"/>
      <c r="BF554" s="121"/>
      <c r="BG554" s="121"/>
      <c r="BH554" s="121"/>
      <c r="BI554" s="121"/>
      <c r="BJ554" s="121"/>
      <c r="BK554" s="121"/>
      <c r="BL554" s="121"/>
      <c r="BM554" s="121"/>
      <c r="BN554" s="121"/>
      <c r="BO554" s="121"/>
      <c r="BP554" s="121"/>
      <c r="BQ554" s="121"/>
      <c r="BR554" s="121"/>
      <c r="BS554" s="121"/>
      <c r="BT554" s="121"/>
      <c r="BU554" s="121"/>
      <c r="BV554" s="121"/>
      <c r="BW554" s="121"/>
      <c r="BX554" s="121"/>
      <c r="BY554" s="121"/>
      <c r="BZ554" s="121"/>
      <c r="CA554" s="121"/>
      <c r="CB554" s="121"/>
      <c r="CC554" s="121"/>
      <c r="CD554" s="121"/>
      <c r="CE554" s="121"/>
      <c r="CF554" s="121"/>
      <c r="CG554" s="121"/>
      <c r="CH554" s="121"/>
      <c r="CI554" s="121"/>
      <c r="CJ554" s="121"/>
      <c r="CK554" s="121"/>
      <c r="CL554" s="121"/>
      <c r="CM554" s="121"/>
      <c r="CN554" s="121"/>
      <c r="CO554" s="121"/>
      <c r="CP554" s="121"/>
      <c r="CQ554" s="121"/>
      <c r="CR554" s="121"/>
      <c r="CS554" s="121"/>
      <c r="CT554" s="121"/>
      <c r="CU554" s="121"/>
      <c r="CV554" s="121"/>
      <c r="CW554" s="121"/>
      <c r="CX554" s="121"/>
      <c r="CY554" s="121"/>
      <c r="CZ554" s="121"/>
      <c r="DA554" s="121"/>
      <c r="DB554" s="121"/>
      <c r="DC554" s="121"/>
      <c r="DD554" s="121"/>
      <c r="DE554" s="121"/>
      <c r="DF554" s="121"/>
      <c r="DG554" s="121"/>
      <c r="DH554" s="121"/>
      <c r="DI554" s="121"/>
      <c r="DJ554" s="121"/>
      <c r="DK554" s="121"/>
      <c r="DL554" s="121"/>
      <c r="DM554" s="121"/>
      <c r="DN554" s="121"/>
      <c r="DO554" s="121"/>
      <c r="DP554" s="121"/>
      <c r="DQ554" s="121"/>
      <c r="DR554" s="121"/>
      <c r="DS554" s="121"/>
      <c r="DT554" s="240"/>
      <c r="DU554" s="240"/>
      <c r="DV554" s="240"/>
      <c r="DW554" s="240"/>
      <c r="DX554" s="240"/>
      <c r="DY554" s="240"/>
      <c r="DZ554" s="240"/>
      <c r="EA554" s="240"/>
      <c r="EB554" s="237">
        <f t="shared" si="64"/>
        <v>0</v>
      </c>
      <c r="EC554" s="237">
        <f t="shared" si="65"/>
        <v>0</v>
      </c>
      <c r="ED554" s="237">
        <f t="shared" si="66"/>
        <v>0</v>
      </c>
      <c r="EE554" s="237">
        <f t="shared" si="67"/>
        <v>0</v>
      </c>
      <c r="EF554" s="121"/>
      <c r="EG554" s="238">
        <f t="shared" si="68"/>
        <v>0</v>
      </c>
      <c r="EH554" s="121"/>
      <c r="EI554" s="237">
        <f t="shared" si="69"/>
        <v>0</v>
      </c>
      <c r="EJ554" s="121"/>
      <c r="EK554" s="237">
        <f t="shared" si="70"/>
        <v>0</v>
      </c>
      <c r="EL554" s="237"/>
      <c r="EM554" s="5"/>
      <c r="EN554" s="5"/>
      <c r="EO554" s="5"/>
      <c r="EP554" s="5"/>
      <c r="EQ554" s="237">
        <f t="shared" si="71"/>
        <v>0</v>
      </c>
      <c r="ER554" s="239">
        <v>23300</v>
      </c>
      <c r="ES554" s="5">
        <v>7.5</v>
      </c>
    </row>
    <row r="555" spans="1:149" x14ac:dyDescent="0.3">
      <c r="A555" s="124"/>
      <c r="B555" s="121"/>
      <c r="C555" s="121"/>
      <c r="D555" s="121"/>
      <c r="E555" s="121"/>
      <c r="F555" s="121"/>
      <c r="G555" s="121"/>
      <c r="H555" s="121"/>
      <c r="I555" s="121"/>
      <c r="J555" s="121"/>
      <c r="K555" s="121"/>
      <c r="L555" s="121"/>
      <c r="M555" s="121"/>
      <c r="N555" s="121"/>
      <c r="O555" s="235"/>
      <c r="P555" s="121"/>
      <c r="Q555" s="121"/>
      <c r="R555" s="121"/>
      <c r="S555" s="121"/>
      <c r="T555" s="121"/>
      <c r="U555" s="121"/>
      <c r="V555" s="121"/>
      <c r="W555" s="121"/>
      <c r="X555" s="117"/>
      <c r="Y555" s="117"/>
      <c r="Z555" s="121"/>
      <c r="AA555" s="121"/>
      <c r="AB555" s="121"/>
      <c r="AC555" s="121"/>
      <c r="AD555" s="121"/>
      <c r="AE555" s="121"/>
      <c r="AF555" s="121"/>
      <c r="AG555" s="121"/>
      <c r="AH555" s="121"/>
      <c r="AI555" s="121"/>
      <c r="AJ555" s="121"/>
      <c r="AK555" s="121"/>
      <c r="AL555" s="121"/>
      <c r="AM555" s="121"/>
      <c r="AN555" s="121"/>
      <c r="AO555" s="121"/>
      <c r="AP555" s="121"/>
      <c r="AQ555" s="121"/>
      <c r="AR555" s="121"/>
      <c r="AS555" s="121"/>
      <c r="AT555" s="121"/>
      <c r="AU555" s="121"/>
      <c r="AV555" s="121"/>
      <c r="AW555" s="121"/>
      <c r="AX555" s="121"/>
      <c r="AY555" s="121"/>
      <c r="AZ555" s="121"/>
      <c r="BA555" s="121"/>
      <c r="BB555" s="121"/>
      <c r="BC555" s="121"/>
      <c r="BD555" s="121"/>
      <c r="BE555" s="121"/>
      <c r="BF555" s="121"/>
      <c r="BG555" s="121"/>
      <c r="BH555" s="121"/>
      <c r="BI555" s="121"/>
      <c r="BJ555" s="121"/>
      <c r="BK555" s="121"/>
      <c r="BL555" s="121"/>
      <c r="BM555" s="121"/>
      <c r="BN555" s="121"/>
      <c r="BO555" s="121"/>
      <c r="BP555" s="121"/>
      <c r="BQ555" s="121"/>
      <c r="BR555" s="121"/>
      <c r="BS555" s="121"/>
      <c r="BT555" s="121"/>
      <c r="BU555" s="121"/>
      <c r="BV555" s="121"/>
      <c r="BW555" s="121"/>
      <c r="BX555" s="121"/>
      <c r="BY555" s="121"/>
      <c r="BZ555" s="121"/>
      <c r="CA555" s="121"/>
      <c r="CB555" s="121"/>
      <c r="CC555" s="121"/>
      <c r="CD555" s="121"/>
      <c r="CE555" s="121"/>
      <c r="CF555" s="121"/>
      <c r="CG555" s="121"/>
      <c r="CH555" s="121"/>
      <c r="CI555" s="121"/>
      <c r="CJ555" s="121"/>
      <c r="CK555" s="121"/>
      <c r="CL555" s="121"/>
      <c r="CM555" s="121"/>
      <c r="CN555" s="121"/>
      <c r="CO555" s="121"/>
      <c r="CP555" s="121"/>
      <c r="CQ555" s="121"/>
      <c r="CR555" s="121"/>
      <c r="CS555" s="121"/>
      <c r="CT555" s="121"/>
      <c r="CU555" s="121"/>
      <c r="CV555" s="121"/>
      <c r="CW555" s="121"/>
      <c r="CX555" s="121"/>
      <c r="CY555" s="121"/>
      <c r="CZ555" s="121"/>
      <c r="DA555" s="121"/>
      <c r="DB555" s="121"/>
      <c r="DC555" s="121"/>
      <c r="DD555" s="121"/>
      <c r="DE555" s="121"/>
      <c r="DF555" s="121"/>
      <c r="DG555" s="121"/>
      <c r="DH555" s="121"/>
      <c r="DI555" s="121"/>
      <c r="DJ555" s="121"/>
      <c r="DK555" s="121"/>
      <c r="DL555" s="121"/>
      <c r="DM555" s="121"/>
      <c r="DN555" s="121"/>
      <c r="DO555" s="121"/>
      <c r="DP555" s="121"/>
      <c r="DQ555" s="121"/>
      <c r="DR555" s="121"/>
      <c r="DS555" s="121"/>
      <c r="DT555" s="240"/>
      <c r="DU555" s="240"/>
      <c r="DV555" s="240"/>
      <c r="DW555" s="240"/>
      <c r="DX555" s="240"/>
      <c r="DY555" s="240"/>
      <c r="DZ555" s="240"/>
      <c r="EA555" s="240"/>
      <c r="EB555" s="237">
        <f t="shared" si="64"/>
        <v>0</v>
      </c>
      <c r="EC555" s="237">
        <f t="shared" si="65"/>
        <v>0</v>
      </c>
      <c r="ED555" s="237">
        <f t="shared" si="66"/>
        <v>0</v>
      </c>
      <c r="EE555" s="237">
        <f t="shared" si="67"/>
        <v>0</v>
      </c>
      <c r="EF555" s="121"/>
      <c r="EG555" s="238">
        <f t="shared" si="68"/>
        <v>0</v>
      </c>
      <c r="EH555" s="121"/>
      <c r="EI555" s="237">
        <f t="shared" si="69"/>
        <v>0</v>
      </c>
      <c r="EJ555" s="121"/>
      <c r="EK555" s="237">
        <f t="shared" si="70"/>
        <v>0</v>
      </c>
      <c r="EL555" s="237"/>
      <c r="EM555" s="5"/>
      <c r="EN555" s="5"/>
      <c r="EO555" s="5"/>
      <c r="EP555" s="5"/>
      <c r="EQ555" s="237">
        <f t="shared" si="71"/>
        <v>0</v>
      </c>
      <c r="ER555" s="239">
        <v>23300</v>
      </c>
      <c r="ES555" s="5">
        <v>7.5</v>
      </c>
    </row>
    <row r="556" spans="1:149" x14ac:dyDescent="0.3">
      <c r="A556" s="124"/>
      <c r="B556" s="121"/>
      <c r="C556" s="121"/>
      <c r="D556" s="121"/>
      <c r="E556" s="121"/>
      <c r="F556" s="121"/>
      <c r="G556" s="121"/>
      <c r="H556" s="121"/>
      <c r="I556" s="121"/>
      <c r="J556" s="121"/>
      <c r="K556" s="121"/>
      <c r="L556" s="121"/>
      <c r="M556" s="121"/>
      <c r="N556" s="121"/>
      <c r="O556" s="235"/>
      <c r="P556" s="121"/>
      <c r="Q556" s="121"/>
      <c r="R556" s="121"/>
      <c r="S556" s="121"/>
      <c r="T556" s="121"/>
      <c r="U556" s="121"/>
      <c r="V556" s="121"/>
      <c r="W556" s="121"/>
      <c r="X556" s="117"/>
      <c r="Y556" s="117"/>
      <c r="Z556" s="121"/>
      <c r="AA556" s="121"/>
      <c r="AB556" s="121"/>
      <c r="AC556" s="121"/>
      <c r="AD556" s="121"/>
      <c r="AE556" s="121"/>
      <c r="AF556" s="121"/>
      <c r="AG556" s="121"/>
      <c r="AH556" s="121"/>
      <c r="AI556" s="121"/>
      <c r="AJ556" s="121"/>
      <c r="AK556" s="121"/>
      <c r="AL556" s="121"/>
      <c r="AM556" s="121"/>
      <c r="AN556" s="121"/>
      <c r="AO556" s="121"/>
      <c r="AP556" s="121"/>
      <c r="AQ556" s="121"/>
      <c r="AR556" s="121"/>
      <c r="AS556" s="121"/>
      <c r="AT556" s="121"/>
      <c r="AU556" s="121"/>
      <c r="AV556" s="121"/>
      <c r="AW556" s="121"/>
      <c r="AX556" s="121"/>
      <c r="AY556" s="121"/>
      <c r="AZ556" s="121"/>
      <c r="BA556" s="121"/>
      <c r="BB556" s="121"/>
      <c r="BC556" s="121"/>
      <c r="BD556" s="121"/>
      <c r="BE556" s="121"/>
      <c r="BF556" s="121"/>
      <c r="BG556" s="121"/>
      <c r="BH556" s="121"/>
      <c r="BI556" s="121"/>
      <c r="BJ556" s="121"/>
      <c r="BK556" s="121"/>
      <c r="BL556" s="121"/>
      <c r="BM556" s="121"/>
      <c r="BN556" s="121"/>
      <c r="BO556" s="121"/>
      <c r="BP556" s="121"/>
      <c r="BQ556" s="121"/>
      <c r="BR556" s="121"/>
      <c r="BS556" s="121"/>
      <c r="BT556" s="121"/>
      <c r="BU556" s="121"/>
      <c r="BV556" s="121"/>
      <c r="BW556" s="121"/>
      <c r="BX556" s="121"/>
      <c r="BY556" s="121"/>
      <c r="BZ556" s="121"/>
      <c r="CA556" s="121"/>
      <c r="CB556" s="121"/>
      <c r="CC556" s="121"/>
      <c r="CD556" s="121"/>
      <c r="CE556" s="121"/>
      <c r="CF556" s="121"/>
      <c r="CG556" s="121"/>
      <c r="CH556" s="121"/>
      <c r="CI556" s="121"/>
      <c r="CJ556" s="121"/>
      <c r="CK556" s="121"/>
      <c r="CL556" s="121"/>
      <c r="CM556" s="121"/>
      <c r="CN556" s="121"/>
      <c r="CO556" s="121"/>
      <c r="CP556" s="121"/>
      <c r="CQ556" s="121"/>
      <c r="CR556" s="121"/>
      <c r="CS556" s="121"/>
      <c r="CT556" s="121"/>
      <c r="CU556" s="121"/>
      <c r="CV556" s="121"/>
      <c r="CW556" s="121"/>
      <c r="CX556" s="121"/>
      <c r="CY556" s="121"/>
      <c r="CZ556" s="121"/>
      <c r="DA556" s="121"/>
      <c r="DB556" s="121"/>
      <c r="DC556" s="121"/>
      <c r="DD556" s="121"/>
      <c r="DE556" s="121"/>
      <c r="DF556" s="121"/>
      <c r="DG556" s="121"/>
      <c r="DH556" s="121"/>
      <c r="DI556" s="121"/>
      <c r="DJ556" s="121"/>
      <c r="DK556" s="121"/>
      <c r="DL556" s="121"/>
      <c r="DM556" s="121"/>
      <c r="DN556" s="121"/>
      <c r="DO556" s="121"/>
      <c r="DP556" s="121"/>
      <c r="DQ556" s="121"/>
      <c r="DR556" s="121"/>
      <c r="DS556" s="121"/>
      <c r="DT556" s="240"/>
      <c r="DU556" s="240"/>
      <c r="DV556" s="240"/>
      <c r="DW556" s="240"/>
      <c r="DX556" s="240"/>
      <c r="DY556" s="240"/>
      <c r="DZ556" s="240"/>
      <c r="EA556" s="240"/>
      <c r="EB556" s="237">
        <f t="shared" si="64"/>
        <v>0</v>
      </c>
      <c r="EC556" s="237">
        <f t="shared" si="65"/>
        <v>0</v>
      </c>
      <c r="ED556" s="237">
        <f t="shared" si="66"/>
        <v>0</v>
      </c>
      <c r="EE556" s="237">
        <f t="shared" si="67"/>
        <v>0</v>
      </c>
      <c r="EF556" s="121"/>
      <c r="EG556" s="238">
        <f t="shared" si="68"/>
        <v>0</v>
      </c>
      <c r="EH556" s="121"/>
      <c r="EI556" s="237">
        <f t="shared" si="69"/>
        <v>0</v>
      </c>
      <c r="EJ556" s="121"/>
      <c r="EK556" s="237">
        <f t="shared" si="70"/>
        <v>0</v>
      </c>
      <c r="EL556" s="237"/>
      <c r="EM556" s="5"/>
      <c r="EN556" s="5"/>
      <c r="EO556" s="5"/>
      <c r="EP556" s="5"/>
      <c r="EQ556" s="237">
        <f t="shared" si="71"/>
        <v>0</v>
      </c>
      <c r="ER556" s="239">
        <v>23300</v>
      </c>
      <c r="ES556" s="5">
        <v>7.5</v>
      </c>
    </row>
    <row r="557" spans="1:149" x14ac:dyDescent="0.3">
      <c r="A557" s="124"/>
      <c r="B557" s="121"/>
      <c r="C557" s="121"/>
      <c r="D557" s="121"/>
      <c r="E557" s="121"/>
      <c r="F557" s="121"/>
      <c r="G557" s="121"/>
      <c r="H557" s="121"/>
      <c r="I557" s="121"/>
      <c r="J557" s="121"/>
      <c r="K557" s="121"/>
      <c r="L557" s="121"/>
      <c r="M557" s="121"/>
      <c r="N557" s="121"/>
      <c r="O557" s="235"/>
      <c r="P557" s="121"/>
      <c r="Q557" s="121"/>
      <c r="R557" s="121"/>
      <c r="S557" s="121"/>
      <c r="T557" s="121"/>
      <c r="U557" s="121"/>
      <c r="V557" s="121"/>
      <c r="W557" s="121"/>
      <c r="X557" s="117"/>
      <c r="Y557" s="117"/>
      <c r="Z557" s="121"/>
      <c r="AA557" s="121"/>
      <c r="AB557" s="121"/>
      <c r="AC557" s="121"/>
      <c r="AD557" s="121"/>
      <c r="AE557" s="121"/>
      <c r="AF557" s="121"/>
      <c r="AG557" s="121"/>
      <c r="AH557" s="121"/>
      <c r="AI557" s="121"/>
      <c r="AJ557" s="121"/>
      <c r="AK557" s="121"/>
      <c r="AL557" s="121"/>
      <c r="AM557" s="121"/>
      <c r="AN557" s="121"/>
      <c r="AO557" s="121"/>
      <c r="AP557" s="121"/>
      <c r="AQ557" s="121"/>
      <c r="AR557" s="121"/>
      <c r="AS557" s="121"/>
      <c r="AT557" s="121"/>
      <c r="AU557" s="121"/>
      <c r="AV557" s="121"/>
      <c r="AW557" s="121"/>
      <c r="AX557" s="121"/>
      <c r="AY557" s="121"/>
      <c r="AZ557" s="121"/>
      <c r="BA557" s="121"/>
      <c r="BB557" s="121"/>
      <c r="BC557" s="121"/>
      <c r="BD557" s="121"/>
      <c r="BE557" s="121"/>
      <c r="BF557" s="121"/>
      <c r="BG557" s="121"/>
      <c r="BH557" s="121"/>
      <c r="BI557" s="121"/>
      <c r="BJ557" s="121"/>
      <c r="BK557" s="121"/>
      <c r="BL557" s="121"/>
      <c r="BM557" s="121"/>
      <c r="BN557" s="121"/>
      <c r="BO557" s="121"/>
      <c r="BP557" s="121"/>
      <c r="BQ557" s="121"/>
      <c r="BR557" s="121"/>
      <c r="BS557" s="121"/>
      <c r="BT557" s="121"/>
      <c r="BU557" s="121"/>
      <c r="BV557" s="121"/>
      <c r="BW557" s="121"/>
      <c r="BX557" s="121"/>
      <c r="BY557" s="121"/>
      <c r="BZ557" s="121"/>
      <c r="CA557" s="121"/>
      <c r="CB557" s="121"/>
      <c r="CC557" s="121"/>
      <c r="CD557" s="121"/>
      <c r="CE557" s="121"/>
      <c r="CF557" s="121"/>
      <c r="CG557" s="121"/>
      <c r="CH557" s="121"/>
      <c r="CI557" s="121"/>
      <c r="CJ557" s="121"/>
      <c r="CK557" s="121"/>
      <c r="CL557" s="121"/>
      <c r="CM557" s="121"/>
      <c r="CN557" s="121"/>
      <c r="CO557" s="121"/>
      <c r="CP557" s="121"/>
      <c r="CQ557" s="121"/>
      <c r="CR557" s="121"/>
      <c r="CS557" s="121"/>
      <c r="CT557" s="121"/>
      <c r="CU557" s="121"/>
      <c r="CV557" s="121"/>
      <c r="CW557" s="121"/>
      <c r="CX557" s="121"/>
      <c r="CY557" s="121"/>
      <c r="CZ557" s="121"/>
      <c r="DA557" s="121"/>
      <c r="DB557" s="121"/>
      <c r="DC557" s="121"/>
      <c r="DD557" s="121"/>
      <c r="DE557" s="121"/>
      <c r="DF557" s="121"/>
      <c r="DG557" s="121"/>
      <c r="DH557" s="121"/>
      <c r="DI557" s="121"/>
      <c r="DJ557" s="121"/>
      <c r="DK557" s="121"/>
      <c r="DL557" s="121"/>
      <c r="DM557" s="121"/>
      <c r="DN557" s="121"/>
      <c r="DO557" s="121"/>
      <c r="DP557" s="121"/>
      <c r="DQ557" s="121"/>
      <c r="DR557" s="121"/>
      <c r="DS557" s="121"/>
      <c r="DT557" s="240"/>
      <c r="DU557" s="240"/>
      <c r="DV557" s="240"/>
      <c r="DW557" s="240"/>
      <c r="DX557" s="240"/>
      <c r="DY557" s="240"/>
      <c r="DZ557" s="240"/>
      <c r="EA557" s="240"/>
      <c r="EB557" s="237">
        <f t="shared" si="64"/>
        <v>0</v>
      </c>
      <c r="EC557" s="237">
        <f t="shared" si="65"/>
        <v>0</v>
      </c>
      <c r="ED557" s="237">
        <f t="shared" si="66"/>
        <v>0</v>
      </c>
      <c r="EE557" s="237">
        <f t="shared" si="67"/>
        <v>0</v>
      </c>
      <c r="EF557" s="121"/>
      <c r="EG557" s="238">
        <f t="shared" si="68"/>
        <v>0</v>
      </c>
      <c r="EH557" s="121"/>
      <c r="EI557" s="237">
        <f t="shared" si="69"/>
        <v>0</v>
      </c>
      <c r="EJ557" s="121"/>
      <c r="EK557" s="237">
        <f t="shared" si="70"/>
        <v>0</v>
      </c>
      <c r="EL557" s="237"/>
      <c r="EM557" s="5"/>
      <c r="EN557" s="5"/>
      <c r="EO557" s="5"/>
      <c r="EP557" s="5"/>
      <c r="EQ557" s="237">
        <f t="shared" si="71"/>
        <v>0</v>
      </c>
      <c r="ER557" s="239">
        <v>23300</v>
      </c>
      <c r="ES557" s="5">
        <v>7.5</v>
      </c>
    </row>
    <row r="558" spans="1:149" x14ac:dyDescent="0.3">
      <c r="A558" s="124"/>
      <c r="B558" s="121"/>
      <c r="C558" s="121"/>
      <c r="D558" s="121"/>
      <c r="E558" s="121"/>
      <c r="F558" s="121"/>
      <c r="G558" s="121"/>
      <c r="H558" s="121"/>
      <c r="I558" s="121"/>
      <c r="J558" s="121"/>
      <c r="K558" s="121"/>
      <c r="L558" s="121"/>
      <c r="M558" s="121"/>
      <c r="N558" s="121"/>
      <c r="O558" s="235"/>
      <c r="P558" s="121"/>
      <c r="Q558" s="121"/>
      <c r="R558" s="121"/>
      <c r="S558" s="121"/>
      <c r="T558" s="121"/>
      <c r="U558" s="121"/>
      <c r="V558" s="121"/>
      <c r="W558" s="121"/>
      <c r="X558" s="117"/>
      <c r="Y558" s="117"/>
      <c r="Z558" s="121"/>
      <c r="AA558" s="121"/>
      <c r="AB558" s="121"/>
      <c r="AC558" s="121"/>
      <c r="AD558" s="121"/>
      <c r="AE558" s="121"/>
      <c r="AF558" s="121"/>
      <c r="AG558" s="121"/>
      <c r="AH558" s="121"/>
      <c r="AI558" s="121"/>
      <c r="AJ558" s="121"/>
      <c r="AK558" s="121"/>
      <c r="AL558" s="121"/>
      <c r="AM558" s="121"/>
      <c r="AN558" s="121"/>
      <c r="AO558" s="121"/>
      <c r="AP558" s="121"/>
      <c r="AQ558" s="121"/>
      <c r="AR558" s="121"/>
      <c r="AS558" s="121"/>
      <c r="AT558" s="121"/>
      <c r="AU558" s="121"/>
      <c r="AV558" s="121"/>
      <c r="AW558" s="121"/>
      <c r="AX558" s="121"/>
      <c r="AY558" s="121"/>
      <c r="AZ558" s="121"/>
      <c r="BA558" s="121"/>
      <c r="BB558" s="121"/>
      <c r="BC558" s="121"/>
      <c r="BD558" s="121"/>
      <c r="BE558" s="121"/>
      <c r="BF558" s="121"/>
      <c r="BG558" s="121"/>
      <c r="BH558" s="121"/>
      <c r="BI558" s="121"/>
      <c r="BJ558" s="121"/>
      <c r="BK558" s="121"/>
      <c r="BL558" s="121"/>
      <c r="BM558" s="121"/>
      <c r="BN558" s="121"/>
      <c r="BO558" s="121"/>
      <c r="BP558" s="121"/>
      <c r="BQ558" s="121"/>
      <c r="BR558" s="121"/>
      <c r="BS558" s="121"/>
      <c r="BT558" s="121"/>
      <c r="BU558" s="121"/>
      <c r="BV558" s="121"/>
      <c r="BW558" s="121"/>
      <c r="BX558" s="121"/>
      <c r="BY558" s="121"/>
      <c r="BZ558" s="121"/>
      <c r="CA558" s="121"/>
      <c r="CB558" s="121"/>
      <c r="CC558" s="121"/>
      <c r="CD558" s="121"/>
      <c r="CE558" s="121"/>
      <c r="CF558" s="121"/>
      <c r="CG558" s="121"/>
      <c r="CH558" s="121"/>
      <c r="CI558" s="121"/>
      <c r="CJ558" s="121"/>
      <c r="CK558" s="121"/>
      <c r="CL558" s="121"/>
      <c r="CM558" s="121"/>
      <c r="CN558" s="121"/>
      <c r="CO558" s="121"/>
      <c r="CP558" s="121"/>
      <c r="CQ558" s="121"/>
      <c r="CR558" s="121"/>
      <c r="CS558" s="121"/>
      <c r="CT558" s="121"/>
      <c r="CU558" s="121"/>
      <c r="CV558" s="121"/>
      <c r="CW558" s="121"/>
      <c r="CX558" s="121"/>
      <c r="CY558" s="121"/>
      <c r="CZ558" s="121"/>
      <c r="DA558" s="121"/>
      <c r="DB558" s="121"/>
      <c r="DC558" s="121"/>
      <c r="DD558" s="121"/>
      <c r="DE558" s="121"/>
      <c r="DF558" s="121"/>
      <c r="DG558" s="121"/>
      <c r="DH558" s="121"/>
      <c r="DI558" s="121"/>
      <c r="DJ558" s="121"/>
      <c r="DK558" s="121"/>
      <c r="DL558" s="121"/>
      <c r="DM558" s="121"/>
      <c r="DN558" s="121"/>
      <c r="DO558" s="121"/>
      <c r="DP558" s="121"/>
      <c r="DQ558" s="121"/>
      <c r="DR558" s="121"/>
      <c r="DS558" s="121"/>
      <c r="DT558" s="240"/>
      <c r="DU558" s="240"/>
      <c r="DV558" s="240"/>
      <c r="DW558" s="240"/>
      <c r="DX558" s="240"/>
      <c r="DY558" s="240"/>
      <c r="DZ558" s="240"/>
      <c r="EA558" s="240"/>
      <c r="EB558" s="237">
        <f t="shared" si="64"/>
        <v>0</v>
      </c>
      <c r="EC558" s="237">
        <f t="shared" si="65"/>
        <v>0</v>
      </c>
      <c r="ED558" s="237">
        <f t="shared" si="66"/>
        <v>0</v>
      </c>
      <c r="EE558" s="237">
        <f t="shared" si="67"/>
        <v>0</v>
      </c>
      <c r="EF558" s="121"/>
      <c r="EG558" s="238">
        <f t="shared" si="68"/>
        <v>0</v>
      </c>
      <c r="EH558" s="121"/>
      <c r="EI558" s="237">
        <f t="shared" si="69"/>
        <v>0</v>
      </c>
      <c r="EJ558" s="121"/>
      <c r="EK558" s="237">
        <f t="shared" si="70"/>
        <v>0</v>
      </c>
      <c r="EL558" s="237"/>
      <c r="EM558" s="5"/>
      <c r="EN558" s="5"/>
      <c r="EO558" s="5"/>
      <c r="EP558" s="5"/>
      <c r="EQ558" s="237">
        <f t="shared" si="71"/>
        <v>0</v>
      </c>
      <c r="ER558" s="239">
        <v>23300</v>
      </c>
      <c r="ES558" s="5">
        <v>7.5</v>
      </c>
    </row>
    <row r="559" spans="1:149" x14ac:dyDescent="0.3">
      <c r="A559" s="124"/>
      <c r="B559" s="121"/>
      <c r="C559" s="121"/>
      <c r="D559" s="121"/>
      <c r="E559" s="121"/>
      <c r="F559" s="121"/>
      <c r="G559" s="121"/>
      <c r="H559" s="121"/>
      <c r="I559" s="121"/>
      <c r="J559" s="121"/>
      <c r="K559" s="121"/>
      <c r="L559" s="121"/>
      <c r="M559" s="121"/>
      <c r="N559" s="121"/>
      <c r="O559" s="235"/>
      <c r="P559" s="121"/>
      <c r="Q559" s="121"/>
      <c r="R559" s="121"/>
      <c r="S559" s="121"/>
      <c r="T559" s="121"/>
      <c r="U559" s="121"/>
      <c r="V559" s="121"/>
      <c r="W559" s="121"/>
      <c r="X559" s="117"/>
      <c r="Y559" s="117"/>
      <c r="Z559" s="121"/>
      <c r="AA559" s="121"/>
      <c r="AB559" s="121"/>
      <c r="AC559" s="121"/>
      <c r="AD559" s="121"/>
      <c r="AE559" s="121"/>
      <c r="AF559" s="121"/>
      <c r="AG559" s="121"/>
      <c r="AH559" s="121"/>
      <c r="AI559" s="121"/>
      <c r="AJ559" s="121"/>
      <c r="AK559" s="121"/>
      <c r="AL559" s="121"/>
      <c r="AM559" s="121"/>
      <c r="AN559" s="121"/>
      <c r="AO559" s="121"/>
      <c r="AP559" s="121"/>
      <c r="AQ559" s="121"/>
      <c r="AR559" s="121"/>
      <c r="AS559" s="121"/>
      <c r="AT559" s="121"/>
      <c r="AU559" s="121"/>
      <c r="AV559" s="121"/>
      <c r="AW559" s="121"/>
      <c r="AX559" s="121"/>
      <c r="AY559" s="121"/>
      <c r="AZ559" s="121"/>
      <c r="BA559" s="121"/>
      <c r="BB559" s="121"/>
      <c r="BC559" s="121"/>
      <c r="BD559" s="121"/>
      <c r="BE559" s="121"/>
      <c r="BF559" s="121"/>
      <c r="BG559" s="121"/>
      <c r="BH559" s="121"/>
      <c r="BI559" s="121"/>
      <c r="BJ559" s="121"/>
      <c r="BK559" s="121"/>
      <c r="BL559" s="121"/>
      <c r="BM559" s="121"/>
      <c r="BN559" s="121"/>
      <c r="BO559" s="121"/>
      <c r="BP559" s="121"/>
      <c r="BQ559" s="121"/>
      <c r="BR559" s="121"/>
      <c r="BS559" s="121"/>
      <c r="BT559" s="121"/>
      <c r="BU559" s="121"/>
      <c r="BV559" s="121"/>
      <c r="BW559" s="121"/>
      <c r="BX559" s="121"/>
      <c r="BY559" s="121"/>
      <c r="BZ559" s="121"/>
      <c r="CA559" s="121"/>
      <c r="CB559" s="121"/>
      <c r="CC559" s="121"/>
      <c r="CD559" s="121"/>
      <c r="CE559" s="121"/>
      <c r="CF559" s="121"/>
      <c r="CG559" s="121"/>
      <c r="CH559" s="121"/>
      <c r="CI559" s="121"/>
      <c r="CJ559" s="121"/>
      <c r="CK559" s="121"/>
      <c r="CL559" s="121"/>
      <c r="CM559" s="121"/>
      <c r="CN559" s="121"/>
      <c r="CO559" s="121"/>
      <c r="CP559" s="121"/>
      <c r="CQ559" s="121"/>
      <c r="CR559" s="121"/>
      <c r="CS559" s="121"/>
      <c r="CT559" s="121"/>
      <c r="CU559" s="121"/>
      <c r="CV559" s="121"/>
      <c r="CW559" s="121"/>
      <c r="CX559" s="121"/>
      <c r="CY559" s="121"/>
      <c r="CZ559" s="121"/>
      <c r="DA559" s="121"/>
      <c r="DB559" s="121"/>
      <c r="DC559" s="121"/>
      <c r="DD559" s="121"/>
      <c r="DE559" s="121"/>
      <c r="DF559" s="121"/>
      <c r="DG559" s="121"/>
      <c r="DH559" s="121"/>
      <c r="DI559" s="121"/>
      <c r="DJ559" s="121"/>
      <c r="DK559" s="121"/>
      <c r="DL559" s="121"/>
      <c r="DM559" s="121"/>
      <c r="DN559" s="121"/>
      <c r="DO559" s="121"/>
      <c r="DP559" s="121"/>
      <c r="DQ559" s="121"/>
      <c r="DR559" s="121"/>
      <c r="DS559" s="121"/>
      <c r="DT559" s="240"/>
      <c r="DU559" s="240"/>
      <c r="DV559" s="240"/>
      <c r="DW559" s="240"/>
      <c r="DX559" s="240"/>
      <c r="DY559" s="240"/>
      <c r="DZ559" s="240"/>
      <c r="EA559" s="240"/>
      <c r="EB559" s="237">
        <f t="shared" si="64"/>
        <v>0</v>
      </c>
      <c r="EC559" s="237">
        <f t="shared" si="65"/>
        <v>0</v>
      </c>
      <c r="ED559" s="237">
        <f t="shared" si="66"/>
        <v>0</v>
      </c>
      <c r="EE559" s="237">
        <f t="shared" si="67"/>
        <v>0</v>
      </c>
      <c r="EF559" s="121"/>
      <c r="EG559" s="238">
        <f t="shared" si="68"/>
        <v>0</v>
      </c>
      <c r="EH559" s="121"/>
      <c r="EI559" s="237">
        <f t="shared" si="69"/>
        <v>0</v>
      </c>
      <c r="EJ559" s="121"/>
      <c r="EK559" s="237">
        <f t="shared" si="70"/>
        <v>0</v>
      </c>
      <c r="EL559" s="237"/>
      <c r="EM559" s="5"/>
      <c r="EN559" s="5"/>
      <c r="EO559" s="5"/>
      <c r="EP559" s="5"/>
      <c r="EQ559" s="237">
        <f t="shared" si="71"/>
        <v>0</v>
      </c>
      <c r="ER559" s="239">
        <v>23300</v>
      </c>
      <c r="ES559" s="5">
        <v>7.5</v>
      </c>
    </row>
    <row r="560" spans="1:149" x14ac:dyDescent="0.3">
      <c r="A560" s="124"/>
      <c r="B560" s="121"/>
      <c r="C560" s="121"/>
      <c r="D560" s="121"/>
      <c r="E560" s="121"/>
      <c r="F560" s="121"/>
      <c r="G560" s="121"/>
      <c r="H560" s="121"/>
      <c r="I560" s="121"/>
      <c r="J560" s="121"/>
      <c r="K560" s="121"/>
      <c r="L560" s="121"/>
      <c r="M560" s="121"/>
      <c r="N560" s="121"/>
      <c r="O560" s="235"/>
      <c r="P560" s="121"/>
      <c r="Q560" s="121"/>
      <c r="R560" s="121"/>
      <c r="S560" s="121"/>
      <c r="T560" s="121"/>
      <c r="U560" s="121"/>
      <c r="V560" s="121"/>
      <c r="W560" s="121"/>
      <c r="X560" s="117"/>
      <c r="Y560" s="117"/>
      <c r="Z560" s="121"/>
      <c r="AA560" s="121"/>
      <c r="AB560" s="121"/>
      <c r="AC560" s="121"/>
      <c r="AD560" s="121"/>
      <c r="AE560" s="121"/>
      <c r="AF560" s="121"/>
      <c r="AG560" s="121"/>
      <c r="AH560" s="121"/>
      <c r="AI560" s="121"/>
      <c r="AJ560" s="121"/>
      <c r="AK560" s="121"/>
      <c r="AL560" s="121"/>
      <c r="AM560" s="121"/>
      <c r="AN560" s="121"/>
      <c r="AO560" s="121"/>
      <c r="AP560" s="121"/>
      <c r="AQ560" s="121"/>
      <c r="AR560" s="121"/>
      <c r="AS560" s="121"/>
      <c r="AT560" s="121"/>
      <c r="AU560" s="121"/>
      <c r="AV560" s="121"/>
      <c r="AW560" s="121"/>
      <c r="AX560" s="121"/>
      <c r="AY560" s="121"/>
      <c r="AZ560" s="121"/>
      <c r="BA560" s="121"/>
      <c r="BB560" s="121"/>
      <c r="BC560" s="121"/>
      <c r="BD560" s="121"/>
      <c r="BE560" s="121"/>
      <c r="BF560" s="121"/>
      <c r="BG560" s="121"/>
      <c r="BH560" s="121"/>
      <c r="BI560" s="121"/>
      <c r="BJ560" s="121"/>
      <c r="BK560" s="121"/>
      <c r="BL560" s="121"/>
      <c r="BM560" s="121"/>
      <c r="BN560" s="121"/>
      <c r="BO560" s="121"/>
      <c r="BP560" s="121"/>
      <c r="BQ560" s="121"/>
      <c r="BR560" s="121"/>
      <c r="BS560" s="121"/>
      <c r="BT560" s="121"/>
      <c r="BU560" s="121"/>
      <c r="BV560" s="121"/>
      <c r="BW560" s="121"/>
      <c r="BX560" s="121"/>
      <c r="BY560" s="121"/>
      <c r="BZ560" s="121"/>
      <c r="CA560" s="121"/>
      <c r="CB560" s="121"/>
      <c r="CC560" s="121"/>
      <c r="CD560" s="121"/>
      <c r="CE560" s="121"/>
      <c r="CF560" s="121"/>
      <c r="CG560" s="121"/>
      <c r="CH560" s="121"/>
      <c r="CI560" s="121"/>
      <c r="CJ560" s="121"/>
      <c r="CK560" s="121"/>
      <c r="CL560" s="121"/>
      <c r="CM560" s="121"/>
      <c r="CN560" s="121"/>
      <c r="CO560" s="121"/>
      <c r="CP560" s="121"/>
      <c r="CQ560" s="121"/>
      <c r="CR560" s="121"/>
      <c r="CS560" s="121"/>
      <c r="CT560" s="121"/>
      <c r="CU560" s="121"/>
      <c r="CV560" s="121"/>
      <c r="CW560" s="121"/>
      <c r="CX560" s="121"/>
      <c r="CY560" s="121"/>
      <c r="CZ560" s="121"/>
      <c r="DA560" s="121"/>
      <c r="DB560" s="121"/>
      <c r="DC560" s="121"/>
      <c r="DD560" s="121"/>
      <c r="DE560" s="121"/>
      <c r="DF560" s="121"/>
      <c r="DG560" s="121"/>
      <c r="DH560" s="121"/>
      <c r="DI560" s="121"/>
      <c r="DJ560" s="121"/>
      <c r="DK560" s="121"/>
      <c r="DL560" s="121"/>
      <c r="DM560" s="121"/>
      <c r="DN560" s="121"/>
      <c r="DO560" s="121"/>
      <c r="DP560" s="121"/>
      <c r="DQ560" s="121"/>
      <c r="DR560" s="121"/>
      <c r="DS560" s="121"/>
      <c r="DT560" s="240"/>
      <c r="DU560" s="240"/>
      <c r="DV560" s="240"/>
      <c r="DW560" s="240"/>
      <c r="DX560" s="240"/>
      <c r="DY560" s="240"/>
      <c r="DZ560" s="240"/>
      <c r="EA560" s="240"/>
      <c r="EB560" s="237">
        <f t="shared" si="64"/>
        <v>0</v>
      </c>
      <c r="EC560" s="237">
        <f t="shared" si="65"/>
        <v>0</v>
      </c>
      <c r="ED560" s="237">
        <f t="shared" si="66"/>
        <v>0</v>
      </c>
      <c r="EE560" s="237">
        <f t="shared" si="67"/>
        <v>0</v>
      </c>
      <c r="EF560" s="121"/>
      <c r="EG560" s="238">
        <f t="shared" si="68"/>
        <v>0</v>
      </c>
      <c r="EH560" s="121"/>
      <c r="EI560" s="237">
        <f t="shared" si="69"/>
        <v>0</v>
      </c>
      <c r="EJ560" s="121"/>
      <c r="EK560" s="237">
        <f t="shared" si="70"/>
        <v>0</v>
      </c>
      <c r="EL560" s="237"/>
      <c r="EM560" s="5"/>
      <c r="EN560" s="5"/>
      <c r="EO560" s="5"/>
      <c r="EP560" s="5"/>
      <c r="EQ560" s="237">
        <f t="shared" si="71"/>
        <v>0</v>
      </c>
      <c r="ER560" s="239">
        <v>23300</v>
      </c>
      <c r="ES560" s="5">
        <v>7.5</v>
      </c>
    </row>
    <row r="561" spans="1:149" x14ac:dyDescent="0.3">
      <c r="A561" s="124"/>
      <c r="B561" s="121"/>
      <c r="C561" s="121"/>
      <c r="D561" s="121"/>
      <c r="E561" s="121"/>
      <c r="F561" s="121"/>
      <c r="G561" s="121"/>
      <c r="H561" s="121"/>
      <c r="I561" s="121"/>
      <c r="J561" s="121"/>
      <c r="K561" s="121"/>
      <c r="L561" s="121"/>
      <c r="M561" s="121"/>
      <c r="N561" s="121"/>
      <c r="O561" s="235"/>
      <c r="P561" s="121"/>
      <c r="Q561" s="121"/>
      <c r="R561" s="121"/>
      <c r="S561" s="121"/>
      <c r="T561" s="121"/>
      <c r="U561" s="121"/>
      <c r="V561" s="121"/>
      <c r="W561" s="121"/>
      <c r="X561" s="117"/>
      <c r="Y561" s="117"/>
      <c r="Z561" s="121"/>
      <c r="AA561" s="121"/>
      <c r="AB561" s="121"/>
      <c r="AC561" s="121"/>
      <c r="AD561" s="121"/>
      <c r="AE561" s="121"/>
      <c r="AF561" s="121"/>
      <c r="AG561" s="121"/>
      <c r="AH561" s="121"/>
      <c r="AI561" s="121"/>
      <c r="AJ561" s="121"/>
      <c r="AK561" s="121"/>
      <c r="AL561" s="121"/>
      <c r="AM561" s="121"/>
      <c r="AN561" s="121"/>
      <c r="AO561" s="121"/>
      <c r="AP561" s="121"/>
      <c r="AQ561" s="121"/>
      <c r="AR561" s="121"/>
      <c r="AS561" s="121"/>
      <c r="AT561" s="121"/>
      <c r="AU561" s="121"/>
      <c r="AV561" s="121"/>
      <c r="AW561" s="121"/>
      <c r="AX561" s="121"/>
      <c r="AY561" s="121"/>
      <c r="AZ561" s="121"/>
      <c r="BA561" s="121"/>
      <c r="BB561" s="121"/>
      <c r="BC561" s="121"/>
      <c r="BD561" s="121"/>
      <c r="BE561" s="121"/>
      <c r="BF561" s="121"/>
      <c r="BG561" s="121"/>
      <c r="BH561" s="121"/>
      <c r="BI561" s="121"/>
      <c r="BJ561" s="121"/>
      <c r="BK561" s="121"/>
      <c r="BL561" s="121"/>
      <c r="BM561" s="121"/>
      <c r="BN561" s="121"/>
      <c r="BO561" s="121"/>
      <c r="BP561" s="121"/>
      <c r="BQ561" s="121"/>
      <c r="BR561" s="121"/>
      <c r="BS561" s="121"/>
      <c r="BT561" s="121"/>
      <c r="BU561" s="121"/>
      <c r="BV561" s="121"/>
      <c r="BW561" s="121"/>
      <c r="BX561" s="121"/>
      <c r="BY561" s="121"/>
      <c r="BZ561" s="121"/>
      <c r="CA561" s="121"/>
      <c r="CB561" s="121"/>
      <c r="CC561" s="121"/>
      <c r="CD561" s="121"/>
      <c r="CE561" s="121"/>
      <c r="CF561" s="121"/>
      <c r="CG561" s="121"/>
      <c r="CH561" s="121"/>
      <c r="CI561" s="121"/>
      <c r="CJ561" s="121"/>
      <c r="CK561" s="121"/>
      <c r="CL561" s="121"/>
      <c r="CM561" s="121"/>
      <c r="CN561" s="121"/>
      <c r="CO561" s="121"/>
      <c r="CP561" s="121"/>
      <c r="CQ561" s="121"/>
      <c r="CR561" s="121"/>
      <c r="CS561" s="121"/>
      <c r="CT561" s="121"/>
      <c r="CU561" s="121"/>
      <c r="CV561" s="121"/>
      <c r="CW561" s="121"/>
      <c r="CX561" s="121"/>
      <c r="CY561" s="121"/>
      <c r="CZ561" s="121"/>
      <c r="DA561" s="121"/>
      <c r="DB561" s="121"/>
      <c r="DC561" s="121"/>
      <c r="DD561" s="121"/>
      <c r="DE561" s="121"/>
      <c r="DF561" s="121"/>
      <c r="DG561" s="121"/>
      <c r="DH561" s="121"/>
      <c r="DI561" s="121"/>
      <c r="DJ561" s="121"/>
      <c r="DK561" s="121"/>
      <c r="DL561" s="121"/>
      <c r="DM561" s="121"/>
      <c r="DN561" s="121"/>
      <c r="DO561" s="121"/>
      <c r="DP561" s="121"/>
      <c r="DQ561" s="121"/>
      <c r="DR561" s="121"/>
      <c r="DS561" s="121"/>
      <c r="DT561" s="240"/>
      <c r="DU561" s="240"/>
      <c r="DV561" s="240"/>
      <c r="DW561" s="240"/>
      <c r="DX561" s="240"/>
      <c r="DY561" s="240"/>
      <c r="DZ561" s="240"/>
      <c r="EA561" s="240"/>
      <c r="EB561" s="237">
        <f t="shared" si="64"/>
        <v>0</v>
      </c>
      <c r="EC561" s="237">
        <f t="shared" si="65"/>
        <v>0</v>
      </c>
      <c r="ED561" s="237">
        <f t="shared" si="66"/>
        <v>0</v>
      </c>
      <c r="EE561" s="237">
        <f t="shared" si="67"/>
        <v>0</v>
      </c>
      <c r="EF561" s="121"/>
      <c r="EG561" s="238">
        <f t="shared" si="68"/>
        <v>0</v>
      </c>
      <c r="EH561" s="121"/>
      <c r="EI561" s="237">
        <f t="shared" si="69"/>
        <v>0</v>
      </c>
      <c r="EJ561" s="121"/>
      <c r="EK561" s="237">
        <f t="shared" si="70"/>
        <v>0</v>
      </c>
      <c r="EL561" s="237"/>
      <c r="EM561" s="5"/>
      <c r="EN561" s="5"/>
      <c r="EO561" s="5"/>
      <c r="EP561" s="5"/>
      <c r="EQ561" s="237">
        <f t="shared" si="71"/>
        <v>0</v>
      </c>
      <c r="ER561" s="239">
        <v>23300</v>
      </c>
      <c r="ES561" s="5">
        <v>7.5</v>
      </c>
    </row>
    <row r="562" spans="1:149" x14ac:dyDescent="0.3">
      <c r="A562" s="124"/>
      <c r="B562" s="121"/>
      <c r="C562" s="121"/>
      <c r="D562" s="121"/>
      <c r="E562" s="121"/>
      <c r="F562" s="121"/>
      <c r="G562" s="121"/>
      <c r="H562" s="121"/>
      <c r="I562" s="121"/>
      <c r="J562" s="121"/>
      <c r="K562" s="121"/>
      <c r="L562" s="121"/>
      <c r="M562" s="121"/>
      <c r="N562" s="121"/>
      <c r="O562" s="235"/>
      <c r="P562" s="121"/>
      <c r="Q562" s="121"/>
      <c r="R562" s="121"/>
      <c r="S562" s="121"/>
      <c r="T562" s="121"/>
      <c r="U562" s="121"/>
      <c r="V562" s="121"/>
      <c r="W562" s="121"/>
      <c r="X562" s="117"/>
      <c r="Y562" s="117"/>
      <c r="Z562" s="121"/>
      <c r="AA562" s="121"/>
      <c r="AB562" s="121"/>
      <c r="AC562" s="121"/>
      <c r="AD562" s="121"/>
      <c r="AE562" s="121"/>
      <c r="AF562" s="121"/>
      <c r="AG562" s="121"/>
      <c r="AH562" s="121"/>
      <c r="AI562" s="121"/>
      <c r="AJ562" s="121"/>
      <c r="AK562" s="121"/>
      <c r="AL562" s="121"/>
      <c r="AM562" s="121"/>
      <c r="AN562" s="121"/>
      <c r="AO562" s="121"/>
      <c r="AP562" s="121"/>
      <c r="AQ562" s="121"/>
      <c r="AR562" s="121"/>
      <c r="AS562" s="121"/>
      <c r="AT562" s="121"/>
      <c r="AU562" s="121"/>
      <c r="AV562" s="121"/>
      <c r="AW562" s="121"/>
      <c r="AX562" s="121"/>
      <c r="AY562" s="121"/>
      <c r="AZ562" s="121"/>
      <c r="BA562" s="121"/>
      <c r="BB562" s="121"/>
      <c r="BC562" s="121"/>
      <c r="BD562" s="121"/>
      <c r="BE562" s="121"/>
      <c r="BF562" s="121"/>
      <c r="BG562" s="121"/>
      <c r="BH562" s="121"/>
      <c r="BI562" s="121"/>
      <c r="BJ562" s="121"/>
      <c r="BK562" s="121"/>
      <c r="BL562" s="121"/>
      <c r="BM562" s="121"/>
      <c r="BN562" s="121"/>
      <c r="BO562" s="121"/>
      <c r="BP562" s="121"/>
      <c r="BQ562" s="121"/>
      <c r="BR562" s="121"/>
      <c r="BS562" s="121"/>
      <c r="BT562" s="121"/>
      <c r="BU562" s="121"/>
      <c r="BV562" s="121"/>
      <c r="BW562" s="121"/>
      <c r="BX562" s="121"/>
      <c r="BY562" s="121"/>
      <c r="BZ562" s="121"/>
      <c r="CA562" s="121"/>
      <c r="CB562" s="121"/>
      <c r="CC562" s="121"/>
      <c r="CD562" s="121"/>
      <c r="CE562" s="121"/>
      <c r="CF562" s="121"/>
      <c r="CG562" s="121"/>
      <c r="CH562" s="121"/>
      <c r="CI562" s="121"/>
      <c r="CJ562" s="121"/>
      <c r="CK562" s="121"/>
      <c r="CL562" s="121"/>
      <c r="CM562" s="121"/>
      <c r="CN562" s="121"/>
      <c r="CO562" s="121"/>
      <c r="CP562" s="121"/>
      <c r="CQ562" s="121"/>
      <c r="CR562" s="121"/>
      <c r="CS562" s="121"/>
      <c r="CT562" s="121"/>
      <c r="CU562" s="121"/>
      <c r="CV562" s="121"/>
      <c r="CW562" s="121"/>
      <c r="CX562" s="121"/>
      <c r="CY562" s="121"/>
      <c r="CZ562" s="121"/>
      <c r="DA562" s="121"/>
      <c r="DB562" s="121"/>
      <c r="DC562" s="121"/>
      <c r="DD562" s="121"/>
      <c r="DE562" s="121"/>
      <c r="DF562" s="121"/>
      <c r="DG562" s="121"/>
      <c r="DH562" s="121"/>
      <c r="DI562" s="121"/>
      <c r="DJ562" s="121"/>
      <c r="DK562" s="121"/>
      <c r="DL562" s="121"/>
      <c r="DM562" s="121"/>
      <c r="DN562" s="121"/>
      <c r="DO562" s="121"/>
      <c r="DP562" s="121"/>
      <c r="DQ562" s="121"/>
      <c r="DR562" s="121"/>
      <c r="DS562" s="121"/>
      <c r="DT562" s="240"/>
      <c r="DU562" s="240"/>
      <c r="DV562" s="240"/>
      <c r="DW562" s="240"/>
      <c r="DX562" s="240"/>
      <c r="DY562" s="240"/>
      <c r="DZ562" s="240"/>
      <c r="EA562" s="240"/>
      <c r="EB562" s="237">
        <f t="shared" si="64"/>
        <v>0</v>
      </c>
      <c r="EC562" s="237">
        <f t="shared" si="65"/>
        <v>0</v>
      </c>
      <c r="ED562" s="237">
        <f t="shared" si="66"/>
        <v>0</v>
      </c>
      <c r="EE562" s="237">
        <f t="shared" si="67"/>
        <v>0</v>
      </c>
      <c r="EF562" s="121"/>
      <c r="EG562" s="238">
        <f t="shared" si="68"/>
        <v>0</v>
      </c>
      <c r="EH562" s="121"/>
      <c r="EI562" s="237">
        <f t="shared" si="69"/>
        <v>0</v>
      </c>
      <c r="EJ562" s="121"/>
      <c r="EK562" s="237">
        <f t="shared" si="70"/>
        <v>0</v>
      </c>
      <c r="EL562" s="237"/>
      <c r="EM562" s="5"/>
      <c r="EN562" s="5"/>
      <c r="EO562" s="5"/>
      <c r="EP562" s="5"/>
      <c r="EQ562" s="237">
        <f t="shared" si="71"/>
        <v>0</v>
      </c>
      <c r="ER562" s="239">
        <v>23300</v>
      </c>
      <c r="ES562" s="5">
        <v>7.5</v>
      </c>
    </row>
    <row r="563" spans="1:149" x14ac:dyDescent="0.3">
      <c r="A563" s="124"/>
      <c r="B563" s="121"/>
      <c r="C563" s="121"/>
      <c r="D563" s="121"/>
      <c r="E563" s="121"/>
      <c r="F563" s="121"/>
      <c r="G563" s="121"/>
      <c r="H563" s="121"/>
      <c r="I563" s="121"/>
      <c r="J563" s="121"/>
      <c r="K563" s="121"/>
      <c r="L563" s="121"/>
      <c r="M563" s="121"/>
      <c r="N563" s="121"/>
      <c r="O563" s="235"/>
      <c r="P563" s="121"/>
      <c r="Q563" s="121"/>
      <c r="R563" s="121"/>
      <c r="S563" s="121"/>
      <c r="T563" s="121"/>
      <c r="U563" s="121"/>
      <c r="V563" s="121"/>
      <c r="W563" s="121"/>
      <c r="X563" s="117"/>
      <c r="Y563" s="117"/>
      <c r="Z563" s="121"/>
      <c r="AA563" s="121"/>
      <c r="AB563" s="121"/>
      <c r="AC563" s="121"/>
      <c r="AD563" s="121"/>
      <c r="AE563" s="121"/>
      <c r="AF563" s="121"/>
      <c r="AG563" s="121"/>
      <c r="AH563" s="121"/>
      <c r="AI563" s="121"/>
      <c r="AJ563" s="121"/>
      <c r="AK563" s="121"/>
      <c r="AL563" s="121"/>
      <c r="AM563" s="121"/>
      <c r="AN563" s="121"/>
      <c r="AO563" s="121"/>
      <c r="AP563" s="121"/>
      <c r="AQ563" s="121"/>
      <c r="AR563" s="121"/>
      <c r="AS563" s="121"/>
      <c r="AT563" s="121"/>
      <c r="AU563" s="121"/>
      <c r="AV563" s="121"/>
      <c r="AW563" s="121"/>
      <c r="AX563" s="121"/>
      <c r="AY563" s="121"/>
      <c r="AZ563" s="121"/>
      <c r="BA563" s="121"/>
      <c r="BB563" s="121"/>
      <c r="BC563" s="121"/>
      <c r="BD563" s="121"/>
      <c r="BE563" s="121"/>
      <c r="BF563" s="121"/>
      <c r="BG563" s="121"/>
      <c r="BH563" s="121"/>
      <c r="BI563" s="121"/>
      <c r="BJ563" s="121"/>
      <c r="BK563" s="121"/>
      <c r="BL563" s="121"/>
      <c r="BM563" s="121"/>
      <c r="BN563" s="121"/>
      <c r="BO563" s="121"/>
      <c r="BP563" s="121"/>
      <c r="BQ563" s="121"/>
      <c r="BR563" s="121"/>
      <c r="BS563" s="121"/>
      <c r="BT563" s="121"/>
      <c r="BU563" s="121"/>
      <c r="BV563" s="121"/>
      <c r="BW563" s="121"/>
      <c r="BX563" s="121"/>
      <c r="BY563" s="121"/>
      <c r="BZ563" s="121"/>
      <c r="CA563" s="121"/>
      <c r="CB563" s="121"/>
      <c r="CC563" s="121"/>
      <c r="CD563" s="121"/>
      <c r="CE563" s="121"/>
      <c r="CF563" s="121"/>
      <c r="CG563" s="121"/>
      <c r="CH563" s="121"/>
      <c r="CI563" s="121"/>
      <c r="CJ563" s="121"/>
      <c r="CK563" s="121"/>
      <c r="CL563" s="121"/>
      <c r="CM563" s="121"/>
      <c r="CN563" s="121"/>
      <c r="CO563" s="121"/>
      <c r="CP563" s="121"/>
      <c r="CQ563" s="121"/>
      <c r="CR563" s="121"/>
      <c r="CS563" s="121"/>
      <c r="CT563" s="121"/>
      <c r="CU563" s="121"/>
      <c r="CV563" s="121"/>
      <c r="CW563" s="121"/>
      <c r="CX563" s="121"/>
      <c r="CY563" s="121"/>
      <c r="CZ563" s="121"/>
      <c r="DA563" s="121"/>
      <c r="DB563" s="121"/>
      <c r="DC563" s="121"/>
      <c r="DD563" s="121"/>
      <c r="DE563" s="121"/>
      <c r="DF563" s="121"/>
      <c r="DG563" s="121"/>
      <c r="DH563" s="121"/>
      <c r="DI563" s="121"/>
      <c r="DJ563" s="121"/>
      <c r="DK563" s="121"/>
      <c r="DL563" s="121"/>
      <c r="DM563" s="121"/>
      <c r="DN563" s="121"/>
      <c r="DO563" s="121"/>
      <c r="DP563" s="121"/>
      <c r="DQ563" s="121"/>
      <c r="DR563" s="121"/>
      <c r="DS563" s="121"/>
      <c r="DT563" s="240"/>
      <c r="DU563" s="240"/>
      <c r="DV563" s="240"/>
      <c r="DW563" s="240"/>
      <c r="DX563" s="240"/>
      <c r="DY563" s="240"/>
      <c r="DZ563" s="240"/>
      <c r="EA563" s="240"/>
      <c r="EB563" s="237">
        <f t="shared" si="64"/>
        <v>0</v>
      </c>
      <c r="EC563" s="237">
        <f t="shared" si="65"/>
        <v>0</v>
      </c>
      <c r="ED563" s="237">
        <f t="shared" si="66"/>
        <v>0</v>
      </c>
      <c r="EE563" s="237">
        <f t="shared" si="67"/>
        <v>0</v>
      </c>
      <c r="EF563" s="121"/>
      <c r="EG563" s="238">
        <f t="shared" si="68"/>
        <v>0</v>
      </c>
      <c r="EH563" s="121"/>
      <c r="EI563" s="237">
        <f t="shared" si="69"/>
        <v>0</v>
      </c>
      <c r="EJ563" s="121"/>
      <c r="EK563" s="237">
        <f t="shared" si="70"/>
        <v>0</v>
      </c>
      <c r="EL563" s="237"/>
      <c r="EM563" s="5"/>
      <c r="EN563" s="5"/>
      <c r="EO563" s="5"/>
      <c r="EP563" s="5"/>
      <c r="EQ563" s="237">
        <f t="shared" si="71"/>
        <v>0</v>
      </c>
      <c r="ER563" s="239">
        <v>23300</v>
      </c>
      <c r="ES563" s="5">
        <v>7.5</v>
      </c>
    </row>
    <row r="564" spans="1:149" x14ac:dyDescent="0.3">
      <c r="A564" s="124"/>
      <c r="B564" s="121"/>
      <c r="C564" s="121"/>
      <c r="D564" s="121"/>
      <c r="E564" s="121"/>
      <c r="F564" s="121"/>
      <c r="G564" s="121"/>
      <c r="H564" s="121"/>
      <c r="I564" s="121"/>
      <c r="J564" s="121"/>
      <c r="K564" s="121"/>
      <c r="L564" s="121"/>
      <c r="M564" s="121"/>
      <c r="N564" s="121"/>
      <c r="O564" s="235"/>
      <c r="P564" s="121"/>
      <c r="Q564" s="121"/>
      <c r="R564" s="121"/>
      <c r="S564" s="121"/>
      <c r="T564" s="121"/>
      <c r="U564" s="121"/>
      <c r="V564" s="121"/>
      <c r="W564" s="121"/>
      <c r="X564" s="117"/>
      <c r="Y564" s="117"/>
      <c r="Z564" s="121"/>
      <c r="AA564" s="121"/>
      <c r="AB564" s="121"/>
      <c r="AC564" s="121"/>
      <c r="AD564" s="121"/>
      <c r="AE564" s="121"/>
      <c r="AF564" s="121"/>
      <c r="AG564" s="121"/>
      <c r="AH564" s="121"/>
      <c r="AI564" s="121"/>
      <c r="AJ564" s="121"/>
      <c r="AK564" s="121"/>
      <c r="AL564" s="121"/>
      <c r="AM564" s="121"/>
      <c r="AN564" s="121"/>
      <c r="AO564" s="121"/>
      <c r="AP564" s="121"/>
      <c r="AQ564" s="121"/>
      <c r="AR564" s="121"/>
      <c r="AS564" s="121"/>
      <c r="AT564" s="121"/>
      <c r="AU564" s="121"/>
      <c r="AV564" s="121"/>
      <c r="AW564" s="121"/>
      <c r="AX564" s="121"/>
      <c r="AY564" s="121"/>
      <c r="AZ564" s="121"/>
      <c r="BA564" s="121"/>
      <c r="BB564" s="121"/>
      <c r="BC564" s="121"/>
      <c r="BD564" s="121"/>
      <c r="BE564" s="121"/>
      <c r="BF564" s="121"/>
      <c r="BG564" s="121"/>
      <c r="BH564" s="121"/>
      <c r="BI564" s="121"/>
      <c r="BJ564" s="121"/>
      <c r="BK564" s="121"/>
      <c r="BL564" s="121"/>
      <c r="BM564" s="121"/>
      <c r="BN564" s="121"/>
      <c r="BO564" s="121"/>
      <c r="BP564" s="121"/>
      <c r="BQ564" s="121"/>
      <c r="BR564" s="121"/>
      <c r="BS564" s="121"/>
      <c r="BT564" s="121"/>
      <c r="BU564" s="121"/>
      <c r="BV564" s="121"/>
      <c r="BW564" s="121"/>
      <c r="BX564" s="121"/>
      <c r="BY564" s="121"/>
      <c r="BZ564" s="121"/>
      <c r="CA564" s="121"/>
      <c r="CB564" s="121"/>
      <c r="CC564" s="121"/>
      <c r="CD564" s="121"/>
      <c r="CE564" s="121"/>
      <c r="CF564" s="121"/>
      <c r="CG564" s="121"/>
      <c r="CH564" s="121"/>
      <c r="CI564" s="121"/>
      <c r="CJ564" s="121"/>
      <c r="CK564" s="121"/>
      <c r="CL564" s="121"/>
      <c r="CM564" s="121"/>
      <c r="CN564" s="121"/>
      <c r="CO564" s="121"/>
      <c r="CP564" s="121"/>
      <c r="CQ564" s="121"/>
      <c r="CR564" s="121"/>
      <c r="CS564" s="121"/>
      <c r="CT564" s="121"/>
      <c r="CU564" s="121"/>
      <c r="CV564" s="121"/>
      <c r="CW564" s="121"/>
      <c r="CX564" s="121"/>
      <c r="CY564" s="121"/>
      <c r="CZ564" s="121"/>
      <c r="DA564" s="121"/>
      <c r="DB564" s="121"/>
      <c r="DC564" s="121"/>
      <c r="DD564" s="121"/>
      <c r="DE564" s="121"/>
      <c r="DF564" s="121"/>
      <c r="DG564" s="121"/>
      <c r="DH564" s="121"/>
      <c r="DI564" s="121"/>
      <c r="DJ564" s="121"/>
      <c r="DK564" s="121"/>
      <c r="DL564" s="121"/>
      <c r="DM564" s="121"/>
      <c r="DN564" s="121"/>
      <c r="DO564" s="121"/>
      <c r="DP564" s="121"/>
      <c r="DQ564" s="121"/>
      <c r="DR564" s="121"/>
      <c r="DS564" s="121"/>
      <c r="DT564" s="240"/>
      <c r="DU564" s="240"/>
      <c r="DV564" s="240"/>
      <c r="DW564" s="240"/>
      <c r="DX564" s="240"/>
      <c r="DY564" s="240"/>
      <c r="DZ564" s="240"/>
      <c r="EA564" s="240"/>
      <c r="EB564" s="237">
        <f t="shared" si="64"/>
        <v>0</v>
      </c>
      <c r="EC564" s="237">
        <f t="shared" si="65"/>
        <v>0</v>
      </c>
      <c r="ED564" s="237">
        <f t="shared" si="66"/>
        <v>0</v>
      </c>
      <c r="EE564" s="237">
        <f t="shared" si="67"/>
        <v>0</v>
      </c>
      <c r="EF564" s="121"/>
      <c r="EG564" s="238">
        <f t="shared" si="68"/>
        <v>0</v>
      </c>
      <c r="EH564" s="121"/>
      <c r="EI564" s="237">
        <f t="shared" si="69"/>
        <v>0</v>
      </c>
      <c r="EJ564" s="121"/>
      <c r="EK564" s="237">
        <f t="shared" si="70"/>
        <v>0</v>
      </c>
      <c r="EL564" s="237"/>
      <c r="EM564" s="5"/>
      <c r="EN564" s="5"/>
      <c r="EO564" s="5"/>
      <c r="EP564" s="5"/>
      <c r="EQ564" s="237">
        <f t="shared" si="71"/>
        <v>0</v>
      </c>
      <c r="ER564" s="239">
        <v>23300</v>
      </c>
      <c r="ES564" s="5">
        <v>7.5</v>
      </c>
    </row>
    <row r="565" spans="1:149" x14ac:dyDescent="0.3">
      <c r="A565" s="124"/>
      <c r="B565" s="121"/>
      <c r="C565" s="121"/>
      <c r="D565" s="121"/>
      <c r="E565" s="121"/>
      <c r="F565" s="121"/>
      <c r="G565" s="121"/>
      <c r="H565" s="121"/>
      <c r="I565" s="121"/>
      <c r="J565" s="121"/>
      <c r="K565" s="121"/>
      <c r="L565" s="121"/>
      <c r="M565" s="121"/>
      <c r="N565" s="121"/>
      <c r="O565" s="235"/>
      <c r="P565" s="121"/>
      <c r="Q565" s="121"/>
      <c r="R565" s="121"/>
      <c r="S565" s="121"/>
      <c r="T565" s="121"/>
      <c r="U565" s="121"/>
      <c r="V565" s="121"/>
      <c r="W565" s="121"/>
      <c r="X565" s="117"/>
      <c r="Y565" s="117"/>
      <c r="Z565" s="121"/>
      <c r="AA565" s="121"/>
      <c r="AB565" s="121"/>
      <c r="AC565" s="121"/>
      <c r="AD565" s="121"/>
      <c r="AE565" s="121"/>
      <c r="AF565" s="121"/>
      <c r="AG565" s="121"/>
      <c r="AH565" s="121"/>
      <c r="AI565" s="121"/>
      <c r="AJ565" s="121"/>
      <c r="AK565" s="121"/>
      <c r="AL565" s="121"/>
      <c r="AM565" s="121"/>
      <c r="AN565" s="121"/>
      <c r="AO565" s="121"/>
      <c r="AP565" s="121"/>
      <c r="AQ565" s="121"/>
      <c r="AR565" s="121"/>
      <c r="AS565" s="121"/>
      <c r="AT565" s="121"/>
      <c r="AU565" s="121"/>
      <c r="AV565" s="121"/>
      <c r="AW565" s="121"/>
      <c r="AX565" s="121"/>
      <c r="AY565" s="121"/>
      <c r="AZ565" s="121"/>
      <c r="BA565" s="121"/>
      <c r="BB565" s="121"/>
      <c r="BC565" s="121"/>
      <c r="BD565" s="121"/>
      <c r="BE565" s="121"/>
      <c r="BF565" s="121"/>
      <c r="BG565" s="121"/>
      <c r="BH565" s="121"/>
      <c r="BI565" s="121"/>
      <c r="BJ565" s="121"/>
      <c r="BK565" s="121"/>
      <c r="BL565" s="121"/>
      <c r="BM565" s="121"/>
      <c r="BN565" s="121"/>
      <c r="BO565" s="121"/>
      <c r="BP565" s="121"/>
      <c r="BQ565" s="121"/>
      <c r="BR565" s="121"/>
      <c r="BS565" s="121"/>
      <c r="BT565" s="121"/>
      <c r="BU565" s="121"/>
      <c r="BV565" s="121"/>
      <c r="BW565" s="121"/>
      <c r="BX565" s="121"/>
      <c r="BY565" s="121"/>
      <c r="BZ565" s="121"/>
      <c r="CA565" s="121"/>
      <c r="CB565" s="121"/>
      <c r="CC565" s="121"/>
      <c r="CD565" s="121"/>
      <c r="CE565" s="121"/>
      <c r="CF565" s="121"/>
      <c r="CG565" s="121"/>
      <c r="CH565" s="121"/>
      <c r="CI565" s="121"/>
      <c r="CJ565" s="121"/>
      <c r="CK565" s="121"/>
      <c r="CL565" s="121"/>
      <c r="CM565" s="121"/>
      <c r="CN565" s="121"/>
      <c r="CO565" s="121"/>
      <c r="CP565" s="121"/>
      <c r="CQ565" s="121"/>
      <c r="CR565" s="121"/>
      <c r="CS565" s="121"/>
      <c r="CT565" s="121"/>
      <c r="CU565" s="121"/>
      <c r="CV565" s="121"/>
      <c r="CW565" s="121"/>
      <c r="CX565" s="121"/>
      <c r="CY565" s="121"/>
      <c r="CZ565" s="121"/>
      <c r="DA565" s="121"/>
      <c r="DB565" s="121"/>
      <c r="DC565" s="121"/>
      <c r="DD565" s="121"/>
      <c r="DE565" s="121"/>
      <c r="DF565" s="121"/>
      <c r="DG565" s="121"/>
      <c r="DH565" s="121"/>
      <c r="DI565" s="121"/>
      <c r="DJ565" s="121"/>
      <c r="DK565" s="121"/>
      <c r="DL565" s="121"/>
      <c r="DM565" s="121"/>
      <c r="DN565" s="121"/>
      <c r="DO565" s="121"/>
      <c r="DP565" s="121"/>
      <c r="DQ565" s="121"/>
      <c r="DR565" s="121"/>
      <c r="DS565" s="121"/>
      <c r="DT565" s="240"/>
      <c r="DU565" s="240"/>
      <c r="DV565" s="240"/>
      <c r="DW565" s="240"/>
      <c r="DX565" s="240"/>
      <c r="DY565" s="240"/>
      <c r="DZ565" s="240"/>
      <c r="EA565" s="240"/>
      <c r="EB565" s="237">
        <f t="shared" si="64"/>
        <v>0</v>
      </c>
      <c r="EC565" s="237">
        <f t="shared" si="65"/>
        <v>0</v>
      </c>
      <c r="ED565" s="237">
        <f t="shared" si="66"/>
        <v>0</v>
      </c>
      <c r="EE565" s="237">
        <f t="shared" si="67"/>
        <v>0</v>
      </c>
      <c r="EF565" s="121"/>
      <c r="EG565" s="238">
        <f t="shared" si="68"/>
        <v>0</v>
      </c>
      <c r="EH565" s="121"/>
      <c r="EI565" s="237">
        <f t="shared" si="69"/>
        <v>0</v>
      </c>
      <c r="EJ565" s="121"/>
      <c r="EK565" s="237">
        <f t="shared" si="70"/>
        <v>0</v>
      </c>
      <c r="EL565" s="237"/>
      <c r="EM565" s="5"/>
      <c r="EN565" s="5"/>
      <c r="EO565" s="5"/>
      <c r="EP565" s="5"/>
      <c r="EQ565" s="237">
        <f t="shared" si="71"/>
        <v>0</v>
      </c>
      <c r="ER565" s="239">
        <v>23300</v>
      </c>
      <c r="ES565" s="5">
        <v>7.5</v>
      </c>
    </row>
    <row r="566" spans="1:149" x14ac:dyDescent="0.3">
      <c r="A566" s="124"/>
      <c r="B566" s="121"/>
      <c r="C566" s="121"/>
      <c r="D566" s="121"/>
      <c r="E566" s="121"/>
      <c r="F566" s="121"/>
      <c r="G566" s="121"/>
      <c r="H566" s="121"/>
      <c r="I566" s="121"/>
      <c r="J566" s="121"/>
      <c r="K566" s="121"/>
      <c r="L566" s="121"/>
      <c r="M566" s="121"/>
      <c r="N566" s="121"/>
      <c r="O566" s="235"/>
      <c r="P566" s="121"/>
      <c r="Q566" s="121"/>
      <c r="R566" s="121"/>
      <c r="S566" s="121"/>
      <c r="T566" s="121"/>
      <c r="U566" s="121"/>
      <c r="V566" s="121"/>
      <c r="W566" s="121"/>
      <c r="X566" s="117"/>
      <c r="Y566" s="117"/>
      <c r="Z566" s="121"/>
      <c r="AA566" s="121"/>
      <c r="AB566" s="121"/>
      <c r="AC566" s="121"/>
      <c r="AD566" s="121"/>
      <c r="AE566" s="121"/>
      <c r="AF566" s="121"/>
      <c r="AG566" s="121"/>
      <c r="AH566" s="121"/>
      <c r="AI566" s="121"/>
      <c r="AJ566" s="121"/>
      <c r="AK566" s="121"/>
      <c r="AL566" s="121"/>
      <c r="AM566" s="121"/>
      <c r="AN566" s="121"/>
      <c r="AO566" s="121"/>
      <c r="AP566" s="121"/>
      <c r="AQ566" s="121"/>
      <c r="AR566" s="121"/>
      <c r="AS566" s="121"/>
      <c r="AT566" s="121"/>
      <c r="AU566" s="121"/>
      <c r="AV566" s="121"/>
      <c r="AW566" s="121"/>
      <c r="AX566" s="121"/>
      <c r="AY566" s="121"/>
      <c r="AZ566" s="121"/>
      <c r="BA566" s="121"/>
      <c r="BB566" s="121"/>
      <c r="BC566" s="121"/>
      <c r="BD566" s="121"/>
      <c r="BE566" s="121"/>
      <c r="BF566" s="121"/>
      <c r="BG566" s="121"/>
      <c r="BH566" s="121"/>
      <c r="BI566" s="121"/>
      <c r="BJ566" s="121"/>
      <c r="BK566" s="121"/>
      <c r="BL566" s="121"/>
      <c r="BM566" s="121"/>
      <c r="BN566" s="121"/>
      <c r="BO566" s="121"/>
      <c r="BP566" s="121"/>
      <c r="BQ566" s="121"/>
      <c r="BR566" s="121"/>
      <c r="BS566" s="121"/>
      <c r="BT566" s="121"/>
      <c r="BU566" s="121"/>
      <c r="BV566" s="121"/>
      <c r="BW566" s="121"/>
      <c r="BX566" s="121"/>
      <c r="BY566" s="121"/>
      <c r="BZ566" s="121"/>
      <c r="CA566" s="121"/>
      <c r="CB566" s="121"/>
      <c r="CC566" s="121"/>
      <c r="CD566" s="121"/>
      <c r="CE566" s="121"/>
      <c r="CF566" s="121"/>
      <c r="CG566" s="121"/>
      <c r="CH566" s="121"/>
      <c r="CI566" s="121"/>
      <c r="CJ566" s="121"/>
      <c r="CK566" s="121"/>
      <c r="CL566" s="121"/>
      <c r="CM566" s="121"/>
      <c r="CN566" s="121"/>
      <c r="CO566" s="121"/>
      <c r="CP566" s="121"/>
      <c r="CQ566" s="121"/>
      <c r="CR566" s="121"/>
      <c r="CS566" s="121"/>
      <c r="CT566" s="121"/>
      <c r="CU566" s="121"/>
      <c r="CV566" s="121"/>
      <c r="CW566" s="121"/>
      <c r="CX566" s="121"/>
      <c r="CY566" s="121"/>
      <c r="CZ566" s="121"/>
      <c r="DA566" s="121"/>
      <c r="DB566" s="121"/>
      <c r="DC566" s="121"/>
      <c r="DD566" s="121"/>
      <c r="DE566" s="121"/>
      <c r="DF566" s="121"/>
      <c r="DG566" s="121"/>
      <c r="DH566" s="121"/>
      <c r="DI566" s="121"/>
      <c r="DJ566" s="121"/>
      <c r="DK566" s="121"/>
      <c r="DL566" s="121"/>
      <c r="DM566" s="121"/>
      <c r="DN566" s="121"/>
      <c r="DO566" s="121"/>
      <c r="DP566" s="121"/>
      <c r="DQ566" s="121"/>
      <c r="DR566" s="121"/>
      <c r="DS566" s="121"/>
      <c r="DT566" s="240"/>
      <c r="DU566" s="240"/>
      <c r="DV566" s="240"/>
      <c r="DW566" s="240"/>
      <c r="DX566" s="240"/>
      <c r="DY566" s="240"/>
      <c r="DZ566" s="240"/>
      <c r="EA566" s="240"/>
      <c r="EB566" s="237">
        <f t="shared" si="64"/>
        <v>0</v>
      </c>
      <c r="EC566" s="237">
        <f t="shared" si="65"/>
        <v>0</v>
      </c>
      <c r="ED566" s="237">
        <f t="shared" si="66"/>
        <v>0</v>
      </c>
      <c r="EE566" s="237">
        <f t="shared" si="67"/>
        <v>0</v>
      </c>
      <c r="EF566" s="121"/>
      <c r="EG566" s="238">
        <f t="shared" si="68"/>
        <v>0</v>
      </c>
      <c r="EH566" s="121"/>
      <c r="EI566" s="237">
        <f t="shared" si="69"/>
        <v>0</v>
      </c>
      <c r="EJ566" s="121"/>
      <c r="EK566" s="237">
        <f t="shared" si="70"/>
        <v>0</v>
      </c>
      <c r="EL566" s="237"/>
      <c r="EM566" s="5"/>
      <c r="EN566" s="5"/>
      <c r="EO566" s="5"/>
      <c r="EP566" s="5"/>
      <c r="EQ566" s="237">
        <f t="shared" si="71"/>
        <v>0</v>
      </c>
      <c r="ER566" s="239">
        <v>23300</v>
      </c>
      <c r="ES566" s="5">
        <v>7.5</v>
      </c>
    </row>
    <row r="567" spans="1:149" x14ac:dyDescent="0.3">
      <c r="A567" s="124"/>
      <c r="B567" s="121"/>
      <c r="C567" s="121"/>
      <c r="D567" s="121"/>
      <c r="E567" s="121"/>
      <c r="F567" s="121"/>
      <c r="G567" s="121"/>
      <c r="H567" s="121"/>
      <c r="I567" s="121"/>
      <c r="J567" s="121"/>
      <c r="K567" s="121"/>
      <c r="L567" s="121"/>
      <c r="M567" s="121"/>
      <c r="N567" s="121"/>
      <c r="O567" s="235"/>
      <c r="P567" s="121"/>
      <c r="Q567" s="121"/>
      <c r="R567" s="121"/>
      <c r="S567" s="121"/>
      <c r="T567" s="121"/>
      <c r="U567" s="121"/>
      <c r="V567" s="121"/>
      <c r="W567" s="121"/>
      <c r="X567" s="117"/>
      <c r="Y567" s="117"/>
      <c r="Z567" s="121"/>
      <c r="AA567" s="121"/>
      <c r="AB567" s="121"/>
      <c r="AC567" s="121"/>
      <c r="AD567" s="121"/>
      <c r="AE567" s="121"/>
      <c r="AF567" s="121"/>
      <c r="AG567" s="121"/>
      <c r="AH567" s="121"/>
      <c r="AI567" s="121"/>
      <c r="AJ567" s="121"/>
      <c r="AK567" s="121"/>
      <c r="AL567" s="121"/>
      <c r="AM567" s="121"/>
      <c r="AN567" s="121"/>
      <c r="AO567" s="121"/>
      <c r="AP567" s="121"/>
      <c r="AQ567" s="121"/>
      <c r="AR567" s="121"/>
      <c r="AS567" s="121"/>
      <c r="AT567" s="121"/>
      <c r="AU567" s="121"/>
      <c r="AV567" s="121"/>
      <c r="AW567" s="121"/>
      <c r="AX567" s="121"/>
      <c r="AY567" s="121"/>
      <c r="AZ567" s="121"/>
      <c r="BA567" s="121"/>
      <c r="BB567" s="121"/>
      <c r="BC567" s="121"/>
      <c r="BD567" s="121"/>
      <c r="BE567" s="121"/>
      <c r="BF567" s="121"/>
      <c r="BG567" s="121"/>
      <c r="BH567" s="121"/>
      <c r="BI567" s="121"/>
      <c r="BJ567" s="121"/>
      <c r="BK567" s="121"/>
      <c r="BL567" s="121"/>
      <c r="BM567" s="121"/>
      <c r="BN567" s="121"/>
      <c r="BO567" s="121"/>
      <c r="BP567" s="121"/>
      <c r="BQ567" s="121"/>
      <c r="BR567" s="121"/>
      <c r="BS567" s="121"/>
      <c r="BT567" s="121"/>
      <c r="BU567" s="121"/>
      <c r="BV567" s="121"/>
      <c r="BW567" s="121"/>
      <c r="BX567" s="121"/>
      <c r="BY567" s="121"/>
      <c r="BZ567" s="121"/>
      <c r="CA567" s="121"/>
      <c r="CB567" s="121"/>
      <c r="CC567" s="121"/>
      <c r="CD567" s="121"/>
      <c r="CE567" s="121"/>
      <c r="CF567" s="121"/>
      <c r="CG567" s="121"/>
      <c r="CH567" s="121"/>
      <c r="CI567" s="121"/>
      <c r="CJ567" s="121"/>
      <c r="CK567" s="121"/>
      <c r="CL567" s="121"/>
      <c r="CM567" s="121"/>
      <c r="CN567" s="121"/>
      <c r="CO567" s="121"/>
      <c r="CP567" s="121"/>
      <c r="CQ567" s="121"/>
      <c r="CR567" s="121"/>
      <c r="CS567" s="121"/>
      <c r="CT567" s="121"/>
      <c r="CU567" s="121"/>
      <c r="CV567" s="121"/>
      <c r="CW567" s="121"/>
      <c r="CX567" s="121"/>
      <c r="CY567" s="121"/>
      <c r="CZ567" s="121"/>
      <c r="DA567" s="121"/>
      <c r="DB567" s="121"/>
      <c r="DC567" s="121"/>
      <c r="DD567" s="121"/>
      <c r="DE567" s="121"/>
      <c r="DF567" s="121"/>
      <c r="DG567" s="121"/>
      <c r="DH567" s="121"/>
      <c r="DI567" s="121"/>
      <c r="DJ567" s="121"/>
      <c r="DK567" s="121"/>
      <c r="DL567" s="121"/>
      <c r="DM567" s="121"/>
      <c r="DN567" s="121"/>
      <c r="DO567" s="121"/>
      <c r="DP567" s="121"/>
      <c r="DQ567" s="121"/>
      <c r="DR567" s="121"/>
      <c r="DS567" s="121"/>
      <c r="DT567" s="240"/>
      <c r="DU567" s="240"/>
      <c r="DV567" s="240"/>
      <c r="DW567" s="240"/>
      <c r="DX567" s="240"/>
      <c r="DY567" s="240"/>
      <c r="DZ567" s="240"/>
      <c r="EA567" s="240"/>
      <c r="EB567" s="237">
        <f t="shared" si="64"/>
        <v>0</v>
      </c>
      <c r="EC567" s="237">
        <f t="shared" si="65"/>
        <v>0</v>
      </c>
      <c r="ED567" s="237">
        <f t="shared" si="66"/>
        <v>0</v>
      </c>
      <c r="EE567" s="237">
        <f t="shared" si="67"/>
        <v>0</v>
      </c>
      <c r="EF567" s="121"/>
      <c r="EG567" s="238">
        <f t="shared" si="68"/>
        <v>0</v>
      </c>
      <c r="EH567" s="121"/>
      <c r="EI567" s="237">
        <f t="shared" si="69"/>
        <v>0</v>
      </c>
      <c r="EJ567" s="121"/>
      <c r="EK567" s="237">
        <f t="shared" si="70"/>
        <v>0</v>
      </c>
      <c r="EL567" s="237"/>
      <c r="EM567" s="5"/>
      <c r="EN567" s="5"/>
      <c r="EO567" s="5"/>
      <c r="EP567" s="5"/>
      <c r="EQ567" s="237">
        <f t="shared" si="71"/>
        <v>0</v>
      </c>
      <c r="ER567" s="239">
        <v>23300</v>
      </c>
      <c r="ES567" s="5">
        <v>7.5</v>
      </c>
    </row>
    <row r="568" spans="1:149" x14ac:dyDescent="0.3">
      <c r="A568" s="124"/>
      <c r="B568" s="121"/>
      <c r="C568" s="121"/>
      <c r="D568" s="121"/>
      <c r="E568" s="121"/>
      <c r="F568" s="121"/>
      <c r="G568" s="121"/>
      <c r="H568" s="121"/>
      <c r="I568" s="121"/>
      <c r="J568" s="121"/>
      <c r="K568" s="121"/>
      <c r="L568" s="121"/>
      <c r="M568" s="121"/>
      <c r="N568" s="121"/>
      <c r="O568" s="235"/>
      <c r="P568" s="121"/>
      <c r="Q568" s="121"/>
      <c r="R568" s="121"/>
      <c r="S568" s="121"/>
      <c r="T568" s="121"/>
      <c r="U568" s="121"/>
      <c r="V568" s="121"/>
      <c r="W568" s="121"/>
      <c r="X568" s="117"/>
      <c r="Y568" s="117"/>
      <c r="Z568" s="121"/>
      <c r="AA568" s="121"/>
      <c r="AB568" s="121"/>
      <c r="AC568" s="121"/>
      <c r="AD568" s="121"/>
      <c r="AE568" s="121"/>
      <c r="AF568" s="121"/>
      <c r="AG568" s="121"/>
      <c r="AH568" s="121"/>
      <c r="AI568" s="121"/>
      <c r="AJ568" s="121"/>
      <c r="AK568" s="121"/>
      <c r="AL568" s="121"/>
      <c r="AM568" s="121"/>
      <c r="AN568" s="121"/>
      <c r="AO568" s="121"/>
      <c r="AP568" s="121"/>
      <c r="AQ568" s="121"/>
      <c r="AR568" s="121"/>
      <c r="AS568" s="121"/>
      <c r="AT568" s="121"/>
      <c r="AU568" s="121"/>
      <c r="AV568" s="121"/>
      <c r="AW568" s="121"/>
      <c r="AX568" s="121"/>
      <c r="AY568" s="121"/>
      <c r="AZ568" s="121"/>
      <c r="BA568" s="121"/>
      <c r="BB568" s="121"/>
      <c r="BC568" s="121"/>
      <c r="BD568" s="121"/>
      <c r="BE568" s="121"/>
      <c r="BF568" s="121"/>
      <c r="BG568" s="121"/>
      <c r="BH568" s="121"/>
      <c r="BI568" s="121"/>
      <c r="BJ568" s="121"/>
      <c r="BK568" s="121"/>
      <c r="BL568" s="121"/>
      <c r="BM568" s="121"/>
      <c r="BN568" s="121"/>
      <c r="BO568" s="121"/>
      <c r="BP568" s="121"/>
      <c r="BQ568" s="121"/>
      <c r="BR568" s="121"/>
      <c r="BS568" s="121"/>
      <c r="BT568" s="121"/>
      <c r="BU568" s="121"/>
      <c r="BV568" s="121"/>
      <c r="BW568" s="121"/>
      <c r="BX568" s="121"/>
      <c r="BY568" s="121"/>
      <c r="BZ568" s="121"/>
      <c r="CA568" s="121"/>
      <c r="CB568" s="121"/>
      <c r="CC568" s="121"/>
      <c r="CD568" s="121"/>
      <c r="CE568" s="121"/>
      <c r="CF568" s="121"/>
      <c r="CG568" s="121"/>
      <c r="CH568" s="121"/>
      <c r="CI568" s="121"/>
      <c r="CJ568" s="121"/>
      <c r="CK568" s="121"/>
      <c r="CL568" s="121"/>
      <c r="CM568" s="121"/>
      <c r="CN568" s="121"/>
      <c r="CO568" s="121"/>
      <c r="CP568" s="121"/>
      <c r="CQ568" s="121"/>
      <c r="CR568" s="121"/>
      <c r="CS568" s="121"/>
      <c r="CT568" s="121"/>
      <c r="CU568" s="121"/>
      <c r="CV568" s="121"/>
      <c r="CW568" s="121"/>
      <c r="CX568" s="121"/>
      <c r="CY568" s="121"/>
      <c r="CZ568" s="121"/>
      <c r="DA568" s="121"/>
      <c r="DB568" s="121"/>
      <c r="DC568" s="121"/>
      <c r="DD568" s="121"/>
      <c r="DE568" s="121"/>
      <c r="DF568" s="121"/>
      <c r="DG568" s="121"/>
      <c r="DH568" s="121"/>
      <c r="DI568" s="121"/>
      <c r="DJ568" s="121"/>
      <c r="DK568" s="121"/>
      <c r="DL568" s="121"/>
      <c r="DM568" s="121"/>
      <c r="DN568" s="121"/>
      <c r="DO568" s="121"/>
      <c r="DP568" s="121"/>
      <c r="DQ568" s="121"/>
      <c r="DR568" s="121"/>
      <c r="DS568" s="121"/>
      <c r="DT568" s="240"/>
      <c r="DU568" s="240"/>
      <c r="DV568" s="240"/>
      <c r="DW568" s="240"/>
      <c r="DX568" s="240"/>
      <c r="DY568" s="240"/>
      <c r="DZ568" s="240"/>
      <c r="EA568" s="240"/>
      <c r="EB568" s="237">
        <f t="shared" si="64"/>
        <v>0</v>
      </c>
      <c r="EC568" s="237">
        <f t="shared" si="65"/>
        <v>0</v>
      </c>
      <c r="ED568" s="237">
        <f t="shared" si="66"/>
        <v>0</v>
      </c>
      <c r="EE568" s="237">
        <f t="shared" si="67"/>
        <v>0</v>
      </c>
      <c r="EF568" s="121"/>
      <c r="EG568" s="238">
        <f t="shared" si="68"/>
        <v>0</v>
      </c>
      <c r="EH568" s="121"/>
      <c r="EI568" s="237">
        <f t="shared" si="69"/>
        <v>0</v>
      </c>
      <c r="EJ568" s="121"/>
      <c r="EK568" s="237">
        <f t="shared" si="70"/>
        <v>0</v>
      </c>
      <c r="EL568" s="237"/>
      <c r="EM568" s="5"/>
      <c r="EN568" s="5"/>
      <c r="EO568" s="5"/>
      <c r="EP568" s="5"/>
      <c r="EQ568" s="237">
        <f t="shared" si="71"/>
        <v>0</v>
      </c>
      <c r="ER568" s="239">
        <v>23300</v>
      </c>
      <c r="ES568" s="5">
        <v>7.5</v>
      </c>
    </row>
    <row r="569" spans="1:149" x14ac:dyDescent="0.3">
      <c r="A569" s="124"/>
      <c r="B569" s="121"/>
      <c r="C569" s="121"/>
      <c r="D569" s="121"/>
      <c r="E569" s="121"/>
      <c r="F569" s="121"/>
      <c r="G569" s="121"/>
      <c r="H569" s="121"/>
      <c r="I569" s="121"/>
      <c r="J569" s="121"/>
      <c r="K569" s="121"/>
      <c r="L569" s="121"/>
      <c r="M569" s="121"/>
      <c r="N569" s="121"/>
      <c r="O569" s="235"/>
      <c r="P569" s="121"/>
      <c r="Q569" s="121"/>
      <c r="R569" s="121"/>
      <c r="S569" s="121"/>
      <c r="T569" s="121"/>
      <c r="U569" s="121"/>
      <c r="V569" s="121"/>
      <c r="W569" s="121"/>
      <c r="X569" s="117"/>
      <c r="Y569" s="117"/>
      <c r="Z569" s="121"/>
      <c r="AA569" s="121"/>
      <c r="AB569" s="121"/>
      <c r="AC569" s="121"/>
      <c r="AD569" s="121"/>
      <c r="AE569" s="121"/>
      <c r="AF569" s="121"/>
      <c r="AG569" s="121"/>
      <c r="AH569" s="121"/>
      <c r="AI569" s="121"/>
      <c r="AJ569" s="121"/>
      <c r="AK569" s="121"/>
      <c r="AL569" s="121"/>
      <c r="AM569" s="121"/>
      <c r="AN569" s="121"/>
      <c r="AO569" s="121"/>
      <c r="AP569" s="121"/>
      <c r="AQ569" s="121"/>
      <c r="AR569" s="121"/>
      <c r="AS569" s="121"/>
      <c r="AT569" s="121"/>
      <c r="AU569" s="121"/>
      <c r="AV569" s="121"/>
      <c r="AW569" s="121"/>
      <c r="AX569" s="121"/>
      <c r="AY569" s="121"/>
      <c r="AZ569" s="121"/>
      <c r="BA569" s="121"/>
      <c r="BB569" s="121"/>
      <c r="BC569" s="121"/>
      <c r="BD569" s="121"/>
      <c r="BE569" s="121"/>
      <c r="BF569" s="121"/>
      <c r="BG569" s="121"/>
      <c r="BH569" s="121"/>
      <c r="BI569" s="121"/>
      <c r="BJ569" s="121"/>
      <c r="BK569" s="121"/>
      <c r="BL569" s="121"/>
      <c r="BM569" s="121"/>
      <c r="BN569" s="121"/>
      <c r="BO569" s="121"/>
      <c r="BP569" s="121"/>
      <c r="BQ569" s="121"/>
      <c r="BR569" s="121"/>
      <c r="BS569" s="121"/>
      <c r="BT569" s="121"/>
      <c r="BU569" s="121"/>
      <c r="BV569" s="121"/>
      <c r="BW569" s="121"/>
      <c r="BX569" s="121"/>
      <c r="BY569" s="121"/>
      <c r="BZ569" s="121"/>
      <c r="CA569" s="121"/>
      <c r="CB569" s="121"/>
      <c r="CC569" s="121"/>
      <c r="CD569" s="121"/>
      <c r="CE569" s="121"/>
      <c r="CF569" s="121"/>
      <c r="CG569" s="121"/>
      <c r="CH569" s="121"/>
      <c r="CI569" s="121"/>
      <c r="CJ569" s="121"/>
      <c r="CK569" s="121"/>
      <c r="CL569" s="121"/>
      <c r="CM569" s="121"/>
      <c r="CN569" s="121"/>
      <c r="CO569" s="121"/>
      <c r="CP569" s="121"/>
      <c r="CQ569" s="121"/>
      <c r="CR569" s="121"/>
      <c r="CS569" s="121"/>
      <c r="CT569" s="121"/>
      <c r="CU569" s="121"/>
      <c r="CV569" s="121"/>
      <c r="CW569" s="121"/>
      <c r="CX569" s="121"/>
      <c r="CY569" s="121"/>
      <c r="CZ569" s="121"/>
      <c r="DA569" s="121"/>
      <c r="DB569" s="121"/>
      <c r="DC569" s="121"/>
      <c r="DD569" s="121"/>
      <c r="DE569" s="121"/>
      <c r="DF569" s="121"/>
      <c r="DG569" s="121"/>
      <c r="DH569" s="121"/>
      <c r="DI569" s="121"/>
      <c r="DJ569" s="121"/>
      <c r="DK569" s="121"/>
      <c r="DL569" s="121"/>
      <c r="DM569" s="121"/>
      <c r="DN569" s="121"/>
      <c r="DO569" s="121"/>
      <c r="DP569" s="121"/>
      <c r="DQ569" s="121"/>
      <c r="DR569" s="121"/>
      <c r="DS569" s="121"/>
      <c r="DT569" s="240"/>
      <c r="DU569" s="240"/>
      <c r="DV569" s="240"/>
      <c r="DW569" s="240"/>
      <c r="DX569" s="240"/>
      <c r="DY569" s="240"/>
      <c r="DZ569" s="240"/>
      <c r="EA569" s="240"/>
      <c r="EB569" s="237">
        <f t="shared" si="64"/>
        <v>0</v>
      </c>
      <c r="EC569" s="237">
        <f t="shared" si="65"/>
        <v>0</v>
      </c>
      <c r="ED569" s="237">
        <f t="shared" si="66"/>
        <v>0</v>
      </c>
      <c r="EE569" s="237">
        <f t="shared" si="67"/>
        <v>0</v>
      </c>
      <c r="EF569" s="121"/>
      <c r="EG569" s="238">
        <f t="shared" si="68"/>
        <v>0</v>
      </c>
      <c r="EH569" s="121"/>
      <c r="EI569" s="237">
        <f t="shared" si="69"/>
        <v>0</v>
      </c>
      <c r="EJ569" s="121"/>
      <c r="EK569" s="237">
        <f t="shared" si="70"/>
        <v>0</v>
      </c>
      <c r="EL569" s="237"/>
      <c r="EM569" s="5"/>
      <c r="EN569" s="5"/>
      <c r="EO569" s="5"/>
      <c r="EP569" s="5"/>
      <c r="EQ569" s="237">
        <f t="shared" si="71"/>
        <v>0</v>
      </c>
      <c r="ER569" s="239">
        <v>23300</v>
      </c>
      <c r="ES569" s="5">
        <v>7.5</v>
      </c>
    </row>
    <row r="570" spans="1:149" x14ac:dyDescent="0.3">
      <c r="A570" s="124"/>
      <c r="B570" s="121"/>
      <c r="C570" s="121"/>
      <c r="D570" s="121"/>
      <c r="E570" s="121"/>
      <c r="F570" s="121"/>
      <c r="G570" s="121"/>
      <c r="H570" s="121"/>
      <c r="I570" s="121"/>
      <c r="J570" s="121"/>
      <c r="K570" s="121"/>
      <c r="L570" s="121"/>
      <c r="M570" s="121"/>
      <c r="N570" s="121"/>
      <c r="O570" s="235"/>
      <c r="P570" s="121"/>
      <c r="Q570" s="121"/>
      <c r="R570" s="121"/>
      <c r="S570" s="121"/>
      <c r="T570" s="121"/>
      <c r="U570" s="121"/>
      <c r="V570" s="121"/>
      <c r="W570" s="121"/>
      <c r="X570" s="117"/>
      <c r="Y570" s="117"/>
      <c r="Z570" s="121"/>
      <c r="AA570" s="121"/>
      <c r="AB570" s="121"/>
      <c r="AC570" s="121"/>
      <c r="AD570" s="121"/>
      <c r="AE570" s="121"/>
      <c r="AF570" s="121"/>
      <c r="AG570" s="121"/>
      <c r="AH570" s="121"/>
      <c r="AI570" s="121"/>
      <c r="AJ570" s="121"/>
      <c r="AK570" s="121"/>
      <c r="AL570" s="121"/>
      <c r="AM570" s="121"/>
      <c r="AN570" s="121"/>
      <c r="AO570" s="121"/>
      <c r="AP570" s="121"/>
      <c r="AQ570" s="121"/>
      <c r="AR570" s="121"/>
      <c r="AS570" s="121"/>
      <c r="AT570" s="121"/>
      <c r="AU570" s="121"/>
      <c r="AV570" s="121"/>
      <c r="AW570" s="121"/>
      <c r="AX570" s="121"/>
      <c r="AY570" s="121"/>
      <c r="AZ570" s="121"/>
      <c r="BA570" s="121"/>
      <c r="BB570" s="121"/>
      <c r="BC570" s="121"/>
      <c r="BD570" s="121"/>
      <c r="BE570" s="121"/>
      <c r="BF570" s="121"/>
      <c r="BG570" s="121"/>
      <c r="BH570" s="121"/>
      <c r="BI570" s="121"/>
      <c r="BJ570" s="121"/>
      <c r="BK570" s="121"/>
      <c r="BL570" s="121"/>
      <c r="BM570" s="121"/>
      <c r="BN570" s="121"/>
      <c r="BO570" s="121"/>
      <c r="BP570" s="121"/>
      <c r="BQ570" s="121"/>
      <c r="BR570" s="121"/>
      <c r="BS570" s="121"/>
      <c r="BT570" s="121"/>
      <c r="BU570" s="121"/>
      <c r="BV570" s="121"/>
      <c r="BW570" s="121"/>
      <c r="BX570" s="121"/>
      <c r="BY570" s="121"/>
      <c r="BZ570" s="121"/>
      <c r="CA570" s="121"/>
      <c r="CB570" s="121"/>
      <c r="CC570" s="121"/>
      <c r="CD570" s="121"/>
      <c r="CE570" s="121"/>
      <c r="CF570" s="121"/>
      <c r="CG570" s="121"/>
      <c r="CH570" s="121"/>
      <c r="CI570" s="121"/>
      <c r="CJ570" s="121"/>
      <c r="CK570" s="121"/>
      <c r="CL570" s="121"/>
      <c r="CM570" s="121"/>
      <c r="CN570" s="121"/>
      <c r="CO570" s="121"/>
      <c r="CP570" s="121"/>
      <c r="CQ570" s="121"/>
      <c r="CR570" s="121"/>
      <c r="CS570" s="121"/>
      <c r="CT570" s="121"/>
      <c r="CU570" s="121"/>
      <c r="CV570" s="121"/>
      <c r="CW570" s="121"/>
      <c r="CX570" s="121"/>
      <c r="CY570" s="121"/>
      <c r="CZ570" s="121"/>
      <c r="DA570" s="121"/>
      <c r="DB570" s="121"/>
      <c r="DC570" s="121"/>
      <c r="DD570" s="121"/>
      <c r="DE570" s="121"/>
      <c r="DF570" s="121"/>
      <c r="DG570" s="121"/>
      <c r="DH570" s="121"/>
      <c r="DI570" s="121"/>
      <c r="DJ570" s="121"/>
      <c r="DK570" s="121"/>
      <c r="DL570" s="121"/>
      <c r="DM570" s="121"/>
      <c r="DN570" s="121"/>
      <c r="DO570" s="121"/>
      <c r="DP570" s="121"/>
      <c r="DQ570" s="121"/>
      <c r="DR570" s="121"/>
      <c r="DS570" s="121"/>
      <c r="DT570" s="240"/>
      <c r="DU570" s="240"/>
      <c r="DV570" s="240"/>
      <c r="DW570" s="240"/>
      <c r="DX570" s="240"/>
      <c r="DY570" s="240"/>
      <c r="DZ570" s="240"/>
      <c r="EA570" s="240"/>
      <c r="EB570" s="237">
        <f t="shared" si="64"/>
        <v>0</v>
      </c>
      <c r="EC570" s="237">
        <f t="shared" si="65"/>
        <v>0</v>
      </c>
      <c r="ED570" s="237">
        <f t="shared" si="66"/>
        <v>0</v>
      </c>
      <c r="EE570" s="237">
        <f t="shared" si="67"/>
        <v>0</v>
      </c>
      <c r="EF570" s="121"/>
      <c r="EG570" s="238">
        <f t="shared" si="68"/>
        <v>0</v>
      </c>
      <c r="EH570" s="121"/>
      <c r="EI570" s="237">
        <f t="shared" si="69"/>
        <v>0</v>
      </c>
      <c r="EJ570" s="121"/>
      <c r="EK570" s="237">
        <f t="shared" si="70"/>
        <v>0</v>
      </c>
      <c r="EL570" s="237"/>
      <c r="EM570" s="5"/>
      <c r="EN570" s="5"/>
      <c r="EO570" s="5"/>
      <c r="EP570" s="5"/>
      <c r="EQ570" s="237">
        <f t="shared" si="71"/>
        <v>0</v>
      </c>
      <c r="ER570" s="239">
        <v>23300</v>
      </c>
      <c r="ES570" s="5">
        <v>7.5</v>
      </c>
    </row>
    <row r="571" spans="1:149" x14ac:dyDescent="0.3">
      <c r="A571" s="124"/>
      <c r="B571" s="121"/>
      <c r="C571" s="121"/>
      <c r="D571" s="121"/>
      <c r="E571" s="121"/>
      <c r="F571" s="121"/>
      <c r="G571" s="121"/>
      <c r="H571" s="121"/>
      <c r="I571" s="121"/>
      <c r="J571" s="121"/>
      <c r="K571" s="121"/>
      <c r="L571" s="121"/>
      <c r="M571" s="121"/>
      <c r="N571" s="121"/>
      <c r="O571" s="235"/>
      <c r="P571" s="121"/>
      <c r="Q571" s="121"/>
      <c r="R571" s="121"/>
      <c r="S571" s="121"/>
      <c r="T571" s="121"/>
      <c r="U571" s="121"/>
      <c r="V571" s="121"/>
      <c r="W571" s="121"/>
      <c r="X571" s="117"/>
      <c r="Y571" s="117"/>
      <c r="Z571" s="121"/>
      <c r="AA571" s="121"/>
      <c r="AB571" s="121"/>
      <c r="AC571" s="121"/>
      <c r="AD571" s="121"/>
      <c r="AE571" s="121"/>
      <c r="AF571" s="121"/>
      <c r="AG571" s="121"/>
      <c r="AH571" s="121"/>
      <c r="AI571" s="121"/>
      <c r="AJ571" s="121"/>
      <c r="AK571" s="121"/>
      <c r="AL571" s="121"/>
      <c r="AM571" s="121"/>
      <c r="AN571" s="121"/>
      <c r="AO571" s="121"/>
      <c r="AP571" s="121"/>
      <c r="AQ571" s="121"/>
      <c r="AR571" s="121"/>
      <c r="AS571" s="121"/>
      <c r="AT571" s="121"/>
      <c r="AU571" s="121"/>
      <c r="AV571" s="121"/>
      <c r="AW571" s="121"/>
      <c r="AX571" s="121"/>
      <c r="AY571" s="121"/>
      <c r="AZ571" s="121"/>
      <c r="BA571" s="121"/>
      <c r="BB571" s="121"/>
      <c r="BC571" s="121"/>
      <c r="BD571" s="121"/>
      <c r="BE571" s="121"/>
      <c r="BF571" s="121"/>
      <c r="BG571" s="121"/>
      <c r="BH571" s="121"/>
      <c r="BI571" s="121"/>
      <c r="BJ571" s="121"/>
      <c r="BK571" s="121"/>
      <c r="BL571" s="121"/>
      <c r="BM571" s="121"/>
      <c r="BN571" s="121"/>
      <c r="BO571" s="121"/>
      <c r="BP571" s="121"/>
      <c r="BQ571" s="121"/>
      <c r="BR571" s="121"/>
      <c r="BS571" s="121"/>
      <c r="BT571" s="121"/>
      <c r="BU571" s="121"/>
      <c r="BV571" s="121"/>
      <c r="BW571" s="121"/>
      <c r="BX571" s="121"/>
      <c r="BY571" s="121"/>
      <c r="BZ571" s="121"/>
      <c r="CA571" s="121"/>
      <c r="CB571" s="121"/>
      <c r="CC571" s="121"/>
      <c r="CD571" s="121"/>
      <c r="CE571" s="121"/>
      <c r="CF571" s="121"/>
      <c r="CG571" s="121"/>
      <c r="CH571" s="121"/>
      <c r="CI571" s="121"/>
      <c r="CJ571" s="121"/>
      <c r="CK571" s="121"/>
      <c r="CL571" s="121"/>
      <c r="CM571" s="121"/>
      <c r="CN571" s="121"/>
      <c r="CO571" s="121"/>
      <c r="CP571" s="121"/>
      <c r="CQ571" s="121"/>
      <c r="CR571" s="121"/>
      <c r="CS571" s="121"/>
      <c r="CT571" s="121"/>
      <c r="CU571" s="121"/>
      <c r="CV571" s="121"/>
      <c r="CW571" s="121"/>
      <c r="CX571" s="121"/>
      <c r="CY571" s="121"/>
      <c r="CZ571" s="121"/>
      <c r="DA571" s="121"/>
      <c r="DB571" s="121"/>
      <c r="DC571" s="121"/>
      <c r="DD571" s="121"/>
      <c r="DE571" s="121"/>
      <c r="DF571" s="121"/>
      <c r="DG571" s="121"/>
      <c r="DH571" s="121"/>
      <c r="DI571" s="121"/>
      <c r="DJ571" s="121"/>
      <c r="DK571" s="121"/>
      <c r="DL571" s="121"/>
      <c r="DM571" s="121"/>
      <c r="DN571" s="121"/>
      <c r="DO571" s="121"/>
      <c r="DP571" s="121"/>
      <c r="DQ571" s="121"/>
      <c r="DR571" s="121"/>
      <c r="DS571" s="121"/>
      <c r="DT571" s="240"/>
      <c r="DU571" s="240"/>
      <c r="DV571" s="240"/>
      <c r="DW571" s="240"/>
      <c r="DX571" s="240"/>
      <c r="DY571" s="240"/>
      <c r="DZ571" s="240"/>
      <c r="EA571" s="240"/>
      <c r="EB571" s="237">
        <f t="shared" si="64"/>
        <v>0</v>
      </c>
      <c r="EC571" s="237">
        <f t="shared" si="65"/>
        <v>0</v>
      </c>
      <c r="ED571" s="237">
        <f t="shared" si="66"/>
        <v>0</v>
      </c>
      <c r="EE571" s="237">
        <f t="shared" si="67"/>
        <v>0</v>
      </c>
      <c r="EF571" s="121"/>
      <c r="EG571" s="238">
        <f t="shared" si="68"/>
        <v>0</v>
      </c>
      <c r="EH571" s="121"/>
      <c r="EI571" s="237">
        <f t="shared" si="69"/>
        <v>0</v>
      </c>
      <c r="EJ571" s="121"/>
      <c r="EK571" s="237">
        <f t="shared" si="70"/>
        <v>0</v>
      </c>
      <c r="EL571" s="237"/>
      <c r="EM571" s="5"/>
      <c r="EN571" s="5"/>
      <c r="EO571" s="5"/>
      <c r="EP571" s="5"/>
      <c r="EQ571" s="237">
        <f t="shared" si="71"/>
        <v>0</v>
      </c>
      <c r="ER571" s="239">
        <v>23300</v>
      </c>
      <c r="ES571" s="5">
        <v>7.5</v>
      </c>
    </row>
    <row r="572" spans="1:149" x14ac:dyDescent="0.3">
      <c r="A572" s="124"/>
      <c r="B572" s="121"/>
      <c r="C572" s="121"/>
      <c r="D572" s="121"/>
      <c r="E572" s="121"/>
      <c r="F572" s="121"/>
      <c r="G572" s="121"/>
      <c r="H572" s="121"/>
      <c r="I572" s="121"/>
      <c r="J572" s="121"/>
      <c r="K572" s="121"/>
      <c r="L572" s="121"/>
      <c r="M572" s="121"/>
      <c r="N572" s="121"/>
      <c r="O572" s="235"/>
      <c r="P572" s="121"/>
      <c r="Q572" s="121"/>
      <c r="R572" s="121"/>
      <c r="S572" s="121"/>
      <c r="T572" s="121"/>
      <c r="U572" s="121"/>
      <c r="V572" s="121"/>
      <c r="W572" s="121"/>
      <c r="X572" s="117"/>
      <c r="Y572" s="117"/>
      <c r="Z572" s="121"/>
      <c r="AA572" s="121"/>
      <c r="AB572" s="121"/>
      <c r="AC572" s="121"/>
      <c r="AD572" s="121"/>
      <c r="AE572" s="121"/>
      <c r="AF572" s="121"/>
      <c r="AG572" s="121"/>
      <c r="AH572" s="121"/>
      <c r="AI572" s="121"/>
      <c r="AJ572" s="121"/>
      <c r="AK572" s="121"/>
      <c r="AL572" s="121"/>
      <c r="AM572" s="121"/>
      <c r="AN572" s="121"/>
      <c r="AO572" s="121"/>
      <c r="AP572" s="121"/>
      <c r="AQ572" s="121"/>
      <c r="AR572" s="121"/>
      <c r="AS572" s="121"/>
      <c r="AT572" s="121"/>
      <c r="AU572" s="121"/>
      <c r="AV572" s="121"/>
      <c r="AW572" s="121"/>
      <c r="AX572" s="121"/>
      <c r="AY572" s="121"/>
      <c r="AZ572" s="121"/>
      <c r="BA572" s="121"/>
      <c r="BB572" s="121"/>
      <c r="BC572" s="121"/>
      <c r="BD572" s="121"/>
      <c r="BE572" s="121"/>
      <c r="BF572" s="121"/>
      <c r="BG572" s="121"/>
      <c r="BH572" s="121"/>
      <c r="BI572" s="121"/>
      <c r="BJ572" s="121"/>
      <c r="BK572" s="121"/>
      <c r="BL572" s="121"/>
      <c r="BM572" s="121"/>
      <c r="BN572" s="121"/>
      <c r="BO572" s="121"/>
      <c r="BP572" s="121"/>
      <c r="BQ572" s="121"/>
      <c r="BR572" s="121"/>
      <c r="BS572" s="121"/>
      <c r="BT572" s="121"/>
      <c r="BU572" s="121"/>
      <c r="BV572" s="121"/>
      <c r="BW572" s="121"/>
      <c r="BX572" s="121"/>
      <c r="BY572" s="121"/>
      <c r="BZ572" s="121"/>
      <c r="CA572" s="121"/>
      <c r="CB572" s="121"/>
      <c r="CC572" s="121"/>
      <c r="CD572" s="121"/>
      <c r="CE572" s="121"/>
      <c r="CF572" s="121"/>
      <c r="CG572" s="121"/>
      <c r="CH572" s="121"/>
      <c r="CI572" s="121"/>
      <c r="CJ572" s="121"/>
      <c r="CK572" s="121"/>
      <c r="CL572" s="121"/>
      <c r="CM572" s="121"/>
      <c r="CN572" s="121"/>
      <c r="CO572" s="121"/>
      <c r="CP572" s="121"/>
      <c r="CQ572" s="121"/>
      <c r="CR572" s="121"/>
      <c r="CS572" s="121"/>
      <c r="CT572" s="121"/>
      <c r="CU572" s="121"/>
      <c r="CV572" s="121"/>
      <c r="CW572" s="121"/>
      <c r="CX572" s="121"/>
      <c r="CY572" s="121"/>
      <c r="CZ572" s="121"/>
      <c r="DA572" s="121"/>
      <c r="DB572" s="121"/>
      <c r="DC572" s="121"/>
      <c r="DD572" s="121"/>
      <c r="DE572" s="121"/>
      <c r="DF572" s="121"/>
      <c r="DG572" s="121"/>
      <c r="DH572" s="121"/>
      <c r="DI572" s="121"/>
      <c r="DJ572" s="121"/>
      <c r="DK572" s="121"/>
      <c r="DL572" s="121"/>
      <c r="DM572" s="121"/>
      <c r="DN572" s="121"/>
      <c r="DO572" s="121"/>
      <c r="DP572" s="121"/>
      <c r="DQ572" s="121"/>
      <c r="DR572" s="121"/>
      <c r="DS572" s="121"/>
      <c r="DT572" s="240"/>
      <c r="DU572" s="240"/>
      <c r="DV572" s="240"/>
      <c r="DW572" s="240"/>
      <c r="DX572" s="240"/>
      <c r="DY572" s="240"/>
      <c r="DZ572" s="240"/>
      <c r="EA572" s="240"/>
      <c r="EB572" s="237">
        <f t="shared" si="64"/>
        <v>0</v>
      </c>
      <c r="EC572" s="237">
        <f t="shared" si="65"/>
        <v>0</v>
      </c>
      <c r="ED572" s="237">
        <f t="shared" si="66"/>
        <v>0</v>
      </c>
      <c r="EE572" s="237">
        <f t="shared" si="67"/>
        <v>0</v>
      </c>
      <c r="EF572" s="121"/>
      <c r="EG572" s="238">
        <f t="shared" si="68"/>
        <v>0</v>
      </c>
      <c r="EH572" s="121"/>
      <c r="EI572" s="237">
        <f t="shared" si="69"/>
        <v>0</v>
      </c>
      <c r="EJ572" s="121"/>
      <c r="EK572" s="237">
        <f t="shared" si="70"/>
        <v>0</v>
      </c>
      <c r="EL572" s="237"/>
      <c r="EM572" s="5"/>
      <c r="EN572" s="5"/>
      <c r="EO572" s="5"/>
      <c r="EP572" s="5"/>
      <c r="EQ572" s="237">
        <f t="shared" si="71"/>
        <v>0</v>
      </c>
      <c r="ER572" s="239">
        <v>23300</v>
      </c>
      <c r="ES572" s="5">
        <v>7.5</v>
      </c>
    </row>
    <row r="573" spans="1:149" x14ac:dyDescent="0.3">
      <c r="A573" s="124"/>
      <c r="B573" s="121"/>
      <c r="C573" s="121"/>
      <c r="D573" s="121"/>
      <c r="E573" s="121"/>
      <c r="F573" s="121"/>
      <c r="G573" s="121"/>
      <c r="H573" s="121"/>
      <c r="I573" s="121"/>
      <c r="J573" s="121"/>
      <c r="K573" s="121"/>
      <c r="L573" s="121"/>
      <c r="M573" s="121"/>
      <c r="N573" s="121"/>
      <c r="O573" s="235"/>
      <c r="P573" s="121"/>
      <c r="Q573" s="121"/>
      <c r="R573" s="121"/>
      <c r="S573" s="121"/>
      <c r="T573" s="121"/>
      <c r="U573" s="121"/>
      <c r="V573" s="121"/>
      <c r="W573" s="121"/>
      <c r="X573" s="117"/>
      <c r="Y573" s="117"/>
      <c r="Z573" s="121"/>
      <c r="AA573" s="121"/>
      <c r="AB573" s="121"/>
      <c r="AC573" s="121"/>
      <c r="AD573" s="121"/>
      <c r="AE573" s="121"/>
      <c r="AF573" s="121"/>
      <c r="AG573" s="121"/>
      <c r="AH573" s="121"/>
      <c r="AI573" s="121"/>
      <c r="AJ573" s="121"/>
      <c r="AK573" s="121"/>
      <c r="AL573" s="121"/>
      <c r="AM573" s="121"/>
      <c r="AN573" s="121"/>
      <c r="AO573" s="121"/>
      <c r="AP573" s="121"/>
      <c r="AQ573" s="121"/>
      <c r="AR573" s="121"/>
      <c r="AS573" s="121"/>
      <c r="AT573" s="121"/>
      <c r="AU573" s="121"/>
      <c r="AV573" s="121"/>
      <c r="AW573" s="121"/>
      <c r="AX573" s="121"/>
      <c r="AY573" s="121"/>
      <c r="AZ573" s="121"/>
      <c r="BA573" s="121"/>
      <c r="BB573" s="121"/>
      <c r="BC573" s="121"/>
      <c r="BD573" s="121"/>
      <c r="BE573" s="121"/>
      <c r="BF573" s="121"/>
      <c r="BG573" s="121"/>
      <c r="BH573" s="121"/>
      <c r="BI573" s="121"/>
      <c r="BJ573" s="121"/>
      <c r="BK573" s="121"/>
      <c r="BL573" s="121"/>
      <c r="BM573" s="121"/>
      <c r="BN573" s="121"/>
      <c r="BO573" s="121"/>
      <c r="BP573" s="121"/>
      <c r="BQ573" s="121"/>
      <c r="BR573" s="121"/>
      <c r="BS573" s="121"/>
      <c r="BT573" s="121"/>
      <c r="BU573" s="121"/>
      <c r="BV573" s="121"/>
      <c r="BW573" s="121"/>
      <c r="BX573" s="121"/>
      <c r="BY573" s="121"/>
      <c r="BZ573" s="121"/>
      <c r="CA573" s="121"/>
      <c r="CB573" s="121"/>
      <c r="CC573" s="121"/>
      <c r="CD573" s="121"/>
      <c r="CE573" s="121"/>
      <c r="CF573" s="121"/>
      <c r="CG573" s="121"/>
      <c r="CH573" s="121"/>
      <c r="CI573" s="121"/>
      <c r="CJ573" s="121"/>
      <c r="CK573" s="121"/>
      <c r="CL573" s="121"/>
      <c r="CM573" s="121"/>
      <c r="CN573" s="121"/>
      <c r="CO573" s="121"/>
      <c r="CP573" s="121"/>
      <c r="CQ573" s="121"/>
      <c r="CR573" s="121"/>
      <c r="CS573" s="121"/>
      <c r="CT573" s="121"/>
      <c r="CU573" s="121"/>
      <c r="CV573" s="121"/>
      <c r="CW573" s="121"/>
      <c r="CX573" s="121"/>
      <c r="CY573" s="121"/>
      <c r="CZ573" s="121"/>
      <c r="DA573" s="121"/>
      <c r="DB573" s="121"/>
      <c r="DC573" s="121"/>
      <c r="DD573" s="121"/>
      <c r="DE573" s="121"/>
      <c r="DF573" s="121"/>
      <c r="DG573" s="121"/>
      <c r="DH573" s="121"/>
      <c r="DI573" s="121"/>
      <c r="DJ573" s="121"/>
      <c r="DK573" s="121"/>
      <c r="DL573" s="121"/>
      <c r="DM573" s="121"/>
      <c r="DN573" s="121"/>
      <c r="DO573" s="121"/>
      <c r="DP573" s="121"/>
      <c r="DQ573" s="121"/>
      <c r="DR573" s="121"/>
      <c r="DS573" s="121"/>
      <c r="DT573" s="240"/>
      <c r="DU573" s="240"/>
      <c r="DV573" s="240"/>
      <c r="DW573" s="240"/>
      <c r="DX573" s="240"/>
      <c r="DY573" s="240"/>
      <c r="DZ573" s="240"/>
      <c r="EA573" s="240"/>
      <c r="EB573" s="237">
        <f t="shared" si="64"/>
        <v>0</v>
      </c>
      <c r="EC573" s="237">
        <f t="shared" si="65"/>
        <v>0</v>
      </c>
      <c r="ED573" s="237">
        <f t="shared" si="66"/>
        <v>0</v>
      </c>
      <c r="EE573" s="237">
        <f t="shared" si="67"/>
        <v>0</v>
      </c>
      <c r="EF573" s="121"/>
      <c r="EG573" s="238">
        <f t="shared" si="68"/>
        <v>0</v>
      </c>
      <c r="EH573" s="121"/>
      <c r="EI573" s="237">
        <f t="shared" si="69"/>
        <v>0</v>
      </c>
      <c r="EJ573" s="121"/>
      <c r="EK573" s="237">
        <f t="shared" si="70"/>
        <v>0</v>
      </c>
      <c r="EL573" s="237"/>
      <c r="EM573" s="5"/>
      <c r="EN573" s="5"/>
      <c r="EO573" s="5"/>
      <c r="EP573" s="5"/>
      <c r="EQ573" s="237">
        <f t="shared" si="71"/>
        <v>0</v>
      </c>
      <c r="ER573" s="239">
        <v>23300</v>
      </c>
      <c r="ES573" s="5">
        <v>7.5</v>
      </c>
    </row>
    <row r="574" spans="1:149" x14ac:dyDescent="0.3">
      <c r="A574" s="124"/>
      <c r="B574" s="121"/>
      <c r="C574" s="121"/>
      <c r="D574" s="121"/>
      <c r="E574" s="121"/>
      <c r="F574" s="121"/>
      <c r="G574" s="121"/>
      <c r="H574" s="121"/>
      <c r="I574" s="121"/>
      <c r="J574" s="121"/>
      <c r="K574" s="121"/>
      <c r="L574" s="121"/>
      <c r="M574" s="121"/>
      <c r="N574" s="121"/>
      <c r="O574" s="235"/>
      <c r="P574" s="121"/>
      <c r="Q574" s="121"/>
      <c r="R574" s="121"/>
      <c r="S574" s="121"/>
      <c r="T574" s="121"/>
      <c r="U574" s="121"/>
      <c r="V574" s="121"/>
      <c r="W574" s="121"/>
      <c r="X574" s="117"/>
      <c r="Y574" s="117"/>
      <c r="Z574" s="121"/>
      <c r="AA574" s="121"/>
      <c r="AB574" s="121"/>
      <c r="AC574" s="121"/>
      <c r="AD574" s="121"/>
      <c r="AE574" s="121"/>
      <c r="AF574" s="121"/>
      <c r="AG574" s="121"/>
      <c r="AH574" s="121"/>
      <c r="AI574" s="121"/>
      <c r="AJ574" s="121"/>
      <c r="AK574" s="121"/>
      <c r="AL574" s="121"/>
      <c r="AM574" s="121"/>
      <c r="AN574" s="121"/>
      <c r="AO574" s="121"/>
      <c r="AP574" s="121"/>
      <c r="AQ574" s="121"/>
      <c r="AR574" s="121"/>
      <c r="AS574" s="121"/>
      <c r="AT574" s="121"/>
      <c r="AU574" s="121"/>
      <c r="AV574" s="121"/>
      <c r="AW574" s="121"/>
      <c r="AX574" s="121"/>
      <c r="AY574" s="121"/>
      <c r="AZ574" s="121"/>
      <c r="BA574" s="121"/>
      <c r="BB574" s="121"/>
      <c r="BC574" s="121"/>
      <c r="BD574" s="121"/>
      <c r="BE574" s="121"/>
      <c r="BF574" s="121"/>
      <c r="BG574" s="121"/>
      <c r="BH574" s="121"/>
      <c r="BI574" s="121"/>
      <c r="BJ574" s="121"/>
      <c r="BK574" s="121"/>
      <c r="BL574" s="121"/>
      <c r="BM574" s="121"/>
      <c r="BN574" s="121"/>
      <c r="BO574" s="121"/>
      <c r="BP574" s="121"/>
      <c r="BQ574" s="121"/>
      <c r="BR574" s="121"/>
      <c r="BS574" s="121"/>
      <c r="BT574" s="121"/>
      <c r="BU574" s="121"/>
      <c r="BV574" s="121"/>
      <c r="BW574" s="121"/>
      <c r="BX574" s="121"/>
      <c r="BY574" s="121"/>
      <c r="BZ574" s="121"/>
      <c r="CA574" s="121"/>
      <c r="CB574" s="121"/>
      <c r="CC574" s="121"/>
      <c r="CD574" s="121"/>
      <c r="CE574" s="121"/>
      <c r="CF574" s="121"/>
      <c r="CG574" s="121"/>
      <c r="CH574" s="121"/>
      <c r="CI574" s="121"/>
      <c r="CJ574" s="121"/>
      <c r="CK574" s="121"/>
      <c r="CL574" s="121"/>
      <c r="CM574" s="121"/>
      <c r="CN574" s="121"/>
      <c r="CO574" s="121"/>
      <c r="CP574" s="121"/>
      <c r="CQ574" s="121"/>
      <c r="CR574" s="121"/>
      <c r="CS574" s="121"/>
      <c r="CT574" s="121"/>
      <c r="CU574" s="121"/>
      <c r="CV574" s="121"/>
      <c r="CW574" s="121"/>
      <c r="CX574" s="121"/>
      <c r="CY574" s="121"/>
      <c r="CZ574" s="121"/>
      <c r="DA574" s="121"/>
      <c r="DB574" s="121"/>
      <c r="DC574" s="121"/>
      <c r="DD574" s="121"/>
      <c r="DE574" s="121"/>
      <c r="DF574" s="121"/>
      <c r="DG574" s="121"/>
      <c r="DH574" s="121"/>
      <c r="DI574" s="121"/>
      <c r="DJ574" s="121"/>
      <c r="DK574" s="121"/>
      <c r="DL574" s="121"/>
      <c r="DM574" s="121"/>
      <c r="DN574" s="121"/>
      <c r="DO574" s="121"/>
      <c r="DP574" s="121"/>
      <c r="DQ574" s="121"/>
      <c r="DR574" s="121"/>
      <c r="DS574" s="121"/>
      <c r="DT574" s="240"/>
      <c r="DU574" s="240"/>
      <c r="DV574" s="240"/>
      <c r="DW574" s="240"/>
      <c r="DX574" s="240"/>
      <c r="DY574" s="240"/>
      <c r="DZ574" s="240"/>
      <c r="EA574" s="240"/>
      <c r="EB574" s="237">
        <f t="shared" si="64"/>
        <v>0</v>
      </c>
      <c r="EC574" s="237">
        <f t="shared" si="65"/>
        <v>0</v>
      </c>
      <c r="ED574" s="237">
        <f t="shared" si="66"/>
        <v>0</v>
      </c>
      <c r="EE574" s="237">
        <f t="shared" si="67"/>
        <v>0</v>
      </c>
      <c r="EF574" s="121"/>
      <c r="EG574" s="238">
        <f t="shared" si="68"/>
        <v>0</v>
      </c>
      <c r="EH574" s="121"/>
      <c r="EI574" s="237">
        <f t="shared" si="69"/>
        <v>0</v>
      </c>
      <c r="EJ574" s="121"/>
      <c r="EK574" s="237">
        <f t="shared" si="70"/>
        <v>0</v>
      </c>
      <c r="EL574" s="237"/>
      <c r="EM574" s="5"/>
      <c r="EN574" s="5"/>
      <c r="EO574" s="5"/>
      <c r="EP574" s="5"/>
      <c r="EQ574" s="237">
        <f t="shared" si="71"/>
        <v>0</v>
      </c>
      <c r="ER574" s="239">
        <v>23300</v>
      </c>
      <c r="ES574" s="5">
        <v>7.5</v>
      </c>
    </row>
    <row r="575" spans="1:149" x14ac:dyDescent="0.3">
      <c r="A575" s="124"/>
      <c r="B575" s="121"/>
      <c r="C575" s="121"/>
      <c r="D575" s="121"/>
      <c r="E575" s="121"/>
      <c r="F575" s="121"/>
      <c r="G575" s="121"/>
      <c r="H575" s="121"/>
      <c r="I575" s="121"/>
      <c r="J575" s="121"/>
      <c r="K575" s="121"/>
      <c r="L575" s="121"/>
      <c r="M575" s="121"/>
      <c r="N575" s="121"/>
      <c r="O575" s="235"/>
      <c r="P575" s="121"/>
      <c r="Q575" s="121"/>
      <c r="R575" s="121"/>
      <c r="S575" s="121"/>
      <c r="T575" s="121"/>
      <c r="U575" s="121"/>
      <c r="V575" s="121"/>
      <c r="W575" s="121"/>
      <c r="X575" s="117"/>
      <c r="Y575" s="117"/>
      <c r="Z575" s="121"/>
      <c r="AA575" s="121"/>
      <c r="AB575" s="121"/>
      <c r="AC575" s="121"/>
      <c r="AD575" s="121"/>
      <c r="AE575" s="121"/>
      <c r="AF575" s="121"/>
      <c r="AG575" s="121"/>
      <c r="AH575" s="121"/>
      <c r="AI575" s="121"/>
      <c r="AJ575" s="121"/>
      <c r="AK575" s="121"/>
      <c r="AL575" s="121"/>
      <c r="AM575" s="121"/>
      <c r="AN575" s="121"/>
      <c r="AO575" s="121"/>
      <c r="AP575" s="121"/>
      <c r="AQ575" s="121"/>
      <c r="AR575" s="121"/>
      <c r="AS575" s="121"/>
      <c r="AT575" s="121"/>
      <c r="AU575" s="121"/>
      <c r="AV575" s="121"/>
      <c r="AW575" s="121"/>
      <c r="AX575" s="121"/>
      <c r="AY575" s="121"/>
      <c r="AZ575" s="121"/>
      <c r="BA575" s="121"/>
      <c r="BB575" s="121"/>
      <c r="BC575" s="121"/>
      <c r="BD575" s="121"/>
      <c r="BE575" s="121"/>
      <c r="BF575" s="121"/>
      <c r="BG575" s="121"/>
      <c r="BH575" s="121"/>
      <c r="BI575" s="121"/>
      <c r="BJ575" s="121"/>
      <c r="BK575" s="121"/>
      <c r="BL575" s="121"/>
      <c r="BM575" s="121"/>
      <c r="BN575" s="121"/>
      <c r="BO575" s="121"/>
      <c r="BP575" s="121"/>
      <c r="BQ575" s="121"/>
      <c r="BR575" s="121"/>
      <c r="BS575" s="121"/>
      <c r="BT575" s="121"/>
      <c r="BU575" s="121"/>
      <c r="BV575" s="121"/>
      <c r="BW575" s="121"/>
      <c r="BX575" s="121"/>
      <c r="BY575" s="121"/>
      <c r="BZ575" s="121"/>
      <c r="CA575" s="121"/>
      <c r="CB575" s="121"/>
      <c r="CC575" s="121"/>
      <c r="CD575" s="121"/>
      <c r="CE575" s="121"/>
      <c r="CF575" s="121"/>
      <c r="CG575" s="121"/>
      <c r="CH575" s="121"/>
      <c r="CI575" s="121"/>
      <c r="CJ575" s="121"/>
      <c r="CK575" s="121"/>
      <c r="CL575" s="121"/>
      <c r="CM575" s="121"/>
      <c r="CN575" s="121"/>
      <c r="CO575" s="121"/>
      <c r="CP575" s="121"/>
      <c r="CQ575" s="121"/>
      <c r="CR575" s="121"/>
      <c r="CS575" s="121"/>
      <c r="CT575" s="121"/>
      <c r="CU575" s="121"/>
      <c r="CV575" s="121"/>
      <c r="CW575" s="121"/>
      <c r="CX575" s="121"/>
      <c r="CY575" s="121"/>
      <c r="CZ575" s="121"/>
      <c r="DA575" s="121"/>
      <c r="DB575" s="121"/>
      <c r="DC575" s="121"/>
      <c r="DD575" s="121"/>
      <c r="DE575" s="121"/>
      <c r="DF575" s="121"/>
      <c r="DG575" s="121"/>
      <c r="DH575" s="121"/>
      <c r="DI575" s="121"/>
      <c r="DJ575" s="121"/>
      <c r="DK575" s="121"/>
      <c r="DL575" s="121"/>
      <c r="DM575" s="121"/>
      <c r="DN575" s="121"/>
      <c r="DO575" s="121"/>
      <c r="DP575" s="121"/>
      <c r="DQ575" s="121"/>
      <c r="DR575" s="121"/>
      <c r="DS575" s="121"/>
      <c r="DT575" s="240"/>
      <c r="DU575" s="240"/>
      <c r="DV575" s="240"/>
      <c r="DW575" s="240"/>
      <c r="DX575" s="240"/>
      <c r="DY575" s="240"/>
      <c r="DZ575" s="240"/>
      <c r="EA575" s="240"/>
      <c r="EB575" s="237">
        <f t="shared" si="64"/>
        <v>0</v>
      </c>
      <c r="EC575" s="237">
        <f t="shared" si="65"/>
        <v>0</v>
      </c>
      <c r="ED575" s="237">
        <f t="shared" si="66"/>
        <v>0</v>
      </c>
      <c r="EE575" s="237">
        <f t="shared" si="67"/>
        <v>0</v>
      </c>
      <c r="EF575" s="121"/>
      <c r="EG575" s="238">
        <f t="shared" si="68"/>
        <v>0</v>
      </c>
      <c r="EH575" s="121"/>
      <c r="EI575" s="237">
        <f t="shared" si="69"/>
        <v>0</v>
      </c>
      <c r="EJ575" s="121"/>
      <c r="EK575" s="237">
        <f t="shared" si="70"/>
        <v>0</v>
      </c>
      <c r="EL575" s="237"/>
      <c r="EM575" s="5"/>
      <c r="EN575" s="5"/>
      <c r="EO575" s="5"/>
      <c r="EP575" s="5"/>
      <c r="EQ575" s="237">
        <f t="shared" si="71"/>
        <v>0</v>
      </c>
      <c r="ER575" s="239">
        <v>23300</v>
      </c>
      <c r="ES575" s="5">
        <v>7.5</v>
      </c>
    </row>
    <row r="576" spans="1:149" x14ac:dyDescent="0.3">
      <c r="A576" s="124"/>
      <c r="B576" s="121"/>
      <c r="C576" s="121"/>
      <c r="D576" s="121"/>
      <c r="E576" s="121"/>
      <c r="F576" s="121"/>
      <c r="G576" s="121"/>
      <c r="H576" s="121"/>
      <c r="I576" s="121"/>
      <c r="J576" s="121"/>
      <c r="K576" s="121"/>
      <c r="L576" s="121"/>
      <c r="M576" s="121"/>
      <c r="N576" s="121"/>
      <c r="O576" s="235"/>
      <c r="P576" s="121"/>
      <c r="Q576" s="121"/>
      <c r="R576" s="121"/>
      <c r="S576" s="121"/>
      <c r="T576" s="121"/>
      <c r="U576" s="121"/>
      <c r="V576" s="121"/>
      <c r="W576" s="121"/>
      <c r="X576" s="117"/>
      <c r="Y576" s="117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/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121"/>
      <c r="BJ576" s="121"/>
      <c r="BK576" s="121"/>
      <c r="BL576" s="121"/>
      <c r="BM576" s="121"/>
      <c r="BN576" s="121"/>
      <c r="BO576" s="121"/>
      <c r="BP576" s="121"/>
      <c r="BQ576" s="121"/>
      <c r="BR576" s="121"/>
      <c r="BS576" s="121"/>
      <c r="BT576" s="121"/>
      <c r="BU576" s="121"/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/>
      <c r="CP576" s="121"/>
      <c r="CQ576" s="121"/>
      <c r="CR576" s="121"/>
      <c r="CS576" s="121"/>
      <c r="CT576" s="121"/>
      <c r="CU576" s="121"/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/>
      <c r="DF576" s="121"/>
      <c r="DG576" s="121"/>
      <c r="DH576" s="121"/>
      <c r="DI576" s="121"/>
      <c r="DJ576" s="121"/>
      <c r="DK576" s="121"/>
      <c r="DL576" s="121"/>
      <c r="DM576" s="121"/>
      <c r="DN576" s="121"/>
      <c r="DO576" s="121"/>
      <c r="DP576" s="121"/>
      <c r="DQ576" s="121"/>
      <c r="DR576" s="121"/>
      <c r="DS576" s="121"/>
      <c r="DT576" s="240"/>
      <c r="DU576" s="240"/>
      <c r="DV576" s="240"/>
      <c r="DW576" s="240"/>
      <c r="DX576" s="240"/>
      <c r="DY576" s="240"/>
      <c r="DZ576" s="240"/>
      <c r="EA576" s="240"/>
      <c r="EB576" s="237">
        <f t="shared" si="64"/>
        <v>0</v>
      </c>
      <c r="EC576" s="237">
        <f t="shared" si="65"/>
        <v>0</v>
      </c>
      <c r="ED576" s="237">
        <f t="shared" si="66"/>
        <v>0</v>
      </c>
      <c r="EE576" s="237">
        <f t="shared" si="67"/>
        <v>0</v>
      </c>
      <c r="EF576" s="121"/>
      <c r="EG576" s="238">
        <f t="shared" si="68"/>
        <v>0</v>
      </c>
      <c r="EH576" s="121"/>
      <c r="EI576" s="237">
        <f t="shared" si="69"/>
        <v>0</v>
      </c>
      <c r="EJ576" s="121"/>
      <c r="EK576" s="237">
        <f t="shared" si="70"/>
        <v>0</v>
      </c>
      <c r="EL576" s="237"/>
      <c r="EM576" s="5"/>
      <c r="EN576" s="5"/>
      <c r="EO576" s="5"/>
      <c r="EP576" s="5"/>
      <c r="EQ576" s="237">
        <f t="shared" si="71"/>
        <v>0</v>
      </c>
      <c r="ER576" s="239">
        <v>23300</v>
      </c>
      <c r="ES576" s="5">
        <v>7.5</v>
      </c>
    </row>
    <row r="577" spans="1:149" x14ac:dyDescent="0.3">
      <c r="A577" s="124"/>
      <c r="B577" s="121"/>
      <c r="C577" s="121"/>
      <c r="D577" s="121"/>
      <c r="E577" s="121"/>
      <c r="F577" s="121"/>
      <c r="G577" s="121"/>
      <c r="H577" s="121"/>
      <c r="I577" s="121"/>
      <c r="J577" s="121"/>
      <c r="K577" s="121"/>
      <c r="L577" s="121"/>
      <c r="M577" s="121"/>
      <c r="N577" s="121"/>
      <c r="O577" s="235"/>
      <c r="P577" s="121"/>
      <c r="Q577" s="121"/>
      <c r="R577" s="121"/>
      <c r="S577" s="121"/>
      <c r="T577" s="121"/>
      <c r="U577" s="121"/>
      <c r="V577" s="121"/>
      <c r="W577" s="121"/>
      <c r="X577" s="117"/>
      <c r="Y577" s="117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21"/>
      <c r="BJ577" s="121"/>
      <c r="BK577" s="121"/>
      <c r="BL577" s="121"/>
      <c r="BM577" s="121"/>
      <c r="BN577" s="121"/>
      <c r="BO577" s="121"/>
      <c r="BP577" s="121"/>
      <c r="BQ577" s="121"/>
      <c r="BR577" s="121"/>
      <c r="BS577" s="121"/>
      <c r="BT577" s="121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21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  <c r="DK577" s="121"/>
      <c r="DL577" s="121"/>
      <c r="DM577" s="121"/>
      <c r="DN577" s="121"/>
      <c r="DO577" s="121"/>
      <c r="DP577" s="121"/>
      <c r="DQ577" s="121"/>
      <c r="DR577" s="121"/>
      <c r="DS577" s="121"/>
      <c r="DT577" s="240"/>
      <c r="DU577" s="240"/>
      <c r="DV577" s="240"/>
      <c r="DW577" s="240"/>
      <c r="DX577" s="240"/>
      <c r="DY577" s="240"/>
      <c r="DZ577" s="240"/>
      <c r="EA577" s="240"/>
      <c r="EB577" s="237">
        <f t="shared" si="64"/>
        <v>0</v>
      </c>
      <c r="EC577" s="237">
        <f t="shared" si="65"/>
        <v>0</v>
      </c>
      <c r="ED577" s="237">
        <f t="shared" si="66"/>
        <v>0</v>
      </c>
      <c r="EE577" s="237">
        <f t="shared" si="67"/>
        <v>0</v>
      </c>
      <c r="EF577" s="121"/>
      <c r="EG577" s="238">
        <f t="shared" si="68"/>
        <v>0</v>
      </c>
      <c r="EH577" s="121"/>
      <c r="EI577" s="237">
        <f t="shared" si="69"/>
        <v>0</v>
      </c>
      <c r="EJ577" s="121"/>
      <c r="EK577" s="237">
        <f t="shared" si="70"/>
        <v>0</v>
      </c>
      <c r="EL577" s="237"/>
      <c r="EM577" s="5"/>
      <c r="EN577" s="5"/>
      <c r="EO577" s="5"/>
      <c r="EP577" s="5"/>
      <c r="EQ577" s="237">
        <f t="shared" si="71"/>
        <v>0</v>
      </c>
      <c r="ER577" s="239">
        <v>23300</v>
      </c>
      <c r="ES577" s="5">
        <v>7.5</v>
      </c>
    </row>
    <row r="578" spans="1:149" x14ac:dyDescent="0.3">
      <c r="A578" s="124"/>
      <c r="B578" s="121"/>
      <c r="C578" s="121"/>
      <c r="D578" s="121"/>
      <c r="E578" s="121"/>
      <c r="F578" s="121"/>
      <c r="G578" s="121"/>
      <c r="H578" s="121"/>
      <c r="I578" s="121"/>
      <c r="J578" s="121"/>
      <c r="K578" s="121"/>
      <c r="L578" s="121"/>
      <c r="M578" s="121"/>
      <c r="N578" s="121"/>
      <c r="O578" s="235"/>
      <c r="P578" s="121"/>
      <c r="Q578" s="121"/>
      <c r="R578" s="121"/>
      <c r="S578" s="121"/>
      <c r="T578" s="121"/>
      <c r="U578" s="121"/>
      <c r="V578" s="121"/>
      <c r="W578" s="121"/>
      <c r="X578" s="117"/>
      <c r="Y578" s="117"/>
      <c r="Z578" s="121"/>
      <c r="AA578" s="121"/>
      <c r="AB578" s="121"/>
      <c r="AC578" s="121"/>
      <c r="AD578" s="121"/>
      <c r="AE578" s="121"/>
      <c r="AF578" s="121"/>
      <c r="AG578" s="121"/>
      <c r="AH578" s="121"/>
      <c r="AI578" s="121"/>
      <c r="AJ578" s="121"/>
      <c r="AK578" s="121"/>
      <c r="AL578" s="121"/>
      <c r="AM578" s="121"/>
      <c r="AN578" s="121"/>
      <c r="AO578" s="121"/>
      <c r="AP578" s="121"/>
      <c r="AQ578" s="121"/>
      <c r="AR578" s="121"/>
      <c r="AS578" s="121"/>
      <c r="AT578" s="121"/>
      <c r="AU578" s="121"/>
      <c r="AV578" s="121"/>
      <c r="AW578" s="121"/>
      <c r="AX578" s="121"/>
      <c r="AY578" s="121"/>
      <c r="AZ578" s="121"/>
      <c r="BA578" s="121"/>
      <c r="BB578" s="121"/>
      <c r="BC578" s="121"/>
      <c r="BD578" s="121"/>
      <c r="BE578" s="121"/>
      <c r="BF578" s="121"/>
      <c r="BG578" s="121"/>
      <c r="BH578" s="121"/>
      <c r="BI578" s="121"/>
      <c r="BJ578" s="121"/>
      <c r="BK578" s="121"/>
      <c r="BL578" s="121"/>
      <c r="BM578" s="121"/>
      <c r="BN578" s="121"/>
      <c r="BO578" s="121"/>
      <c r="BP578" s="121"/>
      <c r="BQ578" s="121"/>
      <c r="BR578" s="121"/>
      <c r="BS578" s="121"/>
      <c r="BT578" s="121"/>
      <c r="BU578" s="121"/>
      <c r="BV578" s="121"/>
      <c r="BW578" s="121"/>
      <c r="BX578" s="121"/>
      <c r="BY578" s="121"/>
      <c r="BZ578" s="121"/>
      <c r="CA578" s="121"/>
      <c r="CB578" s="121"/>
      <c r="CC578" s="121"/>
      <c r="CD578" s="121"/>
      <c r="CE578" s="121"/>
      <c r="CF578" s="121"/>
      <c r="CG578" s="121"/>
      <c r="CH578" s="121"/>
      <c r="CI578" s="121"/>
      <c r="CJ578" s="121"/>
      <c r="CK578" s="121"/>
      <c r="CL578" s="121"/>
      <c r="CM578" s="121"/>
      <c r="CN578" s="121"/>
      <c r="CO578" s="121"/>
      <c r="CP578" s="121"/>
      <c r="CQ578" s="121"/>
      <c r="CR578" s="121"/>
      <c r="CS578" s="121"/>
      <c r="CT578" s="121"/>
      <c r="CU578" s="121"/>
      <c r="CV578" s="121"/>
      <c r="CW578" s="121"/>
      <c r="CX578" s="121"/>
      <c r="CY578" s="121"/>
      <c r="CZ578" s="121"/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  <c r="DK578" s="121"/>
      <c r="DL578" s="121"/>
      <c r="DM578" s="121"/>
      <c r="DN578" s="121"/>
      <c r="DO578" s="121"/>
      <c r="DP578" s="121"/>
      <c r="DQ578" s="121"/>
      <c r="DR578" s="121"/>
      <c r="DS578" s="121"/>
      <c r="DT578" s="240"/>
      <c r="DU578" s="240"/>
      <c r="DV578" s="240"/>
      <c r="DW578" s="240"/>
      <c r="DX578" s="240"/>
      <c r="DY578" s="240"/>
      <c r="DZ578" s="240"/>
      <c r="EA578" s="240"/>
      <c r="EB578" s="237">
        <f t="shared" si="64"/>
        <v>0</v>
      </c>
      <c r="EC578" s="237">
        <f t="shared" si="65"/>
        <v>0</v>
      </c>
      <c r="ED578" s="237">
        <f t="shared" si="66"/>
        <v>0</v>
      </c>
      <c r="EE578" s="237">
        <f t="shared" si="67"/>
        <v>0</v>
      </c>
      <c r="EF578" s="121"/>
      <c r="EG578" s="238">
        <f t="shared" si="68"/>
        <v>0</v>
      </c>
      <c r="EH578" s="121"/>
      <c r="EI578" s="237">
        <f t="shared" si="69"/>
        <v>0</v>
      </c>
      <c r="EJ578" s="121"/>
      <c r="EK578" s="237">
        <f t="shared" si="70"/>
        <v>0</v>
      </c>
      <c r="EL578" s="237"/>
      <c r="EM578" s="5"/>
      <c r="EN578" s="5"/>
      <c r="EO578" s="5"/>
      <c r="EP578" s="5"/>
      <c r="EQ578" s="237">
        <f t="shared" si="71"/>
        <v>0</v>
      </c>
      <c r="ER578" s="239">
        <v>23300</v>
      </c>
      <c r="ES578" s="5">
        <v>7.5</v>
      </c>
    </row>
    <row r="579" spans="1:149" x14ac:dyDescent="0.3">
      <c r="A579" s="124"/>
      <c r="B579" s="121"/>
      <c r="C579" s="121"/>
      <c r="D579" s="121"/>
      <c r="E579" s="121"/>
      <c r="F579" s="121"/>
      <c r="G579" s="121"/>
      <c r="H579" s="121"/>
      <c r="I579" s="121"/>
      <c r="J579" s="121"/>
      <c r="K579" s="121"/>
      <c r="L579" s="121"/>
      <c r="M579" s="121"/>
      <c r="N579" s="121"/>
      <c r="O579" s="235"/>
      <c r="P579" s="121"/>
      <c r="Q579" s="121"/>
      <c r="R579" s="121"/>
      <c r="S579" s="121"/>
      <c r="T579" s="121"/>
      <c r="U579" s="121"/>
      <c r="V579" s="121"/>
      <c r="W579" s="121"/>
      <c r="X579" s="117"/>
      <c r="Y579" s="117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1"/>
      <c r="AL579" s="121"/>
      <c r="AM579" s="121"/>
      <c r="AN579" s="121"/>
      <c r="AO579" s="121"/>
      <c r="AP579" s="121"/>
      <c r="AQ579" s="121"/>
      <c r="AR579" s="121"/>
      <c r="AS579" s="121"/>
      <c r="AT579" s="121"/>
      <c r="AU579" s="121"/>
      <c r="AV579" s="121"/>
      <c r="AW579" s="121"/>
      <c r="AX579" s="121"/>
      <c r="AY579" s="121"/>
      <c r="AZ579" s="121"/>
      <c r="BA579" s="121"/>
      <c r="BB579" s="121"/>
      <c r="BC579" s="121"/>
      <c r="BD579" s="121"/>
      <c r="BE579" s="121"/>
      <c r="BF579" s="121"/>
      <c r="BG579" s="121"/>
      <c r="BH579" s="121"/>
      <c r="BI579" s="121"/>
      <c r="BJ579" s="121"/>
      <c r="BK579" s="121"/>
      <c r="BL579" s="121"/>
      <c r="BM579" s="121"/>
      <c r="BN579" s="121"/>
      <c r="BO579" s="121"/>
      <c r="BP579" s="121"/>
      <c r="BQ579" s="121"/>
      <c r="BR579" s="121"/>
      <c r="BS579" s="121"/>
      <c r="BT579" s="121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21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  <c r="DK579" s="121"/>
      <c r="DL579" s="121"/>
      <c r="DM579" s="121"/>
      <c r="DN579" s="121"/>
      <c r="DO579" s="121"/>
      <c r="DP579" s="121"/>
      <c r="DQ579" s="121"/>
      <c r="DR579" s="121"/>
      <c r="DS579" s="121"/>
      <c r="DT579" s="240"/>
      <c r="DU579" s="240"/>
      <c r="DV579" s="240"/>
      <c r="DW579" s="240"/>
      <c r="DX579" s="240"/>
      <c r="DY579" s="240"/>
      <c r="DZ579" s="240"/>
      <c r="EA579" s="240"/>
      <c r="EB579" s="237">
        <f t="shared" si="64"/>
        <v>0</v>
      </c>
      <c r="EC579" s="237">
        <f t="shared" si="65"/>
        <v>0</v>
      </c>
      <c r="ED579" s="237">
        <f t="shared" si="66"/>
        <v>0</v>
      </c>
      <c r="EE579" s="237">
        <f t="shared" si="67"/>
        <v>0</v>
      </c>
      <c r="EF579" s="121"/>
      <c r="EG579" s="238">
        <f t="shared" si="68"/>
        <v>0</v>
      </c>
      <c r="EH579" s="121"/>
      <c r="EI579" s="237">
        <f t="shared" si="69"/>
        <v>0</v>
      </c>
      <c r="EJ579" s="121"/>
      <c r="EK579" s="237">
        <f t="shared" si="70"/>
        <v>0</v>
      </c>
      <c r="EL579" s="237"/>
      <c r="EM579" s="5"/>
      <c r="EN579" s="5"/>
      <c r="EO579" s="5"/>
      <c r="EP579" s="5"/>
      <c r="EQ579" s="237">
        <f t="shared" si="71"/>
        <v>0</v>
      </c>
      <c r="ER579" s="239">
        <v>23300</v>
      </c>
      <c r="ES579" s="5">
        <v>7.5</v>
      </c>
    </row>
    <row r="580" spans="1:149" x14ac:dyDescent="0.3">
      <c r="A580" s="124"/>
      <c r="B580" s="121"/>
      <c r="C580" s="121"/>
      <c r="D580" s="121"/>
      <c r="E580" s="121"/>
      <c r="F580" s="121"/>
      <c r="G580" s="121"/>
      <c r="H580" s="121"/>
      <c r="I580" s="121"/>
      <c r="J580" s="121"/>
      <c r="K580" s="121"/>
      <c r="L580" s="121"/>
      <c r="M580" s="121"/>
      <c r="N580" s="121"/>
      <c r="O580" s="235"/>
      <c r="P580" s="121"/>
      <c r="Q580" s="121"/>
      <c r="R580" s="121"/>
      <c r="S580" s="121"/>
      <c r="T580" s="121"/>
      <c r="U580" s="121"/>
      <c r="V580" s="121"/>
      <c r="W580" s="121"/>
      <c r="X580" s="117"/>
      <c r="Y580" s="117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21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  <c r="DK580" s="121"/>
      <c r="DL580" s="121"/>
      <c r="DM580" s="121"/>
      <c r="DN580" s="121"/>
      <c r="DO580" s="121"/>
      <c r="DP580" s="121"/>
      <c r="DQ580" s="121"/>
      <c r="DR580" s="121"/>
      <c r="DS580" s="121"/>
      <c r="DT580" s="240"/>
      <c r="DU580" s="240"/>
      <c r="DV580" s="240"/>
      <c r="DW580" s="240"/>
      <c r="DX580" s="240"/>
      <c r="DY580" s="240"/>
      <c r="DZ580" s="240"/>
      <c r="EA580" s="240"/>
      <c r="EB580" s="237">
        <f t="shared" si="64"/>
        <v>0</v>
      </c>
      <c r="EC580" s="237">
        <f t="shared" si="65"/>
        <v>0</v>
      </c>
      <c r="ED580" s="237">
        <f t="shared" si="66"/>
        <v>0</v>
      </c>
      <c r="EE580" s="237">
        <f t="shared" si="67"/>
        <v>0</v>
      </c>
      <c r="EF580" s="121"/>
      <c r="EG580" s="238">
        <f t="shared" si="68"/>
        <v>0</v>
      </c>
      <c r="EH580" s="121"/>
      <c r="EI580" s="237">
        <f t="shared" si="69"/>
        <v>0</v>
      </c>
      <c r="EJ580" s="121"/>
      <c r="EK580" s="237">
        <f t="shared" si="70"/>
        <v>0</v>
      </c>
      <c r="EL580" s="237"/>
      <c r="EM580" s="5"/>
      <c r="EN580" s="5"/>
      <c r="EO580" s="5"/>
      <c r="EP580" s="5"/>
      <c r="EQ580" s="237">
        <f t="shared" si="71"/>
        <v>0</v>
      </c>
      <c r="ER580" s="239">
        <v>23300</v>
      </c>
      <c r="ES580" s="5">
        <v>7.5</v>
      </c>
    </row>
    <row r="581" spans="1:149" x14ac:dyDescent="0.3">
      <c r="A581" s="124"/>
      <c r="B581" s="121"/>
      <c r="C581" s="121"/>
      <c r="D581" s="121"/>
      <c r="E581" s="121"/>
      <c r="F581" s="121"/>
      <c r="G581" s="121"/>
      <c r="H581" s="121"/>
      <c r="I581" s="121"/>
      <c r="J581" s="121"/>
      <c r="K581" s="121"/>
      <c r="L581" s="121"/>
      <c r="M581" s="121"/>
      <c r="N581" s="121"/>
      <c r="O581" s="235"/>
      <c r="P581" s="121"/>
      <c r="Q581" s="121"/>
      <c r="R581" s="121"/>
      <c r="S581" s="121"/>
      <c r="T581" s="121"/>
      <c r="U581" s="121"/>
      <c r="V581" s="121"/>
      <c r="W581" s="121"/>
      <c r="X581" s="117"/>
      <c r="Y581" s="117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21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  <c r="DK581" s="121"/>
      <c r="DL581" s="121"/>
      <c r="DM581" s="121"/>
      <c r="DN581" s="121"/>
      <c r="DO581" s="121"/>
      <c r="DP581" s="121"/>
      <c r="DQ581" s="121"/>
      <c r="DR581" s="121"/>
      <c r="DS581" s="121"/>
      <c r="DT581" s="240"/>
      <c r="DU581" s="240"/>
      <c r="DV581" s="240"/>
      <c r="DW581" s="240"/>
      <c r="DX581" s="240"/>
      <c r="DY581" s="240"/>
      <c r="DZ581" s="240"/>
      <c r="EA581" s="240"/>
      <c r="EB581" s="237">
        <f t="shared" si="64"/>
        <v>0</v>
      </c>
      <c r="EC581" s="237">
        <f t="shared" si="65"/>
        <v>0</v>
      </c>
      <c r="ED581" s="237">
        <f t="shared" si="66"/>
        <v>0</v>
      </c>
      <c r="EE581" s="237">
        <f t="shared" si="67"/>
        <v>0</v>
      </c>
      <c r="EF581" s="121"/>
      <c r="EG581" s="238">
        <f t="shared" si="68"/>
        <v>0</v>
      </c>
      <c r="EH581" s="121"/>
      <c r="EI581" s="237">
        <f t="shared" si="69"/>
        <v>0</v>
      </c>
      <c r="EJ581" s="121"/>
      <c r="EK581" s="237">
        <f t="shared" si="70"/>
        <v>0</v>
      </c>
      <c r="EL581" s="237"/>
      <c r="EM581" s="5"/>
      <c r="EN581" s="5"/>
      <c r="EO581" s="5"/>
      <c r="EP581" s="5"/>
      <c r="EQ581" s="237">
        <f t="shared" si="71"/>
        <v>0</v>
      </c>
      <c r="ER581" s="239">
        <v>23300</v>
      </c>
      <c r="ES581" s="5">
        <v>7.5</v>
      </c>
    </row>
    <row r="582" spans="1:149" x14ac:dyDescent="0.3">
      <c r="A582" s="124"/>
      <c r="B582" s="121"/>
      <c r="C582" s="121"/>
      <c r="D582" s="121"/>
      <c r="E582" s="121"/>
      <c r="F582" s="121"/>
      <c r="G582" s="121"/>
      <c r="H582" s="121"/>
      <c r="I582" s="121"/>
      <c r="J582" s="121"/>
      <c r="K582" s="121"/>
      <c r="L582" s="121"/>
      <c r="M582" s="121"/>
      <c r="N582" s="121"/>
      <c r="O582" s="235"/>
      <c r="P582" s="121"/>
      <c r="Q582" s="121"/>
      <c r="R582" s="121"/>
      <c r="S582" s="121"/>
      <c r="T582" s="121"/>
      <c r="U582" s="121"/>
      <c r="V582" s="121"/>
      <c r="W582" s="121"/>
      <c r="X582" s="117"/>
      <c r="Y582" s="117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21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  <c r="DK582" s="121"/>
      <c r="DL582" s="121"/>
      <c r="DM582" s="121"/>
      <c r="DN582" s="121"/>
      <c r="DO582" s="121"/>
      <c r="DP582" s="121"/>
      <c r="DQ582" s="121"/>
      <c r="DR582" s="121"/>
      <c r="DS582" s="121"/>
      <c r="DT582" s="240"/>
      <c r="DU582" s="240"/>
      <c r="DV582" s="240"/>
      <c r="DW582" s="240"/>
      <c r="DX582" s="240"/>
      <c r="DY582" s="240"/>
      <c r="DZ582" s="240"/>
      <c r="EA582" s="240"/>
      <c r="EB582" s="237">
        <f t="shared" ref="EB582:EB645" si="72">AB582+AC582*K582+AD582*K582+((AF582+AG582+AH582+AJ582+AK582)*K582+AE582+AI582+AL582*K582+AM582*K582)+AP582+AQ582*L582+AR582*L582+((AT582+AU582+AV582+AX582+AY582)*L582+AS582+AW582+AZ582*L582+BA582*L582)+IF(AND(M582&gt;0,MAX(M582,N582/1000)&lt;1),BD582+1*(BE582+BF582)+(1*(BH582+BI582+BJ582+BL582+BM582)+BG582+BK582+BN582+BO582),IF(AND(M582&gt;0,MAX(M582,N582/1000)&gt;1),BD582+MAX(M582,N582/1000)*(BE582+BF582)+(MAX(M582,N582/1000)*(BH582+BI582+BJ582+BL582+BM582)+BG582+BK582+BN582+BO582),IF(AND(K582="",L582="",M582=""),BD582+N582*(BE582+BF582)+((BH582+BI582+BJ582+BL582+BM582)*N582+BG582+BK582+BN582+BO582),0)))</f>
        <v>0</v>
      </c>
      <c r="EC582" s="237">
        <f t="shared" ref="EC582:EC645" si="73">BR582+BS582*K582+BT582*K582+((BV582+BW582+BX582+BZ582+CA582)*K582+BU582+BY582+CB582*K582+CC582*K582)+CJ582+CK582*L582+CL582*L582+((CN582+CO582+CP582+CR582+CS582)*L582+CM582+CQ582+CT582*L582+CU582*L582)+IF(AND(M582&gt;0,MAX(M582,N582/1000)&lt;1),DB582+1*(DC582+DD582)+(1*(DF582+DG582+DH582+DJ582+DK582)+DE582+DI582+DL582+DM582),IF(AND(M582&gt;0,MAX(M582,N582/1000)&gt;1),DB582+MAX(M582,N582/1000)*(DC582+DD582)+(MAX(M582,N582/1000)*(DF582+DG582+DH582+DJ582+DK582)+DE582+DI582+DL582+DM582),IF(AND(K582="",L582="",M582=""),DB582+N582*(DC582+DD582)+((DF582+DG582+DH582+DJ582+DK582)*N582+DE582+DI582+DL582+DM582),0)))</f>
        <v>0</v>
      </c>
      <c r="ED582" s="237">
        <f t="shared" ref="ED582:ED645" si="74">AN582*K582*(1-AO582%)+BB582*L582*(1-BC582%)+BP582*IF(AND(M582&gt;0,M582&lt;1),1,IF(M582&gt;1,MAX(M582,N582/1000),N582))*(1-BQ582%)</f>
        <v>0</v>
      </c>
      <c r="EE582" s="237">
        <f t="shared" ref="EE582:EE645" si="75">(CD582+CE582*K582)*(1-CF582%)+(CG582+CH582*K582)*(1-CI582%)+(CV582+CW582*L582)*(1-CX582%)+(CY582+CZ582*L582)*(1-DA582%)+(DN582+DO582*IF(AND(M582&gt;0,M582&lt;1),1,IF(M582&gt;1,MAX(M582,N582/1000),N582)))*(1-DP582%)+(DQ582+DR582*IF(AND(M582&gt;0,M582&lt;1),1,IF(M582&gt;1,MAX(M582,N582/1000),N582)))*(1-DS582%)</f>
        <v>0</v>
      </c>
      <c r="EF582" s="121"/>
      <c r="EG582" s="238">
        <f t="shared" ref="EG582:EG645" si="76">((BR582+BS582*K582+BT582*K582)+(CJ582+CK582*L582*+CL582*L582)+IF(AND(M582&gt;0,MAX(M582,N582/1000)&lt;1),DB582+DC582+DD582,IF(AND(M582&gt;0,MAX(M582,N582/1000)&gt;1),DB582+DC582*M582+DD582*M582,IF(AND(M582&gt;0,MAX(M582,N582/1000)&gt;1),DB582+MAX(M582,N582/1000)*DC582+MAX(M582,N582/1000)*DD582+IF(AND(K582="",L582="",M582=""),DB582+DC582*N582+DD582*N582,0)))))*EF582/365*ES582%</f>
        <v>0</v>
      </c>
      <c r="EH582" s="121"/>
      <c r="EI582" s="237">
        <f t="shared" ref="EI582:EI645" si="77">(((BV582+BW582+BX582+BZ582+CA582)*K582+BU582+BY582)*1.08+CJ582+CK582*L582+CL582*L582+((CN582+CO582+CP582+CR582+CS582)*L582+CM582+CQ582)*1.08+IF(AND(M582&gt;0,MAX(M582,N582/1000)&lt;1),DB582+1*(DC582+DD582)+(1*(DF582+DG582+DH582+DJ582+DK582)+DE582+DI582)*1.08,IF(AND(M582&gt;0,MAX(M582,N582/1000)&gt;1),DB582+MAX(M582,N582/1000)*(DC582+DD582)+(MAX(M582,N582/1000)*(DF582+DG582+DH582+DJ582+DK582)+DE582+DI582)*1.08,IF(AND(K582="",L582="",M582=""),DB582+N582*(DC582+DD582)+((DF582+DG582+DH582+DJ582+DK582)*N582+DE582+DI582)*1.08,0))))*EH582/365*ES582%</f>
        <v>0</v>
      </c>
      <c r="EJ582" s="121"/>
      <c r="EK582" s="237">
        <f t="shared" ref="EK582:EK645" si="78">((CB582*K582+CC582*K582)*1.1+(CT582*L582+CU582*L582)*1.1+(DL582+DM582)*1.1)*EJ582/365*ES582%</f>
        <v>0</v>
      </c>
      <c r="EL582" s="237"/>
      <c r="EM582" s="5"/>
      <c r="EN582" s="5"/>
      <c r="EO582" s="5"/>
      <c r="EP582" s="5"/>
      <c r="EQ582" s="237">
        <f t="shared" ref="EQ582:EQ645" si="79">EC582-EB582-EG582-EI582-EK582-(AN582*K582+BB582*L582+BP582*IF(AND(M582&gt;0,M582&lt;1),1,IF(M582&gt;1,MAX(M582,N582/1000),N582))+CD582+CE582*K582+CV582+CW582*L582+DN582+DO582*IF(AND(M582&gt;0,M582&lt;1),1,IF(M582&gt;1,MAX(M582,N582/1000),N582))+CG582+CH582*K582+CY582+CZ582*L582+DQ582+DR582*IF(AND(M582&gt;0,M582&lt;1),1,IF(M582&gt;1,MAX(M582,N582/1000),N582)))-EL582-EM582*EN582/365*ES582%-EO582*EP582/365*ES582%</f>
        <v>0</v>
      </c>
      <c r="ER582" s="239">
        <v>23300</v>
      </c>
      <c r="ES582" s="5">
        <v>7.5</v>
      </c>
    </row>
    <row r="583" spans="1:149" x14ac:dyDescent="0.3">
      <c r="A583" s="124"/>
      <c r="B583" s="121"/>
      <c r="C583" s="121"/>
      <c r="D583" s="121"/>
      <c r="E583" s="121"/>
      <c r="F583" s="121"/>
      <c r="G583" s="121"/>
      <c r="H583" s="121"/>
      <c r="I583" s="121"/>
      <c r="J583" s="121"/>
      <c r="K583" s="121"/>
      <c r="L583" s="121"/>
      <c r="M583" s="121"/>
      <c r="N583" s="121"/>
      <c r="O583" s="235"/>
      <c r="P583" s="121"/>
      <c r="Q583" s="121"/>
      <c r="R583" s="121"/>
      <c r="S583" s="121"/>
      <c r="T583" s="121"/>
      <c r="U583" s="121"/>
      <c r="V583" s="121"/>
      <c r="W583" s="121"/>
      <c r="X583" s="117"/>
      <c r="Y583" s="117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21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  <c r="DK583" s="121"/>
      <c r="DL583" s="121"/>
      <c r="DM583" s="121"/>
      <c r="DN583" s="121"/>
      <c r="DO583" s="121"/>
      <c r="DP583" s="121"/>
      <c r="DQ583" s="121"/>
      <c r="DR583" s="121"/>
      <c r="DS583" s="121"/>
      <c r="DT583" s="240"/>
      <c r="DU583" s="240"/>
      <c r="DV583" s="240"/>
      <c r="DW583" s="240"/>
      <c r="DX583" s="240"/>
      <c r="DY583" s="240"/>
      <c r="DZ583" s="240"/>
      <c r="EA583" s="240"/>
      <c r="EB583" s="237">
        <f t="shared" si="72"/>
        <v>0</v>
      </c>
      <c r="EC583" s="237">
        <f t="shared" si="73"/>
        <v>0</v>
      </c>
      <c r="ED583" s="237">
        <f t="shared" si="74"/>
        <v>0</v>
      </c>
      <c r="EE583" s="237">
        <f t="shared" si="75"/>
        <v>0</v>
      </c>
      <c r="EF583" s="121"/>
      <c r="EG583" s="238">
        <f t="shared" si="76"/>
        <v>0</v>
      </c>
      <c r="EH583" s="121"/>
      <c r="EI583" s="237">
        <f t="shared" si="77"/>
        <v>0</v>
      </c>
      <c r="EJ583" s="121"/>
      <c r="EK583" s="237">
        <f t="shared" si="78"/>
        <v>0</v>
      </c>
      <c r="EL583" s="237"/>
      <c r="EM583" s="5"/>
      <c r="EN583" s="5"/>
      <c r="EO583" s="5"/>
      <c r="EP583" s="5"/>
      <c r="EQ583" s="237">
        <f t="shared" si="79"/>
        <v>0</v>
      </c>
      <c r="ER583" s="239">
        <v>23300</v>
      </c>
      <c r="ES583" s="5">
        <v>7.5</v>
      </c>
    </row>
    <row r="584" spans="1:149" x14ac:dyDescent="0.3">
      <c r="A584" s="124"/>
      <c r="B584" s="121"/>
      <c r="C584" s="121"/>
      <c r="D584" s="121"/>
      <c r="E584" s="121"/>
      <c r="F584" s="121"/>
      <c r="G584" s="121"/>
      <c r="H584" s="121"/>
      <c r="I584" s="121"/>
      <c r="J584" s="121"/>
      <c r="K584" s="121"/>
      <c r="L584" s="121"/>
      <c r="M584" s="121"/>
      <c r="N584" s="121"/>
      <c r="O584" s="235"/>
      <c r="P584" s="121"/>
      <c r="Q584" s="121"/>
      <c r="R584" s="121"/>
      <c r="S584" s="121"/>
      <c r="T584" s="121"/>
      <c r="U584" s="121"/>
      <c r="V584" s="121"/>
      <c r="W584" s="121"/>
      <c r="X584" s="117"/>
      <c r="Y584" s="117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21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  <c r="DK584" s="121"/>
      <c r="DL584" s="121"/>
      <c r="DM584" s="121"/>
      <c r="DN584" s="121"/>
      <c r="DO584" s="121"/>
      <c r="DP584" s="121"/>
      <c r="DQ584" s="121"/>
      <c r="DR584" s="121"/>
      <c r="DS584" s="121"/>
      <c r="DT584" s="240"/>
      <c r="DU584" s="240"/>
      <c r="DV584" s="240"/>
      <c r="DW584" s="240"/>
      <c r="DX584" s="240"/>
      <c r="DY584" s="240"/>
      <c r="DZ584" s="240"/>
      <c r="EA584" s="240"/>
      <c r="EB584" s="237">
        <f t="shared" si="72"/>
        <v>0</v>
      </c>
      <c r="EC584" s="237">
        <f t="shared" si="73"/>
        <v>0</v>
      </c>
      <c r="ED584" s="237">
        <f t="shared" si="74"/>
        <v>0</v>
      </c>
      <c r="EE584" s="237">
        <f t="shared" si="75"/>
        <v>0</v>
      </c>
      <c r="EF584" s="121"/>
      <c r="EG584" s="238">
        <f t="shared" si="76"/>
        <v>0</v>
      </c>
      <c r="EH584" s="121"/>
      <c r="EI584" s="237">
        <f t="shared" si="77"/>
        <v>0</v>
      </c>
      <c r="EJ584" s="121"/>
      <c r="EK584" s="237">
        <f t="shared" si="78"/>
        <v>0</v>
      </c>
      <c r="EL584" s="237"/>
      <c r="EM584" s="5"/>
      <c r="EN584" s="5"/>
      <c r="EO584" s="5"/>
      <c r="EP584" s="5"/>
      <c r="EQ584" s="237">
        <f t="shared" si="79"/>
        <v>0</v>
      </c>
      <c r="ER584" s="239">
        <v>23300</v>
      </c>
      <c r="ES584" s="5">
        <v>7.5</v>
      </c>
    </row>
    <row r="585" spans="1:149" x14ac:dyDescent="0.3">
      <c r="A585" s="124"/>
      <c r="B585" s="121"/>
      <c r="C585" s="121"/>
      <c r="D585" s="121"/>
      <c r="E585" s="121"/>
      <c r="F585" s="121"/>
      <c r="G585" s="121"/>
      <c r="H585" s="121"/>
      <c r="I585" s="121"/>
      <c r="J585" s="121"/>
      <c r="K585" s="121"/>
      <c r="L585" s="121"/>
      <c r="M585" s="121"/>
      <c r="N585" s="121"/>
      <c r="O585" s="235"/>
      <c r="P585" s="121"/>
      <c r="Q585" s="121"/>
      <c r="R585" s="121"/>
      <c r="S585" s="121"/>
      <c r="T585" s="121"/>
      <c r="U585" s="121"/>
      <c r="V585" s="121"/>
      <c r="W585" s="121"/>
      <c r="X585" s="117"/>
      <c r="Y585" s="117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21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  <c r="DK585" s="121"/>
      <c r="DL585" s="121"/>
      <c r="DM585" s="121"/>
      <c r="DN585" s="121"/>
      <c r="DO585" s="121"/>
      <c r="DP585" s="121"/>
      <c r="DQ585" s="121"/>
      <c r="DR585" s="121"/>
      <c r="DS585" s="121"/>
      <c r="DT585" s="240"/>
      <c r="DU585" s="240"/>
      <c r="DV585" s="240"/>
      <c r="DW585" s="240"/>
      <c r="DX585" s="240"/>
      <c r="DY585" s="240"/>
      <c r="DZ585" s="240"/>
      <c r="EA585" s="240"/>
      <c r="EB585" s="237">
        <f t="shared" si="72"/>
        <v>0</v>
      </c>
      <c r="EC585" s="237">
        <f t="shared" si="73"/>
        <v>0</v>
      </c>
      <c r="ED585" s="237">
        <f t="shared" si="74"/>
        <v>0</v>
      </c>
      <c r="EE585" s="237">
        <f t="shared" si="75"/>
        <v>0</v>
      </c>
      <c r="EF585" s="121"/>
      <c r="EG585" s="238">
        <f t="shared" si="76"/>
        <v>0</v>
      </c>
      <c r="EH585" s="121"/>
      <c r="EI585" s="237">
        <f t="shared" si="77"/>
        <v>0</v>
      </c>
      <c r="EJ585" s="121"/>
      <c r="EK585" s="237">
        <f t="shared" si="78"/>
        <v>0</v>
      </c>
      <c r="EL585" s="237"/>
      <c r="EM585" s="5"/>
      <c r="EN585" s="5"/>
      <c r="EO585" s="5"/>
      <c r="EP585" s="5"/>
      <c r="EQ585" s="237">
        <f t="shared" si="79"/>
        <v>0</v>
      </c>
      <c r="ER585" s="239">
        <v>23300</v>
      </c>
      <c r="ES585" s="5">
        <v>7.5</v>
      </c>
    </row>
    <row r="586" spans="1:149" x14ac:dyDescent="0.3">
      <c r="A586" s="124"/>
      <c r="B586" s="121"/>
      <c r="C586" s="121"/>
      <c r="D586" s="121"/>
      <c r="E586" s="121"/>
      <c r="F586" s="121"/>
      <c r="G586" s="121"/>
      <c r="H586" s="121"/>
      <c r="I586" s="121"/>
      <c r="J586" s="121"/>
      <c r="K586" s="121"/>
      <c r="L586" s="121"/>
      <c r="M586" s="121"/>
      <c r="N586" s="121"/>
      <c r="O586" s="235"/>
      <c r="P586" s="121"/>
      <c r="Q586" s="121"/>
      <c r="R586" s="121"/>
      <c r="S586" s="121"/>
      <c r="T586" s="121"/>
      <c r="U586" s="121"/>
      <c r="V586" s="121"/>
      <c r="W586" s="121"/>
      <c r="X586" s="117"/>
      <c r="Y586" s="117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21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  <c r="DK586" s="121"/>
      <c r="DL586" s="121"/>
      <c r="DM586" s="121"/>
      <c r="DN586" s="121"/>
      <c r="DO586" s="121"/>
      <c r="DP586" s="121"/>
      <c r="DQ586" s="121"/>
      <c r="DR586" s="121"/>
      <c r="DS586" s="121"/>
      <c r="DT586" s="240"/>
      <c r="DU586" s="240"/>
      <c r="DV586" s="240"/>
      <c r="DW586" s="240"/>
      <c r="DX586" s="240"/>
      <c r="DY586" s="240"/>
      <c r="DZ586" s="240"/>
      <c r="EA586" s="240"/>
      <c r="EB586" s="237">
        <f t="shared" si="72"/>
        <v>0</v>
      </c>
      <c r="EC586" s="237">
        <f t="shared" si="73"/>
        <v>0</v>
      </c>
      <c r="ED586" s="237">
        <f t="shared" si="74"/>
        <v>0</v>
      </c>
      <c r="EE586" s="237">
        <f t="shared" si="75"/>
        <v>0</v>
      </c>
      <c r="EF586" s="121"/>
      <c r="EG586" s="238">
        <f t="shared" si="76"/>
        <v>0</v>
      </c>
      <c r="EH586" s="121"/>
      <c r="EI586" s="237">
        <f t="shared" si="77"/>
        <v>0</v>
      </c>
      <c r="EJ586" s="121"/>
      <c r="EK586" s="237">
        <f t="shared" si="78"/>
        <v>0</v>
      </c>
      <c r="EL586" s="237"/>
      <c r="EM586" s="5"/>
      <c r="EN586" s="5"/>
      <c r="EO586" s="5"/>
      <c r="EP586" s="5"/>
      <c r="EQ586" s="237">
        <f t="shared" si="79"/>
        <v>0</v>
      </c>
      <c r="ER586" s="239">
        <v>23300</v>
      </c>
      <c r="ES586" s="5">
        <v>7.5</v>
      </c>
    </row>
    <row r="587" spans="1:149" x14ac:dyDescent="0.3">
      <c r="A587" s="124"/>
      <c r="B587" s="121"/>
      <c r="C587" s="121"/>
      <c r="D587" s="121"/>
      <c r="E587" s="121"/>
      <c r="F587" s="121"/>
      <c r="G587" s="121"/>
      <c r="H587" s="121"/>
      <c r="I587" s="121"/>
      <c r="J587" s="121"/>
      <c r="K587" s="121"/>
      <c r="L587" s="121"/>
      <c r="M587" s="121"/>
      <c r="N587" s="121"/>
      <c r="O587" s="235"/>
      <c r="P587" s="121"/>
      <c r="Q587" s="121"/>
      <c r="R587" s="121"/>
      <c r="S587" s="121"/>
      <c r="T587" s="121"/>
      <c r="U587" s="121"/>
      <c r="V587" s="121"/>
      <c r="W587" s="121"/>
      <c r="X587" s="117"/>
      <c r="Y587" s="117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21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  <c r="DK587" s="121"/>
      <c r="DL587" s="121"/>
      <c r="DM587" s="121"/>
      <c r="DN587" s="121"/>
      <c r="DO587" s="121"/>
      <c r="DP587" s="121"/>
      <c r="DQ587" s="121"/>
      <c r="DR587" s="121"/>
      <c r="DS587" s="121"/>
      <c r="DT587" s="240"/>
      <c r="DU587" s="240"/>
      <c r="DV587" s="240"/>
      <c r="DW587" s="240"/>
      <c r="DX587" s="240"/>
      <c r="DY587" s="240"/>
      <c r="DZ587" s="240"/>
      <c r="EA587" s="240"/>
      <c r="EB587" s="237">
        <f t="shared" si="72"/>
        <v>0</v>
      </c>
      <c r="EC587" s="237">
        <f t="shared" si="73"/>
        <v>0</v>
      </c>
      <c r="ED587" s="237">
        <f t="shared" si="74"/>
        <v>0</v>
      </c>
      <c r="EE587" s="237">
        <f t="shared" si="75"/>
        <v>0</v>
      </c>
      <c r="EF587" s="121"/>
      <c r="EG587" s="238">
        <f t="shared" si="76"/>
        <v>0</v>
      </c>
      <c r="EH587" s="121"/>
      <c r="EI587" s="237">
        <f t="shared" si="77"/>
        <v>0</v>
      </c>
      <c r="EJ587" s="121"/>
      <c r="EK587" s="237">
        <f t="shared" si="78"/>
        <v>0</v>
      </c>
      <c r="EL587" s="237"/>
      <c r="EM587" s="5"/>
      <c r="EN587" s="5"/>
      <c r="EO587" s="5"/>
      <c r="EP587" s="5"/>
      <c r="EQ587" s="237">
        <f t="shared" si="79"/>
        <v>0</v>
      </c>
      <c r="ER587" s="239">
        <v>23300</v>
      </c>
      <c r="ES587" s="5">
        <v>7.5</v>
      </c>
    </row>
    <row r="588" spans="1:149" x14ac:dyDescent="0.3">
      <c r="A588" s="124"/>
      <c r="B588" s="121"/>
      <c r="C588" s="121"/>
      <c r="D588" s="121"/>
      <c r="E588" s="121"/>
      <c r="F588" s="121"/>
      <c r="G588" s="121"/>
      <c r="H588" s="121"/>
      <c r="I588" s="121"/>
      <c r="J588" s="121"/>
      <c r="K588" s="121"/>
      <c r="L588" s="121"/>
      <c r="M588" s="121"/>
      <c r="N588" s="121"/>
      <c r="O588" s="235"/>
      <c r="P588" s="121"/>
      <c r="Q588" s="121"/>
      <c r="R588" s="121"/>
      <c r="S588" s="121"/>
      <c r="T588" s="121"/>
      <c r="U588" s="121"/>
      <c r="V588" s="121"/>
      <c r="W588" s="121"/>
      <c r="X588" s="117"/>
      <c r="Y588" s="117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21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  <c r="DK588" s="121"/>
      <c r="DL588" s="121"/>
      <c r="DM588" s="121"/>
      <c r="DN588" s="121"/>
      <c r="DO588" s="121"/>
      <c r="DP588" s="121"/>
      <c r="DQ588" s="121"/>
      <c r="DR588" s="121"/>
      <c r="DS588" s="121"/>
      <c r="DT588" s="240"/>
      <c r="DU588" s="240"/>
      <c r="DV588" s="240"/>
      <c r="DW588" s="240"/>
      <c r="DX588" s="240"/>
      <c r="DY588" s="240"/>
      <c r="DZ588" s="240"/>
      <c r="EA588" s="240"/>
      <c r="EB588" s="237">
        <f t="shared" si="72"/>
        <v>0</v>
      </c>
      <c r="EC588" s="237">
        <f t="shared" si="73"/>
        <v>0</v>
      </c>
      <c r="ED588" s="237">
        <f t="shared" si="74"/>
        <v>0</v>
      </c>
      <c r="EE588" s="237">
        <f t="shared" si="75"/>
        <v>0</v>
      </c>
      <c r="EF588" s="121"/>
      <c r="EG588" s="238">
        <f t="shared" si="76"/>
        <v>0</v>
      </c>
      <c r="EH588" s="121"/>
      <c r="EI588" s="237">
        <f t="shared" si="77"/>
        <v>0</v>
      </c>
      <c r="EJ588" s="121"/>
      <c r="EK588" s="237">
        <f t="shared" si="78"/>
        <v>0</v>
      </c>
      <c r="EL588" s="237"/>
      <c r="EM588" s="5"/>
      <c r="EN588" s="5"/>
      <c r="EO588" s="5"/>
      <c r="EP588" s="5"/>
      <c r="EQ588" s="237">
        <f t="shared" si="79"/>
        <v>0</v>
      </c>
      <c r="ER588" s="239">
        <v>23300</v>
      </c>
      <c r="ES588" s="5">
        <v>7.5</v>
      </c>
    </row>
    <row r="589" spans="1:149" x14ac:dyDescent="0.3">
      <c r="A589" s="124"/>
      <c r="B589" s="121"/>
      <c r="C589" s="121"/>
      <c r="D589" s="121"/>
      <c r="E589" s="121"/>
      <c r="F589" s="121"/>
      <c r="G589" s="121"/>
      <c r="H589" s="121"/>
      <c r="I589" s="121"/>
      <c r="J589" s="121"/>
      <c r="K589" s="121"/>
      <c r="L589" s="121"/>
      <c r="M589" s="121"/>
      <c r="N589" s="121"/>
      <c r="O589" s="235"/>
      <c r="P589" s="121"/>
      <c r="Q589" s="121"/>
      <c r="R589" s="121"/>
      <c r="S589" s="121"/>
      <c r="T589" s="121"/>
      <c r="U589" s="121"/>
      <c r="V589" s="121"/>
      <c r="W589" s="121"/>
      <c r="X589" s="117"/>
      <c r="Y589" s="117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21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  <c r="DK589" s="121"/>
      <c r="DL589" s="121"/>
      <c r="DM589" s="121"/>
      <c r="DN589" s="121"/>
      <c r="DO589" s="121"/>
      <c r="DP589" s="121"/>
      <c r="DQ589" s="121"/>
      <c r="DR589" s="121"/>
      <c r="DS589" s="121"/>
      <c r="DT589" s="240"/>
      <c r="DU589" s="240"/>
      <c r="DV589" s="240"/>
      <c r="DW589" s="240"/>
      <c r="DX589" s="240"/>
      <c r="DY589" s="240"/>
      <c r="DZ589" s="240"/>
      <c r="EA589" s="240"/>
      <c r="EB589" s="237">
        <f t="shared" si="72"/>
        <v>0</v>
      </c>
      <c r="EC589" s="237">
        <f t="shared" si="73"/>
        <v>0</v>
      </c>
      <c r="ED589" s="237">
        <f t="shared" si="74"/>
        <v>0</v>
      </c>
      <c r="EE589" s="237">
        <f t="shared" si="75"/>
        <v>0</v>
      </c>
      <c r="EF589" s="121"/>
      <c r="EG589" s="238">
        <f t="shared" si="76"/>
        <v>0</v>
      </c>
      <c r="EH589" s="121"/>
      <c r="EI589" s="237">
        <f t="shared" si="77"/>
        <v>0</v>
      </c>
      <c r="EJ589" s="121"/>
      <c r="EK589" s="237">
        <f t="shared" si="78"/>
        <v>0</v>
      </c>
      <c r="EL589" s="237"/>
      <c r="EM589" s="5"/>
      <c r="EN589" s="5"/>
      <c r="EO589" s="5"/>
      <c r="EP589" s="5"/>
      <c r="EQ589" s="237">
        <f t="shared" si="79"/>
        <v>0</v>
      </c>
      <c r="ER589" s="239">
        <v>23300</v>
      </c>
      <c r="ES589" s="5">
        <v>7.5</v>
      </c>
    </row>
    <row r="590" spans="1:149" x14ac:dyDescent="0.3">
      <c r="A590" s="124"/>
      <c r="B590" s="121"/>
      <c r="C590" s="121"/>
      <c r="D590" s="121"/>
      <c r="E590" s="121"/>
      <c r="F590" s="121"/>
      <c r="G590" s="121"/>
      <c r="H590" s="121"/>
      <c r="I590" s="121"/>
      <c r="J590" s="121"/>
      <c r="K590" s="121"/>
      <c r="L590" s="121"/>
      <c r="M590" s="121"/>
      <c r="N590" s="121"/>
      <c r="O590" s="235"/>
      <c r="P590" s="121"/>
      <c r="Q590" s="121"/>
      <c r="R590" s="121"/>
      <c r="S590" s="121"/>
      <c r="T590" s="121"/>
      <c r="U590" s="121"/>
      <c r="V590" s="121"/>
      <c r="W590" s="121"/>
      <c r="X590" s="117"/>
      <c r="Y590" s="117"/>
      <c r="Z590" s="121"/>
      <c r="AA590" s="121"/>
      <c r="AB590" s="121"/>
      <c r="AC590" s="121"/>
      <c r="AD590" s="121"/>
      <c r="AE590" s="121"/>
      <c r="AF590" s="121"/>
      <c r="AG590" s="121"/>
      <c r="AH590" s="121"/>
      <c r="AI590" s="121"/>
      <c r="AJ590" s="121"/>
      <c r="AK590" s="121"/>
      <c r="AL590" s="121"/>
      <c r="AM590" s="121"/>
      <c r="AN590" s="121"/>
      <c r="AO590" s="121"/>
      <c r="AP590" s="121"/>
      <c r="AQ590" s="121"/>
      <c r="AR590" s="121"/>
      <c r="AS590" s="121"/>
      <c r="AT590" s="121"/>
      <c r="AU590" s="121"/>
      <c r="AV590" s="121"/>
      <c r="AW590" s="121"/>
      <c r="AX590" s="121"/>
      <c r="AY590" s="121"/>
      <c r="AZ590" s="121"/>
      <c r="BA590" s="121"/>
      <c r="BB590" s="121"/>
      <c r="BC590" s="121"/>
      <c r="BD590" s="121"/>
      <c r="BE590" s="121"/>
      <c r="BF590" s="121"/>
      <c r="BG590" s="121"/>
      <c r="BH590" s="121"/>
      <c r="BI590" s="121"/>
      <c r="BJ590" s="121"/>
      <c r="BK590" s="121"/>
      <c r="BL590" s="121"/>
      <c r="BM590" s="121"/>
      <c r="BN590" s="121"/>
      <c r="BO590" s="121"/>
      <c r="BP590" s="121"/>
      <c r="BQ590" s="121"/>
      <c r="BR590" s="121"/>
      <c r="BS590" s="121"/>
      <c r="BT590" s="121"/>
      <c r="BU590" s="121"/>
      <c r="BV590" s="121"/>
      <c r="BW590" s="121"/>
      <c r="BX590" s="121"/>
      <c r="BY590" s="121"/>
      <c r="BZ590" s="121"/>
      <c r="CA590" s="121"/>
      <c r="CB590" s="121"/>
      <c r="CC590" s="121"/>
      <c r="CD590" s="121"/>
      <c r="CE590" s="121"/>
      <c r="CF590" s="121"/>
      <c r="CG590" s="121"/>
      <c r="CH590" s="121"/>
      <c r="CI590" s="121"/>
      <c r="CJ590" s="121"/>
      <c r="CK590" s="121"/>
      <c r="CL590" s="121"/>
      <c r="CM590" s="121"/>
      <c r="CN590" s="121"/>
      <c r="CO590" s="121"/>
      <c r="CP590" s="121"/>
      <c r="CQ590" s="121"/>
      <c r="CR590" s="121"/>
      <c r="CS590" s="121"/>
      <c r="CT590" s="121"/>
      <c r="CU590" s="121"/>
      <c r="CV590" s="121"/>
      <c r="CW590" s="121"/>
      <c r="CX590" s="121"/>
      <c r="CY590" s="121"/>
      <c r="CZ590" s="121"/>
      <c r="DA590" s="121"/>
      <c r="DB590" s="121"/>
      <c r="DC590" s="121"/>
      <c r="DD590" s="121"/>
      <c r="DE590" s="121"/>
      <c r="DF590" s="121"/>
      <c r="DG590" s="121"/>
      <c r="DH590" s="121"/>
      <c r="DI590" s="121"/>
      <c r="DJ590" s="121"/>
      <c r="DK590" s="121"/>
      <c r="DL590" s="121"/>
      <c r="DM590" s="121"/>
      <c r="DN590" s="121"/>
      <c r="DO590" s="121"/>
      <c r="DP590" s="121"/>
      <c r="DQ590" s="121"/>
      <c r="DR590" s="121"/>
      <c r="DS590" s="121"/>
      <c r="DT590" s="240"/>
      <c r="DU590" s="240"/>
      <c r="DV590" s="240"/>
      <c r="DW590" s="240"/>
      <c r="DX590" s="240"/>
      <c r="DY590" s="240"/>
      <c r="DZ590" s="240"/>
      <c r="EA590" s="240"/>
      <c r="EB590" s="237">
        <f t="shared" si="72"/>
        <v>0</v>
      </c>
      <c r="EC590" s="237">
        <f t="shared" si="73"/>
        <v>0</v>
      </c>
      <c r="ED590" s="237">
        <f t="shared" si="74"/>
        <v>0</v>
      </c>
      <c r="EE590" s="237">
        <f t="shared" si="75"/>
        <v>0</v>
      </c>
      <c r="EF590" s="121"/>
      <c r="EG590" s="238">
        <f t="shared" si="76"/>
        <v>0</v>
      </c>
      <c r="EH590" s="121"/>
      <c r="EI590" s="237">
        <f t="shared" si="77"/>
        <v>0</v>
      </c>
      <c r="EJ590" s="121"/>
      <c r="EK590" s="237">
        <f t="shared" si="78"/>
        <v>0</v>
      </c>
      <c r="EL590" s="237"/>
      <c r="EM590" s="5"/>
      <c r="EN590" s="5"/>
      <c r="EO590" s="5"/>
      <c r="EP590" s="5"/>
      <c r="EQ590" s="237">
        <f t="shared" si="79"/>
        <v>0</v>
      </c>
      <c r="ER590" s="239">
        <v>23300</v>
      </c>
      <c r="ES590" s="5">
        <v>7.5</v>
      </c>
    </row>
    <row r="591" spans="1:149" x14ac:dyDescent="0.3">
      <c r="A591" s="124"/>
      <c r="B591" s="121"/>
      <c r="C591" s="121"/>
      <c r="D591" s="121"/>
      <c r="E591" s="121"/>
      <c r="F591" s="121"/>
      <c r="G591" s="121"/>
      <c r="H591" s="121"/>
      <c r="I591" s="121"/>
      <c r="J591" s="121"/>
      <c r="K591" s="121"/>
      <c r="L591" s="121"/>
      <c r="M591" s="121"/>
      <c r="N591" s="121"/>
      <c r="O591" s="235"/>
      <c r="P591" s="121"/>
      <c r="Q591" s="121"/>
      <c r="R591" s="121"/>
      <c r="S591" s="121"/>
      <c r="T591" s="121"/>
      <c r="U591" s="121"/>
      <c r="V591" s="121"/>
      <c r="W591" s="121"/>
      <c r="X591" s="117"/>
      <c r="Y591" s="117"/>
      <c r="Z591" s="121"/>
      <c r="AA591" s="121"/>
      <c r="AB591" s="121"/>
      <c r="AC591" s="121"/>
      <c r="AD591" s="121"/>
      <c r="AE591" s="121"/>
      <c r="AF591" s="121"/>
      <c r="AG591" s="121"/>
      <c r="AH591" s="121"/>
      <c r="AI591" s="121"/>
      <c r="AJ591" s="121"/>
      <c r="AK591" s="121"/>
      <c r="AL591" s="121"/>
      <c r="AM591" s="121"/>
      <c r="AN591" s="121"/>
      <c r="AO591" s="121"/>
      <c r="AP591" s="121"/>
      <c r="AQ591" s="121"/>
      <c r="AR591" s="121"/>
      <c r="AS591" s="121"/>
      <c r="AT591" s="121"/>
      <c r="AU591" s="121"/>
      <c r="AV591" s="121"/>
      <c r="AW591" s="121"/>
      <c r="AX591" s="121"/>
      <c r="AY591" s="121"/>
      <c r="AZ591" s="121"/>
      <c r="BA591" s="121"/>
      <c r="BB591" s="121"/>
      <c r="BC591" s="121"/>
      <c r="BD591" s="121"/>
      <c r="BE591" s="121"/>
      <c r="BF591" s="121"/>
      <c r="BG591" s="121"/>
      <c r="BH591" s="121"/>
      <c r="BI591" s="121"/>
      <c r="BJ591" s="121"/>
      <c r="BK591" s="121"/>
      <c r="BL591" s="121"/>
      <c r="BM591" s="121"/>
      <c r="BN591" s="121"/>
      <c r="BO591" s="121"/>
      <c r="BP591" s="121"/>
      <c r="BQ591" s="121"/>
      <c r="BR591" s="121"/>
      <c r="BS591" s="121"/>
      <c r="BT591" s="121"/>
      <c r="BU591" s="121"/>
      <c r="BV591" s="121"/>
      <c r="BW591" s="121"/>
      <c r="BX591" s="121"/>
      <c r="BY591" s="121"/>
      <c r="BZ591" s="121"/>
      <c r="CA591" s="121"/>
      <c r="CB591" s="121"/>
      <c r="CC591" s="121"/>
      <c r="CD591" s="121"/>
      <c r="CE591" s="121"/>
      <c r="CF591" s="121"/>
      <c r="CG591" s="121"/>
      <c r="CH591" s="121"/>
      <c r="CI591" s="121"/>
      <c r="CJ591" s="121"/>
      <c r="CK591" s="121"/>
      <c r="CL591" s="121"/>
      <c r="CM591" s="121"/>
      <c r="CN591" s="121"/>
      <c r="CO591" s="121"/>
      <c r="CP591" s="121"/>
      <c r="CQ591" s="121"/>
      <c r="CR591" s="121"/>
      <c r="CS591" s="121"/>
      <c r="CT591" s="121"/>
      <c r="CU591" s="121"/>
      <c r="CV591" s="121"/>
      <c r="CW591" s="121"/>
      <c r="CX591" s="121"/>
      <c r="CY591" s="121"/>
      <c r="CZ591" s="121"/>
      <c r="DA591" s="121"/>
      <c r="DB591" s="121"/>
      <c r="DC591" s="121"/>
      <c r="DD591" s="121"/>
      <c r="DE591" s="121"/>
      <c r="DF591" s="121"/>
      <c r="DG591" s="121"/>
      <c r="DH591" s="121"/>
      <c r="DI591" s="121"/>
      <c r="DJ591" s="121"/>
      <c r="DK591" s="121"/>
      <c r="DL591" s="121"/>
      <c r="DM591" s="121"/>
      <c r="DN591" s="121"/>
      <c r="DO591" s="121"/>
      <c r="DP591" s="121"/>
      <c r="DQ591" s="121"/>
      <c r="DR591" s="121"/>
      <c r="DS591" s="121"/>
      <c r="DT591" s="240"/>
      <c r="DU591" s="240"/>
      <c r="DV591" s="240"/>
      <c r="DW591" s="240"/>
      <c r="DX591" s="240"/>
      <c r="DY591" s="240"/>
      <c r="DZ591" s="240"/>
      <c r="EA591" s="240"/>
      <c r="EB591" s="237">
        <f t="shared" si="72"/>
        <v>0</v>
      </c>
      <c r="EC591" s="237">
        <f t="shared" si="73"/>
        <v>0</v>
      </c>
      <c r="ED591" s="237">
        <f t="shared" si="74"/>
        <v>0</v>
      </c>
      <c r="EE591" s="237">
        <f t="shared" si="75"/>
        <v>0</v>
      </c>
      <c r="EF591" s="121"/>
      <c r="EG591" s="238">
        <f t="shared" si="76"/>
        <v>0</v>
      </c>
      <c r="EH591" s="121"/>
      <c r="EI591" s="237">
        <f t="shared" si="77"/>
        <v>0</v>
      </c>
      <c r="EJ591" s="121"/>
      <c r="EK591" s="237">
        <f t="shared" si="78"/>
        <v>0</v>
      </c>
      <c r="EL591" s="237"/>
      <c r="EM591" s="5"/>
      <c r="EN591" s="5"/>
      <c r="EO591" s="5"/>
      <c r="EP591" s="5"/>
      <c r="EQ591" s="237">
        <f t="shared" si="79"/>
        <v>0</v>
      </c>
      <c r="ER591" s="239">
        <v>23300</v>
      </c>
      <c r="ES591" s="5">
        <v>7.5</v>
      </c>
    </row>
    <row r="592" spans="1:149" x14ac:dyDescent="0.3">
      <c r="A592" s="124"/>
      <c r="B592" s="121"/>
      <c r="C592" s="121"/>
      <c r="D592" s="121"/>
      <c r="E592" s="121"/>
      <c r="F592" s="121"/>
      <c r="G592" s="121"/>
      <c r="H592" s="121"/>
      <c r="I592" s="121"/>
      <c r="J592" s="121"/>
      <c r="K592" s="121"/>
      <c r="L592" s="121"/>
      <c r="M592" s="121"/>
      <c r="N592" s="121"/>
      <c r="O592" s="235"/>
      <c r="P592" s="121"/>
      <c r="Q592" s="121"/>
      <c r="R592" s="121"/>
      <c r="S592" s="121"/>
      <c r="T592" s="121"/>
      <c r="U592" s="121"/>
      <c r="V592" s="121"/>
      <c r="W592" s="121"/>
      <c r="X592" s="117"/>
      <c r="Y592" s="117"/>
      <c r="Z592" s="121"/>
      <c r="AA592" s="121"/>
      <c r="AB592" s="121"/>
      <c r="AC592" s="121"/>
      <c r="AD592" s="121"/>
      <c r="AE592" s="121"/>
      <c r="AF592" s="121"/>
      <c r="AG592" s="121"/>
      <c r="AH592" s="121"/>
      <c r="AI592" s="121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/>
      <c r="AW592" s="121"/>
      <c r="AX592" s="121"/>
      <c r="AY592" s="121"/>
      <c r="AZ592" s="121"/>
      <c r="BA592" s="121"/>
      <c r="BB592" s="121"/>
      <c r="BC592" s="121"/>
      <c r="BD592" s="121"/>
      <c r="BE592" s="121"/>
      <c r="BF592" s="121"/>
      <c r="BG592" s="121"/>
      <c r="BH592" s="121"/>
      <c r="BI592" s="121"/>
      <c r="BJ592" s="121"/>
      <c r="BK592" s="121"/>
      <c r="BL592" s="121"/>
      <c r="BM592" s="121"/>
      <c r="BN592" s="121"/>
      <c r="BO592" s="121"/>
      <c r="BP592" s="121"/>
      <c r="BQ592" s="121"/>
      <c r="BR592" s="121"/>
      <c r="BS592" s="121"/>
      <c r="BT592" s="121"/>
      <c r="BU592" s="121"/>
      <c r="BV592" s="121"/>
      <c r="BW592" s="121"/>
      <c r="BX592" s="121"/>
      <c r="BY592" s="121"/>
      <c r="BZ592" s="121"/>
      <c r="CA592" s="121"/>
      <c r="CB592" s="121"/>
      <c r="CC592" s="121"/>
      <c r="CD592" s="121"/>
      <c r="CE592" s="121"/>
      <c r="CF592" s="121"/>
      <c r="CG592" s="121"/>
      <c r="CH592" s="121"/>
      <c r="CI592" s="121"/>
      <c r="CJ592" s="121"/>
      <c r="CK592" s="121"/>
      <c r="CL592" s="121"/>
      <c r="CM592" s="121"/>
      <c r="CN592" s="121"/>
      <c r="CO592" s="121"/>
      <c r="CP592" s="121"/>
      <c r="CQ592" s="121"/>
      <c r="CR592" s="121"/>
      <c r="CS592" s="121"/>
      <c r="CT592" s="121"/>
      <c r="CU592" s="121"/>
      <c r="CV592" s="121"/>
      <c r="CW592" s="121"/>
      <c r="CX592" s="121"/>
      <c r="CY592" s="121"/>
      <c r="CZ592" s="121"/>
      <c r="DA592" s="121"/>
      <c r="DB592" s="121"/>
      <c r="DC592" s="121"/>
      <c r="DD592" s="121"/>
      <c r="DE592" s="121"/>
      <c r="DF592" s="121"/>
      <c r="DG592" s="121"/>
      <c r="DH592" s="121"/>
      <c r="DI592" s="121"/>
      <c r="DJ592" s="121"/>
      <c r="DK592" s="121"/>
      <c r="DL592" s="121"/>
      <c r="DM592" s="121"/>
      <c r="DN592" s="121"/>
      <c r="DO592" s="121"/>
      <c r="DP592" s="121"/>
      <c r="DQ592" s="121"/>
      <c r="DR592" s="121"/>
      <c r="DS592" s="121"/>
      <c r="DT592" s="240"/>
      <c r="DU592" s="240"/>
      <c r="DV592" s="240"/>
      <c r="DW592" s="240"/>
      <c r="DX592" s="240"/>
      <c r="DY592" s="240"/>
      <c r="DZ592" s="240"/>
      <c r="EA592" s="240"/>
      <c r="EB592" s="237">
        <f t="shared" si="72"/>
        <v>0</v>
      </c>
      <c r="EC592" s="237">
        <f t="shared" si="73"/>
        <v>0</v>
      </c>
      <c r="ED592" s="237">
        <f t="shared" si="74"/>
        <v>0</v>
      </c>
      <c r="EE592" s="237">
        <f t="shared" si="75"/>
        <v>0</v>
      </c>
      <c r="EF592" s="121"/>
      <c r="EG592" s="238">
        <f t="shared" si="76"/>
        <v>0</v>
      </c>
      <c r="EH592" s="121"/>
      <c r="EI592" s="237">
        <f t="shared" si="77"/>
        <v>0</v>
      </c>
      <c r="EJ592" s="121"/>
      <c r="EK592" s="237">
        <f t="shared" si="78"/>
        <v>0</v>
      </c>
      <c r="EL592" s="237"/>
      <c r="EM592" s="5"/>
      <c r="EN592" s="5"/>
      <c r="EO592" s="5"/>
      <c r="EP592" s="5"/>
      <c r="EQ592" s="237">
        <f t="shared" si="79"/>
        <v>0</v>
      </c>
      <c r="ER592" s="239">
        <v>23300</v>
      </c>
      <c r="ES592" s="5">
        <v>7.5</v>
      </c>
    </row>
    <row r="593" spans="1:149" x14ac:dyDescent="0.3">
      <c r="A593" s="124"/>
      <c r="B593" s="121"/>
      <c r="C593" s="121"/>
      <c r="D593" s="121"/>
      <c r="E593" s="121"/>
      <c r="F593" s="121"/>
      <c r="G593" s="121"/>
      <c r="H593" s="121"/>
      <c r="I593" s="121"/>
      <c r="J593" s="121"/>
      <c r="K593" s="121"/>
      <c r="L593" s="121"/>
      <c r="M593" s="121"/>
      <c r="N593" s="121"/>
      <c r="O593" s="235"/>
      <c r="P593" s="121"/>
      <c r="Q593" s="121"/>
      <c r="R593" s="121"/>
      <c r="S593" s="121"/>
      <c r="T593" s="121"/>
      <c r="U593" s="121"/>
      <c r="V593" s="121"/>
      <c r="W593" s="121"/>
      <c r="X593" s="117"/>
      <c r="Y593" s="117"/>
      <c r="Z593" s="121"/>
      <c r="AA593" s="121"/>
      <c r="AB593" s="121"/>
      <c r="AC593" s="121"/>
      <c r="AD593" s="121"/>
      <c r="AE593" s="121"/>
      <c r="AF593" s="121"/>
      <c r="AG593" s="121"/>
      <c r="AH593" s="121"/>
      <c r="AI593" s="121"/>
      <c r="AJ593" s="121"/>
      <c r="AK593" s="121"/>
      <c r="AL593" s="121"/>
      <c r="AM593" s="121"/>
      <c r="AN593" s="121"/>
      <c r="AO593" s="121"/>
      <c r="AP593" s="121"/>
      <c r="AQ593" s="121"/>
      <c r="AR593" s="121"/>
      <c r="AS593" s="121"/>
      <c r="AT593" s="121"/>
      <c r="AU593" s="121"/>
      <c r="AV593" s="121"/>
      <c r="AW593" s="121"/>
      <c r="AX593" s="121"/>
      <c r="AY593" s="121"/>
      <c r="AZ593" s="121"/>
      <c r="BA593" s="121"/>
      <c r="BB593" s="121"/>
      <c r="BC593" s="121"/>
      <c r="BD593" s="121"/>
      <c r="BE593" s="121"/>
      <c r="BF593" s="121"/>
      <c r="BG593" s="121"/>
      <c r="BH593" s="121"/>
      <c r="BI593" s="121"/>
      <c r="BJ593" s="121"/>
      <c r="BK593" s="121"/>
      <c r="BL593" s="121"/>
      <c r="BM593" s="121"/>
      <c r="BN593" s="121"/>
      <c r="BO593" s="121"/>
      <c r="BP593" s="121"/>
      <c r="BQ593" s="121"/>
      <c r="BR593" s="121"/>
      <c r="BS593" s="121"/>
      <c r="BT593" s="121"/>
      <c r="BU593" s="121"/>
      <c r="BV593" s="121"/>
      <c r="BW593" s="121"/>
      <c r="BX593" s="121"/>
      <c r="BY593" s="121"/>
      <c r="BZ593" s="121"/>
      <c r="CA593" s="121"/>
      <c r="CB593" s="121"/>
      <c r="CC593" s="121"/>
      <c r="CD593" s="121"/>
      <c r="CE593" s="121"/>
      <c r="CF593" s="121"/>
      <c r="CG593" s="121"/>
      <c r="CH593" s="121"/>
      <c r="CI593" s="121"/>
      <c r="CJ593" s="121"/>
      <c r="CK593" s="121"/>
      <c r="CL593" s="121"/>
      <c r="CM593" s="121"/>
      <c r="CN593" s="121"/>
      <c r="CO593" s="121"/>
      <c r="CP593" s="121"/>
      <c r="CQ593" s="121"/>
      <c r="CR593" s="121"/>
      <c r="CS593" s="121"/>
      <c r="CT593" s="121"/>
      <c r="CU593" s="121"/>
      <c r="CV593" s="121"/>
      <c r="CW593" s="121"/>
      <c r="CX593" s="121"/>
      <c r="CY593" s="121"/>
      <c r="CZ593" s="121"/>
      <c r="DA593" s="121"/>
      <c r="DB593" s="121"/>
      <c r="DC593" s="121"/>
      <c r="DD593" s="121"/>
      <c r="DE593" s="121"/>
      <c r="DF593" s="121"/>
      <c r="DG593" s="121"/>
      <c r="DH593" s="121"/>
      <c r="DI593" s="121"/>
      <c r="DJ593" s="121"/>
      <c r="DK593" s="121"/>
      <c r="DL593" s="121"/>
      <c r="DM593" s="121"/>
      <c r="DN593" s="121"/>
      <c r="DO593" s="121"/>
      <c r="DP593" s="121"/>
      <c r="DQ593" s="121"/>
      <c r="DR593" s="121"/>
      <c r="DS593" s="121"/>
      <c r="DT593" s="240"/>
      <c r="DU593" s="240"/>
      <c r="DV593" s="240"/>
      <c r="DW593" s="240"/>
      <c r="DX593" s="240"/>
      <c r="DY593" s="240"/>
      <c r="DZ593" s="240"/>
      <c r="EA593" s="240"/>
      <c r="EB593" s="237">
        <f t="shared" si="72"/>
        <v>0</v>
      </c>
      <c r="EC593" s="237">
        <f t="shared" si="73"/>
        <v>0</v>
      </c>
      <c r="ED593" s="237">
        <f t="shared" si="74"/>
        <v>0</v>
      </c>
      <c r="EE593" s="237">
        <f t="shared" si="75"/>
        <v>0</v>
      </c>
      <c r="EF593" s="121"/>
      <c r="EG593" s="238">
        <f t="shared" si="76"/>
        <v>0</v>
      </c>
      <c r="EH593" s="121"/>
      <c r="EI593" s="237">
        <f t="shared" si="77"/>
        <v>0</v>
      </c>
      <c r="EJ593" s="121"/>
      <c r="EK593" s="237">
        <f t="shared" si="78"/>
        <v>0</v>
      </c>
      <c r="EL593" s="237"/>
      <c r="EM593" s="5"/>
      <c r="EN593" s="5"/>
      <c r="EO593" s="5"/>
      <c r="EP593" s="5"/>
      <c r="EQ593" s="237">
        <f t="shared" si="79"/>
        <v>0</v>
      </c>
      <c r="ER593" s="239">
        <v>23300</v>
      </c>
      <c r="ES593" s="5">
        <v>7.5</v>
      </c>
    </row>
    <row r="594" spans="1:149" x14ac:dyDescent="0.3">
      <c r="A594" s="124"/>
      <c r="B594" s="121"/>
      <c r="C594" s="121"/>
      <c r="D594" s="121"/>
      <c r="E594" s="121"/>
      <c r="F594" s="121"/>
      <c r="G594" s="121"/>
      <c r="H594" s="121"/>
      <c r="I594" s="121"/>
      <c r="J594" s="121"/>
      <c r="K594" s="121"/>
      <c r="L594" s="121"/>
      <c r="M594" s="121"/>
      <c r="N594" s="121"/>
      <c r="O594" s="235"/>
      <c r="P594" s="121"/>
      <c r="Q594" s="121"/>
      <c r="R594" s="121"/>
      <c r="S594" s="121"/>
      <c r="T594" s="121"/>
      <c r="U594" s="121"/>
      <c r="V594" s="121"/>
      <c r="W594" s="121"/>
      <c r="X594" s="117"/>
      <c r="Y594" s="117"/>
      <c r="Z594" s="121"/>
      <c r="AA594" s="121"/>
      <c r="AB594" s="121"/>
      <c r="AC594" s="121"/>
      <c r="AD594" s="121"/>
      <c r="AE594" s="121"/>
      <c r="AF594" s="121"/>
      <c r="AG594" s="121"/>
      <c r="AH594" s="121"/>
      <c r="AI594" s="121"/>
      <c r="AJ594" s="121"/>
      <c r="AK594" s="121"/>
      <c r="AL594" s="121"/>
      <c r="AM594" s="121"/>
      <c r="AN594" s="121"/>
      <c r="AO594" s="121"/>
      <c r="AP594" s="121"/>
      <c r="AQ594" s="121"/>
      <c r="AR594" s="121"/>
      <c r="AS594" s="121"/>
      <c r="AT594" s="121"/>
      <c r="AU594" s="121"/>
      <c r="AV594" s="121"/>
      <c r="AW594" s="121"/>
      <c r="AX594" s="121"/>
      <c r="AY594" s="121"/>
      <c r="AZ594" s="121"/>
      <c r="BA594" s="121"/>
      <c r="BB594" s="121"/>
      <c r="BC594" s="121"/>
      <c r="BD594" s="121"/>
      <c r="BE594" s="121"/>
      <c r="BF594" s="121"/>
      <c r="BG594" s="121"/>
      <c r="BH594" s="121"/>
      <c r="BI594" s="121"/>
      <c r="BJ594" s="121"/>
      <c r="BK594" s="121"/>
      <c r="BL594" s="121"/>
      <c r="BM594" s="121"/>
      <c r="BN594" s="121"/>
      <c r="BO594" s="121"/>
      <c r="BP594" s="121"/>
      <c r="BQ594" s="121"/>
      <c r="BR594" s="121"/>
      <c r="BS594" s="121"/>
      <c r="BT594" s="121"/>
      <c r="BU594" s="121"/>
      <c r="BV594" s="121"/>
      <c r="BW594" s="121"/>
      <c r="BX594" s="121"/>
      <c r="BY594" s="121"/>
      <c r="BZ594" s="121"/>
      <c r="CA594" s="121"/>
      <c r="CB594" s="121"/>
      <c r="CC594" s="121"/>
      <c r="CD594" s="121"/>
      <c r="CE594" s="121"/>
      <c r="CF594" s="121"/>
      <c r="CG594" s="121"/>
      <c r="CH594" s="121"/>
      <c r="CI594" s="121"/>
      <c r="CJ594" s="121"/>
      <c r="CK594" s="121"/>
      <c r="CL594" s="121"/>
      <c r="CM594" s="121"/>
      <c r="CN594" s="121"/>
      <c r="CO594" s="121"/>
      <c r="CP594" s="121"/>
      <c r="CQ594" s="121"/>
      <c r="CR594" s="121"/>
      <c r="CS594" s="121"/>
      <c r="CT594" s="121"/>
      <c r="CU594" s="121"/>
      <c r="CV594" s="121"/>
      <c r="CW594" s="121"/>
      <c r="CX594" s="121"/>
      <c r="CY594" s="121"/>
      <c r="CZ594" s="121"/>
      <c r="DA594" s="121"/>
      <c r="DB594" s="121"/>
      <c r="DC594" s="121"/>
      <c r="DD594" s="121"/>
      <c r="DE594" s="121"/>
      <c r="DF594" s="121"/>
      <c r="DG594" s="121"/>
      <c r="DH594" s="121"/>
      <c r="DI594" s="121"/>
      <c r="DJ594" s="121"/>
      <c r="DK594" s="121"/>
      <c r="DL594" s="121"/>
      <c r="DM594" s="121"/>
      <c r="DN594" s="121"/>
      <c r="DO594" s="121"/>
      <c r="DP594" s="121"/>
      <c r="DQ594" s="121"/>
      <c r="DR594" s="121"/>
      <c r="DS594" s="121"/>
      <c r="DT594" s="240"/>
      <c r="DU594" s="240"/>
      <c r="DV594" s="240"/>
      <c r="DW594" s="240"/>
      <c r="DX594" s="240"/>
      <c r="DY594" s="240"/>
      <c r="DZ594" s="240"/>
      <c r="EA594" s="240"/>
      <c r="EB594" s="237">
        <f t="shared" si="72"/>
        <v>0</v>
      </c>
      <c r="EC594" s="237">
        <f t="shared" si="73"/>
        <v>0</v>
      </c>
      <c r="ED594" s="237">
        <f t="shared" si="74"/>
        <v>0</v>
      </c>
      <c r="EE594" s="237">
        <f t="shared" si="75"/>
        <v>0</v>
      </c>
      <c r="EF594" s="121"/>
      <c r="EG594" s="238">
        <f t="shared" si="76"/>
        <v>0</v>
      </c>
      <c r="EH594" s="121"/>
      <c r="EI594" s="237">
        <f t="shared" si="77"/>
        <v>0</v>
      </c>
      <c r="EJ594" s="121"/>
      <c r="EK594" s="237">
        <f t="shared" si="78"/>
        <v>0</v>
      </c>
      <c r="EL594" s="237"/>
      <c r="EM594" s="5"/>
      <c r="EN594" s="5"/>
      <c r="EO594" s="5"/>
      <c r="EP594" s="5"/>
      <c r="EQ594" s="237">
        <f t="shared" si="79"/>
        <v>0</v>
      </c>
      <c r="ER594" s="239">
        <v>23300</v>
      </c>
      <c r="ES594" s="5">
        <v>7.5</v>
      </c>
    </row>
    <row r="595" spans="1:149" x14ac:dyDescent="0.3">
      <c r="A595" s="124"/>
      <c r="B595" s="121"/>
      <c r="C595" s="121"/>
      <c r="D595" s="121"/>
      <c r="E595" s="121"/>
      <c r="F595" s="121"/>
      <c r="G595" s="121"/>
      <c r="H595" s="121"/>
      <c r="I595" s="121"/>
      <c r="J595" s="121"/>
      <c r="K595" s="121"/>
      <c r="L595" s="121"/>
      <c r="M595" s="121"/>
      <c r="N595" s="121"/>
      <c r="O595" s="235"/>
      <c r="P595" s="121"/>
      <c r="Q595" s="121"/>
      <c r="R595" s="121"/>
      <c r="S595" s="121"/>
      <c r="T595" s="121"/>
      <c r="U595" s="121"/>
      <c r="V595" s="121"/>
      <c r="W595" s="121"/>
      <c r="X595" s="117"/>
      <c r="Y595" s="117"/>
      <c r="Z595" s="121"/>
      <c r="AA595" s="121"/>
      <c r="AB595" s="121"/>
      <c r="AC595" s="121"/>
      <c r="AD595" s="121"/>
      <c r="AE595" s="121"/>
      <c r="AF595" s="121"/>
      <c r="AG595" s="121"/>
      <c r="AH595" s="121"/>
      <c r="AI595" s="121"/>
      <c r="AJ595" s="121"/>
      <c r="AK595" s="121"/>
      <c r="AL595" s="121"/>
      <c r="AM595" s="121"/>
      <c r="AN595" s="121"/>
      <c r="AO595" s="121"/>
      <c r="AP595" s="121"/>
      <c r="AQ595" s="121"/>
      <c r="AR595" s="121"/>
      <c r="AS595" s="121"/>
      <c r="AT595" s="121"/>
      <c r="AU595" s="121"/>
      <c r="AV595" s="121"/>
      <c r="AW595" s="121"/>
      <c r="AX595" s="121"/>
      <c r="AY595" s="121"/>
      <c r="AZ595" s="121"/>
      <c r="BA595" s="121"/>
      <c r="BB595" s="121"/>
      <c r="BC595" s="121"/>
      <c r="BD595" s="121"/>
      <c r="BE595" s="121"/>
      <c r="BF595" s="121"/>
      <c r="BG595" s="121"/>
      <c r="BH595" s="121"/>
      <c r="BI595" s="121"/>
      <c r="BJ595" s="121"/>
      <c r="BK595" s="121"/>
      <c r="BL595" s="121"/>
      <c r="BM595" s="121"/>
      <c r="BN595" s="121"/>
      <c r="BO595" s="121"/>
      <c r="BP595" s="121"/>
      <c r="BQ595" s="121"/>
      <c r="BR595" s="121"/>
      <c r="BS595" s="121"/>
      <c r="BT595" s="121"/>
      <c r="BU595" s="121"/>
      <c r="BV595" s="121"/>
      <c r="BW595" s="121"/>
      <c r="BX595" s="121"/>
      <c r="BY595" s="121"/>
      <c r="BZ595" s="121"/>
      <c r="CA595" s="121"/>
      <c r="CB595" s="121"/>
      <c r="CC595" s="121"/>
      <c r="CD595" s="121"/>
      <c r="CE595" s="121"/>
      <c r="CF595" s="121"/>
      <c r="CG595" s="121"/>
      <c r="CH595" s="121"/>
      <c r="CI595" s="121"/>
      <c r="CJ595" s="121"/>
      <c r="CK595" s="121"/>
      <c r="CL595" s="121"/>
      <c r="CM595" s="121"/>
      <c r="CN595" s="121"/>
      <c r="CO595" s="121"/>
      <c r="CP595" s="121"/>
      <c r="CQ595" s="121"/>
      <c r="CR595" s="121"/>
      <c r="CS595" s="121"/>
      <c r="CT595" s="121"/>
      <c r="CU595" s="121"/>
      <c r="CV595" s="121"/>
      <c r="CW595" s="121"/>
      <c r="CX595" s="121"/>
      <c r="CY595" s="121"/>
      <c r="CZ595" s="121"/>
      <c r="DA595" s="121"/>
      <c r="DB595" s="121"/>
      <c r="DC595" s="121"/>
      <c r="DD595" s="121"/>
      <c r="DE595" s="121"/>
      <c r="DF595" s="121"/>
      <c r="DG595" s="121"/>
      <c r="DH595" s="121"/>
      <c r="DI595" s="121"/>
      <c r="DJ595" s="121"/>
      <c r="DK595" s="121"/>
      <c r="DL595" s="121"/>
      <c r="DM595" s="121"/>
      <c r="DN595" s="121"/>
      <c r="DO595" s="121"/>
      <c r="DP595" s="121"/>
      <c r="DQ595" s="121"/>
      <c r="DR595" s="121"/>
      <c r="DS595" s="121"/>
      <c r="DT595" s="240"/>
      <c r="DU595" s="240"/>
      <c r="DV595" s="240"/>
      <c r="DW595" s="240"/>
      <c r="DX595" s="240"/>
      <c r="DY595" s="240"/>
      <c r="DZ595" s="240"/>
      <c r="EA595" s="240"/>
      <c r="EB595" s="237">
        <f t="shared" si="72"/>
        <v>0</v>
      </c>
      <c r="EC595" s="237">
        <f t="shared" si="73"/>
        <v>0</v>
      </c>
      <c r="ED595" s="237">
        <f t="shared" si="74"/>
        <v>0</v>
      </c>
      <c r="EE595" s="237">
        <f t="shared" si="75"/>
        <v>0</v>
      </c>
      <c r="EF595" s="121"/>
      <c r="EG595" s="238">
        <f t="shared" si="76"/>
        <v>0</v>
      </c>
      <c r="EH595" s="121"/>
      <c r="EI595" s="237">
        <f t="shared" si="77"/>
        <v>0</v>
      </c>
      <c r="EJ595" s="121"/>
      <c r="EK595" s="237">
        <f t="shared" si="78"/>
        <v>0</v>
      </c>
      <c r="EL595" s="237"/>
      <c r="EM595" s="5"/>
      <c r="EN595" s="5"/>
      <c r="EO595" s="5"/>
      <c r="EP595" s="5"/>
      <c r="EQ595" s="237">
        <f t="shared" si="79"/>
        <v>0</v>
      </c>
      <c r="ER595" s="239">
        <v>23300</v>
      </c>
      <c r="ES595" s="5">
        <v>7.5</v>
      </c>
    </row>
    <row r="596" spans="1:149" x14ac:dyDescent="0.3">
      <c r="A596" s="124"/>
      <c r="B596" s="121"/>
      <c r="C596" s="121"/>
      <c r="D596" s="121"/>
      <c r="E596" s="121"/>
      <c r="F596" s="121"/>
      <c r="G596" s="121"/>
      <c r="H596" s="121"/>
      <c r="I596" s="121"/>
      <c r="J596" s="121"/>
      <c r="K596" s="121"/>
      <c r="L596" s="121"/>
      <c r="M596" s="121"/>
      <c r="N596" s="121"/>
      <c r="O596" s="235"/>
      <c r="P596" s="121"/>
      <c r="Q596" s="121"/>
      <c r="R596" s="121"/>
      <c r="S596" s="121"/>
      <c r="T596" s="121"/>
      <c r="U596" s="121"/>
      <c r="V596" s="121"/>
      <c r="W596" s="121"/>
      <c r="X596" s="117"/>
      <c r="Y596" s="117"/>
      <c r="Z596" s="121"/>
      <c r="AA596" s="121"/>
      <c r="AB596" s="121"/>
      <c r="AC596" s="121"/>
      <c r="AD596" s="121"/>
      <c r="AE596" s="121"/>
      <c r="AF596" s="121"/>
      <c r="AG596" s="121"/>
      <c r="AH596" s="121"/>
      <c r="AI596" s="121"/>
      <c r="AJ596" s="121"/>
      <c r="AK596" s="121"/>
      <c r="AL596" s="121"/>
      <c r="AM596" s="121"/>
      <c r="AN596" s="121"/>
      <c r="AO596" s="121"/>
      <c r="AP596" s="121"/>
      <c r="AQ596" s="121"/>
      <c r="AR596" s="121"/>
      <c r="AS596" s="121"/>
      <c r="AT596" s="121"/>
      <c r="AU596" s="121"/>
      <c r="AV596" s="121"/>
      <c r="AW596" s="121"/>
      <c r="AX596" s="121"/>
      <c r="AY596" s="121"/>
      <c r="AZ596" s="121"/>
      <c r="BA596" s="121"/>
      <c r="BB596" s="121"/>
      <c r="BC596" s="121"/>
      <c r="BD596" s="121"/>
      <c r="BE596" s="121"/>
      <c r="BF596" s="121"/>
      <c r="BG596" s="121"/>
      <c r="BH596" s="121"/>
      <c r="BI596" s="121"/>
      <c r="BJ596" s="121"/>
      <c r="BK596" s="121"/>
      <c r="BL596" s="121"/>
      <c r="BM596" s="121"/>
      <c r="BN596" s="121"/>
      <c r="BO596" s="121"/>
      <c r="BP596" s="121"/>
      <c r="BQ596" s="121"/>
      <c r="BR596" s="121"/>
      <c r="BS596" s="121"/>
      <c r="BT596" s="121"/>
      <c r="BU596" s="121"/>
      <c r="BV596" s="121"/>
      <c r="BW596" s="121"/>
      <c r="BX596" s="121"/>
      <c r="BY596" s="121"/>
      <c r="BZ596" s="121"/>
      <c r="CA596" s="121"/>
      <c r="CB596" s="121"/>
      <c r="CC596" s="121"/>
      <c r="CD596" s="121"/>
      <c r="CE596" s="121"/>
      <c r="CF596" s="121"/>
      <c r="CG596" s="121"/>
      <c r="CH596" s="121"/>
      <c r="CI596" s="121"/>
      <c r="CJ596" s="121"/>
      <c r="CK596" s="121"/>
      <c r="CL596" s="121"/>
      <c r="CM596" s="121"/>
      <c r="CN596" s="121"/>
      <c r="CO596" s="121"/>
      <c r="CP596" s="121"/>
      <c r="CQ596" s="121"/>
      <c r="CR596" s="121"/>
      <c r="CS596" s="121"/>
      <c r="CT596" s="121"/>
      <c r="CU596" s="121"/>
      <c r="CV596" s="121"/>
      <c r="CW596" s="121"/>
      <c r="CX596" s="121"/>
      <c r="CY596" s="121"/>
      <c r="CZ596" s="121"/>
      <c r="DA596" s="121"/>
      <c r="DB596" s="121"/>
      <c r="DC596" s="121"/>
      <c r="DD596" s="121"/>
      <c r="DE596" s="121"/>
      <c r="DF596" s="121"/>
      <c r="DG596" s="121"/>
      <c r="DH596" s="121"/>
      <c r="DI596" s="121"/>
      <c r="DJ596" s="121"/>
      <c r="DK596" s="121"/>
      <c r="DL596" s="121"/>
      <c r="DM596" s="121"/>
      <c r="DN596" s="121"/>
      <c r="DO596" s="121"/>
      <c r="DP596" s="121"/>
      <c r="DQ596" s="121"/>
      <c r="DR596" s="121"/>
      <c r="DS596" s="121"/>
      <c r="DT596" s="240"/>
      <c r="DU596" s="240"/>
      <c r="DV596" s="240"/>
      <c r="DW596" s="240"/>
      <c r="DX596" s="240"/>
      <c r="DY596" s="240"/>
      <c r="DZ596" s="240"/>
      <c r="EA596" s="240"/>
      <c r="EB596" s="237">
        <f t="shared" si="72"/>
        <v>0</v>
      </c>
      <c r="EC596" s="237">
        <f t="shared" si="73"/>
        <v>0</v>
      </c>
      <c r="ED596" s="237">
        <f t="shared" si="74"/>
        <v>0</v>
      </c>
      <c r="EE596" s="237">
        <f t="shared" si="75"/>
        <v>0</v>
      </c>
      <c r="EF596" s="121"/>
      <c r="EG596" s="238">
        <f t="shared" si="76"/>
        <v>0</v>
      </c>
      <c r="EH596" s="121"/>
      <c r="EI596" s="237">
        <f t="shared" si="77"/>
        <v>0</v>
      </c>
      <c r="EJ596" s="121"/>
      <c r="EK596" s="237">
        <f t="shared" si="78"/>
        <v>0</v>
      </c>
      <c r="EL596" s="237"/>
      <c r="EM596" s="5"/>
      <c r="EN596" s="5"/>
      <c r="EO596" s="5"/>
      <c r="EP596" s="5"/>
      <c r="EQ596" s="237">
        <f t="shared" si="79"/>
        <v>0</v>
      </c>
      <c r="ER596" s="239">
        <v>23300</v>
      </c>
      <c r="ES596" s="5">
        <v>7.5</v>
      </c>
    </row>
    <row r="597" spans="1:149" x14ac:dyDescent="0.3">
      <c r="A597" s="124"/>
      <c r="B597" s="121"/>
      <c r="C597" s="121"/>
      <c r="D597" s="121"/>
      <c r="E597" s="121"/>
      <c r="F597" s="121"/>
      <c r="G597" s="121"/>
      <c r="H597" s="121"/>
      <c r="I597" s="121"/>
      <c r="J597" s="121"/>
      <c r="K597" s="121"/>
      <c r="L597" s="121"/>
      <c r="M597" s="121"/>
      <c r="N597" s="121"/>
      <c r="O597" s="235"/>
      <c r="P597" s="121"/>
      <c r="Q597" s="121"/>
      <c r="R597" s="121"/>
      <c r="S597" s="121"/>
      <c r="T597" s="121"/>
      <c r="U597" s="121"/>
      <c r="V597" s="121"/>
      <c r="W597" s="121"/>
      <c r="X597" s="117"/>
      <c r="Y597" s="117"/>
      <c r="Z597" s="121"/>
      <c r="AA597" s="121"/>
      <c r="AB597" s="121"/>
      <c r="AC597" s="121"/>
      <c r="AD597" s="121"/>
      <c r="AE597" s="121"/>
      <c r="AF597" s="121"/>
      <c r="AG597" s="121"/>
      <c r="AH597" s="121"/>
      <c r="AI597" s="121"/>
      <c r="AJ597" s="121"/>
      <c r="AK597" s="121"/>
      <c r="AL597" s="121"/>
      <c r="AM597" s="121"/>
      <c r="AN597" s="121"/>
      <c r="AO597" s="121"/>
      <c r="AP597" s="121"/>
      <c r="AQ597" s="121"/>
      <c r="AR597" s="121"/>
      <c r="AS597" s="121"/>
      <c r="AT597" s="121"/>
      <c r="AU597" s="121"/>
      <c r="AV597" s="121"/>
      <c r="AW597" s="121"/>
      <c r="AX597" s="121"/>
      <c r="AY597" s="121"/>
      <c r="AZ597" s="121"/>
      <c r="BA597" s="121"/>
      <c r="BB597" s="121"/>
      <c r="BC597" s="121"/>
      <c r="BD597" s="121"/>
      <c r="BE597" s="121"/>
      <c r="BF597" s="121"/>
      <c r="BG597" s="121"/>
      <c r="BH597" s="121"/>
      <c r="BI597" s="121"/>
      <c r="BJ597" s="121"/>
      <c r="BK597" s="121"/>
      <c r="BL597" s="121"/>
      <c r="BM597" s="121"/>
      <c r="BN597" s="121"/>
      <c r="BO597" s="121"/>
      <c r="BP597" s="121"/>
      <c r="BQ597" s="121"/>
      <c r="BR597" s="121"/>
      <c r="BS597" s="121"/>
      <c r="BT597" s="121"/>
      <c r="BU597" s="121"/>
      <c r="BV597" s="121"/>
      <c r="BW597" s="121"/>
      <c r="BX597" s="121"/>
      <c r="BY597" s="121"/>
      <c r="BZ597" s="121"/>
      <c r="CA597" s="121"/>
      <c r="CB597" s="121"/>
      <c r="CC597" s="121"/>
      <c r="CD597" s="121"/>
      <c r="CE597" s="121"/>
      <c r="CF597" s="121"/>
      <c r="CG597" s="121"/>
      <c r="CH597" s="121"/>
      <c r="CI597" s="121"/>
      <c r="CJ597" s="121"/>
      <c r="CK597" s="121"/>
      <c r="CL597" s="121"/>
      <c r="CM597" s="121"/>
      <c r="CN597" s="121"/>
      <c r="CO597" s="121"/>
      <c r="CP597" s="121"/>
      <c r="CQ597" s="121"/>
      <c r="CR597" s="121"/>
      <c r="CS597" s="121"/>
      <c r="CT597" s="121"/>
      <c r="CU597" s="121"/>
      <c r="CV597" s="121"/>
      <c r="CW597" s="121"/>
      <c r="CX597" s="121"/>
      <c r="CY597" s="121"/>
      <c r="CZ597" s="121"/>
      <c r="DA597" s="121"/>
      <c r="DB597" s="121"/>
      <c r="DC597" s="121"/>
      <c r="DD597" s="121"/>
      <c r="DE597" s="121"/>
      <c r="DF597" s="121"/>
      <c r="DG597" s="121"/>
      <c r="DH597" s="121"/>
      <c r="DI597" s="121"/>
      <c r="DJ597" s="121"/>
      <c r="DK597" s="121"/>
      <c r="DL597" s="121"/>
      <c r="DM597" s="121"/>
      <c r="DN597" s="121"/>
      <c r="DO597" s="121"/>
      <c r="DP597" s="121"/>
      <c r="DQ597" s="121"/>
      <c r="DR597" s="121"/>
      <c r="DS597" s="121"/>
      <c r="DT597" s="240"/>
      <c r="DU597" s="240"/>
      <c r="DV597" s="240"/>
      <c r="DW597" s="240"/>
      <c r="DX597" s="240"/>
      <c r="DY597" s="240"/>
      <c r="DZ597" s="240"/>
      <c r="EA597" s="240"/>
      <c r="EB597" s="237">
        <f t="shared" si="72"/>
        <v>0</v>
      </c>
      <c r="EC597" s="237">
        <f t="shared" si="73"/>
        <v>0</v>
      </c>
      <c r="ED597" s="237">
        <f t="shared" si="74"/>
        <v>0</v>
      </c>
      <c r="EE597" s="237">
        <f t="shared" si="75"/>
        <v>0</v>
      </c>
      <c r="EF597" s="121"/>
      <c r="EG597" s="238">
        <f t="shared" si="76"/>
        <v>0</v>
      </c>
      <c r="EH597" s="121"/>
      <c r="EI597" s="237">
        <f t="shared" si="77"/>
        <v>0</v>
      </c>
      <c r="EJ597" s="121"/>
      <c r="EK597" s="237">
        <f t="shared" si="78"/>
        <v>0</v>
      </c>
      <c r="EL597" s="237"/>
      <c r="EM597" s="5"/>
      <c r="EN597" s="5"/>
      <c r="EO597" s="5"/>
      <c r="EP597" s="5"/>
      <c r="EQ597" s="237">
        <f t="shared" si="79"/>
        <v>0</v>
      </c>
      <c r="ER597" s="239">
        <v>23300</v>
      </c>
      <c r="ES597" s="5">
        <v>7.5</v>
      </c>
    </row>
    <row r="598" spans="1:149" x14ac:dyDescent="0.3">
      <c r="A598" s="124"/>
      <c r="B598" s="121"/>
      <c r="C598" s="121"/>
      <c r="D598" s="121"/>
      <c r="E598" s="121"/>
      <c r="F598" s="121"/>
      <c r="G598" s="121"/>
      <c r="H598" s="121"/>
      <c r="I598" s="121"/>
      <c r="J598" s="121"/>
      <c r="K598" s="121"/>
      <c r="L598" s="121"/>
      <c r="M598" s="121"/>
      <c r="N598" s="121"/>
      <c r="O598" s="235"/>
      <c r="P598" s="121"/>
      <c r="Q598" s="121"/>
      <c r="R598" s="121"/>
      <c r="S598" s="121"/>
      <c r="T598" s="121"/>
      <c r="U598" s="121"/>
      <c r="V598" s="121"/>
      <c r="W598" s="121"/>
      <c r="X598" s="117"/>
      <c r="Y598" s="117"/>
      <c r="Z598" s="121"/>
      <c r="AA598" s="121"/>
      <c r="AB598" s="121"/>
      <c r="AC598" s="121"/>
      <c r="AD598" s="121"/>
      <c r="AE598" s="121"/>
      <c r="AF598" s="121"/>
      <c r="AG598" s="121"/>
      <c r="AH598" s="121"/>
      <c r="AI598" s="121"/>
      <c r="AJ598" s="121"/>
      <c r="AK598" s="121"/>
      <c r="AL598" s="121"/>
      <c r="AM598" s="121"/>
      <c r="AN598" s="121"/>
      <c r="AO598" s="121"/>
      <c r="AP598" s="121"/>
      <c r="AQ598" s="121"/>
      <c r="AR598" s="121"/>
      <c r="AS598" s="121"/>
      <c r="AT598" s="121"/>
      <c r="AU598" s="121"/>
      <c r="AV598" s="121"/>
      <c r="AW598" s="121"/>
      <c r="AX598" s="121"/>
      <c r="AY598" s="121"/>
      <c r="AZ598" s="121"/>
      <c r="BA598" s="121"/>
      <c r="BB598" s="121"/>
      <c r="BC598" s="121"/>
      <c r="BD598" s="121"/>
      <c r="BE598" s="121"/>
      <c r="BF598" s="121"/>
      <c r="BG598" s="121"/>
      <c r="BH598" s="121"/>
      <c r="BI598" s="121"/>
      <c r="BJ598" s="121"/>
      <c r="BK598" s="121"/>
      <c r="BL598" s="121"/>
      <c r="BM598" s="121"/>
      <c r="BN598" s="121"/>
      <c r="BO598" s="121"/>
      <c r="BP598" s="121"/>
      <c r="BQ598" s="121"/>
      <c r="BR598" s="121"/>
      <c r="BS598" s="121"/>
      <c r="BT598" s="121"/>
      <c r="BU598" s="121"/>
      <c r="BV598" s="121"/>
      <c r="BW598" s="121"/>
      <c r="BX598" s="121"/>
      <c r="BY598" s="121"/>
      <c r="BZ598" s="121"/>
      <c r="CA598" s="121"/>
      <c r="CB598" s="121"/>
      <c r="CC598" s="121"/>
      <c r="CD598" s="121"/>
      <c r="CE598" s="121"/>
      <c r="CF598" s="121"/>
      <c r="CG598" s="121"/>
      <c r="CH598" s="121"/>
      <c r="CI598" s="121"/>
      <c r="CJ598" s="121"/>
      <c r="CK598" s="121"/>
      <c r="CL598" s="121"/>
      <c r="CM598" s="121"/>
      <c r="CN598" s="121"/>
      <c r="CO598" s="121"/>
      <c r="CP598" s="121"/>
      <c r="CQ598" s="121"/>
      <c r="CR598" s="121"/>
      <c r="CS598" s="121"/>
      <c r="CT598" s="121"/>
      <c r="CU598" s="121"/>
      <c r="CV598" s="121"/>
      <c r="CW598" s="121"/>
      <c r="CX598" s="121"/>
      <c r="CY598" s="121"/>
      <c r="CZ598" s="121"/>
      <c r="DA598" s="121"/>
      <c r="DB598" s="121"/>
      <c r="DC598" s="121"/>
      <c r="DD598" s="121"/>
      <c r="DE598" s="121"/>
      <c r="DF598" s="121"/>
      <c r="DG598" s="121"/>
      <c r="DH598" s="121"/>
      <c r="DI598" s="121"/>
      <c r="DJ598" s="121"/>
      <c r="DK598" s="121"/>
      <c r="DL598" s="121"/>
      <c r="DM598" s="121"/>
      <c r="DN598" s="121"/>
      <c r="DO598" s="121"/>
      <c r="DP598" s="121"/>
      <c r="DQ598" s="121"/>
      <c r="DR598" s="121"/>
      <c r="DS598" s="121"/>
      <c r="DT598" s="240"/>
      <c r="DU598" s="240"/>
      <c r="DV598" s="240"/>
      <c r="DW598" s="240"/>
      <c r="DX598" s="240"/>
      <c r="DY598" s="240"/>
      <c r="DZ598" s="240"/>
      <c r="EA598" s="240"/>
      <c r="EB598" s="237">
        <f t="shared" si="72"/>
        <v>0</v>
      </c>
      <c r="EC598" s="237">
        <f t="shared" si="73"/>
        <v>0</v>
      </c>
      <c r="ED598" s="237">
        <f t="shared" si="74"/>
        <v>0</v>
      </c>
      <c r="EE598" s="237">
        <f t="shared" si="75"/>
        <v>0</v>
      </c>
      <c r="EF598" s="121"/>
      <c r="EG598" s="238">
        <f t="shared" si="76"/>
        <v>0</v>
      </c>
      <c r="EH598" s="121"/>
      <c r="EI598" s="237">
        <f t="shared" si="77"/>
        <v>0</v>
      </c>
      <c r="EJ598" s="121"/>
      <c r="EK598" s="237">
        <f t="shared" si="78"/>
        <v>0</v>
      </c>
      <c r="EL598" s="237"/>
      <c r="EM598" s="5"/>
      <c r="EN598" s="5"/>
      <c r="EO598" s="5"/>
      <c r="EP598" s="5"/>
      <c r="EQ598" s="237">
        <f t="shared" si="79"/>
        <v>0</v>
      </c>
      <c r="ER598" s="239">
        <v>23300</v>
      </c>
      <c r="ES598" s="5">
        <v>7.5</v>
      </c>
    </row>
    <row r="599" spans="1:149" x14ac:dyDescent="0.3">
      <c r="A599" s="124"/>
      <c r="B599" s="121"/>
      <c r="C599" s="121"/>
      <c r="D599" s="121"/>
      <c r="E599" s="121"/>
      <c r="F599" s="121"/>
      <c r="G599" s="121"/>
      <c r="H599" s="121"/>
      <c r="I599" s="121"/>
      <c r="J599" s="121"/>
      <c r="K599" s="121"/>
      <c r="L599" s="121"/>
      <c r="M599" s="121"/>
      <c r="N599" s="121"/>
      <c r="O599" s="235"/>
      <c r="P599" s="121"/>
      <c r="Q599" s="121"/>
      <c r="R599" s="121"/>
      <c r="S599" s="121"/>
      <c r="T599" s="121"/>
      <c r="U599" s="121"/>
      <c r="V599" s="121"/>
      <c r="W599" s="121"/>
      <c r="X599" s="117"/>
      <c r="Y599" s="117"/>
      <c r="Z599" s="121"/>
      <c r="AA599" s="121"/>
      <c r="AB599" s="121"/>
      <c r="AC599" s="121"/>
      <c r="AD599" s="121"/>
      <c r="AE599" s="121"/>
      <c r="AF599" s="121"/>
      <c r="AG599" s="121"/>
      <c r="AH599" s="121"/>
      <c r="AI599" s="121"/>
      <c r="AJ599" s="121"/>
      <c r="AK599" s="121"/>
      <c r="AL599" s="121"/>
      <c r="AM599" s="121"/>
      <c r="AN599" s="121"/>
      <c r="AO599" s="121"/>
      <c r="AP599" s="121"/>
      <c r="AQ599" s="121"/>
      <c r="AR599" s="121"/>
      <c r="AS599" s="121"/>
      <c r="AT599" s="121"/>
      <c r="AU599" s="121"/>
      <c r="AV599" s="121"/>
      <c r="AW599" s="121"/>
      <c r="AX599" s="121"/>
      <c r="AY599" s="121"/>
      <c r="AZ599" s="121"/>
      <c r="BA599" s="121"/>
      <c r="BB599" s="121"/>
      <c r="BC599" s="121"/>
      <c r="BD599" s="121"/>
      <c r="BE599" s="121"/>
      <c r="BF599" s="121"/>
      <c r="BG599" s="121"/>
      <c r="BH599" s="121"/>
      <c r="BI599" s="121"/>
      <c r="BJ599" s="121"/>
      <c r="BK599" s="121"/>
      <c r="BL599" s="121"/>
      <c r="BM599" s="121"/>
      <c r="BN599" s="121"/>
      <c r="BO599" s="121"/>
      <c r="BP599" s="121"/>
      <c r="BQ599" s="121"/>
      <c r="BR599" s="121"/>
      <c r="BS599" s="121"/>
      <c r="BT599" s="121"/>
      <c r="BU599" s="121"/>
      <c r="BV599" s="121"/>
      <c r="BW599" s="121"/>
      <c r="BX599" s="121"/>
      <c r="BY599" s="121"/>
      <c r="BZ599" s="121"/>
      <c r="CA599" s="121"/>
      <c r="CB599" s="121"/>
      <c r="CC599" s="121"/>
      <c r="CD599" s="121"/>
      <c r="CE599" s="121"/>
      <c r="CF599" s="121"/>
      <c r="CG599" s="121"/>
      <c r="CH599" s="121"/>
      <c r="CI599" s="121"/>
      <c r="CJ599" s="121"/>
      <c r="CK599" s="121"/>
      <c r="CL599" s="121"/>
      <c r="CM599" s="121"/>
      <c r="CN599" s="121"/>
      <c r="CO599" s="121"/>
      <c r="CP599" s="121"/>
      <c r="CQ599" s="121"/>
      <c r="CR599" s="121"/>
      <c r="CS599" s="121"/>
      <c r="CT599" s="121"/>
      <c r="CU599" s="121"/>
      <c r="CV599" s="121"/>
      <c r="CW599" s="121"/>
      <c r="CX599" s="121"/>
      <c r="CY599" s="121"/>
      <c r="CZ599" s="121"/>
      <c r="DA599" s="121"/>
      <c r="DB599" s="121"/>
      <c r="DC599" s="121"/>
      <c r="DD599" s="121"/>
      <c r="DE599" s="121"/>
      <c r="DF599" s="121"/>
      <c r="DG599" s="121"/>
      <c r="DH599" s="121"/>
      <c r="DI599" s="121"/>
      <c r="DJ599" s="121"/>
      <c r="DK599" s="121"/>
      <c r="DL599" s="121"/>
      <c r="DM599" s="121"/>
      <c r="DN599" s="121"/>
      <c r="DO599" s="121"/>
      <c r="DP599" s="121"/>
      <c r="DQ599" s="121"/>
      <c r="DR599" s="121"/>
      <c r="DS599" s="121"/>
      <c r="DT599" s="240"/>
      <c r="DU599" s="240"/>
      <c r="DV599" s="240"/>
      <c r="DW599" s="240"/>
      <c r="DX599" s="240"/>
      <c r="DY599" s="240"/>
      <c r="DZ599" s="240"/>
      <c r="EA599" s="240"/>
      <c r="EB599" s="237">
        <f t="shared" si="72"/>
        <v>0</v>
      </c>
      <c r="EC599" s="237">
        <f t="shared" si="73"/>
        <v>0</v>
      </c>
      <c r="ED599" s="237">
        <f t="shared" si="74"/>
        <v>0</v>
      </c>
      <c r="EE599" s="237">
        <f t="shared" si="75"/>
        <v>0</v>
      </c>
      <c r="EF599" s="121"/>
      <c r="EG599" s="238">
        <f t="shared" si="76"/>
        <v>0</v>
      </c>
      <c r="EH599" s="121"/>
      <c r="EI599" s="237">
        <f t="shared" si="77"/>
        <v>0</v>
      </c>
      <c r="EJ599" s="121"/>
      <c r="EK599" s="237">
        <f t="shared" si="78"/>
        <v>0</v>
      </c>
      <c r="EL599" s="237"/>
      <c r="EM599" s="5"/>
      <c r="EN599" s="5"/>
      <c r="EO599" s="5"/>
      <c r="EP599" s="5"/>
      <c r="EQ599" s="237">
        <f t="shared" si="79"/>
        <v>0</v>
      </c>
      <c r="ER599" s="239">
        <v>23300</v>
      </c>
      <c r="ES599" s="5">
        <v>7.5</v>
      </c>
    </row>
    <row r="600" spans="1:149" x14ac:dyDescent="0.3">
      <c r="A600" s="124"/>
      <c r="B600" s="121"/>
      <c r="C600" s="121"/>
      <c r="D600" s="121"/>
      <c r="E600" s="121"/>
      <c r="F600" s="121"/>
      <c r="G600" s="121"/>
      <c r="H600" s="121"/>
      <c r="I600" s="121"/>
      <c r="J600" s="121"/>
      <c r="K600" s="121"/>
      <c r="L600" s="121"/>
      <c r="M600" s="121"/>
      <c r="N600" s="121"/>
      <c r="O600" s="235"/>
      <c r="P600" s="121"/>
      <c r="Q600" s="121"/>
      <c r="R600" s="121"/>
      <c r="S600" s="121"/>
      <c r="T600" s="121"/>
      <c r="U600" s="121"/>
      <c r="V600" s="121"/>
      <c r="W600" s="121"/>
      <c r="X600" s="117"/>
      <c r="Y600" s="117"/>
      <c r="Z600" s="121"/>
      <c r="AA600" s="121"/>
      <c r="AB600" s="121"/>
      <c r="AC600" s="121"/>
      <c r="AD600" s="121"/>
      <c r="AE600" s="121"/>
      <c r="AF600" s="121"/>
      <c r="AG600" s="121"/>
      <c r="AH600" s="121"/>
      <c r="AI600" s="121"/>
      <c r="AJ600" s="121"/>
      <c r="AK600" s="121"/>
      <c r="AL600" s="121"/>
      <c r="AM600" s="121"/>
      <c r="AN600" s="121"/>
      <c r="AO600" s="121"/>
      <c r="AP600" s="121"/>
      <c r="AQ600" s="121"/>
      <c r="AR600" s="121"/>
      <c r="AS600" s="121"/>
      <c r="AT600" s="121"/>
      <c r="AU600" s="121"/>
      <c r="AV600" s="121"/>
      <c r="AW600" s="121"/>
      <c r="AX600" s="121"/>
      <c r="AY600" s="121"/>
      <c r="AZ600" s="121"/>
      <c r="BA600" s="121"/>
      <c r="BB600" s="121"/>
      <c r="BC600" s="121"/>
      <c r="BD600" s="121"/>
      <c r="BE600" s="121"/>
      <c r="BF600" s="121"/>
      <c r="BG600" s="121"/>
      <c r="BH600" s="121"/>
      <c r="BI600" s="121"/>
      <c r="BJ600" s="121"/>
      <c r="BK600" s="121"/>
      <c r="BL600" s="121"/>
      <c r="BM600" s="121"/>
      <c r="BN600" s="121"/>
      <c r="BO600" s="121"/>
      <c r="BP600" s="121"/>
      <c r="BQ600" s="121"/>
      <c r="BR600" s="121"/>
      <c r="BS600" s="121"/>
      <c r="BT600" s="121"/>
      <c r="BU600" s="121"/>
      <c r="BV600" s="121"/>
      <c r="BW600" s="121"/>
      <c r="BX600" s="121"/>
      <c r="BY600" s="121"/>
      <c r="BZ600" s="121"/>
      <c r="CA600" s="121"/>
      <c r="CB600" s="121"/>
      <c r="CC600" s="121"/>
      <c r="CD600" s="121"/>
      <c r="CE600" s="121"/>
      <c r="CF600" s="121"/>
      <c r="CG600" s="121"/>
      <c r="CH600" s="121"/>
      <c r="CI600" s="121"/>
      <c r="CJ600" s="121"/>
      <c r="CK600" s="121"/>
      <c r="CL600" s="121"/>
      <c r="CM600" s="121"/>
      <c r="CN600" s="121"/>
      <c r="CO600" s="121"/>
      <c r="CP600" s="121"/>
      <c r="CQ600" s="121"/>
      <c r="CR600" s="121"/>
      <c r="CS600" s="121"/>
      <c r="CT600" s="121"/>
      <c r="CU600" s="121"/>
      <c r="CV600" s="121"/>
      <c r="CW600" s="121"/>
      <c r="CX600" s="121"/>
      <c r="CY600" s="121"/>
      <c r="CZ600" s="121"/>
      <c r="DA600" s="121"/>
      <c r="DB600" s="121"/>
      <c r="DC600" s="121"/>
      <c r="DD600" s="121"/>
      <c r="DE600" s="121"/>
      <c r="DF600" s="121"/>
      <c r="DG600" s="121"/>
      <c r="DH600" s="121"/>
      <c r="DI600" s="121"/>
      <c r="DJ600" s="121"/>
      <c r="DK600" s="121"/>
      <c r="DL600" s="121"/>
      <c r="DM600" s="121"/>
      <c r="DN600" s="121"/>
      <c r="DO600" s="121"/>
      <c r="DP600" s="121"/>
      <c r="DQ600" s="121"/>
      <c r="DR600" s="121"/>
      <c r="DS600" s="121"/>
      <c r="DT600" s="240"/>
      <c r="DU600" s="240"/>
      <c r="DV600" s="240"/>
      <c r="DW600" s="240"/>
      <c r="DX600" s="240"/>
      <c r="DY600" s="240"/>
      <c r="DZ600" s="240"/>
      <c r="EA600" s="240"/>
      <c r="EB600" s="237">
        <f t="shared" si="72"/>
        <v>0</v>
      </c>
      <c r="EC600" s="237">
        <f t="shared" si="73"/>
        <v>0</v>
      </c>
      <c r="ED600" s="237">
        <f t="shared" si="74"/>
        <v>0</v>
      </c>
      <c r="EE600" s="237">
        <f t="shared" si="75"/>
        <v>0</v>
      </c>
      <c r="EF600" s="121"/>
      <c r="EG600" s="238">
        <f t="shared" si="76"/>
        <v>0</v>
      </c>
      <c r="EH600" s="121"/>
      <c r="EI600" s="237">
        <f t="shared" si="77"/>
        <v>0</v>
      </c>
      <c r="EJ600" s="121"/>
      <c r="EK600" s="237">
        <f t="shared" si="78"/>
        <v>0</v>
      </c>
      <c r="EL600" s="237"/>
      <c r="EM600" s="5"/>
      <c r="EN600" s="5"/>
      <c r="EO600" s="5"/>
      <c r="EP600" s="5"/>
      <c r="EQ600" s="237">
        <f t="shared" si="79"/>
        <v>0</v>
      </c>
      <c r="ER600" s="239">
        <v>23300</v>
      </c>
      <c r="ES600" s="5">
        <v>7.5</v>
      </c>
    </row>
    <row r="601" spans="1:149" x14ac:dyDescent="0.3">
      <c r="A601" s="124"/>
      <c r="B601" s="121"/>
      <c r="C601" s="121"/>
      <c r="D601" s="121"/>
      <c r="E601" s="121"/>
      <c r="F601" s="121"/>
      <c r="G601" s="121"/>
      <c r="H601" s="121"/>
      <c r="I601" s="121"/>
      <c r="J601" s="121"/>
      <c r="K601" s="121"/>
      <c r="L601" s="121"/>
      <c r="M601" s="121"/>
      <c r="N601" s="121"/>
      <c r="O601" s="235"/>
      <c r="P601" s="121"/>
      <c r="Q601" s="121"/>
      <c r="R601" s="121"/>
      <c r="S601" s="121"/>
      <c r="T601" s="121"/>
      <c r="U601" s="121"/>
      <c r="V601" s="121"/>
      <c r="W601" s="121"/>
      <c r="X601" s="117"/>
      <c r="Y601" s="117"/>
      <c r="Z601" s="121"/>
      <c r="AA601" s="121"/>
      <c r="AB601" s="121"/>
      <c r="AC601" s="121"/>
      <c r="AD601" s="121"/>
      <c r="AE601" s="121"/>
      <c r="AF601" s="121"/>
      <c r="AG601" s="121"/>
      <c r="AH601" s="121"/>
      <c r="AI601" s="121"/>
      <c r="AJ601" s="121"/>
      <c r="AK601" s="121"/>
      <c r="AL601" s="121"/>
      <c r="AM601" s="121"/>
      <c r="AN601" s="121"/>
      <c r="AO601" s="121"/>
      <c r="AP601" s="121"/>
      <c r="AQ601" s="121"/>
      <c r="AR601" s="121"/>
      <c r="AS601" s="121"/>
      <c r="AT601" s="121"/>
      <c r="AU601" s="121"/>
      <c r="AV601" s="121"/>
      <c r="AW601" s="121"/>
      <c r="AX601" s="121"/>
      <c r="AY601" s="121"/>
      <c r="AZ601" s="121"/>
      <c r="BA601" s="121"/>
      <c r="BB601" s="121"/>
      <c r="BC601" s="121"/>
      <c r="BD601" s="121"/>
      <c r="BE601" s="121"/>
      <c r="BF601" s="121"/>
      <c r="BG601" s="121"/>
      <c r="BH601" s="121"/>
      <c r="BI601" s="121"/>
      <c r="BJ601" s="121"/>
      <c r="BK601" s="121"/>
      <c r="BL601" s="121"/>
      <c r="BM601" s="121"/>
      <c r="BN601" s="121"/>
      <c r="BO601" s="121"/>
      <c r="BP601" s="121"/>
      <c r="BQ601" s="121"/>
      <c r="BR601" s="121"/>
      <c r="BS601" s="121"/>
      <c r="BT601" s="121"/>
      <c r="BU601" s="121"/>
      <c r="BV601" s="121"/>
      <c r="BW601" s="121"/>
      <c r="BX601" s="121"/>
      <c r="BY601" s="121"/>
      <c r="BZ601" s="121"/>
      <c r="CA601" s="121"/>
      <c r="CB601" s="121"/>
      <c r="CC601" s="121"/>
      <c r="CD601" s="121"/>
      <c r="CE601" s="121"/>
      <c r="CF601" s="121"/>
      <c r="CG601" s="121"/>
      <c r="CH601" s="121"/>
      <c r="CI601" s="121"/>
      <c r="CJ601" s="121"/>
      <c r="CK601" s="121"/>
      <c r="CL601" s="121"/>
      <c r="CM601" s="121"/>
      <c r="CN601" s="121"/>
      <c r="CO601" s="121"/>
      <c r="CP601" s="121"/>
      <c r="CQ601" s="121"/>
      <c r="CR601" s="121"/>
      <c r="CS601" s="121"/>
      <c r="CT601" s="121"/>
      <c r="CU601" s="121"/>
      <c r="CV601" s="121"/>
      <c r="CW601" s="121"/>
      <c r="CX601" s="121"/>
      <c r="CY601" s="121"/>
      <c r="CZ601" s="121"/>
      <c r="DA601" s="121"/>
      <c r="DB601" s="121"/>
      <c r="DC601" s="121"/>
      <c r="DD601" s="121"/>
      <c r="DE601" s="121"/>
      <c r="DF601" s="121"/>
      <c r="DG601" s="121"/>
      <c r="DH601" s="121"/>
      <c r="DI601" s="121"/>
      <c r="DJ601" s="121"/>
      <c r="DK601" s="121"/>
      <c r="DL601" s="121"/>
      <c r="DM601" s="121"/>
      <c r="DN601" s="121"/>
      <c r="DO601" s="121"/>
      <c r="DP601" s="121"/>
      <c r="DQ601" s="121"/>
      <c r="DR601" s="121"/>
      <c r="DS601" s="121"/>
      <c r="DT601" s="240"/>
      <c r="DU601" s="240"/>
      <c r="DV601" s="240"/>
      <c r="DW601" s="240"/>
      <c r="DX601" s="240"/>
      <c r="DY601" s="240"/>
      <c r="DZ601" s="240"/>
      <c r="EA601" s="240"/>
      <c r="EB601" s="237">
        <f t="shared" si="72"/>
        <v>0</v>
      </c>
      <c r="EC601" s="237">
        <f t="shared" si="73"/>
        <v>0</v>
      </c>
      <c r="ED601" s="237">
        <f t="shared" si="74"/>
        <v>0</v>
      </c>
      <c r="EE601" s="237">
        <f t="shared" si="75"/>
        <v>0</v>
      </c>
      <c r="EF601" s="121"/>
      <c r="EG601" s="238">
        <f t="shared" si="76"/>
        <v>0</v>
      </c>
      <c r="EH601" s="121"/>
      <c r="EI601" s="237">
        <f t="shared" si="77"/>
        <v>0</v>
      </c>
      <c r="EJ601" s="121"/>
      <c r="EK601" s="237">
        <f t="shared" si="78"/>
        <v>0</v>
      </c>
      <c r="EL601" s="237"/>
      <c r="EM601" s="5"/>
      <c r="EN601" s="5"/>
      <c r="EO601" s="5"/>
      <c r="EP601" s="5"/>
      <c r="EQ601" s="237">
        <f t="shared" si="79"/>
        <v>0</v>
      </c>
      <c r="ER601" s="239">
        <v>23300</v>
      </c>
      <c r="ES601" s="5">
        <v>7.5</v>
      </c>
    </row>
    <row r="602" spans="1:149" x14ac:dyDescent="0.3">
      <c r="A602" s="124"/>
      <c r="B602" s="121"/>
      <c r="C602" s="121"/>
      <c r="D602" s="121"/>
      <c r="E602" s="121"/>
      <c r="F602" s="121"/>
      <c r="G602" s="121"/>
      <c r="H602" s="121"/>
      <c r="I602" s="121"/>
      <c r="J602" s="121"/>
      <c r="K602" s="121"/>
      <c r="L602" s="121"/>
      <c r="M602" s="121"/>
      <c r="N602" s="121"/>
      <c r="O602" s="235"/>
      <c r="P602" s="121"/>
      <c r="Q602" s="121"/>
      <c r="R602" s="121"/>
      <c r="S602" s="121"/>
      <c r="T602" s="121"/>
      <c r="U602" s="121"/>
      <c r="V602" s="121"/>
      <c r="W602" s="121"/>
      <c r="X602" s="117"/>
      <c r="Y602" s="117"/>
      <c r="Z602" s="121"/>
      <c r="AA602" s="121"/>
      <c r="AB602" s="121"/>
      <c r="AC602" s="121"/>
      <c r="AD602" s="121"/>
      <c r="AE602" s="121"/>
      <c r="AF602" s="121"/>
      <c r="AG602" s="121"/>
      <c r="AH602" s="121"/>
      <c r="AI602" s="121"/>
      <c r="AJ602" s="121"/>
      <c r="AK602" s="121"/>
      <c r="AL602" s="121"/>
      <c r="AM602" s="121"/>
      <c r="AN602" s="121"/>
      <c r="AO602" s="121"/>
      <c r="AP602" s="121"/>
      <c r="AQ602" s="121"/>
      <c r="AR602" s="121"/>
      <c r="AS602" s="121"/>
      <c r="AT602" s="121"/>
      <c r="AU602" s="121"/>
      <c r="AV602" s="121"/>
      <c r="AW602" s="121"/>
      <c r="AX602" s="121"/>
      <c r="AY602" s="121"/>
      <c r="AZ602" s="121"/>
      <c r="BA602" s="121"/>
      <c r="BB602" s="121"/>
      <c r="BC602" s="121"/>
      <c r="BD602" s="121"/>
      <c r="BE602" s="121"/>
      <c r="BF602" s="121"/>
      <c r="BG602" s="121"/>
      <c r="BH602" s="121"/>
      <c r="BI602" s="121"/>
      <c r="BJ602" s="121"/>
      <c r="BK602" s="121"/>
      <c r="BL602" s="121"/>
      <c r="BM602" s="121"/>
      <c r="BN602" s="121"/>
      <c r="BO602" s="121"/>
      <c r="BP602" s="121"/>
      <c r="BQ602" s="121"/>
      <c r="BR602" s="121"/>
      <c r="BS602" s="121"/>
      <c r="BT602" s="121"/>
      <c r="BU602" s="121"/>
      <c r="BV602" s="121"/>
      <c r="BW602" s="121"/>
      <c r="BX602" s="121"/>
      <c r="BY602" s="121"/>
      <c r="BZ602" s="121"/>
      <c r="CA602" s="121"/>
      <c r="CB602" s="121"/>
      <c r="CC602" s="121"/>
      <c r="CD602" s="121"/>
      <c r="CE602" s="121"/>
      <c r="CF602" s="121"/>
      <c r="CG602" s="121"/>
      <c r="CH602" s="121"/>
      <c r="CI602" s="121"/>
      <c r="CJ602" s="121"/>
      <c r="CK602" s="121"/>
      <c r="CL602" s="121"/>
      <c r="CM602" s="121"/>
      <c r="CN602" s="121"/>
      <c r="CO602" s="121"/>
      <c r="CP602" s="121"/>
      <c r="CQ602" s="121"/>
      <c r="CR602" s="121"/>
      <c r="CS602" s="121"/>
      <c r="CT602" s="121"/>
      <c r="CU602" s="121"/>
      <c r="CV602" s="121"/>
      <c r="CW602" s="121"/>
      <c r="CX602" s="121"/>
      <c r="CY602" s="121"/>
      <c r="CZ602" s="121"/>
      <c r="DA602" s="121"/>
      <c r="DB602" s="121"/>
      <c r="DC602" s="121"/>
      <c r="DD602" s="121"/>
      <c r="DE602" s="121"/>
      <c r="DF602" s="121"/>
      <c r="DG602" s="121"/>
      <c r="DH602" s="121"/>
      <c r="DI602" s="121"/>
      <c r="DJ602" s="121"/>
      <c r="DK602" s="121"/>
      <c r="DL602" s="121"/>
      <c r="DM602" s="121"/>
      <c r="DN602" s="121"/>
      <c r="DO602" s="121"/>
      <c r="DP602" s="121"/>
      <c r="DQ602" s="121"/>
      <c r="DR602" s="121"/>
      <c r="DS602" s="121"/>
      <c r="DT602" s="240"/>
      <c r="DU602" s="240"/>
      <c r="DV602" s="240"/>
      <c r="DW602" s="240"/>
      <c r="DX602" s="240"/>
      <c r="DY602" s="240"/>
      <c r="DZ602" s="240"/>
      <c r="EA602" s="240"/>
      <c r="EB602" s="237">
        <f t="shared" si="72"/>
        <v>0</v>
      </c>
      <c r="EC602" s="237">
        <f t="shared" si="73"/>
        <v>0</v>
      </c>
      <c r="ED602" s="237">
        <f t="shared" si="74"/>
        <v>0</v>
      </c>
      <c r="EE602" s="237">
        <f t="shared" si="75"/>
        <v>0</v>
      </c>
      <c r="EF602" s="121"/>
      <c r="EG602" s="238">
        <f t="shared" si="76"/>
        <v>0</v>
      </c>
      <c r="EH602" s="121"/>
      <c r="EI602" s="237">
        <f t="shared" si="77"/>
        <v>0</v>
      </c>
      <c r="EJ602" s="121"/>
      <c r="EK602" s="237">
        <f t="shared" si="78"/>
        <v>0</v>
      </c>
      <c r="EL602" s="237"/>
      <c r="EM602" s="5"/>
      <c r="EN602" s="5"/>
      <c r="EO602" s="5"/>
      <c r="EP602" s="5"/>
      <c r="EQ602" s="237">
        <f t="shared" si="79"/>
        <v>0</v>
      </c>
      <c r="ER602" s="239">
        <v>23300</v>
      </c>
      <c r="ES602" s="5">
        <v>7.5</v>
      </c>
    </row>
    <row r="603" spans="1:149" x14ac:dyDescent="0.3">
      <c r="A603" s="124"/>
      <c r="B603" s="121"/>
      <c r="C603" s="121"/>
      <c r="D603" s="121"/>
      <c r="E603" s="121"/>
      <c r="F603" s="121"/>
      <c r="G603" s="121"/>
      <c r="H603" s="121"/>
      <c r="I603" s="121"/>
      <c r="J603" s="121"/>
      <c r="K603" s="121"/>
      <c r="L603" s="121"/>
      <c r="M603" s="121"/>
      <c r="N603" s="121"/>
      <c r="O603" s="235"/>
      <c r="P603" s="121"/>
      <c r="Q603" s="121"/>
      <c r="R603" s="121"/>
      <c r="S603" s="121"/>
      <c r="T603" s="121"/>
      <c r="U603" s="121"/>
      <c r="V603" s="121"/>
      <c r="W603" s="121"/>
      <c r="X603" s="117"/>
      <c r="Y603" s="117"/>
      <c r="Z603" s="121"/>
      <c r="AA603" s="121"/>
      <c r="AB603" s="121"/>
      <c r="AC603" s="121"/>
      <c r="AD603" s="121"/>
      <c r="AE603" s="121"/>
      <c r="AF603" s="121"/>
      <c r="AG603" s="121"/>
      <c r="AH603" s="121"/>
      <c r="AI603" s="121"/>
      <c r="AJ603" s="121"/>
      <c r="AK603" s="121"/>
      <c r="AL603" s="121"/>
      <c r="AM603" s="121"/>
      <c r="AN603" s="121"/>
      <c r="AO603" s="121"/>
      <c r="AP603" s="121"/>
      <c r="AQ603" s="121"/>
      <c r="AR603" s="121"/>
      <c r="AS603" s="121"/>
      <c r="AT603" s="121"/>
      <c r="AU603" s="121"/>
      <c r="AV603" s="121"/>
      <c r="AW603" s="121"/>
      <c r="AX603" s="121"/>
      <c r="AY603" s="121"/>
      <c r="AZ603" s="121"/>
      <c r="BA603" s="121"/>
      <c r="BB603" s="121"/>
      <c r="BC603" s="121"/>
      <c r="BD603" s="121"/>
      <c r="BE603" s="121"/>
      <c r="BF603" s="121"/>
      <c r="BG603" s="121"/>
      <c r="BH603" s="121"/>
      <c r="BI603" s="121"/>
      <c r="BJ603" s="121"/>
      <c r="BK603" s="121"/>
      <c r="BL603" s="121"/>
      <c r="BM603" s="121"/>
      <c r="BN603" s="121"/>
      <c r="BO603" s="121"/>
      <c r="BP603" s="121"/>
      <c r="BQ603" s="121"/>
      <c r="BR603" s="121"/>
      <c r="BS603" s="121"/>
      <c r="BT603" s="121"/>
      <c r="BU603" s="121"/>
      <c r="BV603" s="121"/>
      <c r="BW603" s="121"/>
      <c r="BX603" s="121"/>
      <c r="BY603" s="121"/>
      <c r="BZ603" s="121"/>
      <c r="CA603" s="121"/>
      <c r="CB603" s="121"/>
      <c r="CC603" s="121"/>
      <c r="CD603" s="121"/>
      <c r="CE603" s="121"/>
      <c r="CF603" s="121"/>
      <c r="CG603" s="121"/>
      <c r="CH603" s="121"/>
      <c r="CI603" s="121"/>
      <c r="CJ603" s="121"/>
      <c r="CK603" s="121"/>
      <c r="CL603" s="121"/>
      <c r="CM603" s="121"/>
      <c r="CN603" s="121"/>
      <c r="CO603" s="121"/>
      <c r="CP603" s="121"/>
      <c r="CQ603" s="121"/>
      <c r="CR603" s="121"/>
      <c r="CS603" s="121"/>
      <c r="CT603" s="121"/>
      <c r="CU603" s="121"/>
      <c r="CV603" s="121"/>
      <c r="CW603" s="121"/>
      <c r="CX603" s="121"/>
      <c r="CY603" s="121"/>
      <c r="CZ603" s="121"/>
      <c r="DA603" s="121"/>
      <c r="DB603" s="121"/>
      <c r="DC603" s="121"/>
      <c r="DD603" s="121"/>
      <c r="DE603" s="121"/>
      <c r="DF603" s="121"/>
      <c r="DG603" s="121"/>
      <c r="DH603" s="121"/>
      <c r="DI603" s="121"/>
      <c r="DJ603" s="121"/>
      <c r="DK603" s="121"/>
      <c r="DL603" s="121"/>
      <c r="DM603" s="121"/>
      <c r="DN603" s="121"/>
      <c r="DO603" s="121"/>
      <c r="DP603" s="121"/>
      <c r="DQ603" s="121"/>
      <c r="DR603" s="121"/>
      <c r="DS603" s="121"/>
      <c r="DT603" s="240"/>
      <c r="DU603" s="240"/>
      <c r="DV603" s="240"/>
      <c r="DW603" s="240"/>
      <c r="DX603" s="240"/>
      <c r="DY603" s="240"/>
      <c r="DZ603" s="240"/>
      <c r="EA603" s="240"/>
      <c r="EB603" s="237">
        <f t="shared" si="72"/>
        <v>0</v>
      </c>
      <c r="EC603" s="237">
        <f t="shared" si="73"/>
        <v>0</v>
      </c>
      <c r="ED603" s="237">
        <f t="shared" si="74"/>
        <v>0</v>
      </c>
      <c r="EE603" s="237">
        <f t="shared" si="75"/>
        <v>0</v>
      </c>
      <c r="EF603" s="121"/>
      <c r="EG603" s="238">
        <f t="shared" si="76"/>
        <v>0</v>
      </c>
      <c r="EH603" s="121"/>
      <c r="EI603" s="237">
        <f t="shared" si="77"/>
        <v>0</v>
      </c>
      <c r="EJ603" s="121"/>
      <c r="EK603" s="237">
        <f t="shared" si="78"/>
        <v>0</v>
      </c>
      <c r="EL603" s="237"/>
      <c r="EM603" s="5"/>
      <c r="EN603" s="5"/>
      <c r="EO603" s="5"/>
      <c r="EP603" s="5"/>
      <c r="EQ603" s="237">
        <f t="shared" si="79"/>
        <v>0</v>
      </c>
      <c r="ER603" s="239">
        <v>23300</v>
      </c>
      <c r="ES603" s="5">
        <v>7.5</v>
      </c>
    </row>
    <row r="604" spans="1:149" x14ac:dyDescent="0.3">
      <c r="A604" s="124"/>
      <c r="B604" s="121"/>
      <c r="C604" s="121"/>
      <c r="D604" s="121"/>
      <c r="E604" s="121"/>
      <c r="F604" s="121"/>
      <c r="G604" s="121"/>
      <c r="H604" s="121"/>
      <c r="I604" s="121"/>
      <c r="J604" s="121"/>
      <c r="K604" s="121"/>
      <c r="L604" s="121"/>
      <c r="M604" s="121"/>
      <c r="N604" s="121"/>
      <c r="O604" s="235"/>
      <c r="P604" s="121"/>
      <c r="Q604" s="121"/>
      <c r="R604" s="121"/>
      <c r="S604" s="121"/>
      <c r="T604" s="121"/>
      <c r="U604" s="121"/>
      <c r="V604" s="121"/>
      <c r="W604" s="121"/>
      <c r="X604" s="117"/>
      <c r="Y604" s="117"/>
      <c r="Z604" s="121"/>
      <c r="AA604" s="121"/>
      <c r="AB604" s="121"/>
      <c r="AC604" s="121"/>
      <c r="AD604" s="121"/>
      <c r="AE604" s="121"/>
      <c r="AF604" s="121"/>
      <c r="AG604" s="121"/>
      <c r="AH604" s="121"/>
      <c r="AI604" s="121"/>
      <c r="AJ604" s="121"/>
      <c r="AK604" s="121"/>
      <c r="AL604" s="121"/>
      <c r="AM604" s="121"/>
      <c r="AN604" s="121"/>
      <c r="AO604" s="121"/>
      <c r="AP604" s="121"/>
      <c r="AQ604" s="121"/>
      <c r="AR604" s="121"/>
      <c r="AS604" s="121"/>
      <c r="AT604" s="121"/>
      <c r="AU604" s="121"/>
      <c r="AV604" s="121"/>
      <c r="AW604" s="121"/>
      <c r="AX604" s="121"/>
      <c r="AY604" s="121"/>
      <c r="AZ604" s="121"/>
      <c r="BA604" s="121"/>
      <c r="BB604" s="121"/>
      <c r="BC604" s="121"/>
      <c r="BD604" s="121"/>
      <c r="BE604" s="121"/>
      <c r="BF604" s="121"/>
      <c r="BG604" s="121"/>
      <c r="BH604" s="121"/>
      <c r="BI604" s="121"/>
      <c r="BJ604" s="121"/>
      <c r="BK604" s="121"/>
      <c r="BL604" s="121"/>
      <c r="BM604" s="121"/>
      <c r="BN604" s="121"/>
      <c r="BO604" s="121"/>
      <c r="BP604" s="121"/>
      <c r="BQ604" s="121"/>
      <c r="BR604" s="121"/>
      <c r="BS604" s="121"/>
      <c r="BT604" s="121"/>
      <c r="BU604" s="121"/>
      <c r="BV604" s="121"/>
      <c r="BW604" s="121"/>
      <c r="BX604" s="121"/>
      <c r="BY604" s="121"/>
      <c r="BZ604" s="121"/>
      <c r="CA604" s="121"/>
      <c r="CB604" s="121"/>
      <c r="CC604" s="121"/>
      <c r="CD604" s="121"/>
      <c r="CE604" s="121"/>
      <c r="CF604" s="121"/>
      <c r="CG604" s="121"/>
      <c r="CH604" s="121"/>
      <c r="CI604" s="121"/>
      <c r="CJ604" s="121"/>
      <c r="CK604" s="121"/>
      <c r="CL604" s="121"/>
      <c r="CM604" s="121"/>
      <c r="CN604" s="121"/>
      <c r="CO604" s="121"/>
      <c r="CP604" s="121"/>
      <c r="CQ604" s="121"/>
      <c r="CR604" s="121"/>
      <c r="CS604" s="121"/>
      <c r="CT604" s="121"/>
      <c r="CU604" s="121"/>
      <c r="CV604" s="121"/>
      <c r="CW604" s="121"/>
      <c r="CX604" s="121"/>
      <c r="CY604" s="121"/>
      <c r="CZ604" s="121"/>
      <c r="DA604" s="121"/>
      <c r="DB604" s="121"/>
      <c r="DC604" s="121"/>
      <c r="DD604" s="121"/>
      <c r="DE604" s="121"/>
      <c r="DF604" s="121"/>
      <c r="DG604" s="121"/>
      <c r="DH604" s="121"/>
      <c r="DI604" s="121"/>
      <c r="DJ604" s="121"/>
      <c r="DK604" s="121"/>
      <c r="DL604" s="121"/>
      <c r="DM604" s="121"/>
      <c r="DN604" s="121"/>
      <c r="DO604" s="121"/>
      <c r="DP604" s="121"/>
      <c r="DQ604" s="121"/>
      <c r="DR604" s="121"/>
      <c r="DS604" s="121"/>
      <c r="DT604" s="240"/>
      <c r="DU604" s="240"/>
      <c r="DV604" s="240"/>
      <c r="DW604" s="240"/>
      <c r="DX604" s="240"/>
      <c r="DY604" s="240"/>
      <c r="DZ604" s="240"/>
      <c r="EA604" s="240"/>
      <c r="EB604" s="237">
        <f t="shared" si="72"/>
        <v>0</v>
      </c>
      <c r="EC604" s="237">
        <f t="shared" si="73"/>
        <v>0</v>
      </c>
      <c r="ED604" s="237">
        <f t="shared" si="74"/>
        <v>0</v>
      </c>
      <c r="EE604" s="237">
        <f t="shared" si="75"/>
        <v>0</v>
      </c>
      <c r="EF604" s="121"/>
      <c r="EG604" s="238">
        <f t="shared" si="76"/>
        <v>0</v>
      </c>
      <c r="EH604" s="121"/>
      <c r="EI604" s="237">
        <f t="shared" si="77"/>
        <v>0</v>
      </c>
      <c r="EJ604" s="121"/>
      <c r="EK604" s="237">
        <f t="shared" si="78"/>
        <v>0</v>
      </c>
      <c r="EL604" s="237"/>
      <c r="EM604" s="5"/>
      <c r="EN604" s="5"/>
      <c r="EO604" s="5"/>
      <c r="EP604" s="5"/>
      <c r="EQ604" s="237">
        <f t="shared" si="79"/>
        <v>0</v>
      </c>
      <c r="ER604" s="239">
        <v>23300</v>
      </c>
      <c r="ES604" s="5">
        <v>7.5</v>
      </c>
    </row>
    <row r="605" spans="1:149" x14ac:dyDescent="0.3">
      <c r="A605" s="124"/>
      <c r="B605" s="121"/>
      <c r="C605" s="121"/>
      <c r="D605" s="121"/>
      <c r="E605" s="121"/>
      <c r="F605" s="121"/>
      <c r="G605" s="121"/>
      <c r="H605" s="121"/>
      <c r="I605" s="121"/>
      <c r="J605" s="121"/>
      <c r="K605" s="121"/>
      <c r="L605" s="121"/>
      <c r="M605" s="121"/>
      <c r="N605" s="121"/>
      <c r="O605" s="235"/>
      <c r="P605" s="121"/>
      <c r="Q605" s="121"/>
      <c r="R605" s="121"/>
      <c r="S605" s="121"/>
      <c r="T605" s="121"/>
      <c r="U605" s="121"/>
      <c r="V605" s="121"/>
      <c r="W605" s="121"/>
      <c r="X605" s="117"/>
      <c r="Y605" s="117"/>
      <c r="Z605" s="121"/>
      <c r="AA605" s="121"/>
      <c r="AB605" s="121"/>
      <c r="AC605" s="121"/>
      <c r="AD605" s="121"/>
      <c r="AE605" s="121"/>
      <c r="AF605" s="121"/>
      <c r="AG605" s="121"/>
      <c r="AH605" s="121"/>
      <c r="AI605" s="121"/>
      <c r="AJ605" s="121"/>
      <c r="AK605" s="121"/>
      <c r="AL605" s="121"/>
      <c r="AM605" s="121"/>
      <c r="AN605" s="121"/>
      <c r="AO605" s="121"/>
      <c r="AP605" s="121"/>
      <c r="AQ605" s="121"/>
      <c r="AR605" s="121"/>
      <c r="AS605" s="121"/>
      <c r="AT605" s="121"/>
      <c r="AU605" s="121"/>
      <c r="AV605" s="121"/>
      <c r="AW605" s="121"/>
      <c r="AX605" s="121"/>
      <c r="AY605" s="121"/>
      <c r="AZ605" s="121"/>
      <c r="BA605" s="121"/>
      <c r="BB605" s="121"/>
      <c r="BC605" s="121"/>
      <c r="BD605" s="121"/>
      <c r="BE605" s="121"/>
      <c r="BF605" s="121"/>
      <c r="BG605" s="121"/>
      <c r="BH605" s="121"/>
      <c r="BI605" s="121"/>
      <c r="BJ605" s="121"/>
      <c r="BK605" s="121"/>
      <c r="BL605" s="121"/>
      <c r="BM605" s="121"/>
      <c r="BN605" s="121"/>
      <c r="BO605" s="121"/>
      <c r="BP605" s="121"/>
      <c r="BQ605" s="121"/>
      <c r="BR605" s="121"/>
      <c r="BS605" s="121"/>
      <c r="BT605" s="121"/>
      <c r="BU605" s="121"/>
      <c r="BV605" s="121"/>
      <c r="BW605" s="121"/>
      <c r="BX605" s="121"/>
      <c r="BY605" s="121"/>
      <c r="BZ605" s="121"/>
      <c r="CA605" s="121"/>
      <c r="CB605" s="121"/>
      <c r="CC605" s="121"/>
      <c r="CD605" s="121"/>
      <c r="CE605" s="121"/>
      <c r="CF605" s="121"/>
      <c r="CG605" s="121"/>
      <c r="CH605" s="121"/>
      <c r="CI605" s="121"/>
      <c r="CJ605" s="121"/>
      <c r="CK605" s="121"/>
      <c r="CL605" s="121"/>
      <c r="CM605" s="121"/>
      <c r="CN605" s="121"/>
      <c r="CO605" s="121"/>
      <c r="CP605" s="121"/>
      <c r="CQ605" s="121"/>
      <c r="CR605" s="121"/>
      <c r="CS605" s="121"/>
      <c r="CT605" s="121"/>
      <c r="CU605" s="121"/>
      <c r="CV605" s="121"/>
      <c r="CW605" s="121"/>
      <c r="CX605" s="121"/>
      <c r="CY605" s="121"/>
      <c r="CZ605" s="121"/>
      <c r="DA605" s="121"/>
      <c r="DB605" s="121"/>
      <c r="DC605" s="121"/>
      <c r="DD605" s="121"/>
      <c r="DE605" s="121"/>
      <c r="DF605" s="121"/>
      <c r="DG605" s="121"/>
      <c r="DH605" s="121"/>
      <c r="DI605" s="121"/>
      <c r="DJ605" s="121"/>
      <c r="DK605" s="121"/>
      <c r="DL605" s="121"/>
      <c r="DM605" s="121"/>
      <c r="DN605" s="121"/>
      <c r="DO605" s="121"/>
      <c r="DP605" s="121"/>
      <c r="DQ605" s="121"/>
      <c r="DR605" s="121"/>
      <c r="DS605" s="121"/>
      <c r="DT605" s="240"/>
      <c r="DU605" s="240"/>
      <c r="DV605" s="240"/>
      <c r="DW605" s="240"/>
      <c r="DX605" s="240"/>
      <c r="DY605" s="240"/>
      <c r="DZ605" s="240"/>
      <c r="EA605" s="240"/>
      <c r="EB605" s="237">
        <f t="shared" si="72"/>
        <v>0</v>
      </c>
      <c r="EC605" s="237">
        <f t="shared" si="73"/>
        <v>0</v>
      </c>
      <c r="ED605" s="237">
        <f t="shared" si="74"/>
        <v>0</v>
      </c>
      <c r="EE605" s="237">
        <f t="shared" si="75"/>
        <v>0</v>
      </c>
      <c r="EF605" s="121"/>
      <c r="EG605" s="238">
        <f t="shared" si="76"/>
        <v>0</v>
      </c>
      <c r="EH605" s="121"/>
      <c r="EI605" s="237">
        <f t="shared" si="77"/>
        <v>0</v>
      </c>
      <c r="EJ605" s="121"/>
      <c r="EK605" s="237">
        <f t="shared" si="78"/>
        <v>0</v>
      </c>
      <c r="EL605" s="237"/>
      <c r="EM605" s="5"/>
      <c r="EN605" s="5"/>
      <c r="EO605" s="5"/>
      <c r="EP605" s="5"/>
      <c r="EQ605" s="237">
        <f t="shared" si="79"/>
        <v>0</v>
      </c>
      <c r="ER605" s="239">
        <v>23300</v>
      </c>
      <c r="ES605" s="5">
        <v>7.5</v>
      </c>
    </row>
    <row r="606" spans="1:149" x14ac:dyDescent="0.3">
      <c r="A606" s="124"/>
      <c r="B606" s="121"/>
      <c r="C606" s="121"/>
      <c r="D606" s="121"/>
      <c r="E606" s="121"/>
      <c r="F606" s="121"/>
      <c r="G606" s="121"/>
      <c r="H606" s="121"/>
      <c r="I606" s="121"/>
      <c r="J606" s="121"/>
      <c r="K606" s="121"/>
      <c r="L606" s="121"/>
      <c r="M606" s="121"/>
      <c r="N606" s="121"/>
      <c r="O606" s="235"/>
      <c r="P606" s="121"/>
      <c r="Q606" s="121"/>
      <c r="R606" s="121"/>
      <c r="S606" s="121"/>
      <c r="T606" s="121"/>
      <c r="U606" s="121"/>
      <c r="V606" s="121"/>
      <c r="W606" s="121"/>
      <c r="X606" s="117"/>
      <c r="Y606" s="117"/>
      <c r="Z606" s="121"/>
      <c r="AA606" s="121"/>
      <c r="AB606" s="121"/>
      <c r="AC606" s="121"/>
      <c r="AD606" s="121"/>
      <c r="AE606" s="121"/>
      <c r="AF606" s="121"/>
      <c r="AG606" s="121"/>
      <c r="AH606" s="121"/>
      <c r="AI606" s="121"/>
      <c r="AJ606" s="121"/>
      <c r="AK606" s="121"/>
      <c r="AL606" s="121"/>
      <c r="AM606" s="121"/>
      <c r="AN606" s="121"/>
      <c r="AO606" s="121"/>
      <c r="AP606" s="121"/>
      <c r="AQ606" s="121"/>
      <c r="AR606" s="121"/>
      <c r="AS606" s="121"/>
      <c r="AT606" s="121"/>
      <c r="AU606" s="121"/>
      <c r="AV606" s="121"/>
      <c r="AW606" s="121"/>
      <c r="AX606" s="121"/>
      <c r="AY606" s="121"/>
      <c r="AZ606" s="121"/>
      <c r="BA606" s="121"/>
      <c r="BB606" s="121"/>
      <c r="BC606" s="121"/>
      <c r="BD606" s="121"/>
      <c r="BE606" s="121"/>
      <c r="BF606" s="121"/>
      <c r="BG606" s="121"/>
      <c r="BH606" s="121"/>
      <c r="BI606" s="121"/>
      <c r="BJ606" s="121"/>
      <c r="BK606" s="121"/>
      <c r="BL606" s="121"/>
      <c r="BM606" s="121"/>
      <c r="BN606" s="121"/>
      <c r="BO606" s="121"/>
      <c r="BP606" s="121"/>
      <c r="BQ606" s="121"/>
      <c r="BR606" s="121"/>
      <c r="BS606" s="121"/>
      <c r="BT606" s="121"/>
      <c r="BU606" s="121"/>
      <c r="BV606" s="121"/>
      <c r="BW606" s="121"/>
      <c r="BX606" s="121"/>
      <c r="BY606" s="121"/>
      <c r="BZ606" s="121"/>
      <c r="CA606" s="121"/>
      <c r="CB606" s="121"/>
      <c r="CC606" s="121"/>
      <c r="CD606" s="121"/>
      <c r="CE606" s="121"/>
      <c r="CF606" s="121"/>
      <c r="CG606" s="121"/>
      <c r="CH606" s="121"/>
      <c r="CI606" s="121"/>
      <c r="CJ606" s="121"/>
      <c r="CK606" s="121"/>
      <c r="CL606" s="121"/>
      <c r="CM606" s="121"/>
      <c r="CN606" s="121"/>
      <c r="CO606" s="121"/>
      <c r="CP606" s="121"/>
      <c r="CQ606" s="121"/>
      <c r="CR606" s="121"/>
      <c r="CS606" s="121"/>
      <c r="CT606" s="121"/>
      <c r="CU606" s="121"/>
      <c r="CV606" s="121"/>
      <c r="CW606" s="121"/>
      <c r="CX606" s="121"/>
      <c r="CY606" s="121"/>
      <c r="CZ606" s="121"/>
      <c r="DA606" s="121"/>
      <c r="DB606" s="121"/>
      <c r="DC606" s="121"/>
      <c r="DD606" s="121"/>
      <c r="DE606" s="121"/>
      <c r="DF606" s="121"/>
      <c r="DG606" s="121"/>
      <c r="DH606" s="121"/>
      <c r="DI606" s="121"/>
      <c r="DJ606" s="121"/>
      <c r="DK606" s="121"/>
      <c r="DL606" s="121"/>
      <c r="DM606" s="121"/>
      <c r="DN606" s="121"/>
      <c r="DO606" s="121"/>
      <c r="DP606" s="121"/>
      <c r="DQ606" s="121"/>
      <c r="DR606" s="121"/>
      <c r="DS606" s="121"/>
      <c r="DT606" s="240"/>
      <c r="DU606" s="240"/>
      <c r="DV606" s="240"/>
      <c r="DW606" s="240"/>
      <c r="DX606" s="240"/>
      <c r="DY606" s="240"/>
      <c r="DZ606" s="240"/>
      <c r="EA606" s="240"/>
      <c r="EB606" s="237">
        <f t="shared" si="72"/>
        <v>0</v>
      </c>
      <c r="EC606" s="237">
        <f t="shared" si="73"/>
        <v>0</v>
      </c>
      <c r="ED606" s="237">
        <f t="shared" si="74"/>
        <v>0</v>
      </c>
      <c r="EE606" s="237">
        <f t="shared" si="75"/>
        <v>0</v>
      </c>
      <c r="EF606" s="121"/>
      <c r="EG606" s="238">
        <f t="shared" si="76"/>
        <v>0</v>
      </c>
      <c r="EH606" s="121"/>
      <c r="EI606" s="237">
        <f t="shared" si="77"/>
        <v>0</v>
      </c>
      <c r="EJ606" s="121"/>
      <c r="EK606" s="237">
        <f t="shared" si="78"/>
        <v>0</v>
      </c>
      <c r="EL606" s="237"/>
      <c r="EM606" s="5"/>
      <c r="EN606" s="5"/>
      <c r="EO606" s="5"/>
      <c r="EP606" s="5"/>
      <c r="EQ606" s="237">
        <f t="shared" si="79"/>
        <v>0</v>
      </c>
      <c r="ER606" s="239">
        <v>23300</v>
      </c>
      <c r="ES606" s="5">
        <v>7.5</v>
      </c>
    </row>
    <row r="607" spans="1:149" x14ac:dyDescent="0.3">
      <c r="A607" s="124"/>
      <c r="B607" s="121"/>
      <c r="C607" s="121"/>
      <c r="D607" s="121"/>
      <c r="E607" s="121"/>
      <c r="F607" s="121"/>
      <c r="G607" s="121"/>
      <c r="H607" s="121"/>
      <c r="I607" s="121"/>
      <c r="J607" s="121"/>
      <c r="K607" s="121"/>
      <c r="L607" s="121"/>
      <c r="M607" s="121"/>
      <c r="N607" s="121"/>
      <c r="O607" s="235"/>
      <c r="P607" s="121"/>
      <c r="Q607" s="121"/>
      <c r="R607" s="121"/>
      <c r="S607" s="121"/>
      <c r="T607" s="121"/>
      <c r="U607" s="121"/>
      <c r="V607" s="121"/>
      <c r="W607" s="121"/>
      <c r="X607" s="117"/>
      <c r="Y607" s="117"/>
      <c r="Z607" s="121"/>
      <c r="AA607" s="121"/>
      <c r="AB607" s="121"/>
      <c r="AC607" s="121"/>
      <c r="AD607" s="121"/>
      <c r="AE607" s="121"/>
      <c r="AF607" s="121"/>
      <c r="AG607" s="121"/>
      <c r="AH607" s="121"/>
      <c r="AI607" s="121"/>
      <c r="AJ607" s="121"/>
      <c r="AK607" s="121"/>
      <c r="AL607" s="121"/>
      <c r="AM607" s="121"/>
      <c r="AN607" s="121"/>
      <c r="AO607" s="121"/>
      <c r="AP607" s="121"/>
      <c r="AQ607" s="121"/>
      <c r="AR607" s="121"/>
      <c r="AS607" s="121"/>
      <c r="AT607" s="121"/>
      <c r="AU607" s="121"/>
      <c r="AV607" s="121"/>
      <c r="AW607" s="121"/>
      <c r="AX607" s="121"/>
      <c r="AY607" s="121"/>
      <c r="AZ607" s="121"/>
      <c r="BA607" s="121"/>
      <c r="BB607" s="121"/>
      <c r="BC607" s="121"/>
      <c r="BD607" s="121"/>
      <c r="BE607" s="121"/>
      <c r="BF607" s="121"/>
      <c r="BG607" s="121"/>
      <c r="BH607" s="121"/>
      <c r="BI607" s="121"/>
      <c r="BJ607" s="121"/>
      <c r="BK607" s="121"/>
      <c r="BL607" s="121"/>
      <c r="BM607" s="121"/>
      <c r="BN607" s="121"/>
      <c r="BO607" s="121"/>
      <c r="BP607" s="121"/>
      <c r="BQ607" s="121"/>
      <c r="BR607" s="121"/>
      <c r="BS607" s="121"/>
      <c r="BT607" s="121"/>
      <c r="BU607" s="121"/>
      <c r="BV607" s="121"/>
      <c r="BW607" s="121"/>
      <c r="BX607" s="121"/>
      <c r="BY607" s="121"/>
      <c r="BZ607" s="121"/>
      <c r="CA607" s="121"/>
      <c r="CB607" s="121"/>
      <c r="CC607" s="121"/>
      <c r="CD607" s="121"/>
      <c r="CE607" s="121"/>
      <c r="CF607" s="121"/>
      <c r="CG607" s="121"/>
      <c r="CH607" s="121"/>
      <c r="CI607" s="121"/>
      <c r="CJ607" s="121"/>
      <c r="CK607" s="121"/>
      <c r="CL607" s="121"/>
      <c r="CM607" s="121"/>
      <c r="CN607" s="121"/>
      <c r="CO607" s="121"/>
      <c r="CP607" s="121"/>
      <c r="CQ607" s="121"/>
      <c r="CR607" s="121"/>
      <c r="CS607" s="121"/>
      <c r="CT607" s="121"/>
      <c r="CU607" s="121"/>
      <c r="CV607" s="121"/>
      <c r="CW607" s="121"/>
      <c r="CX607" s="121"/>
      <c r="CY607" s="121"/>
      <c r="CZ607" s="121"/>
      <c r="DA607" s="121"/>
      <c r="DB607" s="121"/>
      <c r="DC607" s="121"/>
      <c r="DD607" s="121"/>
      <c r="DE607" s="121"/>
      <c r="DF607" s="121"/>
      <c r="DG607" s="121"/>
      <c r="DH607" s="121"/>
      <c r="DI607" s="121"/>
      <c r="DJ607" s="121"/>
      <c r="DK607" s="121"/>
      <c r="DL607" s="121"/>
      <c r="DM607" s="121"/>
      <c r="DN607" s="121"/>
      <c r="DO607" s="121"/>
      <c r="DP607" s="121"/>
      <c r="DQ607" s="121"/>
      <c r="DR607" s="121"/>
      <c r="DS607" s="121"/>
      <c r="DT607" s="240"/>
      <c r="DU607" s="240"/>
      <c r="DV607" s="240"/>
      <c r="DW607" s="240"/>
      <c r="DX607" s="240"/>
      <c r="DY607" s="240"/>
      <c r="DZ607" s="240"/>
      <c r="EA607" s="240"/>
      <c r="EB607" s="237">
        <f t="shared" si="72"/>
        <v>0</v>
      </c>
      <c r="EC607" s="237">
        <f t="shared" si="73"/>
        <v>0</v>
      </c>
      <c r="ED607" s="237">
        <f t="shared" si="74"/>
        <v>0</v>
      </c>
      <c r="EE607" s="237">
        <f t="shared" si="75"/>
        <v>0</v>
      </c>
      <c r="EF607" s="121"/>
      <c r="EG607" s="238">
        <f t="shared" si="76"/>
        <v>0</v>
      </c>
      <c r="EH607" s="121"/>
      <c r="EI607" s="237">
        <f t="shared" si="77"/>
        <v>0</v>
      </c>
      <c r="EJ607" s="121"/>
      <c r="EK607" s="237">
        <f t="shared" si="78"/>
        <v>0</v>
      </c>
      <c r="EL607" s="237"/>
      <c r="EM607" s="5"/>
      <c r="EN607" s="5"/>
      <c r="EO607" s="5"/>
      <c r="EP607" s="5"/>
      <c r="EQ607" s="237">
        <f t="shared" si="79"/>
        <v>0</v>
      </c>
      <c r="ER607" s="239">
        <v>23300</v>
      </c>
      <c r="ES607" s="5">
        <v>7.5</v>
      </c>
    </row>
    <row r="608" spans="1:149" x14ac:dyDescent="0.3">
      <c r="A608" s="124"/>
      <c r="B608" s="121"/>
      <c r="C608" s="121"/>
      <c r="D608" s="121"/>
      <c r="E608" s="121"/>
      <c r="F608" s="121"/>
      <c r="G608" s="121"/>
      <c r="H608" s="121"/>
      <c r="I608" s="121"/>
      <c r="J608" s="121"/>
      <c r="K608" s="121"/>
      <c r="L608" s="121"/>
      <c r="M608" s="121"/>
      <c r="N608" s="121"/>
      <c r="O608" s="235"/>
      <c r="P608" s="121"/>
      <c r="Q608" s="121"/>
      <c r="R608" s="121"/>
      <c r="S608" s="121"/>
      <c r="T608" s="121"/>
      <c r="U608" s="121"/>
      <c r="V608" s="121"/>
      <c r="W608" s="121"/>
      <c r="X608" s="117"/>
      <c r="Y608" s="117"/>
      <c r="Z608" s="121"/>
      <c r="AA608" s="121"/>
      <c r="AB608" s="121"/>
      <c r="AC608" s="121"/>
      <c r="AD608" s="121"/>
      <c r="AE608" s="121"/>
      <c r="AF608" s="121"/>
      <c r="AG608" s="121"/>
      <c r="AH608" s="121"/>
      <c r="AI608" s="121"/>
      <c r="AJ608" s="121"/>
      <c r="AK608" s="121"/>
      <c r="AL608" s="121"/>
      <c r="AM608" s="121"/>
      <c r="AN608" s="121"/>
      <c r="AO608" s="121"/>
      <c r="AP608" s="121"/>
      <c r="AQ608" s="121"/>
      <c r="AR608" s="121"/>
      <c r="AS608" s="121"/>
      <c r="AT608" s="121"/>
      <c r="AU608" s="121"/>
      <c r="AV608" s="121"/>
      <c r="AW608" s="121"/>
      <c r="AX608" s="121"/>
      <c r="AY608" s="121"/>
      <c r="AZ608" s="121"/>
      <c r="BA608" s="121"/>
      <c r="BB608" s="121"/>
      <c r="BC608" s="121"/>
      <c r="BD608" s="121"/>
      <c r="BE608" s="121"/>
      <c r="BF608" s="121"/>
      <c r="BG608" s="121"/>
      <c r="BH608" s="121"/>
      <c r="BI608" s="121"/>
      <c r="BJ608" s="121"/>
      <c r="BK608" s="121"/>
      <c r="BL608" s="121"/>
      <c r="BM608" s="121"/>
      <c r="BN608" s="121"/>
      <c r="BO608" s="121"/>
      <c r="BP608" s="121"/>
      <c r="BQ608" s="121"/>
      <c r="BR608" s="121"/>
      <c r="BS608" s="121"/>
      <c r="BT608" s="121"/>
      <c r="BU608" s="121"/>
      <c r="BV608" s="121"/>
      <c r="BW608" s="121"/>
      <c r="BX608" s="121"/>
      <c r="BY608" s="121"/>
      <c r="BZ608" s="121"/>
      <c r="CA608" s="121"/>
      <c r="CB608" s="121"/>
      <c r="CC608" s="121"/>
      <c r="CD608" s="121"/>
      <c r="CE608" s="121"/>
      <c r="CF608" s="121"/>
      <c r="CG608" s="121"/>
      <c r="CH608" s="121"/>
      <c r="CI608" s="121"/>
      <c r="CJ608" s="121"/>
      <c r="CK608" s="121"/>
      <c r="CL608" s="121"/>
      <c r="CM608" s="121"/>
      <c r="CN608" s="121"/>
      <c r="CO608" s="121"/>
      <c r="CP608" s="121"/>
      <c r="CQ608" s="121"/>
      <c r="CR608" s="121"/>
      <c r="CS608" s="121"/>
      <c r="CT608" s="121"/>
      <c r="CU608" s="121"/>
      <c r="CV608" s="121"/>
      <c r="CW608" s="121"/>
      <c r="CX608" s="121"/>
      <c r="CY608" s="121"/>
      <c r="CZ608" s="121"/>
      <c r="DA608" s="121"/>
      <c r="DB608" s="121"/>
      <c r="DC608" s="121"/>
      <c r="DD608" s="121"/>
      <c r="DE608" s="121"/>
      <c r="DF608" s="121"/>
      <c r="DG608" s="121"/>
      <c r="DH608" s="121"/>
      <c r="DI608" s="121"/>
      <c r="DJ608" s="121"/>
      <c r="DK608" s="121"/>
      <c r="DL608" s="121"/>
      <c r="DM608" s="121"/>
      <c r="DN608" s="121"/>
      <c r="DO608" s="121"/>
      <c r="DP608" s="121"/>
      <c r="DQ608" s="121"/>
      <c r="DR608" s="121"/>
      <c r="DS608" s="121"/>
      <c r="DT608" s="240"/>
      <c r="DU608" s="240"/>
      <c r="DV608" s="240"/>
      <c r="DW608" s="240"/>
      <c r="DX608" s="240"/>
      <c r="DY608" s="240"/>
      <c r="DZ608" s="240"/>
      <c r="EA608" s="240"/>
      <c r="EB608" s="237">
        <f t="shared" si="72"/>
        <v>0</v>
      </c>
      <c r="EC608" s="237">
        <f t="shared" si="73"/>
        <v>0</v>
      </c>
      <c r="ED608" s="237">
        <f t="shared" si="74"/>
        <v>0</v>
      </c>
      <c r="EE608" s="237">
        <f t="shared" si="75"/>
        <v>0</v>
      </c>
      <c r="EF608" s="121"/>
      <c r="EG608" s="238">
        <f t="shared" si="76"/>
        <v>0</v>
      </c>
      <c r="EH608" s="121"/>
      <c r="EI608" s="237">
        <f t="shared" si="77"/>
        <v>0</v>
      </c>
      <c r="EJ608" s="121"/>
      <c r="EK608" s="237">
        <f t="shared" si="78"/>
        <v>0</v>
      </c>
      <c r="EL608" s="237"/>
      <c r="EM608" s="5"/>
      <c r="EN608" s="5"/>
      <c r="EO608" s="5"/>
      <c r="EP608" s="5"/>
      <c r="EQ608" s="237">
        <f t="shared" si="79"/>
        <v>0</v>
      </c>
      <c r="ER608" s="239">
        <v>23300</v>
      </c>
      <c r="ES608" s="5">
        <v>7.5</v>
      </c>
    </row>
    <row r="609" spans="1:149" x14ac:dyDescent="0.3">
      <c r="A609" s="124"/>
      <c r="B609" s="121"/>
      <c r="C609" s="121"/>
      <c r="D609" s="121"/>
      <c r="E609" s="121"/>
      <c r="F609" s="121"/>
      <c r="G609" s="121"/>
      <c r="H609" s="121"/>
      <c r="I609" s="121"/>
      <c r="J609" s="121"/>
      <c r="K609" s="121"/>
      <c r="L609" s="121"/>
      <c r="M609" s="121"/>
      <c r="N609" s="121"/>
      <c r="O609" s="235"/>
      <c r="P609" s="121"/>
      <c r="Q609" s="121"/>
      <c r="R609" s="121"/>
      <c r="S609" s="121"/>
      <c r="T609" s="121"/>
      <c r="U609" s="121"/>
      <c r="V609" s="121"/>
      <c r="W609" s="121"/>
      <c r="X609" s="117"/>
      <c r="Y609" s="117"/>
      <c r="Z609" s="121"/>
      <c r="AA609" s="121"/>
      <c r="AB609" s="121"/>
      <c r="AC609" s="121"/>
      <c r="AD609" s="121"/>
      <c r="AE609" s="121"/>
      <c r="AF609" s="121"/>
      <c r="AG609" s="121"/>
      <c r="AH609" s="121"/>
      <c r="AI609" s="121"/>
      <c r="AJ609" s="121"/>
      <c r="AK609" s="121"/>
      <c r="AL609" s="121"/>
      <c r="AM609" s="121"/>
      <c r="AN609" s="121"/>
      <c r="AO609" s="121"/>
      <c r="AP609" s="121"/>
      <c r="AQ609" s="121"/>
      <c r="AR609" s="121"/>
      <c r="AS609" s="121"/>
      <c r="AT609" s="121"/>
      <c r="AU609" s="121"/>
      <c r="AV609" s="121"/>
      <c r="AW609" s="121"/>
      <c r="AX609" s="121"/>
      <c r="AY609" s="121"/>
      <c r="AZ609" s="121"/>
      <c r="BA609" s="121"/>
      <c r="BB609" s="121"/>
      <c r="BC609" s="121"/>
      <c r="BD609" s="121"/>
      <c r="BE609" s="121"/>
      <c r="BF609" s="121"/>
      <c r="BG609" s="121"/>
      <c r="BH609" s="121"/>
      <c r="BI609" s="121"/>
      <c r="BJ609" s="121"/>
      <c r="BK609" s="121"/>
      <c r="BL609" s="121"/>
      <c r="BM609" s="121"/>
      <c r="BN609" s="121"/>
      <c r="BO609" s="121"/>
      <c r="BP609" s="121"/>
      <c r="BQ609" s="121"/>
      <c r="BR609" s="121"/>
      <c r="BS609" s="121"/>
      <c r="BT609" s="121"/>
      <c r="BU609" s="121"/>
      <c r="BV609" s="121"/>
      <c r="BW609" s="121"/>
      <c r="BX609" s="121"/>
      <c r="BY609" s="121"/>
      <c r="BZ609" s="121"/>
      <c r="CA609" s="121"/>
      <c r="CB609" s="121"/>
      <c r="CC609" s="121"/>
      <c r="CD609" s="121"/>
      <c r="CE609" s="121"/>
      <c r="CF609" s="121"/>
      <c r="CG609" s="121"/>
      <c r="CH609" s="121"/>
      <c r="CI609" s="121"/>
      <c r="CJ609" s="121"/>
      <c r="CK609" s="121"/>
      <c r="CL609" s="121"/>
      <c r="CM609" s="121"/>
      <c r="CN609" s="121"/>
      <c r="CO609" s="121"/>
      <c r="CP609" s="121"/>
      <c r="CQ609" s="121"/>
      <c r="CR609" s="121"/>
      <c r="CS609" s="121"/>
      <c r="CT609" s="121"/>
      <c r="CU609" s="121"/>
      <c r="CV609" s="121"/>
      <c r="CW609" s="121"/>
      <c r="CX609" s="121"/>
      <c r="CY609" s="121"/>
      <c r="CZ609" s="121"/>
      <c r="DA609" s="121"/>
      <c r="DB609" s="121"/>
      <c r="DC609" s="121"/>
      <c r="DD609" s="121"/>
      <c r="DE609" s="121"/>
      <c r="DF609" s="121"/>
      <c r="DG609" s="121"/>
      <c r="DH609" s="121"/>
      <c r="DI609" s="121"/>
      <c r="DJ609" s="121"/>
      <c r="DK609" s="121"/>
      <c r="DL609" s="121"/>
      <c r="DM609" s="121"/>
      <c r="DN609" s="121"/>
      <c r="DO609" s="121"/>
      <c r="DP609" s="121"/>
      <c r="DQ609" s="121"/>
      <c r="DR609" s="121"/>
      <c r="DS609" s="121"/>
      <c r="DT609" s="240"/>
      <c r="DU609" s="240"/>
      <c r="DV609" s="240"/>
      <c r="DW609" s="240"/>
      <c r="DX609" s="240"/>
      <c r="DY609" s="240"/>
      <c r="DZ609" s="240"/>
      <c r="EA609" s="240"/>
      <c r="EB609" s="237">
        <f t="shared" si="72"/>
        <v>0</v>
      </c>
      <c r="EC609" s="237">
        <f t="shared" si="73"/>
        <v>0</v>
      </c>
      <c r="ED609" s="237">
        <f t="shared" si="74"/>
        <v>0</v>
      </c>
      <c r="EE609" s="237">
        <f t="shared" si="75"/>
        <v>0</v>
      </c>
      <c r="EF609" s="121"/>
      <c r="EG609" s="238">
        <f t="shared" si="76"/>
        <v>0</v>
      </c>
      <c r="EH609" s="121"/>
      <c r="EI609" s="237">
        <f t="shared" si="77"/>
        <v>0</v>
      </c>
      <c r="EJ609" s="121"/>
      <c r="EK609" s="237">
        <f t="shared" si="78"/>
        <v>0</v>
      </c>
      <c r="EL609" s="237"/>
      <c r="EM609" s="5"/>
      <c r="EN609" s="5"/>
      <c r="EO609" s="5"/>
      <c r="EP609" s="5"/>
      <c r="EQ609" s="237">
        <f t="shared" si="79"/>
        <v>0</v>
      </c>
      <c r="ER609" s="239">
        <v>23300</v>
      </c>
      <c r="ES609" s="5">
        <v>7.5</v>
      </c>
    </row>
    <row r="610" spans="1:149" x14ac:dyDescent="0.3">
      <c r="A610" s="124"/>
      <c r="B610" s="121"/>
      <c r="C610" s="121"/>
      <c r="D610" s="121"/>
      <c r="E610" s="121"/>
      <c r="F610" s="121"/>
      <c r="G610" s="121"/>
      <c r="H610" s="121"/>
      <c r="I610" s="121"/>
      <c r="J610" s="121"/>
      <c r="K610" s="121"/>
      <c r="L610" s="121"/>
      <c r="M610" s="121"/>
      <c r="N610" s="121"/>
      <c r="O610" s="235"/>
      <c r="P610" s="121"/>
      <c r="Q610" s="121"/>
      <c r="R610" s="121"/>
      <c r="S610" s="121"/>
      <c r="T610" s="121"/>
      <c r="U610" s="121"/>
      <c r="V610" s="121"/>
      <c r="W610" s="121"/>
      <c r="X610" s="117"/>
      <c r="Y610" s="117"/>
      <c r="Z610" s="121"/>
      <c r="AA610" s="121"/>
      <c r="AB610" s="121"/>
      <c r="AC610" s="121"/>
      <c r="AD610" s="121"/>
      <c r="AE610" s="121"/>
      <c r="AF610" s="121"/>
      <c r="AG610" s="121"/>
      <c r="AH610" s="121"/>
      <c r="AI610" s="121"/>
      <c r="AJ610" s="121"/>
      <c r="AK610" s="121"/>
      <c r="AL610" s="121"/>
      <c r="AM610" s="121"/>
      <c r="AN610" s="121"/>
      <c r="AO610" s="121"/>
      <c r="AP610" s="121"/>
      <c r="AQ610" s="121"/>
      <c r="AR610" s="121"/>
      <c r="AS610" s="121"/>
      <c r="AT610" s="121"/>
      <c r="AU610" s="121"/>
      <c r="AV610" s="121"/>
      <c r="AW610" s="121"/>
      <c r="AX610" s="121"/>
      <c r="AY610" s="121"/>
      <c r="AZ610" s="121"/>
      <c r="BA610" s="121"/>
      <c r="BB610" s="121"/>
      <c r="BC610" s="121"/>
      <c r="BD610" s="121"/>
      <c r="BE610" s="121"/>
      <c r="BF610" s="121"/>
      <c r="BG610" s="121"/>
      <c r="BH610" s="121"/>
      <c r="BI610" s="121"/>
      <c r="BJ610" s="121"/>
      <c r="BK610" s="121"/>
      <c r="BL610" s="121"/>
      <c r="BM610" s="121"/>
      <c r="BN610" s="121"/>
      <c r="BO610" s="121"/>
      <c r="BP610" s="121"/>
      <c r="BQ610" s="121"/>
      <c r="BR610" s="121"/>
      <c r="BS610" s="121"/>
      <c r="BT610" s="121"/>
      <c r="BU610" s="121"/>
      <c r="BV610" s="121"/>
      <c r="BW610" s="121"/>
      <c r="BX610" s="121"/>
      <c r="BY610" s="121"/>
      <c r="BZ610" s="121"/>
      <c r="CA610" s="121"/>
      <c r="CB610" s="121"/>
      <c r="CC610" s="121"/>
      <c r="CD610" s="121"/>
      <c r="CE610" s="121"/>
      <c r="CF610" s="121"/>
      <c r="CG610" s="121"/>
      <c r="CH610" s="121"/>
      <c r="CI610" s="121"/>
      <c r="CJ610" s="121"/>
      <c r="CK610" s="121"/>
      <c r="CL610" s="121"/>
      <c r="CM610" s="121"/>
      <c r="CN610" s="121"/>
      <c r="CO610" s="121"/>
      <c r="CP610" s="121"/>
      <c r="CQ610" s="121"/>
      <c r="CR610" s="121"/>
      <c r="CS610" s="121"/>
      <c r="CT610" s="121"/>
      <c r="CU610" s="121"/>
      <c r="CV610" s="121"/>
      <c r="CW610" s="121"/>
      <c r="CX610" s="121"/>
      <c r="CY610" s="121"/>
      <c r="CZ610" s="121"/>
      <c r="DA610" s="121"/>
      <c r="DB610" s="121"/>
      <c r="DC610" s="121"/>
      <c r="DD610" s="121"/>
      <c r="DE610" s="121"/>
      <c r="DF610" s="121"/>
      <c r="DG610" s="121"/>
      <c r="DH610" s="121"/>
      <c r="DI610" s="121"/>
      <c r="DJ610" s="121"/>
      <c r="DK610" s="121"/>
      <c r="DL610" s="121"/>
      <c r="DM610" s="121"/>
      <c r="DN610" s="121"/>
      <c r="DO610" s="121"/>
      <c r="DP610" s="121"/>
      <c r="DQ610" s="121"/>
      <c r="DR610" s="121"/>
      <c r="DS610" s="121"/>
      <c r="DT610" s="240"/>
      <c r="DU610" s="240"/>
      <c r="DV610" s="240"/>
      <c r="DW610" s="240"/>
      <c r="DX610" s="240"/>
      <c r="DY610" s="240"/>
      <c r="DZ610" s="240"/>
      <c r="EA610" s="240"/>
      <c r="EB610" s="237">
        <f t="shared" si="72"/>
        <v>0</v>
      </c>
      <c r="EC610" s="237">
        <f t="shared" si="73"/>
        <v>0</v>
      </c>
      <c r="ED610" s="237">
        <f t="shared" si="74"/>
        <v>0</v>
      </c>
      <c r="EE610" s="237">
        <f t="shared" si="75"/>
        <v>0</v>
      </c>
      <c r="EF610" s="121"/>
      <c r="EG610" s="238">
        <f t="shared" si="76"/>
        <v>0</v>
      </c>
      <c r="EH610" s="121"/>
      <c r="EI610" s="237">
        <f t="shared" si="77"/>
        <v>0</v>
      </c>
      <c r="EJ610" s="121"/>
      <c r="EK610" s="237">
        <f t="shared" si="78"/>
        <v>0</v>
      </c>
      <c r="EL610" s="237"/>
      <c r="EM610" s="5"/>
      <c r="EN610" s="5"/>
      <c r="EO610" s="5"/>
      <c r="EP610" s="5"/>
      <c r="EQ610" s="237">
        <f t="shared" si="79"/>
        <v>0</v>
      </c>
      <c r="ER610" s="239">
        <v>23300</v>
      </c>
      <c r="ES610" s="5">
        <v>7.5</v>
      </c>
    </row>
    <row r="611" spans="1:149" x14ac:dyDescent="0.3">
      <c r="A611" s="124"/>
      <c r="B611" s="121"/>
      <c r="C611" s="121"/>
      <c r="D611" s="121"/>
      <c r="E611" s="121"/>
      <c r="F611" s="121"/>
      <c r="G611" s="121"/>
      <c r="H611" s="121"/>
      <c r="I611" s="121"/>
      <c r="J611" s="121"/>
      <c r="K611" s="121"/>
      <c r="L611" s="121"/>
      <c r="M611" s="121"/>
      <c r="N611" s="121"/>
      <c r="O611" s="235"/>
      <c r="P611" s="121"/>
      <c r="Q611" s="121"/>
      <c r="R611" s="121"/>
      <c r="S611" s="121"/>
      <c r="T611" s="121"/>
      <c r="U611" s="121"/>
      <c r="V611" s="121"/>
      <c r="W611" s="121"/>
      <c r="X611" s="117"/>
      <c r="Y611" s="117"/>
      <c r="Z611" s="121"/>
      <c r="AA611" s="121"/>
      <c r="AB611" s="121"/>
      <c r="AC611" s="121"/>
      <c r="AD611" s="121"/>
      <c r="AE611" s="121"/>
      <c r="AF611" s="121"/>
      <c r="AG611" s="121"/>
      <c r="AH611" s="121"/>
      <c r="AI611" s="121"/>
      <c r="AJ611" s="121"/>
      <c r="AK611" s="121"/>
      <c r="AL611" s="121"/>
      <c r="AM611" s="121"/>
      <c r="AN611" s="121"/>
      <c r="AO611" s="121"/>
      <c r="AP611" s="121"/>
      <c r="AQ611" s="121"/>
      <c r="AR611" s="121"/>
      <c r="AS611" s="121"/>
      <c r="AT611" s="121"/>
      <c r="AU611" s="121"/>
      <c r="AV611" s="121"/>
      <c r="AW611" s="121"/>
      <c r="AX611" s="121"/>
      <c r="AY611" s="121"/>
      <c r="AZ611" s="121"/>
      <c r="BA611" s="121"/>
      <c r="BB611" s="121"/>
      <c r="BC611" s="121"/>
      <c r="BD611" s="121"/>
      <c r="BE611" s="121"/>
      <c r="BF611" s="121"/>
      <c r="BG611" s="121"/>
      <c r="BH611" s="121"/>
      <c r="BI611" s="121"/>
      <c r="BJ611" s="121"/>
      <c r="BK611" s="121"/>
      <c r="BL611" s="121"/>
      <c r="BM611" s="121"/>
      <c r="BN611" s="121"/>
      <c r="BO611" s="121"/>
      <c r="BP611" s="121"/>
      <c r="BQ611" s="121"/>
      <c r="BR611" s="121"/>
      <c r="BS611" s="121"/>
      <c r="BT611" s="121"/>
      <c r="BU611" s="121"/>
      <c r="BV611" s="121"/>
      <c r="BW611" s="121"/>
      <c r="BX611" s="121"/>
      <c r="BY611" s="121"/>
      <c r="BZ611" s="121"/>
      <c r="CA611" s="121"/>
      <c r="CB611" s="121"/>
      <c r="CC611" s="121"/>
      <c r="CD611" s="121"/>
      <c r="CE611" s="121"/>
      <c r="CF611" s="121"/>
      <c r="CG611" s="121"/>
      <c r="CH611" s="121"/>
      <c r="CI611" s="121"/>
      <c r="CJ611" s="121"/>
      <c r="CK611" s="121"/>
      <c r="CL611" s="121"/>
      <c r="CM611" s="121"/>
      <c r="CN611" s="121"/>
      <c r="CO611" s="121"/>
      <c r="CP611" s="121"/>
      <c r="CQ611" s="121"/>
      <c r="CR611" s="121"/>
      <c r="CS611" s="121"/>
      <c r="CT611" s="121"/>
      <c r="CU611" s="121"/>
      <c r="CV611" s="121"/>
      <c r="CW611" s="121"/>
      <c r="CX611" s="121"/>
      <c r="CY611" s="121"/>
      <c r="CZ611" s="121"/>
      <c r="DA611" s="121"/>
      <c r="DB611" s="121"/>
      <c r="DC611" s="121"/>
      <c r="DD611" s="121"/>
      <c r="DE611" s="121"/>
      <c r="DF611" s="121"/>
      <c r="DG611" s="121"/>
      <c r="DH611" s="121"/>
      <c r="DI611" s="121"/>
      <c r="DJ611" s="121"/>
      <c r="DK611" s="121"/>
      <c r="DL611" s="121"/>
      <c r="DM611" s="121"/>
      <c r="DN611" s="121"/>
      <c r="DO611" s="121"/>
      <c r="DP611" s="121"/>
      <c r="DQ611" s="121"/>
      <c r="DR611" s="121"/>
      <c r="DS611" s="121"/>
      <c r="DT611" s="240"/>
      <c r="DU611" s="240"/>
      <c r="DV611" s="240"/>
      <c r="DW611" s="240"/>
      <c r="DX611" s="240"/>
      <c r="DY611" s="240"/>
      <c r="DZ611" s="240"/>
      <c r="EA611" s="240"/>
      <c r="EB611" s="237">
        <f t="shared" si="72"/>
        <v>0</v>
      </c>
      <c r="EC611" s="237">
        <f t="shared" si="73"/>
        <v>0</v>
      </c>
      <c r="ED611" s="237">
        <f t="shared" si="74"/>
        <v>0</v>
      </c>
      <c r="EE611" s="237">
        <f t="shared" si="75"/>
        <v>0</v>
      </c>
      <c r="EF611" s="121"/>
      <c r="EG611" s="238">
        <f t="shared" si="76"/>
        <v>0</v>
      </c>
      <c r="EH611" s="121"/>
      <c r="EI611" s="237">
        <f t="shared" si="77"/>
        <v>0</v>
      </c>
      <c r="EJ611" s="121"/>
      <c r="EK611" s="237">
        <f t="shared" si="78"/>
        <v>0</v>
      </c>
      <c r="EL611" s="237"/>
      <c r="EM611" s="5"/>
      <c r="EN611" s="5"/>
      <c r="EO611" s="5"/>
      <c r="EP611" s="5"/>
      <c r="EQ611" s="237">
        <f t="shared" si="79"/>
        <v>0</v>
      </c>
      <c r="ER611" s="239">
        <v>23300</v>
      </c>
      <c r="ES611" s="5">
        <v>7.5</v>
      </c>
    </row>
    <row r="612" spans="1:149" x14ac:dyDescent="0.3">
      <c r="A612" s="124"/>
      <c r="B612" s="121"/>
      <c r="C612" s="121"/>
      <c r="D612" s="121"/>
      <c r="E612" s="121"/>
      <c r="F612" s="121"/>
      <c r="G612" s="121"/>
      <c r="H612" s="121"/>
      <c r="I612" s="121"/>
      <c r="J612" s="121"/>
      <c r="K612" s="121"/>
      <c r="L612" s="121"/>
      <c r="M612" s="121"/>
      <c r="N612" s="121"/>
      <c r="O612" s="235"/>
      <c r="P612" s="121"/>
      <c r="Q612" s="121"/>
      <c r="R612" s="121"/>
      <c r="S612" s="121"/>
      <c r="T612" s="121"/>
      <c r="U612" s="121"/>
      <c r="V612" s="121"/>
      <c r="W612" s="121"/>
      <c r="X612" s="117"/>
      <c r="Y612" s="117"/>
      <c r="Z612" s="121"/>
      <c r="AA612" s="121"/>
      <c r="AB612" s="121"/>
      <c r="AC612" s="121"/>
      <c r="AD612" s="121"/>
      <c r="AE612" s="121"/>
      <c r="AF612" s="121"/>
      <c r="AG612" s="121"/>
      <c r="AH612" s="121"/>
      <c r="AI612" s="121"/>
      <c r="AJ612" s="121"/>
      <c r="AK612" s="121"/>
      <c r="AL612" s="121"/>
      <c r="AM612" s="121"/>
      <c r="AN612" s="121"/>
      <c r="AO612" s="121"/>
      <c r="AP612" s="121"/>
      <c r="AQ612" s="121"/>
      <c r="AR612" s="121"/>
      <c r="AS612" s="121"/>
      <c r="AT612" s="121"/>
      <c r="AU612" s="121"/>
      <c r="AV612" s="121"/>
      <c r="AW612" s="121"/>
      <c r="AX612" s="121"/>
      <c r="AY612" s="121"/>
      <c r="AZ612" s="121"/>
      <c r="BA612" s="121"/>
      <c r="BB612" s="121"/>
      <c r="BC612" s="121"/>
      <c r="BD612" s="121"/>
      <c r="BE612" s="121"/>
      <c r="BF612" s="121"/>
      <c r="BG612" s="121"/>
      <c r="BH612" s="121"/>
      <c r="BI612" s="121"/>
      <c r="BJ612" s="121"/>
      <c r="BK612" s="121"/>
      <c r="BL612" s="121"/>
      <c r="BM612" s="121"/>
      <c r="BN612" s="121"/>
      <c r="BO612" s="121"/>
      <c r="BP612" s="121"/>
      <c r="BQ612" s="121"/>
      <c r="BR612" s="121"/>
      <c r="BS612" s="121"/>
      <c r="BT612" s="121"/>
      <c r="BU612" s="121"/>
      <c r="BV612" s="121"/>
      <c r="BW612" s="121"/>
      <c r="BX612" s="121"/>
      <c r="BY612" s="121"/>
      <c r="BZ612" s="121"/>
      <c r="CA612" s="121"/>
      <c r="CB612" s="121"/>
      <c r="CC612" s="121"/>
      <c r="CD612" s="121"/>
      <c r="CE612" s="121"/>
      <c r="CF612" s="121"/>
      <c r="CG612" s="121"/>
      <c r="CH612" s="121"/>
      <c r="CI612" s="121"/>
      <c r="CJ612" s="121"/>
      <c r="CK612" s="121"/>
      <c r="CL612" s="121"/>
      <c r="CM612" s="121"/>
      <c r="CN612" s="121"/>
      <c r="CO612" s="121"/>
      <c r="CP612" s="121"/>
      <c r="CQ612" s="121"/>
      <c r="CR612" s="121"/>
      <c r="CS612" s="121"/>
      <c r="CT612" s="121"/>
      <c r="CU612" s="121"/>
      <c r="CV612" s="121"/>
      <c r="CW612" s="121"/>
      <c r="CX612" s="121"/>
      <c r="CY612" s="121"/>
      <c r="CZ612" s="121"/>
      <c r="DA612" s="121"/>
      <c r="DB612" s="121"/>
      <c r="DC612" s="121"/>
      <c r="DD612" s="121"/>
      <c r="DE612" s="121"/>
      <c r="DF612" s="121"/>
      <c r="DG612" s="121"/>
      <c r="DH612" s="121"/>
      <c r="DI612" s="121"/>
      <c r="DJ612" s="121"/>
      <c r="DK612" s="121"/>
      <c r="DL612" s="121"/>
      <c r="DM612" s="121"/>
      <c r="DN612" s="121"/>
      <c r="DO612" s="121"/>
      <c r="DP612" s="121"/>
      <c r="DQ612" s="121"/>
      <c r="DR612" s="121"/>
      <c r="DS612" s="121"/>
      <c r="DT612" s="240"/>
      <c r="DU612" s="240"/>
      <c r="DV612" s="240"/>
      <c r="DW612" s="240"/>
      <c r="DX612" s="240"/>
      <c r="DY612" s="240"/>
      <c r="DZ612" s="240"/>
      <c r="EA612" s="240"/>
      <c r="EB612" s="237">
        <f t="shared" si="72"/>
        <v>0</v>
      </c>
      <c r="EC612" s="237">
        <f t="shared" si="73"/>
        <v>0</v>
      </c>
      <c r="ED612" s="237">
        <f t="shared" si="74"/>
        <v>0</v>
      </c>
      <c r="EE612" s="237">
        <f t="shared" si="75"/>
        <v>0</v>
      </c>
      <c r="EF612" s="121"/>
      <c r="EG612" s="238">
        <f t="shared" si="76"/>
        <v>0</v>
      </c>
      <c r="EH612" s="121"/>
      <c r="EI612" s="237">
        <f t="shared" si="77"/>
        <v>0</v>
      </c>
      <c r="EJ612" s="121"/>
      <c r="EK612" s="237">
        <f t="shared" si="78"/>
        <v>0</v>
      </c>
      <c r="EL612" s="237"/>
      <c r="EM612" s="5"/>
      <c r="EN612" s="5"/>
      <c r="EO612" s="5"/>
      <c r="EP612" s="5"/>
      <c r="EQ612" s="237">
        <f t="shared" si="79"/>
        <v>0</v>
      </c>
      <c r="ER612" s="239">
        <v>23300</v>
      </c>
      <c r="ES612" s="5">
        <v>7.5</v>
      </c>
    </row>
    <row r="613" spans="1:149" x14ac:dyDescent="0.3">
      <c r="A613" s="124"/>
      <c r="B613" s="121"/>
      <c r="C613" s="121"/>
      <c r="D613" s="121"/>
      <c r="E613" s="121"/>
      <c r="F613" s="121"/>
      <c r="G613" s="121"/>
      <c r="H613" s="121"/>
      <c r="I613" s="121"/>
      <c r="J613" s="121"/>
      <c r="K613" s="121"/>
      <c r="L613" s="121"/>
      <c r="M613" s="121"/>
      <c r="N613" s="121"/>
      <c r="O613" s="235"/>
      <c r="P613" s="121"/>
      <c r="Q613" s="121"/>
      <c r="R613" s="121"/>
      <c r="S613" s="121"/>
      <c r="T613" s="121"/>
      <c r="U613" s="121"/>
      <c r="V613" s="121"/>
      <c r="W613" s="121"/>
      <c r="X613" s="117"/>
      <c r="Y613" s="117"/>
      <c r="Z613" s="121"/>
      <c r="AA613" s="121"/>
      <c r="AB613" s="121"/>
      <c r="AC613" s="121"/>
      <c r="AD613" s="121"/>
      <c r="AE613" s="121"/>
      <c r="AF613" s="121"/>
      <c r="AG613" s="121"/>
      <c r="AH613" s="121"/>
      <c r="AI613" s="121"/>
      <c r="AJ613" s="121"/>
      <c r="AK613" s="121"/>
      <c r="AL613" s="121"/>
      <c r="AM613" s="121"/>
      <c r="AN613" s="121"/>
      <c r="AO613" s="121"/>
      <c r="AP613" s="121"/>
      <c r="AQ613" s="121"/>
      <c r="AR613" s="121"/>
      <c r="AS613" s="121"/>
      <c r="AT613" s="121"/>
      <c r="AU613" s="121"/>
      <c r="AV613" s="121"/>
      <c r="AW613" s="121"/>
      <c r="AX613" s="121"/>
      <c r="AY613" s="121"/>
      <c r="AZ613" s="121"/>
      <c r="BA613" s="121"/>
      <c r="BB613" s="121"/>
      <c r="BC613" s="121"/>
      <c r="BD613" s="121"/>
      <c r="BE613" s="121"/>
      <c r="BF613" s="121"/>
      <c r="BG613" s="121"/>
      <c r="BH613" s="121"/>
      <c r="BI613" s="121"/>
      <c r="BJ613" s="121"/>
      <c r="BK613" s="121"/>
      <c r="BL613" s="121"/>
      <c r="BM613" s="121"/>
      <c r="BN613" s="121"/>
      <c r="BO613" s="121"/>
      <c r="BP613" s="121"/>
      <c r="BQ613" s="121"/>
      <c r="BR613" s="121"/>
      <c r="BS613" s="121"/>
      <c r="BT613" s="121"/>
      <c r="BU613" s="121"/>
      <c r="BV613" s="121"/>
      <c r="BW613" s="121"/>
      <c r="BX613" s="121"/>
      <c r="BY613" s="121"/>
      <c r="BZ613" s="121"/>
      <c r="CA613" s="121"/>
      <c r="CB613" s="121"/>
      <c r="CC613" s="121"/>
      <c r="CD613" s="121"/>
      <c r="CE613" s="121"/>
      <c r="CF613" s="121"/>
      <c r="CG613" s="121"/>
      <c r="CH613" s="121"/>
      <c r="CI613" s="121"/>
      <c r="CJ613" s="121"/>
      <c r="CK613" s="121"/>
      <c r="CL613" s="121"/>
      <c r="CM613" s="121"/>
      <c r="CN613" s="121"/>
      <c r="CO613" s="121"/>
      <c r="CP613" s="121"/>
      <c r="CQ613" s="121"/>
      <c r="CR613" s="121"/>
      <c r="CS613" s="121"/>
      <c r="CT613" s="121"/>
      <c r="CU613" s="121"/>
      <c r="CV613" s="121"/>
      <c r="CW613" s="121"/>
      <c r="CX613" s="121"/>
      <c r="CY613" s="121"/>
      <c r="CZ613" s="121"/>
      <c r="DA613" s="121"/>
      <c r="DB613" s="121"/>
      <c r="DC613" s="121"/>
      <c r="DD613" s="121"/>
      <c r="DE613" s="121"/>
      <c r="DF613" s="121"/>
      <c r="DG613" s="121"/>
      <c r="DH613" s="121"/>
      <c r="DI613" s="121"/>
      <c r="DJ613" s="121"/>
      <c r="DK613" s="121"/>
      <c r="DL613" s="121"/>
      <c r="DM613" s="121"/>
      <c r="DN613" s="121"/>
      <c r="DO613" s="121"/>
      <c r="DP613" s="121"/>
      <c r="DQ613" s="121"/>
      <c r="DR613" s="121"/>
      <c r="DS613" s="121"/>
      <c r="DT613" s="240"/>
      <c r="DU613" s="240"/>
      <c r="DV613" s="240"/>
      <c r="DW613" s="240"/>
      <c r="DX613" s="240"/>
      <c r="DY613" s="240"/>
      <c r="DZ613" s="240"/>
      <c r="EA613" s="240"/>
      <c r="EB613" s="237">
        <f t="shared" si="72"/>
        <v>0</v>
      </c>
      <c r="EC613" s="237">
        <f t="shared" si="73"/>
        <v>0</v>
      </c>
      <c r="ED613" s="237">
        <f t="shared" si="74"/>
        <v>0</v>
      </c>
      <c r="EE613" s="237">
        <f t="shared" si="75"/>
        <v>0</v>
      </c>
      <c r="EF613" s="121"/>
      <c r="EG613" s="238">
        <f t="shared" si="76"/>
        <v>0</v>
      </c>
      <c r="EH613" s="121"/>
      <c r="EI613" s="237">
        <f t="shared" si="77"/>
        <v>0</v>
      </c>
      <c r="EJ613" s="121"/>
      <c r="EK613" s="237">
        <f t="shared" si="78"/>
        <v>0</v>
      </c>
      <c r="EL613" s="237"/>
      <c r="EM613" s="5"/>
      <c r="EN613" s="5"/>
      <c r="EO613" s="5"/>
      <c r="EP613" s="5"/>
      <c r="EQ613" s="237">
        <f t="shared" si="79"/>
        <v>0</v>
      </c>
      <c r="ER613" s="239">
        <v>23300</v>
      </c>
      <c r="ES613" s="5">
        <v>7.5</v>
      </c>
    </row>
    <row r="614" spans="1:149" x14ac:dyDescent="0.3">
      <c r="A614" s="124"/>
      <c r="B614" s="121"/>
      <c r="C614" s="121"/>
      <c r="D614" s="121"/>
      <c r="E614" s="121"/>
      <c r="F614" s="121"/>
      <c r="G614" s="121"/>
      <c r="H614" s="121"/>
      <c r="I614" s="121"/>
      <c r="J614" s="121"/>
      <c r="K614" s="121"/>
      <c r="L614" s="121"/>
      <c r="M614" s="121"/>
      <c r="N614" s="121"/>
      <c r="O614" s="235"/>
      <c r="P614" s="121"/>
      <c r="Q614" s="121"/>
      <c r="R614" s="121"/>
      <c r="S614" s="121"/>
      <c r="T614" s="121"/>
      <c r="U614" s="121"/>
      <c r="V614" s="121"/>
      <c r="W614" s="121"/>
      <c r="X614" s="117"/>
      <c r="Y614" s="117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/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121"/>
      <c r="BJ614" s="121"/>
      <c r="BK614" s="121"/>
      <c r="BL614" s="121"/>
      <c r="BM614" s="121"/>
      <c r="BN614" s="121"/>
      <c r="BO614" s="121"/>
      <c r="BP614" s="121"/>
      <c r="BQ614" s="121"/>
      <c r="BR614" s="121"/>
      <c r="BS614" s="121"/>
      <c r="BT614" s="121"/>
      <c r="BU614" s="121"/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/>
      <c r="CP614" s="121"/>
      <c r="CQ614" s="121"/>
      <c r="CR614" s="121"/>
      <c r="CS614" s="121"/>
      <c r="CT614" s="121"/>
      <c r="CU614" s="121"/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/>
      <c r="DF614" s="121"/>
      <c r="DG614" s="121"/>
      <c r="DH614" s="121"/>
      <c r="DI614" s="121"/>
      <c r="DJ614" s="121"/>
      <c r="DK614" s="121"/>
      <c r="DL614" s="121"/>
      <c r="DM614" s="121"/>
      <c r="DN614" s="121"/>
      <c r="DO614" s="121"/>
      <c r="DP614" s="121"/>
      <c r="DQ614" s="121"/>
      <c r="DR614" s="121"/>
      <c r="DS614" s="121"/>
      <c r="DT614" s="240"/>
      <c r="DU614" s="240"/>
      <c r="DV614" s="240"/>
      <c r="DW614" s="240"/>
      <c r="DX614" s="240"/>
      <c r="DY614" s="240"/>
      <c r="DZ614" s="240"/>
      <c r="EA614" s="240"/>
      <c r="EB614" s="237">
        <f t="shared" si="72"/>
        <v>0</v>
      </c>
      <c r="EC614" s="237">
        <f t="shared" si="73"/>
        <v>0</v>
      </c>
      <c r="ED614" s="237">
        <f t="shared" si="74"/>
        <v>0</v>
      </c>
      <c r="EE614" s="237">
        <f t="shared" si="75"/>
        <v>0</v>
      </c>
      <c r="EF614" s="121"/>
      <c r="EG614" s="238">
        <f t="shared" si="76"/>
        <v>0</v>
      </c>
      <c r="EH614" s="121"/>
      <c r="EI614" s="237">
        <f t="shared" si="77"/>
        <v>0</v>
      </c>
      <c r="EJ614" s="121"/>
      <c r="EK614" s="237">
        <f t="shared" si="78"/>
        <v>0</v>
      </c>
      <c r="EL614" s="237"/>
      <c r="EM614" s="5"/>
      <c r="EN614" s="5"/>
      <c r="EO614" s="5"/>
      <c r="EP614" s="5"/>
      <c r="EQ614" s="237">
        <f t="shared" si="79"/>
        <v>0</v>
      </c>
      <c r="ER614" s="239">
        <v>23300</v>
      </c>
      <c r="ES614" s="5">
        <v>7.5</v>
      </c>
    </row>
    <row r="615" spans="1:149" x14ac:dyDescent="0.3">
      <c r="A615" s="124"/>
      <c r="B615" s="121"/>
      <c r="C615" s="121"/>
      <c r="D615" s="121"/>
      <c r="E615" s="121"/>
      <c r="F615" s="121"/>
      <c r="G615" s="121"/>
      <c r="H615" s="121"/>
      <c r="I615" s="121"/>
      <c r="J615" s="121"/>
      <c r="K615" s="121"/>
      <c r="L615" s="121"/>
      <c r="M615" s="121"/>
      <c r="N615" s="121"/>
      <c r="O615" s="235"/>
      <c r="P615" s="121"/>
      <c r="Q615" s="121"/>
      <c r="R615" s="121"/>
      <c r="S615" s="121"/>
      <c r="T615" s="121"/>
      <c r="U615" s="121"/>
      <c r="V615" s="121"/>
      <c r="W615" s="121"/>
      <c r="X615" s="117"/>
      <c r="Y615" s="117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21"/>
      <c r="BJ615" s="121"/>
      <c r="BK615" s="121"/>
      <c r="BL615" s="121"/>
      <c r="BM615" s="121"/>
      <c r="BN615" s="121"/>
      <c r="BO615" s="121"/>
      <c r="BP615" s="121"/>
      <c r="BQ615" s="121"/>
      <c r="BR615" s="121"/>
      <c r="BS615" s="121"/>
      <c r="BT615" s="121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21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  <c r="DK615" s="121"/>
      <c r="DL615" s="121"/>
      <c r="DM615" s="121"/>
      <c r="DN615" s="121"/>
      <c r="DO615" s="121"/>
      <c r="DP615" s="121"/>
      <c r="DQ615" s="121"/>
      <c r="DR615" s="121"/>
      <c r="DS615" s="121"/>
      <c r="DT615" s="240"/>
      <c r="DU615" s="240"/>
      <c r="DV615" s="240"/>
      <c r="DW615" s="240"/>
      <c r="DX615" s="240"/>
      <c r="DY615" s="240"/>
      <c r="DZ615" s="240"/>
      <c r="EA615" s="240"/>
      <c r="EB615" s="237">
        <f t="shared" si="72"/>
        <v>0</v>
      </c>
      <c r="EC615" s="237">
        <f t="shared" si="73"/>
        <v>0</v>
      </c>
      <c r="ED615" s="237">
        <f t="shared" si="74"/>
        <v>0</v>
      </c>
      <c r="EE615" s="237">
        <f t="shared" si="75"/>
        <v>0</v>
      </c>
      <c r="EF615" s="121"/>
      <c r="EG615" s="238">
        <f t="shared" si="76"/>
        <v>0</v>
      </c>
      <c r="EH615" s="121"/>
      <c r="EI615" s="237">
        <f t="shared" si="77"/>
        <v>0</v>
      </c>
      <c r="EJ615" s="121"/>
      <c r="EK615" s="237">
        <f t="shared" si="78"/>
        <v>0</v>
      </c>
      <c r="EL615" s="237"/>
      <c r="EM615" s="5"/>
      <c r="EN615" s="5"/>
      <c r="EO615" s="5"/>
      <c r="EP615" s="5"/>
      <c r="EQ615" s="237">
        <f t="shared" si="79"/>
        <v>0</v>
      </c>
      <c r="ER615" s="239">
        <v>23300</v>
      </c>
      <c r="ES615" s="5">
        <v>7.5</v>
      </c>
    </row>
    <row r="616" spans="1:149" x14ac:dyDescent="0.3">
      <c r="A616" s="124"/>
      <c r="B616" s="121"/>
      <c r="C616" s="121"/>
      <c r="D616" s="121"/>
      <c r="E616" s="121"/>
      <c r="F616" s="121"/>
      <c r="G616" s="121"/>
      <c r="H616" s="121"/>
      <c r="I616" s="121"/>
      <c r="J616" s="121"/>
      <c r="K616" s="121"/>
      <c r="L616" s="121"/>
      <c r="M616" s="121"/>
      <c r="N616" s="121"/>
      <c r="O616" s="235"/>
      <c r="P616" s="121"/>
      <c r="Q616" s="121"/>
      <c r="R616" s="121"/>
      <c r="S616" s="121"/>
      <c r="T616" s="121"/>
      <c r="U616" s="121"/>
      <c r="V616" s="121"/>
      <c r="W616" s="121"/>
      <c r="X616" s="117"/>
      <c r="Y616" s="117"/>
      <c r="Z616" s="121"/>
      <c r="AA616" s="121"/>
      <c r="AB616" s="121"/>
      <c r="AC616" s="121"/>
      <c r="AD616" s="121"/>
      <c r="AE616" s="121"/>
      <c r="AF616" s="121"/>
      <c r="AG616" s="121"/>
      <c r="AH616" s="121"/>
      <c r="AI616" s="121"/>
      <c r="AJ616" s="121"/>
      <c r="AK616" s="121"/>
      <c r="AL616" s="121"/>
      <c r="AM616" s="121"/>
      <c r="AN616" s="121"/>
      <c r="AO616" s="121"/>
      <c r="AP616" s="121"/>
      <c r="AQ616" s="121"/>
      <c r="AR616" s="121"/>
      <c r="AS616" s="121"/>
      <c r="AT616" s="121"/>
      <c r="AU616" s="121"/>
      <c r="AV616" s="121"/>
      <c r="AW616" s="121"/>
      <c r="AX616" s="121"/>
      <c r="AY616" s="121"/>
      <c r="AZ616" s="121"/>
      <c r="BA616" s="121"/>
      <c r="BB616" s="121"/>
      <c r="BC616" s="121"/>
      <c r="BD616" s="121"/>
      <c r="BE616" s="121"/>
      <c r="BF616" s="121"/>
      <c r="BG616" s="121"/>
      <c r="BH616" s="121"/>
      <c r="BI616" s="121"/>
      <c r="BJ616" s="121"/>
      <c r="BK616" s="121"/>
      <c r="BL616" s="121"/>
      <c r="BM616" s="121"/>
      <c r="BN616" s="121"/>
      <c r="BO616" s="121"/>
      <c r="BP616" s="121"/>
      <c r="BQ616" s="121"/>
      <c r="BR616" s="121"/>
      <c r="BS616" s="121"/>
      <c r="BT616" s="121"/>
      <c r="BU616" s="121"/>
      <c r="BV616" s="121"/>
      <c r="BW616" s="121"/>
      <c r="BX616" s="121"/>
      <c r="BY616" s="121"/>
      <c r="BZ616" s="121"/>
      <c r="CA616" s="121"/>
      <c r="CB616" s="121"/>
      <c r="CC616" s="121"/>
      <c r="CD616" s="121"/>
      <c r="CE616" s="121"/>
      <c r="CF616" s="121"/>
      <c r="CG616" s="121"/>
      <c r="CH616" s="121"/>
      <c r="CI616" s="121"/>
      <c r="CJ616" s="121"/>
      <c r="CK616" s="121"/>
      <c r="CL616" s="121"/>
      <c r="CM616" s="121"/>
      <c r="CN616" s="121"/>
      <c r="CO616" s="121"/>
      <c r="CP616" s="121"/>
      <c r="CQ616" s="121"/>
      <c r="CR616" s="121"/>
      <c r="CS616" s="121"/>
      <c r="CT616" s="121"/>
      <c r="CU616" s="121"/>
      <c r="CV616" s="121"/>
      <c r="CW616" s="121"/>
      <c r="CX616" s="121"/>
      <c r="CY616" s="121"/>
      <c r="CZ616" s="121"/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  <c r="DK616" s="121"/>
      <c r="DL616" s="121"/>
      <c r="DM616" s="121"/>
      <c r="DN616" s="121"/>
      <c r="DO616" s="121"/>
      <c r="DP616" s="121"/>
      <c r="DQ616" s="121"/>
      <c r="DR616" s="121"/>
      <c r="DS616" s="121"/>
      <c r="DT616" s="240"/>
      <c r="DU616" s="240"/>
      <c r="DV616" s="240"/>
      <c r="DW616" s="240"/>
      <c r="DX616" s="240"/>
      <c r="DY616" s="240"/>
      <c r="DZ616" s="240"/>
      <c r="EA616" s="240"/>
      <c r="EB616" s="237">
        <f t="shared" si="72"/>
        <v>0</v>
      </c>
      <c r="EC616" s="237">
        <f t="shared" si="73"/>
        <v>0</v>
      </c>
      <c r="ED616" s="237">
        <f t="shared" si="74"/>
        <v>0</v>
      </c>
      <c r="EE616" s="237">
        <f t="shared" si="75"/>
        <v>0</v>
      </c>
      <c r="EF616" s="121"/>
      <c r="EG616" s="238">
        <f t="shared" si="76"/>
        <v>0</v>
      </c>
      <c r="EH616" s="121"/>
      <c r="EI616" s="237">
        <f t="shared" si="77"/>
        <v>0</v>
      </c>
      <c r="EJ616" s="121"/>
      <c r="EK616" s="237">
        <f t="shared" si="78"/>
        <v>0</v>
      </c>
      <c r="EL616" s="237"/>
      <c r="EM616" s="5"/>
      <c r="EN616" s="5"/>
      <c r="EO616" s="5"/>
      <c r="EP616" s="5"/>
      <c r="EQ616" s="237">
        <f t="shared" si="79"/>
        <v>0</v>
      </c>
      <c r="ER616" s="239">
        <v>23300</v>
      </c>
      <c r="ES616" s="5">
        <v>7.5</v>
      </c>
    </row>
    <row r="617" spans="1:149" x14ac:dyDescent="0.3">
      <c r="A617" s="124"/>
      <c r="B617" s="121"/>
      <c r="C617" s="121"/>
      <c r="D617" s="121"/>
      <c r="E617" s="121"/>
      <c r="F617" s="121"/>
      <c r="G617" s="121"/>
      <c r="H617" s="121"/>
      <c r="I617" s="121"/>
      <c r="J617" s="121"/>
      <c r="K617" s="121"/>
      <c r="L617" s="121"/>
      <c r="M617" s="121"/>
      <c r="N617" s="121"/>
      <c r="O617" s="235"/>
      <c r="P617" s="121"/>
      <c r="Q617" s="121"/>
      <c r="R617" s="121"/>
      <c r="S617" s="121"/>
      <c r="T617" s="121"/>
      <c r="U617" s="121"/>
      <c r="V617" s="121"/>
      <c r="W617" s="121"/>
      <c r="X617" s="117"/>
      <c r="Y617" s="117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1"/>
      <c r="AL617" s="121"/>
      <c r="AM617" s="121"/>
      <c r="AN617" s="121"/>
      <c r="AO617" s="121"/>
      <c r="AP617" s="121"/>
      <c r="AQ617" s="121"/>
      <c r="AR617" s="121"/>
      <c r="AS617" s="121"/>
      <c r="AT617" s="121"/>
      <c r="AU617" s="121"/>
      <c r="AV617" s="121"/>
      <c r="AW617" s="121"/>
      <c r="AX617" s="121"/>
      <c r="AY617" s="121"/>
      <c r="AZ617" s="121"/>
      <c r="BA617" s="121"/>
      <c r="BB617" s="121"/>
      <c r="BC617" s="121"/>
      <c r="BD617" s="121"/>
      <c r="BE617" s="121"/>
      <c r="BF617" s="121"/>
      <c r="BG617" s="121"/>
      <c r="BH617" s="121"/>
      <c r="BI617" s="121"/>
      <c r="BJ617" s="121"/>
      <c r="BK617" s="121"/>
      <c r="BL617" s="121"/>
      <c r="BM617" s="121"/>
      <c r="BN617" s="121"/>
      <c r="BO617" s="121"/>
      <c r="BP617" s="121"/>
      <c r="BQ617" s="121"/>
      <c r="BR617" s="121"/>
      <c r="BS617" s="121"/>
      <c r="BT617" s="121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21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  <c r="DK617" s="121"/>
      <c r="DL617" s="121"/>
      <c r="DM617" s="121"/>
      <c r="DN617" s="121"/>
      <c r="DO617" s="121"/>
      <c r="DP617" s="121"/>
      <c r="DQ617" s="121"/>
      <c r="DR617" s="121"/>
      <c r="DS617" s="121"/>
      <c r="DT617" s="240"/>
      <c r="DU617" s="240"/>
      <c r="DV617" s="240"/>
      <c r="DW617" s="240"/>
      <c r="DX617" s="240"/>
      <c r="DY617" s="240"/>
      <c r="DZ617" s="240"/>
      <c r="EA617" s="240"/>
      <c r="EB617" s="237">
        <f t="shared" si="72"/>
        <v>0</v>
      </c>
      <c r="EC617" s="237">
        <f t="shared" si="73"/>
        <v>0</v>
      </c>
      <c r="ED617" s="237">
        <f t="shared" si="74"/>
        <v>0</v>
      </c>
      <c r="EE617" s="237">
        <f t="shared" si="75"/>
        <v>0</v>
      </c>
      <c r="EF617" s="121"/>
      <c r="EG617" s="238">
        <f t="shared" si="76"/>
        <v>0</v>
      </c>
      <c r="EH617" s="121"/>
      <c r="EI617" s="237">
        <f t="shared" si="77"/>
        <v>0</v>
      </c>
      <c r="EJ617" s="121"/>
      <c r="EK617" s="237">
        <f t="shared" si="78"/>
        <v>0</v>
      </c>
      <c r="EL617" s="237"/>
      <c r="EM617" s="5"/>
      <c r="EN617" s="5"/>
      <c r="EO617" s="5"/>
      <c r="EP617" s="5"/>
      <c r="EQ617" s="237">
        <f t="shared" si="79"/>
        <v>0</v>
      </c>
      <c r="ER617" s="239">
        <v>23300</v>
      </c>
      <c r="ES617" s="5">
        <v>7.5</v>
      </c>
    </row>
    <row r="618" spans="1:149" x14ac:dyDescent="0.3">
      <c r="A618" s="124"/>
      <c r="B618" s="121"/>
      <c r="C618" s="121"/>
      <c r="D618" s="121"/>
      <c r="E618" s="121"/>
      <c r="F618" s="121"/>
      <c r="G618" s="121"/>
      <c r="H618" s="121"/>
      <c r="I618" s="121"/>
      <c r="J618" s="121"/>
      <c r="K618" s="121"/>
      <c r="L618" s="121"/>
      <c r="M618" s="121"/>
      <c r="N618" s="121"/>
      <c r="O618" s="235"/>
      <c r="P618" s="121"/>
      <c r="Q618" s="121"/>
      <c r="R618" s="121"/>
      <c r="S618" s="121"/>
      <c r="T618" s="121"/>
      <c r="U618" s="121"/>
      <c r="V618" s="121"/>
      <c r="W618" s="121"/>
      <c r="X618" s="117"/>
      <c r="Y618" s="117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21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  <c r="DK618" s="121"/>
      <c r="DL618" s="121"/>
      <c r="DM618" s="121"/>
      <c r="DN618" s="121"/>
      <c r="DO618" s="121"/>
      <c r="DP618" s="121"/>
      <c r="DQ618" s="121"/>
      <c r="DR618" s="121"/>
      <c r="DS618" s="121"/>
      <c r="DT618" s="240"/>
      <c r="DU618" s="240"/>
      <c r="DV618" s="240"/>
      <c r="DW618" s="240"/>
      <c r="DX618" s="240"/>
      <c r="DY618" s="240"/>
      <c r="DZ618" s="240"/>
      <c r="EA618" s="240"/>
      <c r="EB618" s="237">
        <f t="shared" si="72"/>
        <v>0</v>
      </c>
      <c r="EC618" s="237">
        <f t="shared" si="73"/>
        <v>0</v>
      </c>
      <c r="ED618" s="237">
        <f t="shared" si="74"/>
        <v>0</v>
      </c>
      <c r="EE618" s="237">
        <f t="shared" si="75"/>
        <v>0</v>
      </c>
      <c r="EF618" s="121"/>
      <c r="EG618" s="238">
        <f t="shared" si="76"/>
        <v>0</v>
      </c>
      <c r="EH618" s="121"/>
      <c r="EI618" s="237">
        <f t="shared" si="77"/>
        <v>0</v>
      </c>
      <c r="EJ618" s="121"/>
      <c r="EK618" s="237">
        <f t="shared" si="78"/>
        <v>0</v>
      </c>
      <c r="EL618" s="237"/>
      <c r="EM618" s="5"/>
      <c r="EN618" s="5"/>
      <c r="EO618" s="5"/>
      <c r="EP618" s="5"/>
      <c r="EQ618" s="237">
        <f t="shared" si="79"/>
        <v>0</v>
      </c>
      <c r="ER618" s="239">
        <v>23300</v>
      </c>
      <c r="ES618" s="5">
        <v>7.5</v>
      </c>
    </row>
    <row r="619" spans="1:149" x14ac:dyDescent="0.3">
      <c r="A619" s="124"/>
      <c r="B619" s="121"/>
      <c r="C619" s="121"/>
      <c r="D619" s="121"/>
      <c r="E619" s="121"/>
      <c r="F619" s="121"/>
      <c r="G619" s="121"/>
      <c r="H619" s="121"/>
      <c r="I619" s="121"/>
      <c r="J619" s="121"/>
      <c r="K619" s="121"/>
      <c r="L619" s="121"/>
      <c r="M619" s="121"/>
      <c r="N619" s="121"/>
      <c r="O619" s="235"/>
      <c r="P619" s="121"/>
      <c r="Q619" s="121"/>
      <c r="R619" s="121"/>
      <c r="S619" s="121"/>
      <c r="T619" s="121"/>
      <c r="U619" s="121"/>
      <c r="V619" s="121"/>
      <c r="W619" s="121"/>
      <c r="X619" s="117"/>
      <c r="Y619" s="117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21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  <c r="DK619" s="121"/>
      <c r="DL619" s="121"/>
      <c r="DM619" s="121"/>
      <c r="DN619" s="121"/>
      <c r="DO619" s="121"/>
      <c r="DP619" s="121"/>
      <c r="DQ619" s="121"/>
      <c r="DR619" s="121"/>
      <c r="DS619" s="121"/>
      <c r="DT619" s="240"/>
      <c r="DU619" s="240"/>
      <c r="DV619" s="240"/>
      <c r="DW619" s="240"/>
      <c r="DX619" s="240"/>
      <c r="DY619" s="240"/>
      <c r="DZ619" s="240"/>
      <c r="EA619" s="240"/>
      <c r="EB619" s="237">
        <f t="shared" si="72"/>
        <v>0</v>
      </c>
      <c r="EC619" s="237">
        <f t="shared" si="73"/>
        <v>0</v>
      </c>
      <c r="ED619" s="237">
        <f t="shared" si="74"/>
        <v>0</v>
      </c>
      <c r="EE619" s="237">
        <f t="shared" si="75"/>
        <v>0</v>
      </c>
      <c r="EF619" s="121"/>
      <c r="EG619" s="238">
        <f t="shared" si="76"/>
        <v>0</v>
      </c>
      <c r="EH619" s="121"/>
      <c r="EI619" s="237">
        <f t="shared" si="77"/>
        <v>0</v>
      </c>
      <c r="EJ619" s="121"/>
      <c r="EK619" s="237">
        <f t="shared" si="78"/>
        <v>0</v>
      </c>
      <c r="EL619" s="237"/>
      <c r="EM619" s="5"/>
      <c r="EN619" s="5"/>
      <c r="EO619" s="5"/>
      <c r="EP619" s="5"/>
      <c r="EQ619" s="237">
        <f t="shared" si="79"/>
        <v>0</v>
      </c>
      <c r="ER619" s="239">
        <v>23300</v>
      </c>
      <c r="ES619" s="5">
        <v>7.5</v>
      </c>
    </row>
    <row r="620" spans="1:149" x14ac:dyDescent="0.3">
      <c r="A620" s="124"/>
      <c r="B620" s="121"/>
      <c r="C620" s="121"/>
      <c r="D620" s="121"/>
      <c r="E620" s="121"/>
      <c r="F620" s="121"/>
      <c r="G620" s="121"/>
      <c r="H620" s="121"/>
      <c r="I620" s="121"/>
      <c r="J620" s="121"/>
      <c r="K620" s="121"/>
      <c r="L620" s="121"/>
      <c r="M620" s="121"/>
      <c r="N620" s="121"/>
      <c r="O620" s="235"/>
      <c r="P620" s="121"/>
      <c r="Q620" s="121"/>
      <c r="R620" s="121"/>
      <c r="S620" s="121"/>
      <c r="T620" s="121"/>
      <c r="U620" s="121"/>
      <c r="V620" s="121"/>
      <c r="W620" s="121"/>
      <c r="X620" s="117"/>
      <c r="Y620" s="117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21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  <c r="DK620" s="121"/>
      <c r="DL620" s="121"/>
      <c r="DM620" s="121"/>
      <c r="DN620" s="121"/>
      <c r="DO620" s="121"/>
      <c r="DP620" s="121"/>
      <c r="DQ620" s="121"/>
      <c r="DR620" s="121"/>
      <c r="DS620" s="121"/>
      <c r="DT620" s="240"/>
      <c r="DU620" s="240"/>
      <c r="DV620" s="240"/>
      <c r="DW620" s="240"/>
      <c r="DX620" s="240"/>
      <c r="DY620" s="240"/>
      <c r="DZ620" s="240"/>
      <c r="EA620" s="240"/>
      <c r="EB620" s="237">
        <f t="shared" si="72"/>
        <v>0</v>
      </c>
      <c r="EC620" s="237">
        <f t="shared" si="73"/>
        <v>0</v>
      </c>
      <c r="ED620" s="237">
        <f t="shared" si="74"/>
        <v>0</v>
      </c>
      <c r="EE620" s="237">
        <f t="shared" si="75"/>
        <v>0</v>
      </c>
      <c r="EF620" s="121"/>
      <c r="EG620" s="238">
        <f t="shared" si="76"/>
        <v>0</v>
      </c>
      <c r="EH620" s="121"/>
      <c r="EI620" s="237">
        <f t="shared" si="77"/>
        <v>0</v>
      </c>
      <c r="EJ620" s="121"/>
      <c r="EK620" s="237">
        <f t="shared" si="78"/>
        <v>0</v>
      </c>
      <c r="EL620" s="237"/>
      <c r="EM620" s="5"/>
      <c r="EN620" s="5"/>
      <c r="EO620" s="5"/>
      <c r="EP620" s="5"/>
      <c r="EQ620" s="237">
        <f t="shared" si="79"/>
        <v>0</v>
      </c>
      <c r="ER620" s="239">
        <v>23300</v>
      </c>
      <c r="ES620" s="5">
        <v>7.5</v>
      </c>
    </row>
    <row r="621" spans="1:149" x14ac:dyDescent="0.3">
      <c r="A621" s="124"/>
      <c r="B621" s="121"/>
      <c r="C621" s="121"/>
      <c r="D621" s="121"/>
      <c r="E621" s="121"/>
      <c r="F621" s="121"/>
      <c r="G621" s="121"/>
      <c r="H621" s="121"/>
      <c r="I621" s="121"/>
      <c r="J621" s="121"/>
      <c r="K621" s="121"/>
      <c r="L621" s="121"/>
      <c r="M621" s="121"/>
      <c r="N621" s="121"/>
      <c r="O621" s="235"/>
      <c r="P621" s="121"/>
      <c r="Q621" s="121"/>
      <c r="R621" s="121"/>
      <c r="S621" s="121"/>
      <c r="T621" s="121"/>
      <c r="U621" s="121"/>
      <c r="V621" s="121"/>
      <c r="W621" s="121"/>
      <c r="X621" s="117"/>
      <c r="Y621" s="117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21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  <c r="DK621" s="121"/>
      <c r="DL621" s="121"/>
      <c r="DM621" s="121"/>
      <c r="DN621" s="121"/>
      <c r="DO621" s="121"/>
      <c r="DP621" s="121"/>
      <c r="DQ621" s="121"/>
      <c r="DR621" s="121"/>
      <c r="DS621" s="121"/>
      <c r="DT621" s="240"/>
      <c r="DU621" s="240"/>
      <c r="DV621" s="240"/>
      <c r="DW621" s="240"/>
      <c r="DX621" s="240"/>
      <c r="DY621" s="240"/>
      <c r="DZ621" s="240"/>
      <c r="EA621" s="240"/>
      <c r="EB621" s="237">
        <f t="shared" si="72"/>
        <v>0</v>
      </c>
      <c r="EC621" s="237">
        <f t="shared" si="73"/>
        <v>0</v>
      </c>
      <c r="ED621" s="237">
        <f t="shared" si="74"/>
        <v>0</v>
      </c>
      <c r="EE621" s="237">
        <f t="shared" si="75"/>
        <v>0</v>
      </c>
      <c r="EF621" s="121"/>
      <c r="EG621" s="238">
        <f t="shared" si="76"/>
        <v>0</v>
      </c>
      <c r="EH621" s="121"/>
      <c r="EI621" s="237">
        <f t="shared" si="77"/>
        <v>0</v>
      </c>
      <c r="EJ621" s="121"/>
      <c r="EK621" s="237">
        <f t="shared" si="78"/>
        <v>0</v>
      </c>
      <c r="EL621" s="237"/>
      <c r="EM621" s="5"/>
      <c r="EN621" s="5"/>
      <c r="EO621" s="5"/>
      <c r="EP621" s="5"/>
      <c r="EQ621" s="237">
        <f t="shared" si="79"/>
        <v>0</v>
      </c>
      <c r="ER621" s="239">
        <v>23300</v>
      </c>
      <c r="ES621" s="5">
        <v>7.5</v>
      </c>
    </row>
    <row r="622" spans="1:149" x14ac:dyDescent="0.3">
      <c r="A622" s="124"/>
      <c r="B622" s="121"/>
      <c r="C622" s="121"/>
      <c r="D622" s="121"/>
      <c r="E622" s="121"/>
      <c r="F622" s="121"/>
      <c r="G622" s="121"/>
      <c r="H622" s="121"/>
      <c r="I622" s="121"/>
      <c r="J622" s="121"/>
      <c r="K622" s="121"/>
      <c r="L622" s="121"/>
      <c r="M622" s="121"/>
      <c r="N622" s="121"/>
      <c r="O622" s="235"/>
      <c r="P622" s="121"/>
      <c r="Q622" s="121"/>
      <c r="R622" s="121"/>
      <c r="S622" s="121"/>
      <c r="T622" s="121"/>
      <c r="U622" s="121"/>
      <c r="V622" s="121"/>
      <c r="W622" s="121"/>
      <c r="X622" s="117"/>
      <c r="Y622" s="117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21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  <c r="DK622" s="121"/>
      <c r="DL622" s="121"/>
      <c r="DM622" s="121"/>
      <c r="DN622" s="121"/>
      <c r="DO622" s="121"/>
      <c r="DP622" s="121"/>
      <c r="DQ622" s="121"/>
      <c r="DR622" s="121"/>
      <c r="DS622" s="121"/>
      <c r="DT622" s="240"/>
      <c r="DU622" s="240"/>
      <c r="DV622" s="240"/>
      <c r="DW622" s="240"/>
      <c r="DX622" s="240"/>
      <c r="DY622" s="240"/>
      <c r="DZ622" s="240"/>
      <c r="EA622" s="240"/>
      <c r="EB622" s="237">
        <f t="shared" si="72"/>
        <v>0</v>
      </c>
      <c r="EC622" s="237">
        <f t="shared" si="73"/>
        <v>0</v>
      </c>
      <c r="ED622" s="237">
        <f t="shared" si="74"/>
        <v>0</v>
      </c>
      <c r="EE622" s="237">
        <f t="shared" si="75"/>
        <v>0</v>
      </c>
      <c r="EF622" s="121"/>
      <c r="EG622" s="238">
        <f t="shared" si="76"/>
        <v>0</v>
      </c>
      <c r="EH622" s="121"/>
      <c r="EI622" s="237">
        <f t="shared" si="77"/>
        <v>0</v>
      </c>
      <c r="EJ622" s="121"/>
      <c r="EK622" s="237">
        <f t="shared" si="78"/>
        <v>0</v>
      </c>
      <c r="EL622" s="237"/>
      <c r="EM622" s="5"/>
      <c r="EN622" s="5"/>
      <c r="EO622" s="5"/>
      <c r="EP622" s="5"/>
      <c r="EQ622" s="237">
        <f t="shared" si="79"/>
        <v>0</v>
      </c>
      <c r="ER622" s="239">
        <v>23300</v>
      </c>
      <c r="ES622" s="5">
        <v>7.5</v>
      </c>
    </row>
    <row r="623" spans="1:149" x14ac:dyDescent="0.3">
      <c r="A623" s="124"/>
      <c r="B623" s="121"/>
      <c r="C623" s="121"/>
      <c r="D623" s="121"/>
      <c r="E623" s="121"/>
      <c r="F623" s="121"/>
      <c r="G623" s="121"/>
      <c r="H623" s="121"/>
      <c r="I623" s="121"/>
      <c r="J623" s="121"/>
      <c r="K623" s="121"/>
      <c r="L623" s="121"/>
      <c r="M623" s="121"/>
      <c r="N623" s="121"/>
      <c r="O623" s="235"/>
      <c r="P623" s="121"/>
      <c r="Q623" s="121"/>
      <c r="R623" s="121"/>
      <c r="S623" s="121"/>
      <c r="T623" s="121"/>
      <c r="U623" s="121"/>
      <c r="V623" s="121"/>
      <c r="W623" s="121"/>
      <c r="X623" s="117"/>
      <c r="Y623" s="117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21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  <c r="DK623" s="121"/>
      <c r="DL623" s="121"/>
      <c r="DM623" s="121"/>
      <c r="DN623" s="121"/>
      <c r="DO623" s="121"/>
      <c r="DP623" s="121"/>
      <c r="DQ623" s="121"/>
      <c r="DR623" s="121"/>
      <c r="DS623" s="121"/>
      <c r="DT623" s="240"/>
      <c r="DU623" s="240"/>
      <c r="DV623" s="240"/>
      <c r="DW623" s="240"/>
      <c r="DX623" s="240"/>
      <c r="DY623" s="240"/>
      <c r="DZ623" s="240"/>
      <c r="EA623" s="240"/>
      <c r="EB623" s="237">
        <f t="shared" si="72"/>
        <v>0</v>
      </c>
      <c r="EC623" s="237">
        <f t="shared" si="73"/>
        <v>0</v>
      </c>
      <c r="ED623" s="237">
        <f t="shared" si="74"/>
        <v>0</v>
      </c>
      <c r="EE623" s="237">
        <f t="shared" si="75"/>
        <v>0</v>
      </c>
      <c r="EF623" s="121"/>
      <c r="EG623" s="238">
        <f t="shared" si="76"/>
        <v>0</v>
      </c>
      <c r="EH623" s="121"/>
      <c r="EI623" s="237">
        <f t="shared" si="77"/>
        <v>0</v>
      </c>
      <c r="EJ623" s="121"/>
      <c r="EK623" s="237">
        <f t="shared" si="78"/>
        <v>0</v>
      </c>
      <c r="EL623" s="237"/>
      <c r="EM623" s="5"/>
      <c r="EN623" s="5"/>
      <c r="EO623" s="5"/>
      <c r="EP623" s="5"/>
      <c r="EQ623" s="237">
        <f t="shared" si="79"/>
        <v>0</v>
      </c>
      <c r="ER623" s="239">
        <v>23300</v>
      </c>
      <c r="ES623" s="5">
        <v>7.5</v>
      </c>
    </row>
    <row r="624" spans="1:149" x14ac:dyDescent="0.3">
      <c r="A624" s="124"/>
      <c r="B624" s="121"/>
      <c r="C624" s="121"/>
      <c r="D624" s="121"/>
      <c r="E624" s="121"/>
      <c r="F624" s="121"/>
      <c r="G624" s="121"/>
      <c r="H624" s="121"/>
      <c r="I624" s="121"/>
      <c r="J624" s="121"/>
      <c r="K624" s="121"/>
      <c r="L624" s="121"/>
      <c r="M624" s="121"/>
      <c r="N624" s="121"/>
      <c r="O624" s="235"/>
      <c r="P624" s="121"/>
      <c r="Q624" s="121"/>
      <c r="R624" s="121"/>
      <c r="S624" s="121"/>
      <c r="T624" s="121"/>
      <c r="U624" s="121"/>
      <c r="V624" s="121"/>
      <c r="W624" s="121"/>
      <c r="X624" s="117"/>
      <c r="Y624" s="117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21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  <c r="DK624" s="121"/>
      <c r="DL624" s="121"/>
      <c r="DM624" s="121"/>
      <c r="DN624" s="121"/>
      <c r="DO624" s="121"/>
      <c r="DP624" s="121"/>
      <c r="DQ624" s="121"/>
      <c r="DR624" s="121"/>
      <c r="DS624" s="121"/>
      <c r="DT624" s="240"/>
      <c r="DU624" s="240"/>
      <c r="DV624" s="240"/>
      <c r="DW624" s="240"/>
      <c r="DX624" s="240"/>
      <c r="DY624" s="240"/>
      <c r="DZ624" s="240"/>
      <c r="EA624" s="240"/>
      <c r="EB624" s="237">
        <f t="shared" si="72"/>
        <v>0</v>
      </c>
      <c r="EC624" s="237">
        <f t="shared" si="73"/>
        <v>0</v>
      </c>
      <c r="ED624" s="237">
        <f t="shared" si="74"/>
        <v>0</v>
      </c>
      <c r="EE624" s="237">
        <f t="shared" si="75"/>
        <v>0</v>
      </c>
      <c r="EF624" s="121"/>
      <c r="EG624" s="238">
        <f t="shared" si="76"/>
        <v>0</v>
      </c>
      <c r="EH624" s="121"/>
      <c r="EI624" s="237">
        <f t="shared" si="77"/>
        <v>0</v>
      </c>
      <c r="EJ624" s="121"/>
      <c r="EK624" s="237">
        <f t="shared" si="78"/>
        <v>0</v>
      </c>
      <c r="EL624" s="237"/>
      <c r="EM624" s="5"/>
      <c r="EN624" s="5"/>
      <c r="EO624" s="5"/>
      <c r="EP624" s="5"/>
      <c r="EQ624" s="237">
        <f t="shared" si="79"/>
        <v>0</v>
      </c>
      <c r="ER624" s="239">
        <v>23300</v>
      </c>
      <c r="ES624" s="5">
        <v>7.5</v>
      </c>
    </row>
    <row r="625" spans="1:149" x14ac:dyDescent="0.3">
      <c r="A625" s="124"/>
      <c r="B625" s="121"/>
      <c r="C625" s="121"/>
      <c r="D625" s="121"/>
      <c r="E625" s="121"/>
      <c r="F625" s="121"/>
      <c r="G625" s="121"/>
      <c r="H625" s="121"/>
      <c r="I625" s="121"/>
      <c r="J625" s="121"/>
      <c r="K625" s="121"/>
      <c r="L625" s="121"/>
      <c r="M625" s="121"/>
      <c r="N625" s="121"/>
      <c r="O625" s="235"/>
      <c r="P625" s="121"/>
      <c r="Q625" s="121"/>
      <c r="R625" s="121"/>
      <c r="S625" s="121"/>
      <c r="T625" s="121"/>
      <c r="U625" s="121"/>
      <c r="V625" s="121"/>
      <c r="W625" s="121"/>
      <c r="X625" s="117"/>
      <c r="Y625" s="117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21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  <c r="DK625" s="121"/>
      <c r="DL625" s="121"/>
      <c r="DM625" s="121"/>
      <c r="DN625" s="121"/>
      <c r="DO625" s="121"/>
      <c r="DP625" s="121"/>
      <c r="DQ625" s="121"/>
      <c r="DR625" s="121"/>
      <c r="DS625" s="121"/>
      <c r="DT625" s="240"/>
      <c r="DU625" s="240"/>
      <c r="DV625" s="240"/>
      <c r="DW625" s="240"/>
      <c r="DX625" s="240"/>
      <c r="DY625" s="240"/>
      <c r="DZ625" s="240"/>
      <c r="EA625" s="240"/>
      <c r="EB625" s="237">
        <f t="shared" si="72"/>
        <v>0</v>
      </c>
      <c r="EC625" s="237">
        <f t="shared" si="73"/>
        <v>0</v>
      </c>
      <c r="ED625" s="237">
        <f t="shared" si="74"/>
        <v>0</v>
      </c>
      <c r="EE625" s="237">
        <f t="shared" si="75"/>
        <v>0</v>
      </c>
      <c r="EF625" s="121"/>
      <c r="EG625" s="238">
        <f t="shared" si="76"/>
        <v>0</v>
      </c>
      <c r="EH625" s="121"/>
      <c r="EI625" s="237">
        <f t="shared" si="77"/>
        <v>0</v>
      </c>
      <c r="EJ625" s="121"/>
      <c r="EK625" s="237">
        <f t="shared" si="78"/>
        <v>0</v>
      </c>
      <c r="EL625" s="237"/>
      <c r="EM625" s="5"/>
      <c r="EN625" s="5"/>
      <c r="EO625" s="5"/>
      <c r="EP625" s="5"/>
      <c r="EQ625" s="237">
        <f t="shared" si="79"/>
        <v>0</v>
      </c>
      <c r="ER625" s="239">
        <v>23300</v>
      </c>
      <c r="ES625" s="5">
        <v>7.5</v>
      </c>
    </row>
    <row r="626" spans="1:149" x14ac:dyDescent="0.3">
      <c r="A626" s="124"/>
      <c r="B626" s="121"/>
      <c r="C626" s="121"/>
      <c r="D626" s="121"/>
      <c r="E626" s="121"/>
      <c r="F626" s="121"/>
      <c r="G626" s="121"/>
      <c r="H626" s="121"/>
      <c r="I626" s="121"/>
      <c r="J626" s="121"/>
      <c r="K626" s="121"/>
      <c r="L626" s="121"/>
      <c r="M626" s="121"/>
      <c r="N626" s="121"/>
      <c r="O626" s="235"/>
      <c r="P626" s="121"/>
      <c r="Q626" s="121"/>
      <c r="R626" s="121"/>
      <c r="S626" s="121"/>
      <c r="T626" s="121"/>
      <c r="U626" s="121"/>
      <c r="V626" s="121"/>
      <c r="W626" s="121"/>
      <c r="X626" s="117"/>
      <c r="Y626" s="117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21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  <c r="DK626" s="121"/>
      <c r="DL626" s="121"/>
      <c r="DM626" s="121"/>
      <c r="DN626" s="121"/>
      <c r="DO626" s="121"/>
      <c r="DP626" s="121"/>
      <c r="DQ626" s="121"/>
      <c r="DR626" s="121"/>
      <c r="DS626" s="121"/>
      <c r="DT626" s="240"/>
      <c r="DU626" s="240"/>
      <c r="DV626" s="240"/>
      <c r="DW626" s="240"/>
      <c r="DX626" s="240"/>
      <c r="DY626" s="240"/>
      <c r="DZ626" s="240"/>
      <c r="EA626" s="240"/>
      <c r="EB626" s="237">
        <f t="shared" si="72"/>
        <v>0</v>
      </c>
      <c r="EC626" s="237">
        <f t="shared" si="73"/>
        <v>0</v>
      </c>
      <c r="ED626" s="237">
        <f t="shared" si="74"/>
        <v>0</v>
      </c>
      <c r="EE626" s="237">
        <f t="shared" si="75"/>
        <v>0</v>
      </c>
      <c r="EF626" s="121"/>
      <c r="EG626" s="238">
        <f t="shared" si="76"/>
        <v>0</v>
      </c>
      <c r="EH626" s="121"/>
      <c r="EI626" s="237">
        <f t="shared" si="77"/>
        <v>0</v>
      </c>
      <c r="EJ626" s="121"/>
      <c r="EK626" s="237">
        <f t="shared" si="78"/>
        <v>0</v>
      </c>
      <c r="EL626" s="237"/>
      <c r="EM626" s="5"/>
      <c r="EN626" s="5"/>
      <c r="EO626" s="5"/>
      <c r="EP626" s="5"/>
      <c r="EQ626" s="237">
        <f t="shared" si="79"/>
        <v>0</v>
      </c>
      <c r="ER626" s="239">
        <v>23300</v>
      </c>
      <c r="ES626" s="5">
        <v>7.5</v>
      </c>
    </row>
    <row r="627" spans="1:149" x14ac:dyDescent="0.3">
      <c r="A627" s="124"/>
      <c r="B627" s="121"/>
      <c r="C627" s="121"/>
      <c r="D627" s="121"/>
      <c r="E627" s="121"/>
      <c r="F627" s="121"/>
      <c r="G627" s="121"/>
      <c r="H627" s="121"/>
      <c r="I627" s="121"/>
      <c r="J627" s="121"/>
      <c r="K627" s="121"/>
      <c r="L627" s="121"/>
      <c r="M627" s="121"/>
      <c r="N627" s="121"/>
      <c r="O627" s="235"/>
      <c r="P627" s="121"/>
      <c r="Q627" s="121"/>
      <c r="R627" s="121"/>
      <c r="S627" s="121"/>
      <c r="T627" s="121"/>
      <c r="U627" s="121"/>
      <c r="V627" s="121"/>
      <c r="W627" s="121"/>
      <c r="X627" s="117"/>
      <c r="Y627" s="117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21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  <c r="DK627" s="121"/>
      <c r="DL627" s="121"/>
      <c r="DM627" s="121"/>
      <c r="DN627" s="121"/>
      <c r="DO627" s="121"/>
      <c r="DP627" s="121"/>
      <c r="DQ627" s="121"/>
      <c r="DR627" s="121"/>
      <c r="DS627" s="121"/>
      <c r="DT627" s="240"/>
      <c r="DU627" s="240"/>
      <c r="DV627" s="240"/>
      <c r="DW627" s="240"/>
      <c r="DX627" s="240"/>
      <c r="DY627" s="240"/>
      <c r="DZ627" s="240"/>
      <c r="EA627" s="240"/>
      <c r="EB627" s="237">
        <f t="shared" si="72"/>
        <v>0</v>
      </c>
      <c r="EC627" s="237">
        <f t="shared" si="73"/>
        <v>0</v>
      </c>
      <c r="ED627" s="237">
        <f t="shared" si="74"/>
        <v>0</v>
      </c>
      <c r="EE627" s="237">
        <f t="shared" si="75"/>
        <v>0</v>
      </c>
      <c r="EF627" s="121"/>
      <c r="EG627" s="238">
        <f t="shared" si="76"/>
        <v>0</v>
      </c>
      <c r="EH627" s="121"/>
      <c r="EI627" s="237">
        <f t="shared" si="77"/>
        <v>0</v>
      </c>
      <c r="EJ627" s="121"/>
      <c r="EK627" s="237">
        <f t="shared" si="78"/>
        <v>0</v>
      </c>
      <c r="EL627" s="237"/>
      <c r="EM627" s="5"/>
      <c r="EN627" s="5"/>
      <c r="EO627" s="5"/>
      <c r="EP627" s="5"/>
      <c r="EQ627" s="237">
        <f t="shared" si="79"/>
        <v>0</v>
      </c>
      <c r="ER627" s="239">
        <v>23300</v>
      </c>
      <c r="ES627" s="5">
        <v>7.5</v>
      </c>
    </row>
    <row r="628" spans="1:149" x14ac:dyDescent="0.3">
      <c r="A628" s="124"/>
      <c r="B628" s="121"/>
      <c r="C628" s="121"/>
      <c r="D628" s="121"/>
      <c r="E628" s="121"/>
      <c r="F628" s="121"/>
      <c r="G628" s="121"/>
      <c r="H628" s="121"/>
      <c r="I628" s="121"/>
      <c r="J628" s="121"/>
      <c r="K628" s="121"/>
      <c r="L628" s="121"/>
      <c r="M628" s="121"/>
      <c r="N628" s="121"/>
      <c r="O628" s="235"/>
      <c r="P628" s="121"/>
      <c r="Q628" s="121"/>
      <c r="R628" s="121"/>
      <c r="S628" s="121"/>
      <c r="T628" s="121"/>
      <c r="U628" s="121"/>
      <c r="V628" s="121"/>
      <c r="W628" s="121"/>
      <c r="X628" s="117"/>
      <c r="Y628" s="117"/>
      <c r="Z628" s="121"/>
      <c r="AA628" s="121"/>
      <c r="AB628" s="121"/>
      <c r="AC628" s="121"/>
      <c r="AD628" s="121"/>
      <c r="AE628" s="121"/>
      <c r="AF628" s="121"/>
      <c r="AG628" s="121"/>
      <c r="AH628" s="121"/>
      <c r="AI628" s="121"/>
      <c r="AJ628" s="121"/>
      <c r="AK628" s="121"/>
      <c r="AL628" s="121"/>
      <c r="AM628" s="121"/>
      <c r="AN628" s="121"/>
      <c r="AO628" s="121"/>
      <c r="AP628" s="121"/>
      <c r="AQ628" s="121"/>
      <c r="AR628" s="121"/>
      <c r="AS628" s="121"/>
      <c r="AT628" s="121"/>
      <c r="AU628" s="121"/>
      <c r="AV628" s="121"/>
      <c r="AW628" s="121"/>
      <c r="AX628" s="121"/>
      <c r="AY628" s="121"/>
      <c r="AZ628" s="121"/>
      <c r="BA628" s="121"/>
      <c r="BB628" s="121"/>
      <c r="BC628" s="121"/>
      <c r="BD628" s="121"/>
      <c r="BE628" s="121"/>
      <c r="BF628" s="121"/>
      <c r="BG628" s="121"/>
      <c r="BH628" s="121"/>
      <c r="BI628" s="121"/>
      <c r="BJ628" s="121"/>
      <c r="BK628" s="121"/>
      <c r="BL628" s="121"/>
      <c r="BM628" s="121"/>
      <c r="BN628" s="121"/>
      <c r="BO628" s="121"/>
      <c r="BP628" s="121"/>
      <c r="BQ628" s="121"/>
      <c r="BR628" s="121"/>
      <c r="BS628" s="121"/>
      <c r="BT628" s="121"/>
      <c r="BU628" s="121"/>
      <c r="BV628" s="121"/>
      <c r="BW628" s="121"/>
      <c r="BX628" s="121"/>
      <c r="BY628" s="121"/>
      <c r="BZ628" s="121"/>
      <c r="CA628" s="121"/>
      <c r="CB628" s="121"/>
      <c r="CC628" s="121"/>
      <c r="CD628" s="121"/>
      <c r="CE628" s="121"/>
      <c r="CF628" s="121"/>
      <c r="CG628" s="121"/>
      <c r="CH628" s="121"/>
      <c r="CI628" s="121"/>
      <c r="CJ628" s="121"/>
      <c r="CK628" s="121"/>
      <c r="CL628" s="121"/>
      <c r="CM628" s="121"/>
      <c r="CN628" s="121"/>
      <c r="CO628" s="121"/>
      <c r="CP628" s="121"/>
      <c r="CQ628" s="121"/>
      <c r="CR628" s="121"/>
      <c r="CS628" s="121"/>
      <c r="CT628" s="121"/>
      <c r="CU628" s="121"/>
      <c r="CV628" s="121"/>
      <c r="CW628" s="121"/>
      <c r="CX628" s="121"/>
      <c r="CY628" s="121"/>
      <c r="CZ628" s="121"/>
      <c r="DA628" s="121"/>
      <c r="DB628" s="121"/>
      <c r="DC628" s="121"/>
      <c r="DD628" s="121"/>
      <c r="DE628" s="121"/>
      <c r="DF628" s="121"/>
      <c r="DG628" s="121"/>
      <c r="DH628" s="121"/>
      <c r="DI628" s="121"/>
      <c r="DJ628" s="121"/>
      <c r="DK628" s="121"/>
      <c r="DL628" s="121"/>
      <c r="DM628" s="121"/>
      <c r="DN628" s="121"/>
      <c r="DO628" s="121"/>
      <c r="DP628" s="121"/>
      <c r="DQ628" s="121"/>
      <c r="DR628" s="121"/>
      <c r="DS628" s="121"/>
      <c r="DT628" s="240"/>
      <c r="DU628" s="240"/>
      <c r="DV628" s="240"/>
      <c r="DW628" s="240"/>
      <c r="DX628" s="240"/>
      <c r="DY628" s="240"/>
      <c r="DZ628" s="240"/>
      <c r="EA628" s="240"/>
      <c r="EB628" s="237">
        <f t="shared" si="72"/>
        <v>0</v>
      </c>
      <c r="EC628" s="237">
        <f t="shared" si="73"/>
        <v>0</v>
      </c>
      <c r="ED628" s="237">
        <f t="shared" si="74"/>
        <v>0</v>
      </c>
      <c r="EE628" s="237">
        <f t="shared" si="75"/>
        <v>0</v>
      </c>
      <c r="EF628" s="121"/>
      <c r="EG628" s="238">
        <f t="shared" si="76"/>
        <v>0</v>
      </c>
      <c r="EH628" s="121"/>
      <c r="EI628" s="237">
        <f t="shared" si="77"/>
        <v>0</v>
      </c>
      <c r="EJ628" s="121"/>
      <c r="EK628" s="237">
        <f t="shared" si="78"/>
        <v>0</v>
      </c>
      <c r="EL628" s="237"/>
      <c r="EM628" s="5"/>
      <c r="EN628" s="5"/>
      <c r="EO628" s="5"/>
      <c r="EP628" s="5"/>
      <c r="EQ628" s="237">
        <f t="shared" si="79"/>
        <v>0</v>
      </c>
      <c r="ER628" s="239">
        <v>23300</v>
      </c>
      <c r="ES628" s="5">
        <v>7.5</v>
      </c>
    </row>
    <row r="629" spans="1:149" x14ac:dyDescent="0.3">
      <c r="A629" s="124"/>
      <c r="B629" s="121"/>
      <c r="C629" s="121"/>
      <c r="D629" s="121"/>
      <c r="E629" s="121"/>
      <c r="F629" s="121"/>
      <c r="G629" s="121"/>
      <c r="H629" s="121"/>
      <c r="I629" s="121"/>
      <c r="J629" s="121"/>
      <c r="K629" s="121"/>
      <c r="L629" s="121"/>
      <c r="M629" s="121"/>
      <c r="N629" s="121"/>
      <c r="O629" s="235"/>
      <c r="P629" s="121"/>
      <c r="Q629" s="121"/>
      <c r="R629" s="121"/>
      <c r="S629" s="121"/>
      <c r="T629" s="121"/>
      <c r="U629" s="121"/>
      <c r="V629" s="121"/>
      <c r="W629" s="121"/>
      <c r="X629" s="117"/>
      <c r="Y629" s="117"/>
      <c r="Z629" s="121"/>
      <c r="AA629" s="121"/>
      <c r="AB629" s="121"/>
      <c r="AC629" s="121"/>
      <c r="AD629" s="121"/>
      <c r="AE629" s="121"/>
      <c r="AF629" s="121"/>
      <c r="AG629" s="121"/>
      <c r="AH629" s="121"/>
      <c r="AI629" s="121"/>
      <c r="AJ629" s="121"/>
      <c r="AK629" s="121"/>
      <c r="AL629" s="121"/>
      <c r="AM629" s="121"/>
      <c r="AN629" s="121"/>
      <c r="AO629" s="121"/>
      <c r="AP629" s="121"/>
      <c r="AQ629" s="121"/>
      <c r="AR629" s="121"/>
      <c r="AS629" s="121"/>
      <c r="AT629" s="121"/>
      <c r="AU629" s="121"/>
      <c r="AV629" s="121"/>
      <c r="AW629" s="121"/>
      <c r="AX629" s="121"/>
      <c r="AY629" s="121"/>
      <c r="AZ629" s="121"/>
      <c r="BA629" s="121"/>
      <c r="BB629" s="121"/>
      <c r="BC629" s="121"/>
      <c r="BD629" s="121"/>
      <c r="BE629" s="121"/>
      <c r="BF629" s="121"/>
      <c r="BG629" s="121"/>
      <c r="BH629" s="121"/>
      <c r="BI629" s="121"/>
      <c r="BJ629" s="121"/>
      <c r="BK629" s="121"/>
      <c r="BL629" s="121"/>
      <c r="BM629" s="121"/>
      <c r="BN629" s="121"/>
      <c r="BO629" s="121"/>
      <c r="BP629" s="121"/>
      <c r="BQ629" s="121"/>
      <c r="BR629" s="121"/>
      <c r="BS629" s="121"/>
      <c r="BT629" s="121"/>
      <c r="BU629" s="121"/>
      <c r="BV629" s="121"/>
      <c r="BW629" s="121"/>
      <c r="BX629" s="121"/>
      <c r="BY629" s="121"/>
      <c r="BZ629" s="121"/>
      <c r="CA629" s="121"/>
      <c r="CB629" s="121"/>
      <c r="CC629" s="121"/>
      <c r="CD629" s="121"/>
      <c r="CE629" s="121"/>
      <c r="CF629" s="121"/>
      <c r="CG629" s="121"/>
      <c r="CH629" s="121"/>
      <c r="CI629" s="121"/>
      <c r="CJ629" s="121"/>
      <c r="CK629" s="121"/>
      <c r="CL629" s="121"/>
      <c r="CM629" s="121"/>
      <c r="CN629" s="121"/>
      <c r="CO629" s="121"/>
      <c r="CP629" s="121"/>
      <c r="CQ629" s="121"/>
      <c r="CR629" s="121"/>
      <c r="CS629" s="121"/>
      <c r="CT629" s="121"/>
      <c r="CU629" s="121"/>
      <c r="CV629" s="121"/>
      <c r="CW629" s="121"/>
      <c r="CX629" s="121"/>
      <c r="CY629" s="121"/>
      <c r="CZ629" s="121"/>
      <c r="DA629" s="121"/>
      <c r="DB629" s="121"/>
      <c r="DC629" s="121"/>
      <c r="DD629" s="121"/>
      <c r="DE629" s="121"/>
      <c r="DF629" s="121"/>
      <c r="DG629" s="121"/>
      <c r="DH629" s="121"/>
      <c r="DI629" s="121"/>
      <c r="DJ629" s="121"/>
      <c r="DK629" s="121"/>
      <c r="DL629" s="121"/>
      <c r="DM629" s="121"/>
      <c r="DN629" s="121"/>
      <c r="DO629" s="121"/>
      <c r="DP629" s="121"/>
      <c r="DQ629" s="121"/>
      <c r="DR629" s="121"/>
      <c r="DS629" s="121"/>
      <c r="DT629" s="240"/>
      <c r="DU629" s="240"/>
      <c r="DV629" s="240"/>
      <c r="DW629" s="240"/>
      <c r="DX629" s="240"/>
      <c r="DY629" s="240"/>
      <c r="DZ629" s="240"/>
      <c r="EA629" s="240"/>
      <c r="EB629" s="237">
        <f t="shared" si="72"/>
        <v>0</v>
      </c>
      <c r="EC629" s="237">
        <f t="shared" si="73"/>
        <v>0</v>
      </c>
      <c r="ED629" s="237">
        <f t="shared" si="74"/>
        <v>0</v>
      </c>
      <c r="EE629" s="237">
        <f t="shared" si="75"/>
        <v>0</v>
      </c>
      <c r="EF629" s="121"/>
      <c r="EG629" s="238">
        <f t="shared" si="76"/>
        <v>0</v>
      </c>
      <c r="EH629" s="121"/>
      <c r="EI629" s="237">
        <f t="shared" si="77"/>
        <v>0</v>
      </c>
      <c r="EJ629" s="121"/>
      <c r="EK629" s="237">
        <f t="shared" si="78"/>
        <v>0</v>
      </c>
      <c r="EL629" s="237"/>
      <c r="EM629" s="5"/>
      <c r="EN629" s="5"/>
      <c r="EO629" s="5"/>
      <c r="EP629" s="5"/>
      <c r="EQ629" s="237">
        <f t="shared" si="79"/>
        <v>0</v>
      </c>
      <c r="ER629" s="239">
        <v>23300</v>
      </c>
      <c r="ES629" s="5">
        <v>7.5</v>
      </c>
    </row>
    <row r="630" spans="1:149" x14ac:dyDescent="0.3">
      <c r="A630" s="124"/>
      <c r="B630" s="121"/>
      <c r="C630" s="121"/>
      <c r="D630" s="121"/>
      <c r="E630" s="121"/>
      <c r="F630" s="121"/>
      <c r="G630" s="121"/>
      <c r="H630" s="121"/>
      <c r="I630" s="121"/>
      <c r="J630" s="121"/>
      <c r="K630" s="121"/>
      <c r="L630" s="121"/>
      <c r="M630" s="121"/>
      <c r="N630" s="121"/>
      <c r="O630" s="235"/>
      <c r="P630" s="121"/>
      <c r="Q630" s="121"/>
      <c r="R630" s="121"/>
      <c r="S630" s="121"/>
      <c r="T630" s="121"/>
      <c r="U630" s="121"/>
      <c r="V630" s="121"/>
      <c r="W630" s="121"/>
      <c r="X630" s="117"/>
      <c r="Y630" s="117"/>
      <c r="Z630" s="121"/>
      <c r="AA630" s="121"/>
      <c r="AB630" s="121"/>
      <c r="AC630" s="121"/>
      <c r="AD630" s="121"/>
      <c r="AE630" s="121"/>
      <c r="AF630" s="121"/>
      <c r="AG630" s="121"/>
      <c r="AH630" s="121"/>
      <c r="AI630" s="121"/>
      <c r="AJ630" s="121"/>
      <c r="AK630" s="121"/>
      <c r="AL630" s="121"/>
      <c r="AM630" s="121"/>
      <c r="AN630" s="121"/>
      <c r="AO630" s="121"/>
      <c r="AP630" s="121"/>
      <c r="AQ630" s="121"/>
      <c r="AR630" s="121"/>
      <c r="AS630" s="121"/>
      <c r="AT630" s="121"/>
      <c r="AU630" s="121"/>
      <c r="AV630" s="121"/>
      <c r="AW630" s="121"/>
      <c r="AX630" s="121"/>
      <c r="AY630" s="121"/>
      <c r="AZ630" s="121"/>
      <c r="BA630" s="121"/>
      <c r="BB630" s="121"/>
      <c r="BC630" s="121"/>
      <c r="BD630" s="121"/>
      <c r="BE630" s="121"/>
      <c r="BF630" s="121"/>
      <c r="BG630" s="121"/>
      <c r="BH630" s="121"/>
      <c r="BI630" s="121"/>
      <c r="BJ630" s="121"/>
      <c r="BK630" s="121"/>
      <c r="BL630" s="121"/>
      <c r="BM630" s="121"/>
      <c r="BN630" s="121"/>
      <c r="BO630" s="121"/>
      <c r="BP630" s="121"/>
      <c r="BQ630" s="121"/>
      <c r="BR630" s="121"/>
      <c r="BS630" s="121"/>
      <c r="BT630" s="121"/>
      <c r="BU630" s="121"/>
      <c r="BV630" s="121"/>
      <c r="BW630" s="121"/>
      <c r="BX630" s="121"/>
      <c r="BY630" s="121"/>
      <c r="BZ630" s="121"/>
      <c r="CA630" s="121"/>
      <c r="CB630" s="121"/>
      <c r="CC630" s="121"/>
      <c r="CD630" s="121"/>
      <c r="CE630" s="121"/>
      <c r="CF630" s="121"/>
      <c r="CG630" s="121"/>
      <c r="CH630" s="121"/>
      <c r="CI630" s="121"/>
      <c r="CJ630" s="121"/>
      <c r="CK630" s="121"/>
      <c r="CL630" s="121"/>
      <c r="CM630" s="121"/>
      <c r="CN630" s="121"/>
      <c r="CO630" s="121"/>
      <c r="CP630" s="121"/>
      <c r="CQ630" s="121"/>
      <c r="CR630" s="121"/>
      <c r="CS630" s="121"/>
      <c r="CT630" s="121"/>
      <c r="CU630" s="121"/>
      <c r="CV630" s="121"/>
      <c r="CW630" s="121"/>
      <c r="CX630" s="121"/>
      <c r="CY630" s="121"/>
      <c r="CZ630" s="121"/>
      <c r="DA630" s="121"/>
      <c r="DB630" s="121"/>
      <c r="DC630" s="121"/>
      <c r="DD630" s="121"/>
      <c r="DE630" s="121"/>
      <c r="DF630" s="121"/>
      <c r="DG630" s="121"/>
      <c r="DH630" s="121"/>
      <c r="DI630" s="121"/>
      <c r="DJ630" s="121"/>
      <c r="DK630" s="121"/>
      <c r="DL630" s="121"/>
      <c r="DM630" s="121"/>
      <c r="DN630" s="121"/>
      <c r="DO630" s="121"/>
      <c r="DP630" s="121"/>
      <c r="DQ630" s="121"/>
      <c r="DR630" s="121"/>
      <c r="DS630" s="121"/>
      <c r="DT630" s="240"/>
      <c r="DU630" s="240"/>
      <c r="DV630" s="240"/>
      <c r="DW630" s="240"/>
      <c r="DX630" s="240"/>
      <c r="DY630" s="240"/>
      <c r="DZ630" s="240"/>
      <c r="EA630" s="240"/>
      <c r="EB630" s="237">
        <f t="shared" si="72"/>
        <v>0</v>
      </c>
      <c r="EC630" s="237">
        <f t="shared" si="73"/>
        <v>0</v>
      </c>
      <c r="ED630" s="237">
        <f t="shared" si="74"/>
        <v>0</v>
      </c>
      <c r="EE630" s="237">
        <f t="shared" si="75"/>
        <v>0</v>
      </c>
      <c r="EF630" s="121"/>
      <c r="EG630" s="238">
        <f t="shared" si="76"/>
        <v>0</v>
      </c>
      <c r="EH630" s="121"/>
      <c r="EI630" s="237">
        <f t="shared" si="77"/>
        <v>0</v>
      </c>
      <c r="EJ630" s="121"/>
      <c r="EK630" s="237">
        <f t="shared" si="78"/>
        <v>0</v>
      </c>
      <c r="EL630" s="237"/>
      <c r="EM630" s="5"/>
      <c r="EN630" s="5"/>
      <c r="EO630" s="5"/>
      <c r="EP630" s="5"/>
      <c r="EQ630" s="237">
        <f t="shared" si="79"/>
        <v>0</v>
      </c>
      <c r="ER630" s="239">
        <v>23300</v>
      </c>
      <c r="ES630" s="5">
        <v>7.5</v>
      </c>
    </row>
    <row r="631" spans="1:149" x14ac:dyDescent="0.3">
      <c r="A631" s="124"/>
      <c r="B631" s="121"/>
      <c r="C631" s="121"/>
      <c r="D631" s="121"/>
      <c r="E631" s="121"/>
      <c r="F631" s="121"/>
      <c r="G631" s="121"/>
      <c r="H631" s="121"/>
      <c r="I631" s="121"/>
      <c r="J631" s="121"/>
      <c r="K631" s="121"/>
      <c r="L631" s="121"/>
      <c r="M631" s="121"/>
      <c r="N631" s="121"/>
      <c r="O631" s="235"/>
      <c r="P631" s="121"/>
      <c r="Q631" s="121"/>
      <c r="R631" s="121"/>
      <c r="S631" s="121"/>
      <c r="T631" s="121"/>
      <c r="U631" s="121"/>
      <c r="V631" s="121"/>
      <c r="W631" s="121"/>
      <c r="X631" s="117"/>
      <c r="Y631" s="117"/>
      <c r="Z631" s="121"/>
      <c r="AA631" s="121"/>
      <c r="AB631" s="121"/>
      <c r="AC631" s="121"/>
      <c r="AD631" s="121"/>
      <c r="AE631" s="121"/>
      <c r="AF631" s="121"/>
      <c r="AG631" s="121"/>
      <c r="AH631" s="121"/>
      <c r="AI631" s="121"/>
      <c r="AJ631" s="121"/>
      <c r="AK631" s="121"/>
      <c r="AL631" s="121"/>
      <c r="AM631" s="121"/>
      <c r="AN631" s="121"/>
      <c r="AO631" s="121"/>
      <c r="AP631" s="121"/>
      <c r="AQ631" s="121"/>
      <c r="AR631" s="121"/>
      <c r="AS631" s="121"/>
      <c r="AT631" s="121"/>
      <c r="AU631" s="121"/>
      <c r="AV631" s="121"/>
      <c r="AW631" s="121"/>
      <c r="AX631" s="121"/>
      <c r="AY631" s="121"/>
      <c r="AZ631" s="121"/>
      <c r="BA631" s="121"/>
      <c r="BB631" s="121"/>
      <c r="BC631" s="121"/>
      <c r="BD631" s="121"/>
      <c r="BE631" s="121"/>
      <c r="BF631" s="121"/>
      <c r="BG631" s="121"/>
      <c r="BH631" s="121"/>
      <c r="BI631" s="121"/>
      <c r="BJ631" s="121"/>
      <c r="BK631" s="121"/>
      <c r="BL631" s="121"/>
      <c r="BM631" s="121"/>
      <c r="BN631" s="121"/>
      <c r="BO631" s="121"/>
      <c r="BP631" s="121"/>
      <c r="BQ631" s="121"/>
      <c r="BR631" s="121"/>
      <c r="BS631" s="121"/>
      <c r="BT631" s="121"/>
      <c r="BU631" s="121"/>
      <c r="BV631" s="121"/>
      <c r="BW631" s="121"/>
      <c r="BX631" s="121"/>
      <c r="BY631" s="121"/>
      <c r="BZ631" s="121"/>
      <c r="CA631" s="121"/>
      <c r="CB631" s="121"/>
      <c r="CC631" s="121"/>
      <c r="CD631" s="121"/>
      <c r="CE631" s="121"/>
      <c r="CF631" s="121"/>
      <c r="CG631" s="121"/>
      <c r="CH631" s="121"/>
      <c r="CI631" s="121"/>
      <c r="CJ631" s="121"/>
      <c r="CK631" s="121"/>
      <c r="CL631" s="121"/>
      <c r="CM631" s="121"/>
      <c r="CN631" s="121"/>
      <c r="CO631" s="121"/>
      <c r="CP631" s="121"/>
      <c r="CQ631" s="121"/>
      <c r="CR631" s="121"/>
      <c r="CS631" s="121"/>
      <c r="CT631" s="121"/>
      <c r="CU631" s="121"/>
      <c r="CV631" s="121"/>
      <c r="CW631" s="121"/>
      <c r="CX631" s="121"/>
      <c r="CY631" s="121"/>
      <c r="CZ631" s="121"/>
      <c r="DA631" s="121"/>
      <c r="DB631" s="121"/>
      <c r="DC631" s="121"/>
      <c r="DD631" s="121"/>
      <c r="DE631" s="121"/>
      <c r="DF631" s="121"/>
      <c r="DG631" s="121"/>
      <c r="DH631" s="121"/>
      <c r="DI631" s="121"/>
      <c r="DJ631" s="121"/>
      <c r="DK631" s="121"/>
      <c r="DL631" s="121"/>
      <c r="DM631" s="121"/>
      <c r="DN631" s="121"/>
      <c r="DO631" s="121"/>
      <c r="DP631" s="121"/>
      <c r="DQ631" s="121"/>
      <c r="DR631" s="121"/>
      <c r="DS631" s="121"/>
      <c r="DT631" s="240"/>
      <c r="DU631" s="240"/>
      <c r="DV631" s="240"/>
      <c r="DW631" s="240"/>
      <c r="DX631" s="240"/>
      <c r="DY631" s="240"/>
      <c r="DZ631" s="240"/>
      <c r="EA631" s="240"/>
      <c r="EB631" s="237">
        <f t="shared" si="72"/>
        <v>0</v>
      </c>
      <c r="EC631" s="237">
        <f t="shared" si="73"/>
        <v>0</v>
      </c>
      <c r="ED631" s="237">
        <f t="shared" si="74"/>
        <v>0</v>
      </c>
      <c r="EE631" s="237">
        <f t="shared" si="75"/>
        <v>0</v>
      </c>
      <c r="EF631" s="121"/>
      <c r="EG631" s="238">
        <f t="shared" si="76"/>
        <v>0</v>
      </c>
      <c r="EH631" s="121"/>
      <c r="EI631" s="237">
        <f t="shared" si="77"/>
        <v>0</v>
      </c>
      <c r="EJ631" s="121"/>
      <c r="EK631" s="237">
        <f t="shared" si="78"/>
        <v>0</v>
      </c>
      <c r="EL631" s="237"/>
      <c r="EM631" s="5"/>
      <c r="EN631" s="5"/>
      <c r="EO631" s="5"/>
      <c r="EP631" s="5"/>
      <c r="EQ631" s="237">
        <f t="shared" si="79"/>
        <v>0</v>
      </c>
      <c r="ER631" s="239">
        <v>23300</v>
      </c>
      <c r="ES631" s="5">
        <v>7.5</v>
      </c>
    </row>
    <row r="632" spans="1:149" x14ac:dyDescent="0.3">
      <c r="A632" s="124"/>
      <c r="B632" s="121"/>
      <c r="C632" s="121"/>
      <c r="D632" s="121"/>
      <c r="E632" s="121"/>
      <c r="F632" s="121"/>
      <c r="G632" s="121"/>
      <c r="H632" s="121"/>
      <c r="I632" s="121"/>
      <c r="J632" s="121"/>
      <c r="K632" s="121"/>
      <c r="L632" s="121"/>
      <c r="M632" s="121"/>
      <c r="N632" s="121"/>
      <c r="O632" s="235"/>
      <c r="P632" s="121"/>
      <c r="Q632" s="121"/>
      <c r="R632" s="121"/>
      <c r="S632" s="121"/>
      <c r="T632" s="121"/>
      <c r="U632" s="121"/>
      <c r="V632" s="121"/>
      <c r="W632" s="121"/>
      <c r="X632" s="117"/>
      <c r="Y632" s="117"/>
      <c r="Z632" s="121"/>
      <c r="AA632" s="121"/>
      <c r="AB632" s="121"/>
      <c r="AC632" s="121"/>
      <c r="AD632" s="121"/>
      <c r="AE632" s="121"/>
      <c r="AF632" s="121"/>
      <c r="AG632" s="121"/>
      <c r="AH632" s="121"/>
      <c r="AI632" s="121"/>
      <c r="AJ632" s="121"/>
      <c r="AK632" s="121"/>
      <c r="AL632" s="121"/>
      <c r="AM632" s="121"/>
      <c r="AN632" s="121"/>
      <c r="AO632" s="121"/>
      <c r="AP632" s="121"/>
      <c r="AQ632" s="121"/>
      <c r="AR632" s="121"/>
      <c r="AS632" s="121"/>
      <c r="AT632" s="121"/>
      <c r="AU632" s="121"/>
      <c r="AV632" s="121"/>
      <c r="AW632" s="121"/>
      <c r="AX632" s="121"/>
      <c r="AY632" s="121"/>
      <c r="AZ632" s="121"/>
      <c r="BA632" s="121"/>
      <c r="BB632" s="121"/>
      <c r="BC632" s="121"/>
      <c r="BD632" s="121"/>
      <c r="BE632" s="121"/>
      <c r="BF632" s="121"/>
      <c r="BG632" s="121"/>
      <c r="BH632" s="121"/>
      <c r="BI632" s="121"/>
      <c r="BJ632" s="121"/>
      <c r="BK632" s="121"/>
      <c r="BL632" s="121"/>
      <c r="BM632" s="121"/>
      <c r="BN632" s="121"/>
      <c r="BO632" s="121"/>
      <c r="BP632" s="121"/>
      <c r="BQ632" s="121"/>
      <c r="BR632" s="121"/>
      <c r="BS632" s="121"/>
      <c r="BT632" s="121"/>
      <c r="BU632" s="121"/>
      <c r="BV632" s="121"/>
      <c r="BW632" s="121"/>
      <c r="BX632" s="121"/>
      <c r="BY632" s="121"/>
      <c r="BZ632" s="121"/>
      <c r="CA632" s="121"/>
      <c r="CB632" s="121"/>
      <c r="CC632" s="121"/>
      <c r="CD632" s="121"/>
      <c r="CE632" s="121"/>
      <c r="CF632" s="121"/>
      <c r="CG632" s="121"/>
      <c r="CH632" s="121"/>
      <c r="CI632" s="121"/>
      <c r="CJ632" s="121"/>
      <c r="CK632" s="121"/>
      <c r="CL632" s="121"/>
      <c r="CM632" s="121"/>
      <c r="CN632" s="121"/>
      <c r="CO632" s="121"/>
      <c r="CP632" s="121"/>
      <c r="CQ632" s="121"/>
      <c r="CR632" s="121"/>
      <c r="CS632" s="121"/>
      <c r="CT632" s="121"/>
      <c r="CU632" s="121"/>
      <c r="CV632" s="121"/>
      <c r="CW632" s="121"/>
      <c r="CX632" s="121"/>
      <c r="CY632" s="121"/>
      <c r="CZ632" s="121"/>
      <c r="DA632" s="121"/>
      <c r="DB632" s="121"/>
      <c r="DC632" s="121"/>
      <c r="DD632" s="121"/>
      <c r="DE632" s="121"/>
      <c r="DF632" s="121"/>
      <c r="DG632" s="121"/>
      <c r="DH632" s="121"/>
      <c r="DI632" s="121"/>
      <c r="DJ632" s="121"/>
      <c r="DK632" s="121"/>
      <c r="DL632" s="121"/>
      <c r="DM632" s="121"/>
      <c r="DN632" s="121"/>
      <c r="DO632" s="121"/>
      <c r="DP632" s="121"/>
      <c r="DQ632" s="121"/>
      <c r="DR632" s="121"/>
      <c r="DS632" s="121"/>
      <c r="DT632" s="240"/>
      <c r="DU632" s="240"/>
      <c r="DV632" s="240"/>
      <c r="DW632" s="240"/>
      <c r="DX632" s="240"/>
      <c r="DY632" s="240"/>
      <c r="DZ632" s="240"/>
      <c r="EA632" s="240"/>
      <c r="EB632" s="237">
        <f t="shared" si="72"/>
        <v>0</v>
      </c>
      <c r="EC632" s="237">
        <f t="shared" si="73"/>
        <v>0</v>
      </c>
      <c r="ED632" s="237">
        <f t="shared" si="74"/>
        <v>0</v>
      </c>
      <c r="EE632" s="237">
        <f t="shared" si="75"/>
        <v>0</v>
      </c>
      <c r="EF632" s="121"/>
      <c r="EG632" s="238">
        <f t="shared" si="76"/>
        <v>0</v>
      </c>
      <c r="EH632" s="121"/>
      <c r="EI632" s="237">
        <f t="shared" si="77"/>
        <v>0</v>
      </c>
      <c r="EJ632" s="121"/>
      <c r="EK632" s="237">
        <f t="shared" si="78"/>
        <v>0</v>
      </c>
      <c r="EL632" s="237"/>
      <c r="EM632" s="5"/>
      <c r="EN632" s="5"/>
      <c r="EO632" s="5"/>
      <c r="EP632" s="5"/>
      <c r="EQ632" s="237">
        <f t="shared" si="79"/>
        <v>0</v>
      </c>
      <c r="ER632" s="239">
        <v>23300</v>
      </c>
      <c r="ES632" s="5">
        <v>7.5</v>
      </c>
    </row>
    <row r="633" spans="1:149" x14ac:dyDescent="0.3">
      <c r="A633" s="124"/>
      <c r="B633" s="121"/>
      <c r="C633" s="121"/>
      <c r="D633" s="121"/>
      <c r="E633" s="121"/>
      <c r="F633" s="121"/>
      <c r="G633" s="121"/>
      <c r="H633" s="121"/>
      <c r="I633" s="121"/>
      <c r="J633" s="121"/>
      <c r="K633" s="121"/>
      <c r="L633" s="121"/>
      <c r="M633" s="121"/>
      <c r="N633" s="121"/>
      <c r="O633" s="235"/>
      <c r="P633" s="121"/>
      <c r="Q633" s="121"/>
      <c r="R633" s="121"/>
      <c r="S633" s="121"/>
      <c r="T633" s="121"/>
      <c r="U633" s="121"/>
      <c r="V633" s="121"/>
      <c r="W633" s="121"/>
      <c r="X633" s="117"/>
      <c r="Y633" s="117"/>
      <c r="Z633" s="121"/>
      <c r="AA633" s="121"/>
      <c r="AB633" s="121"/>
      <c r="AC633" s="121"/>
      <c r="AD633" s="121"/>
      <c r="AE633" s="121"/>
      <c r="AF633" s="121"/>
      <c r="AG633" s="121"/>
      <c r="AH633" s="121"/>
      <c r="AI633" s="121"/>
      <c r="AJ633" s="121"/>
      <c r="AK633" s="121"/>
      <c r="AL633" s="121"/>
      <c r="AM633" s="121"/>
      <c r="AN633" s="121"/>
      <c r="AO633" s="121"/>
      <c r="AP633" s="121"/>
      <c r="AQ633" s="121"/>
      <c r="AR633" s="121"/>
      <c r="AS633" s="121"/>
      <c r="AT633" s="121"/>
      <c r="AU633" s="121"/>
      <c r="AV633" s="121"/>
      <c r="AW633" s="121"/>
      <c r="AX633" s="121"/>
      <c r="AY633" s="121"/>
      <c r="AZ633" s="121"/>
      <c r="BA633" s="121"/>
      <c r="BB633" s="121"/>
      <c r="BC633" s="121"/>
      <c r="BD633" s="121"/>
      <c r="BE633" s="121"/>
      <c r="BF633" s="121"/>
      <c r="BG633" s="121"/>
      <c r="BH633" s="121"/>
      <c r="BI633" s="121"/>
      <c r="BJ633" s="121"/>
      <c r="BK633" s="121"/>
      <c r="BL633" s="121"/>
      <c r="BM633" s="121"/>
      <c r="BN633" s="121"/>
      <c r="BO633" s="121"/>
      <c r="BP633" s="121"/>
      <c r="BQ633" s="121"/>
      <c r="BR633" s="121"/>
      <c r="BS633" s="121"/>
      <c r="BT633" s="121"/>
      <c r="BU633" s="121"/>
      <c r="BV633" s="121"/>
      <c r="BW633" s="121"/>
      <c r="BX633" s="121"/>
      <c r="BY633" s="121"/>
      <c r="BZ633" s="121"/>
      <c r="CA633" s="121"/>
      <c r="CB633" s="121"/>
      <c r="CC633" s="121"/>
      <c r="CD633" s="121"/>
      <c r="CE633" s="121"/>
      <c r="CF633" s="121"/>
      <c r="CG633" s="121"/>
      <c r="CH633" s="121"/>
      <c r="CI633" s="121"/>
      <c r="CJ633" s="121"/>
      <c r="CK633" s="121"/>
      <c r="CL633" s="121"/>
      <c r="CM633" s="121"/>
      <c r="CN633" s="121"/>
      <c r="CO633" s="121"/>
      <c r="CP633" s="121"/>
      <c r="CQ633" s="121"/>
      <c r="CR633" s="121"/>
      <c r="CS633" s="121"/>
      <c r="CT633" s="121"/>
      <c r="CU633" s="121"/>
      <c r="CV633" s="121"/>
      <c r="CW633" s="121"/>
      <c r="CX633" s="121"/>
      <c r="CY633" s="121"/>
      <c r="CZ633" s="121"/>
      <c r="DA633" s="121"/>
      <c r="DB633" s="121"/>
      <c r="DC633" s="121"/>
      <c r="DD633" s="121"/>
      <c r="DE633" s="121"/>
      <c r="DF633" s="121"/>
      <c r="DG633" s="121"/>
      <c r="DH633" s="121"/>
      <c r="DI633" s="121"/>
      <c r="DJ633" s="121"/>
      <c r="DK633" s="121"/>
      <c r="DL633" s="121"/>
      <c r="DM633" s="121"/>
      <c r="DN633" s="121"/>
      <c r="DO633" s="121"/>
      <c r="DP633" s="121"/>
      <c r="DQ633" s="121"/>
      <c r="DR633" s="121"/>
      <c r="DS633" s="121"/>
      <c r="DT633" s="240"/>
      <c r="DU633" s="240"/>
      <c r="DV633" s="240"/>
      <c r="DW633" s="240"/>
      <c r="DX633" s="240"/>
      <c r="DY633" s="240"/>
      <c r="DZ633" s="240"/>
      <c r="EA633" s="240"/>
      <c r="EB633" s="237">
        <f t="shared" si="72"/>
        <v>0</v>
      </c>
      <c r="EC633" s="237">
        <f t="shared" si="73"/>
        <v>0</v>
      </c>
      <c r="ED633" s="237">
        <f t="shared" si="74"/>
        <v>0</v>
      </c>
      <c r="EE633" s="237">
        <f t="shared" si="75"/>
        <v>0</v>
      </c>
      <c r="EF633" s="121"/>
      <c r="EG633" s="238">
        <f t="shared" si="76"/>
        <v>0</v>
      </c>
      <c r="EH633" s="121"/>
      <c r="EI633" s="237">
        <f t="shared" si="77"/>
        <v>0</v>
      </c>
      <c r="EJ633" s="121"/>
      <c r="EK633" s="237">
        <f t="shared" si="78"/>
        <v>0</v>
      </c>
      <c r="EL633" s="237"/>
      <c r="EM633" s="5"/>
      <c r="EN633" s="5"/>
      <c r="EO633" s="5"/>
      <c r="EP633" s="5"/>
      <c r="EQ633" s="237">
        <f t="shared" si="79"/>
        <v>0</v>
      </c>
      <c r="ER633" s="239">
        <v>23300</v>
      </c>
      <c r="ES633" s="5">
        <v>7.5</v>
      </c>
    </row>
    <row r="634" spans="1:149" x14ac:dyDescent="0.3">
      <c r="A634" s="124"/>
      <c r="B634" s="121"/>
      <c r="C634" s="121"/>
      <c r="D634" s="121"/>
      <c r="E634" s="121"/>
      <c r="F634" s="121"/>
      <c r="G634" s="121"/>
      <c r="H634" s="121"/>
      <c r="I634" s="121"/>
      <c r="J634" s="121"/>
      <c r="K634" s="121"/>
      <c r="L634" s="121"/>
      <c r="M634" s="121"/>
      <c r="N634" s="121"/>
      <c r="O634" s="235"/>
      <c r="P634" s="121"/>
      <c r="Q634" s="121"/>
      <c r="R634" s="121"/>
      <c r="S634" s="121"/>
      <c r="T634" s="121"/>
      <c r="U634" s="121"/>
      <c r="V634" s="121"/>
      <c r="W634" s="121"/>
      <c r="X634" s="117"/>
      <c r="Y634" s="117"/>
      <c r="Z634" s="121"/>
      <c r="AA634" s="121"/>
      <c r="AB634" s="121"/>
      <c r="AC634" s="121"/>
      <c r="AD634" s="121"/>
      <c r="AE634" s="121"/>
      <c r="AF634" s="121"/>
      <c r="AG634" s="121"/>
      <c r="AH634" s="121"/>
      <c r="AI634" s="121"/>
      <c r="AJ634" s="121"/>
      <c r="AK634" s="121"/>
      <c r="AL634" s="121"/>
      <c r="AM634" s="121"/>
      <c r="AN634" s="121"/>
      <c r="AO634" s="121"/>
      <c r="AP634" s="121"/>
      <c r="AQ634" s="121"/>
      <c r="AR634" s="121"/>
      <c r="AS634" s="121"/>
      <c r="AT634" s="121"/>
      <c r="AU634" s="121"/>
      <c r="AV634" s="121"/>
      <c r="AW634" s="121"/>
      <c r="AX634" s="121"/>
      <c r="AY634" s="121"/>
      <c r="AZ634" s="121"/>
      <c r="BA634" s="121"/>
      <c r="BB634" s="121"/>
      <c r="BC634" s="121"/>
      <c r="BD634" s="121"/>
      <c r="BE634" s="121"/>
      <c r="BF634" s="121"/>
      <c r="BG634" s="121"/>
      <c r="BH634" s="121"/>
      <c r="BI634" s="121"/>
      <c r="BJ634" s="121"/>
      <c r="BK634" s="121"/>
      <c r="BL634" s="121"/>
      <c r="BM634" s="121"/>
      <c r="BN634" s="121"/>
      <c r="BO634" s="121"/>
      <c r="BP634" s="121"/>
      <c r="BQ634" s="121"/>
      <c r="BR634" s="121"/>
      <c r="BS634" s="121"/>
      <c r="BT634" s="121"/>
      <c r="BU634" s="121"/>
      <c r="BV634" s="121"/>
      <c r="BW634" s="121"/>
      <c r="BX634" s="121"/>
      <c r="BY634" s="121"/>
      <c r="BZ634" s="121"/>
      <c r="CA634" s="121"/>
      <c r="CB634" s="121"/>
      <c r="CC634" s="121"/>
      <c r="CD634" s="121"/>
      <c r="CE634" s="121"/>
      <c r="CF634" s="121"/>
      <c r="CG634" s="121"/>
      <c r="CH634" s="121"/>
      <c r="CI634" s="121"/>
      <c r="CJ634" s="121"/>
      <c r="CK634" s="121"/>
      <c r="CL634" s="121"/>
      <c r="CM634" s="121"/>
      <c r="CN634" s="121"/>
      <c r="CO634" s="121"/>
      <c r="CP634" s="121"/>
      <c r="CQ634" s="121"/>
      <c r="CR634" s="121"/>
      <c r="CS634" s="121"/>
      <c r="CT634" s="121"/>
      <c r="CU634" s="121"/>
      <c r="CV634" s="121"/>
      <c r="CW634" s="121"/>
      <c r="CX634" s="121"/>
      <c r="CY634" s="121"/>
      <c r="CZ634" s="121"/>
      <c r="DA634" s="121"/>
      <c r="DB634" s="121"/>
      <c r="DC634" s="121"/>
      <c r="DD634" s="121"/>
      <c r="DE634" s="121"/>
      <c r="DF634" s="121"/>
      <c r="DG634" s="121"/>
      <c r="DH634" s="121"/>
      <c r="DI634" s="121"/>
      <c r="DJ634" s="121"/>
      <c r="DK634" s="121"/>
      <c r="DL634" s="121"/>
      <c r="DM634" s="121"/>
      <c r="DN634" s="121"/>
      <c r="DO634" s="121"/>
      <c r="DP634" s="121"/>
      <c r="DQ634" s="121"/>
      <c r="DR634" s="121"/>
      <c r="DS634" s="121"/>
      <c r="DT634" s="240"/>
      <c r="DU634" s="240"/>
      <c r="DV634" s="240"/>
      <c r="DW634" s="240"/>
      <c r="DX634" s="240"/>
      <c r="DY634" s="240"/>
      <c r="DZ634" s="240"/>
      <c r="EA634" s="240"/>
      <c r="EB634" s="237">
        <f t="shared" si="72"/>
        <v>0</v>
      </c>
      <c r="EC634" s="237">
        <f t="shared" si="73"/>
        <v>0</v>
      </c>
      <c r="ED634" s="237">
        <f t="shared" si="74"/>
        <v>0</v>
      </c>
      <c r="EE634" s="237">
        <f t="shared" si="75"/>
        <v>0</v>
      </c>
      <c r="EF634" s="121"/>
      <c r="EG634" s="238">
        <f t="shared" si="76"/>
        <v>0</v>
      </c>
      <c r="EH634" s="121"/>
      <c r="EI634" s="237">
        <f t="shared" si="77"/>
        <v>0</v>
      </c>
      <c r="EJ634" s="121"/>
      <c r="EK634" s="237">
        <f t="shared" si="78"/>
        <v>0</v>
      </c>
      <c r="EL634" s="237"/>
      <c r="EM634" s="5"/>
      <c r="EN634" s="5"/>
      <c r="EO634" s="5"/>
      <c r="EP634" s="5"/>
      <c r="EQ634" s="237">
        <f t="shared" si="79"/>
        <v>0</v>
      </c>
      <c r="ER634" s="239">
        <v>23300</v>
      </c>
      <c r="ES634" s="5">
        <v>7.5</v>
      </c>
    </row>
    <row r="635" spans="1:149" x14ac:dyDescent="0.3">
      <c r="A635" s="124"/>
      <c r="B635" s="121"/>
      <c r="C635" s="121"/>
      <c r="D635" s="121"/>
      <c r="E635" s="121"/>
      <c r="F635" s="121"/>
      <c r="G635" s="121"/>
      <c r="H635" s="121"/>
      <c r="I635" s="121"/>
      <c r="J635" s="121"/>
      <c r="K635" s="121"/>
      <c r="L635" s="121"/>
      <c r="M635" s="121"/>
      <c r="N635" s="121"/>
      <c r="O635" s="235"/>
      <c r="P635" s="121"/>
      <c r="Q635" s="121"/>
      <c r="R635" s="121"/>
      <c r="S635" s="121"/>
      <c r="T635" s="121"/>
      <c r="U635" s="121"/>
      <c r="V635" s="121"/>
      <c r="W635" s="121"/>
      <c r="X635" s="117"/>
      <c r="Y635" s="117"/>
      <c r="Z635" s="121"/>
      <c r="AA635" s="121"/>
      <c r="AB635" s="121"/>
      <c r="AC635" s="121"/>
      <c r="AD635" s="121"/>
      <c r="AE635" s="121"/>
      <c r="AF635" s="121"/>
      <c r="AG635" s="121"/>
      <c r="AH635" s="121"/>
      <c r="AI635" s="121"/>
      <c r="AJ635" s="121"/>
      <c r="AK635" s="121"/>
      <c r="AL635" s="121"/>
      <c r="AM635" s="121"/>
      <c r="AN635" s="121"/>
      <c r="AO635" s="121"/>
      <c r="AP635" s="121"/>
      <c r="AQ635" s="121"/>
      <c r="AR635" s="121"/>
      <c r="AS635" s="121"/>
      <c r="AT635" s="121"/>
      <c r="AU635" s="121"/>
      <c r="AV635" s="121"/>
      <c r="AW635" s="121"/>
      <c r="AX635" s="121"/>
      <c r="AY635" s="121"/>
      <c r="AZ635" s="121"/>
      <c r="BA635" s="121"/>
      <c r="BB635" s="121"/>
      <c r="BC635" s="121"/>
      <c r="BD635" s="121"/>
      <c r="BE635" s="121"/>
      <c r="BF635" s="121"/>
      <c r="BG635" s="121"/>
      <c r="BH635" s="121"/>
      <c r="BI635" s="121"/>
      <c r="BJ635" s="121"/>
      <c r="BK635" s="121"/>
      <c r="BL635" s="121"/>
      <c r="BM635" s="121"/>
      <c r="BN635" s="121"/>
      <c r="BO635" s="121"/>
      <c r="BP635" s="121"/>
      <c r="BQ635" s="121"/>
      <c r="BR635" s="121"/>
      <c r="BS635" s="121"/>
      <c r="BT635" s="121"/>
      <c r="BU635" s="121"/>
      <c r="BV635" s="121"/>
      <c r="BW635" s="121"/>
      <c r="BX635" s="121"/>
      <c r="BY635" s="121"/>
      <c r="BZ635" s="121"/>
      <c r="CA635" s="121"/>
      <c r="CB635" s="121"/>
      <c r="CC635" s="121"/>
      <c r="CD635" s="121"/>
      <c r="CE635" s="121"/>
      <c r="CF635" s="121"/>
      <c r="CG635" s="121"/>
      <c r="CH635" s="121"/>
      <c r="CI635" s="121"/>
      <c r="CJ635" s="121"/>
      <c r="CK635" s="121"/>
      <c r="CL635" s="121"/>
      <c r="CM635" s="121"/>
      <c r="CN635" s="121"/>
      <c r="CO635" s="121"/>
      <c r="CP635" s="121"/>
      <c r="CQ635" s="121"/>
      <c r="CR635" s="121"/>
      <c r="CS635" s="121"/>
      <c r="CT635" s="121"/>
      <c r="CU635" s="121"/>
      <c r="CV635" s="121"/>
      <c r="CW635" s="121"/>
      <c r="CX635" s="121"/>
      <c r="CY635" s="121"/>
      <c r="CZ635" s="121"/>
      <c r="DA635" s="121"/>
      <c r="DB635" s="121"/>
      <c r="DC635" s="121"/>
      <c r="DD635" s="121"/>
      <c r="DE635" s="121"/>
      <c r="DF635" s="121"/>
      <c r="DG635" s="121"/>
      <c r="DH635" s="121"/>
      <c r="DI635" s="121"/>
      <c r="DJ635" s="121"/>
      <c r="DK635" s="121"/>
      <c r="DL635" s="121"/>
      <c r="DM635" s="121"/>
      <c r="DN635" s="121"/>
      <c r="DO635" s="121"/>
      <c r="DP635" s="121"/>
      <c r="DQ635" s="121"/>
      <c r="DR635" s="121"/>
      <c r="DS635" s="121"/>
      <c r="DT635" s="240"/>
      <c r="DU635" s="240"/>
      <c r="DV635" s="240"/>
      <c r="DW635" s="240"/>
      <c r="DX635" s="240"/>
      <c r="DY635" s="240"/>
      <c r="DZ635" s="240"/>
      <c r="EA635" s="240"/>
      <c r="EB635" s="237">
        <f t="shared" si="72"/>
        <v>0</v>
      </c>
      <c r="EC635" s="237">
        <f t="shared" si="73"/>
        <v>0</v>
      </c>
      <c r="ED635" s="237">
        <f t="shared" si="74"/>
        <v>0</v>
      </c>
      <c r="EE635" s="237">
        <f t="shared" si="75"/>
        <v>0</v>
      </c>
      <c r="EF635" s="121"/>
      <c r="EG635" s="238">
        <f t="shared" si="76"/>
        <v>0</v>
      </c>
      <c r="EH635" s="121"/>
      <c r="EI635" s="237">
        <f t="shared" si="77"/>
        <v>0</v>
      </c>
      <c r="EJ635" s="121"/>
      <c r="EK635" s="237">
        <f t="shared" si="78"/>
        <v>0</v>
      </c>
      <c r="EL635" s="237"/>
      <c r="EM635" s="5"/>
      <c r="EN635" s="5"/>
      <c r="EO635" s="5"/>
      <c r="EP635" s="5"/>
      <c r="EQ635" s="237">
        <f t="shared" si="79"/>
        <v>0</v>
      </c>
      <c r="ER635" s="239">
        <v>23300</v>
      </c>
      <c r="ES635" s="5">
        <v>7.5</v>
      </c>
    </row>
    <row r="636" spans="1:149" x14ac:dyDescent="0.3">
      <c r="A636" s="124"/>
      <c r="B636" s="121"/>
      <c r="C636" s="121"/>
      <c r="D636" s="121"/>
      <c r="E636" s="121"/>
      <c r="F636" s="121"/>
      <c r="G636" s="121"/>
      <c r="H636" s="121"/>
      <c r="I636" s="121"/>
      <c r="J636" s="121"/>
      <c r="K636" s="121"/>
      <c r="L636" s="121"/>
      <c r="M636" s="121"/>
      <c r="N636" s="121"/>
      <c r="O636" s="235"/>
      <c r="P636" s="121"/>
      <c r="Q636" s="121"/>
      <c r="R636" s="121"/>
      <c r="S636" s="121"/>
      <c r="T636" s="121"/>
      <c r="U636" s="121"/>
      <c r="V636" s="121"/>
      <c r="W636" s="121"/>
      <c r="X636" s="117"/>
      <c r="Y636" s="117"/>
      <c r="Z636" s="121"/>
      <c r="AA636" s="121"/>
      <c r="AB636" s="121"/>
      <c r="AC636" s="121"/>
      <c r="AD636" s="121"/>
      <c r="AE636" s="121"/>
      <c r="AF636" s="121"/>
      <c r="AG636" s="121"/>
      <c r="AH636" s="121"/>
      <c r="AI636" s="121"/>
      <c r="AJ636" s="121"/>
      <c r="AK636" s="121"/>
      <c r="AL636" s="121"/>
      <c r="AM636" s="121"/>
      <c r="AN636" s="121"/>
      <c r="AO636" s="121"/>
      <c r="AP636" s="121"/>
      <c r="AQ636" s="121"/>
      <c r="AR636" s="121"/>
      <c r="AS636" s="121"/>
      <c r="AT636" s="121"/>
      <c r="AU636" s="121"/>
      <c r="AV636" s="121"/>
      <c r="AW636" s="121"/>
      <c r="AX636" s="121"/>
      <c r="AY636" s="121"/>
      <c r="AZ636" s="121"/>
      <c r="BA636" s="121"/>
      <c r="BB636" s="121"/>
      <c r="BC636" s="121"/>
      <c r="BD636" s="121"/>
      <c r="BE636" s="121"/>
      <c r="BF636" s="121"/>
      <c r="BG636" s="121"/>
      <c r="BH636" s="121"/>
      <c r="BI636" s="121"/>
      <c r="BJ636" s="121"/>
      <c r="BK636" s="121"/>
      <c r="BL636" s="121"/>
      <c r="BM636" s="121"/>
      <c r="BN636" s="121"/>
      <c r="BO636" s="121"/>
      <c r="BP636" s="121"/>
      <c r="BQ636" s="121"/>
      <c r="BR636" s="121"/>
      <c r="BS636" s="121"/>
      <c r="BT636" s="121"/>
      <c r="BU636" s="121"/>
      <c r="BV636" s="121"/>
      <c r="BW636" s="121"/>
      <c r="BX636" s="121"/>
      <c r="BY636" s="121"/>
      <c r="BZ636" s="121"/>
      <c r="CA636" s="121"/>
      <c r="CB636" s="121"/>
      <c r="CC636" s="121"/>
      <c r="CD636" s="121"/>
      <c r="CE636" s="121"/>
      <c r="CF636" s="121"/>
      <c r="CG636" s="121"/>
      <c r="CH636" s="121"/>
      <c r="CI636" s="121"/>
      <c r="CJ636" s="121"/>
      <c r="CK636" s="121"/>
      <c r="CL636" s="121"/>
      <c r="CM636" s="121"/>
      <c r="CN636" s="121"/>
      <c r="CO636" s="121"/>
      <c r="CP636" s="121"/>
      <c r="CQ636" s="121"/>
      <c r="CR636" s="121"/>
      <c r="CS636" s="121"/>
      <c r="CT636" s="121"/>
      <c r="CU636" s="121"/>
      <c r="CV636" s="121"/>
      <c r="CW636" s="121"/>
      <c r="CX636" s="121"/>
      <c r="CY636" s="121"/>
      <c r="CZ636" s="121"/>
      <c r="DA636" s="121"/>
      <c r="DB636" s="121"/>
      <c r="DC636" s="121"/>
      <c r="DD636" s="121"/>
      <c r="DE636" s="121"/>
      <c r="DF636" s="121"/>
      <c r="DG636" s="121"/>
      <c r="DH636" s="121"/>
      <c r="DI636" s="121"/>
      <c r="DJ636" s="121"/>
      <c r="DK636" s="121"/>
      <c r="DL636" s="121"/>
      <c r="DM636" s="121"/>
      <c r="DN636" s="121"/>
      <c r="DO636" s="121"/>
      <c r="DP636" s="121"/>
      <c r="DQ636" s="121"/>
      <c r="DR636" s="121"/>
      <c r="DS636" s="121"/>
      <c r="DT636" s="240"/>
      <c r="DU636" s="240"/>
      <c r="DV636" s="240"/>
      <c r="DW636" s="240"/>
      <c r="DX636" s="240"/>
      <c r="DY636" s="240"/>
      <c r="DZ636" s="240"/>
      <c r="EA636" s="240"/>
      <c r="EB636" s="237">
        <f t="shared" si="72"/>
        <v>0</v>
      </c>
      <c r="EC636" s="237">
        <f t="shared" si="73"/>
        <v>0</v>
      </c>
      <c r="ED636" s="237">
        <f t="shared" si="74"/>
        <v>0</v>
      </c>
      <c r="EE636" s="237">
        <f t="shared" si="75"/>
        <v>0</v>
      </c>
      <c r="EF636" s="121"/>
      <c r="EG636" s="238">
        <f t="shared" si="76"/>
        <v>0</v>
      </c>
      <c r="EH636" s="121"/>
      <c r="EI636" s="237">
        <f t="shared" si="77"/>
        <v>0</v>
      </c>
      <c r="EJ636" s="121"/>
      <c r="EK636" s="237">
        <f t="shared" si="78"/>
        <v>0</v>
      </c>
      <c r="EL636" s="237"/>
      <c r="EM636" s="5"/>
      <c r="EN636" s="5"/>
      <c r="EO636" s="5"/>
      <c r="EP636" s="5"/>
      <c r="EQ636" s="237">
        <f t="shared" si="79"/>
        <v>0</v>
      </c>
      <c r="ER636" s="239">
        <v>23300</v>
      </c>
      <c r="ES636" s="5">
        <v>7.5</v>
      </c>
    </row>
    <row r="637" spans="1:149" x14ac:dyDescent="0.3">
      <c r="A637" s="124"/>
      <c r="B637" s="121"/>
      <c r="C637" s="121"/>
      <c r="D637" s="121"/>
      <c r="E637" s="121"/>
      <c r="F637" s="121"/>
      <c r="G637" s="121"/>
      <c r="H637" s="121"/>
      <c r="I637" s="121"/>
      <c r="J637" s="121"/>
      <c r="K637" s="121"/>
      <c r="L637" s="121"/>
      <c r="M637" s="121"/>
      <c r="N637" s="121"/>
      <c r="O637" s="235"/>
      <c r="P637" s="121"/>
      <c r="Q637" s="121"/>
      <c r="R637" s="121"/>
      <c r="S637" s="121"/>
      <c r="T637" s="121"/>
      <c r="U637" s="121"/>
      <c r="V637" s="121"/>
      <c r="W637" s="121"/>
      <c r="X637" s="117"/>
      <c r="Y637" s="117"/>
      <c r="Z637" s="121"/>
      <c r="AA637" s="121"/>
      <c r="AB637" s="121"/>
      <c r="AC637" s="121"/>
      <c r="AD637" s="121"/>
      <c r="AE637" s="121"/>
      <c r="AF637" s="121"/>
      <c r="AG637" s="121"/>
      <c r="AH637" s="121"/>
      <c r="AI637" s="121"/>
      <c r="AJ637" s="121"/>
      <c r="AK637" s="121"/>
      <c r="AL637" s="121"/>
      <c r="AM637" s="121"/>
      <c r="AN637" s="121"/>
      <c r="AO637" s="121"/>
      <c r="AP637" s="121"/>
      <c r="AQ637" s="121"/>
      <c r="AR637" s="121"/>
      <c r="AS637" s="121"/>
      <c r="AT637" s="121"/>
      <c r="AU637" s="121"/>
      <c r="AV637" s="121"/>
      <c r="AW637" s="121"/>
      <c r="AX637" s="121"/>
      <c r="AY637" s="121"/>
      <c r="AZ637" s="121"/>
      <c r="BA637" s="121"/>
      <c r="BB637" s="121"/>
      <c r="BC637" s="121"/>
      <c r="BD637" s="121"/>
      <c r="BE637" s="121"/>
      <c r="BF637" s="121"/>
      <c r="BG637" s="121"/>
      <c r="BH637" s="121"/>
      <c r="BI637" s="121"/>
      <c r="BJ637" s="121"/>
      <c r="BK637" s="121"/>
      <c r="BL637" s="121"/>
      <c r="BM637" s="121"/>
      <c r="BN637" s="121"/>
      <c r="BO637" s="121"/>
      <c r="BP637" s="121"/>
      <c r="BQ637" s="121"/>
      <c r="BR637" s="121"/>
      <c r="BS637" s="121"/>
      <c r="BT637" s="121"/>
      <c r="BU637" s="121"/>
      <c r="BV637" s="121"/>
      <c r="BW637" s="121"/>
      <c r="BX637" s="121"/>
      <c r="BY637" s="121"/>
      <c r="BZ637" s="121"/>
      <c r="CA637" s="121"/>
      <c r="CB637" s="121"/>
      <c r="CC637" s="121"/>
      <c r="CD637" s="121"/>
      <c r="CE637" s="121"/>
      <c r="CF637" s="121"/>
      <c r="CG637" s="121"/>
      <c r="CH637" s="121"/>
      <c r="CI637" s="121"/>
      <c r="CJ637" s="121"/>
      <c r="CK637" s="121"/>
      <c r="CL637" s="121"/>
      <c r="CM637" s="121"/>
      <c r="CN637" s="121"/>
      <c r="CO637" s="121"/>
      <c r="CP637" s="121"/>
      <c r="CQ637" s="121"/>
      <c r="CR637" s="121"/>
      <c r="CS637" s="121"/>
      <c r="CT637" s="121"/>
      <c r="CU637" s="121"/>
      <c r="CV637" s="121"/>
      <c r="CW637" s="121"/>
      <c r="CX637" s="121"/>
      <c r="CY637" s="121"/>
      <c r="CZ637" s="121"/>
      <c r="DA637" s="121"/>
      <c r="DB637" s="121"/>
      <c r="DC637" s="121"/>
      <c r="DD637" s="121"/>
      <c r="DE637" s="121"/>
      <c r="DF637" s="121"/>
      <c r="DG637" s="121"/>
      <c r="DH637" s="121"/>
      <c r="DI637" s="121"/>
      <c r="DJ637" s="121"/>
      <c r="DK637" s="121"/>
      <c r="DL637" s="121"/>
      <c r="DM637" s="121"/>
      <c r="DN637" s="121"/>
      <c r="DO637" s="121"/>
      <c r="DP637" s="121"/>
      <c r="DQ637" s="121"/>
      <c r="DR637" s="121"/>
      <c r="DS637" s="121"/>
      <c r="DT637" s="240"/>
      <c r="DU637" s="240"/>
      <c r="DV637" s="240"/>
      <c r="DW637" s="240"/>
      <c r="DX637" s="240"/>
      <c r="DY637" s="240"/>
      <c r="DZ637" s="240"/>
      <c r="EA637" s="240"/>
      <c r="EB637" s="237">
        <f t="shared" si="72"/>
        <v>0</v>
      </c>
      <c r="EC637" s="237">
        <f t="shared" si="73"/>
        <v>0</v>
      </c>
      <c r="ED637" s="237">
        <f t="shared" si="74"/>
        <v>0</v>
      </c>
      <c r="EE637" s="237">
        <f t="shared" si="75"/>
        <v>0</v>
      </c>
      <c r="EF637" s="121"/>
      <c r="EG637" s="238">
        <f t="shared" si="76"/>
        <v>0</v>
      </c>
      <c r="EH637" s="121"/>
      <c r="EI637" s="237">
        <f t="shared" si="77"/>
        <v>0</v>
      </c>
      <c r="EJ637" s="121"/>
      <c r="EK637" s="237">
        <f t="shared" si="78"/>
        <v>0</v>
      </c>
      <c r="EL637" s="237"/>
      <c r="EM637" s="5"/>
      <c r="EN637" s="5"/>
      <c r="EO637" s="5"/>
      <c r="EP637" s="5"/>
      <c r="EQ637" s="237">
        <f t="shared" si="79"/>
        <v>0</v>
      </c>
      <c r="ER637" s="239">
        <v>23300</v>
      </c>
      <c r="ES637" s="5">
        <v>7.5</v>
      </c>
    </row>
    <row r="638" spans="1:149" x14ac:dyDescent="0.3">
      <c r="A638" s="124"/>
      <c r="B638" s="121"/>
      <c r="C638" s="121"/>
      <c r="D638" s="121"/>
      <c r="E638" s="121"/>
      <c r="F638" s="121"/>
      <c r="G638" s="121"/>
      <c r="H638" s="121"/>
      <c r="I638" s="121"/>
      <c r="J638" s="121"/>
      <c r="K638" s="121"/>
      <c r="L638" s="121"/>
      <c r="M638" s="121"/>
      <c r="N638" s="121"/>
      <c r="O638" s="235"/>
      <c r="P638" s="121"/>
      <c r="Q638" s="121"/>
      <c r="R638" s="121"/>
      <c r="S638" s="121"/>
      <c r="T638" s="121"/>
      <c r="U638" s="121"/>
      <c r="V638" s="121"/>
      <c r="W638" s="121"/>
      <c r="X638" s="117"/>
      <c r="Y638" s="117"/>
      <c r="Z638" s="121"/>
      <c r="AA638" s="121"/>
      <c r="AB638" s="121"/>
      <c r="AC638" s="121"/>
      <c r="AD638" s="121"/>
      <c r="AE638" s="121"/>
      <c r="AF638" s="121"/>
      <c r="AG638" s="121"/>
      <c r="AH638" s="121"/>
      <c r="AI638" s="121"/>
      <c r="AJ638" s="121"/>
      <c r="AK638" s="121"/>
      <c r="AL638" s="121"/>
      <c r="AM638" s="121"/>
      <c r="AN638" s="121"/>
      <c r="AO638" s="121"/>
      <c r="AP638" s="121"/>
      <c r="AQ638" s="121"/>
      <c r="AR638" s="121"/>
      <c r="AS638" s="121"/>
      <c r="AT638" s="121"/>
      <c r="AU638" s="121"/>
      <c r="AV638" s="121"/>
      <c r="AW638" s="121"/>
      <c r="AX638" s="121"/>
      <c r="AY638" s="121"/>
      <c r="AZ638" s="121"/>
      <c r="BA638" s="121"/>
      <c r="BB638" s="121"/>
      <c r="BC638" s="121"/>
      <c r="BD638" s="121"/>
      <c r="BE638" s="121"/>
      <c r="BF638" s="121"/>
      <c r="BG638" s="121"/>
      <c r="BH638" s="121"/>
      <c r="BI638" s="121"/>
      <c r="BJ638" s="121"/>
      <c r="BK638" s="121"/>
      <c r="BL638" s="121"/>
      <c r="BM638" s="121"/>
      <c r="BN638" s="121"/>
      <c r="BO638" s="121"/>
      <c r="BP638" s="121"/>
      <c r="BQ638" s="121"/>
      <c r="BR638" s="121"/>
      <c r="BS638" s="121"/>
      <c r="BT638" s="121"/>
      <c r="BU638" s="121"/>
      <c r="BV638" s="121"/>
      <c r="BW638" s="121"/>
      <c r="BX638" s="121"/>
      <c r="BY638" s="121"/>
      <c r="BZ638" s="121"/>
      <c r="CA638" s="121"/>
      <c r="CB638" s="121"/>
      <c r="CC638" s="121"/>
      <c r="CD638" s="121"/>
      <c r="CE638" s="121"/>
      <c r="CF638" s="121"/>
      <c r="CG638" s="121"/>
      <c r="CH638" s="121"/>
      <c r="CI638" s="121"/>
      <c r="CJ638" s="121"/>
      <c r="CK638" s="121"/>
      <c r="CL638" s="121"/>
      <c r="CM638" s="121"/>
      <c r="CN638" s="121"/>
      <c r="CO638" s="121"/>
      <c r="CP638" s="121"/>
      <c r="CQ638" s="121"/>
      <c r="CR638" s="121"/>
      <c r="CS638" s="121"/>
      <c r="CT638" s="121"/>
      <c r="CU638" s="121"/>
      <c r="CV638" s="121"/>
      <c r="CW638" s="121"/>
      <c r="CX638" s="121"/>
      <c r="CY638" s="121"/>
      <c r="CZ638" s="121"/>
      <c r="DA638" s="121"/>
      <c r="DB638" s="121"/>
      <c r="DC638" s="121"/>
      <c r="DD638" s="121"/>
      <c r="DE638" s="121"/>
      <c r="DF638" s="121"/>
      <c r="DG638" s="121"/>
      <c r="DH638" s="121"/>
      <c r="DI638" s="121"/>
      <c r="DJ638" s="121"/>
      <c r="DK638" s="121"/>
      <c r="DL638" s="121"/>
      <c r="DM638" s="121"/>
      <c r="DN638" s="121"/>
      <c r="DO638" s="121"/>
      <c r="DP638" s="121"/>
      <c r="DQ638" s="121"/>
      <c r="DR638" s="121"/>
      <c r="DS638" s="121"/>
      <c r="DT638" s="240"/>
      <c r="DU638" s="240"/>
      <c r="DV638" s="240"/>
      <c r="DW638" s="240"/>
      <c r="DX638" s="240"/>
      <c r="DY638" s="240"/>
      <c r="DZ638" s="240"/>
      <c r="EA638" s="240"/>
      <c r="EB638" s="237">
        <f t="shared" si="72"/>
        <v>0</v>
      </c>
      <c r="EC638" s="237">
        <f t="shared" si="73"/>
        <v>0</v>
      </c>
      <c r="ED638" s="237">
        <f t="shared" si="74"/>
        <v>0</v>
      </c>
      <c r="EE638" s="237">
        <f t="shared" si="75"/>
        <v>0</v>
      </c>
      <c r="EF638" s="121"/>
      <c r="EG638" s="238">
        <f t="shared" si="76"/>
        <v>0</v>
      </c>
      <c r="EH638" s="121"/>
      <c r="EI638" s="237">
        <f t="shared" si="77"/>
        <v>0</v>
      </c>
      <c r="EJ638" s="121"/>
      <c r="EK638" s="237">
        <f t="shared" si="78"/>
        <v>0</v>
      </c>
      <c r="EL638" s="237"/>
      <c r="EM638" s="5"/>
      <c r="EN638" s="5"/>
      <c r="EO638" s="5"/>
      <c r="EP638" s="5"/>
      <c r="EQ638" s="237">
        <f t="shared" si="79"/>
        <v>0</v>
      </c>
      <c r="ER638" s="239">
        <v>23300</v>
      </c>
      <c r="ES638" s="5">
        <v>7.5</v>
      </c>
    </row>
    <row r="639" spans="1:149" x14ac:dyDescent="0.3">
      <c r="A639" s="124"/>
      <c r="B639" s="121"/>
      <c r="C639" s="121"/>
      <c r="D639" s="121"/>
      <c r="E639" s="121"/>
      <c r="F639" s="121"/>
      <c r="G639" s="121"/>
      <c r="H639" s="121"/>
      <c r="I639" s="121"/>
      <c r="J639" s="121"/>
      <c r="K639" s="121"/>
      <c r="L639" s="121"/>
      <c r="M639" s="121"/>
      <c r="N639" s="121"/>
      <c r="O639" s="235"/>
      <c r="P639" s="121"/>
      <c r="Q639" s="121"/>
      <c r="R639" s="121"/>
      <c r="S639" s="121"/>
      <c r="T639" s="121"/>
      <c r="U639" s="121"/>
      <c r="V639" s="121"/>
      <c r="W639" s="121"/>
      <c r="X639" s="117"/>
      <c r="Y639" s="117"/>
      <c r="Z639" s="121"/>
      <c r="AA639" s="121"/>
      <c r="AB639" s="121"/>
      <c r="AC639" s="121"/>
      <c r="AD639" s="121"/>
      <c r="AE639" s="121"/>
      <c r="AF639" s="121"/>
      <c r="AG639" s="121"/>
      <c r="AH639" s="121"/>
      <c r="AI639" s="121"/>
      <c r="AJ639" s="121"/>
      <c r="AK639" s="121"/>
      <c r="AL639" s="121"/>
      <c r="AM639" s="121"/>
      <c r="AN639" s="121"/>
      <c r="AO639" s="121"/>
      <c r="AP639" s="121"/>
      <c r="AQ639" s="121"/>
      <c r="AR639" s="121"/>
      <c r="AS639" s="121"/>
      <c r="AT639" s="121"/>
      <c r="AU639" s="121"/>
      <c r="AV639" s="121"/>
      <c r="AW639" s="121"/>
      <c r="AX639" s="121"/>
      <c r="AY639" s="121"/>
      <c r="AZ639" s="121"/>
      <c r="BA639" s="121"/>
      <c r="BB639" s="121"/>
      <c r="BC639" s="121"/>
      <c r="BD639" s="121"/>
      <c r="BE639" s="121"/>
      <c r="BF639" s="121"/>
      <c r="BG639" s="121"/>
      <c r="BH639" s="121"/>
      <c r="BI639" s="121"/>
      <c r="BJ639" s="121"/>
      <c r="BK639" s="121"/>
      <c r="BL639" s="121"/>
      <c r="BM639" s="121"/>
      <c r="BN639" s="121"/>
      <c r="BO639" s="121"/>
      <c r="BP639" s="121"/>
      <c r="BQ639" s="121"/>
      <c r="BR639" s="121"/>
      <c r="BS639" s="121"/>
      <c r="BT639" s="121"/>
      <c r="BU639" s="121"/>
      <c r="BV639" s="121"/>
      <c r="BW639" s="121"/>
      <c r="BX639" s="121"/>
      <c r="BY639" s="121"/>
      <c r="BZ639" s="121"/>
      <c r="CA639" s="121"/>
      <c r="CB639" s="121"/>
      <c r="CC639" s="121"/>
      <c r="CD639" s="121"/>
      <c r="CE639" s="121"/>
      <c r="CF639" s="121"/>
      <c r="CG639" s="121"/>
      <c r="CH639" s="121"/>
      <c r="CI639" s="121"/>
      <c r="CJ639" s="121"/>
      <c r="CK639" s="121"/>
      <c r="CL639" s="121"/>
      <c r="CM639" s="121"/>
      <c r="CN639" s="121"/>
      <c r="CO639" s="121"/>
      <c r="CP639" s="121"/>
      <c r="CQ639" s="121"/>
      <c r="CR639" s="121"/>
      <c r="CS639" s="121"/>
      <c r="CT639" s="121"/>
      <c r="CU639" s="121"/>
      <c r="CV639" s="121"/>
      <c r="CW639" s="121"/>
      <c r="CX639" s="121"/>
      <c r="CY639" s="121"/>
      <c r="CZ639" s="121"/>
      <c r="DA639" s="121"/>
      <c r="DB639" s="121"/>
      <c r="DC639" s="121"/>
      <c r="DD639" s="121"/>
      <c r="DE639" s="121"/>
      <c r="DF639" s="121"/>
      <c r="DG639" s="121"/>
      <c r="DH639" s="121"/>
      <c r="DI639" s="121"/>
      <c r="DJ639" s="121"/>
      <c r="DK639" s="121"/>
      <c r="DL639" s="121"/>
      <c r="DM639" s="121"/>
      <c r="DN639" s="121"/>
      <c r="DO639" s="121"/>
      <c r="DP639" s="121"/>
      <c r="DQ639" s="121"/>
      <c r="DR639" s="121"/>
      <c r="DS639" s="121"/>
      <c r="DT639" s="240"/>
      <c r="DU639" s="240"/>
      <c r="DV639" s="240"/>
      <c r="DW639" s="240"/>
      <c r="DX639" s="240"/>
      <c r="DY639" s="240"/>
      <c r="DZ639" s="240"/>
      <c r="EA639" s="240"/>
      <c r="EB639" s="237">
        <f t="shared" si="72"/>
        <v>0</v>
      </c>
      <c r="EC639" s="237">
        <f t="shared" si="73"/>
        <v>0</v>
      </c>
      <c r="ED639" s="237">
        <f t="shared" si="74"/>
        <v>0</v>
      </c>
      <c r="EE639" s="237">
        <f t="shared" si="75"/>
        <v>0</v>
      </c>
      <c r="EF639" s="121"/>
      <c r="EG639" s="238">
        <f t="shared" si="76"/>
        <v>0</v>
      </c>
      <c r="EH639" s="121"/>
      <c r="EI639" s="237">
        <f t="shared" si="77"/>
        <v>0</v>
      </c>
      <c r="EJ639" s="121"/>
      <c r="EK639" s="237">
        <f t="shared" si="78"/>
        <v>0</v>
      </c>
      <c r="EL639" s="237"/>
      <c r="EM639" s="5"/>
      <c r="EN639" s="5"/>
      <c r="EO639" s="5"/>
      <c r="EP639" s="5"/>
      <c r="EQ639" s="237">
        <f t="shared" si="79"/>
        <v>0</v>
      </c>
      <c r="ER639" s="239">
        <v>23300</v>
      </c>
      <c r="ES639" s="5">
        <v>7.5</v>
      </c>
    </row>
    <row r="640" spans="1:149" x14ac:dyDescent="0.3">
      <c r="A640" s="124"/>
      <c r="B640" s="121"/>
      <c r="C640" s="121"/>
      <c r="D640" s="121"/>
      <c r="E640" s="121"/>
      <c r="F640" s="121"/>
      <c r="G640" s="121"/>
      <c r="H640" s="121"/>
      <c r="I640" s="121"/>
      <c r="J640" s="121"/>
      <c r="K640" s="121"/>
      <c r="L640" s="121"/>
      <c r="M640" s="121"/>
      <c r="N640" s="121"/>
      <c r="O640" s="235"/>
      <c r="P640" s="121"/>
      <c r="Q640" s="121"/>
      <c r="R640" s="121"/>
      <c r="S640" s="121"/>
      <c r="T640" s="121"/>
      <c r="U640" s="121"/>
      <c r="V640" s="121"/>
      <c r="W640" s="121"/>
      <c r="X640" s="117"/>
      <c r="Y640" s="117"/>
      <c r="Z640" s="121"/>
      <c r="AA640" s="121"/>
      <c r="AB640" s="121"/>
      <c r="AC640" s="121"/>
      <c r="AD640" s="121"/>
      <c r="AE640" s="121"/>
      <c r="AF640" s="121"/>
      <c r="AG640" s="121"/>
      <c r="AH640" s="121"/>
      <c r="AI640" s="121"/>
      <c r="AJ640" s="121"/>
      <c r="AK640" s="121"/>
      <c r="AL640" s="121"/>
      <c r="AM640" s="121"/>
      <c r="AN640" s="121"/>
      <c r="AO640" s="121"/>
      <c r="AP640" s="121"/>
      <c r="AQ640" s="121"/>
      <c r="AR640" s="121"/>
      <c r="AS640" s="121"/>
      <c r="AT640" s="121"/>
      <c r="AU640" s="121"/>
      <c r="AV640" s="121"/>
      <c r="AW640" s="121"/>
      <c r="AX640" s="121"/>
      <c r="AY640" s="121"/>
      <c r="AZ640" s="121"/>
      <c r="BA640" s="121"/>
      <c r="BB640" s="121"/>
      <c r="BC640" s="121"/>
      <c r="BD640" s="121"/>
      <c r="BE640" s="121"/>
      <c r="BF640" s="121"/>
      <c r="BG640" s="121"/>
      <c r="BH640" s="121"/>
      <c r="BI640" s="121"/>
      <c r="BJ640" s="121"/>
      <c r="BK640" s="121"/>
      <c r="BL640" s="121"/>
      <c r="BM640" s="121"/>
      <c r="BN640" s="121"/>
      <c r="BO640" s="121"/>
      <c r="BP640" s="121"/>
      <c r="BQ640" s="121"/>
      <c r="BR640" s="121"/>
      <c r="BS640" s="121"/>
      <c r="BT640" s="121"/>
      <c r="BU640" s="121"/>
      <c r="BV640" s="121"/>
      <c r="BW640" s="121"/>
      <c r="BX640" s="121"/>
      <c r="BY640" s="121"/>
      <c r="BZ640" s="121"/>
      <c r="CA640" s="121"/>
      <c r="CB640" s="121"/>
      <c r="CC640" s="121"/>
      <c r="CD640" s="121"/>
      <c r="CE640" s="121"/>
      <c r="CF640" s="121"/>
      <c r="CG640" s="121"/>
      <c r="CH640" s="121"/>
      <c r="CI640" s="121"/>
      <c r="CJ640" s="121"/>
      <c r="CK640" s="121"/>
      <c r="CL640" s="121"/>
      <c r="CM640" s="121"/>
      <c r="CN640" s="121"/>
      <c r="CO640" s="121"/>
      <c r="CP640" s="121"/>
      <c r="CQ640" s="121"/>
      <c r="CR640" s="121"/>
      <c r="CS640" s="121"/>
      <c r="CT640" s="121"/>
      <c r="CU640" s="121"/>
      <c r="CV640" s="121"/>
      <c r="CW640" s="121"/>
      <c r="CX640" s="121"/>
      <c r="CY640" s="121"/>
      <c r="CZ640" s="121"/>
      <c r="DA640" s="121"/>
      <c r="DB640" s="121"/>
      <c r="DC640" s="121"/>
      <c r="DD640" s="121"/>
      <c r="DE640" s="121"/>
      <c r="DF640" s="121"/>
      <c r="DG640" s="121"/>
      <c r="DH640" s="121"/>
      <c r="DI640" s="121"/>
      <c r="DJ640" s="121"/>
      <c r="DK640" s="121"/>
      <c r="DL640" s="121"/>
      <c r="DM640" s="121"/>
      <c r="DN640" s="121"/>
      <c r="DO640" s="121"/>
      <c r="DP640" s="121"/>
      <c r="DQ640" s="121"/>
      <c r="DR640" s="121"/>
      <c r="DS640" s="121"/>
      <c r="DT640" s="240"/>
      <c r="DU640" s="240"/>
      <c r="DV640" s="240"/>
      <c r="DW640" s="240"/>
      <c r="DX640" s="240"/>
      <c r="DY640" s="240"/>
      <c r="DZ640" s="240"/>
      <c r="EA640" s="240"/>
      <c r="EB640" s="237">
        <f t="shared" si="72"/>
        <v>0</v>
      </c>
      <c r="EC640" s="237">
        <f t="shared" si="73"/>
        <v>0</v>
      </c>
      <c r="ED640" s="237">
        <f t="shared" si="74"/>
        <v>0</v>
      </c>
      <c r="EE640" s="237">
        <f t="shared" si="75"/>
        <v>0</v>
      </c>
      <c r="EF640" s="121"/>
      <c r="EG640" s="238">
        <f t="shared" si="76"/>
        <v>0</v>
      </c>
      <c r="EH640" s="121"/>
      <c r="EI640" s="237">
        <f t="shared" si="77"/>
        <v>0</v>
      </c>
      <c r="EJ640" s="121"/>
      <c r="EK640" s="237">
        <f t="shared" si="78"/>
        <v>0</v>
      </c>
      <c r="EL640" s="237"/>
      <c r="EM640" s="5"/>
      <c r="EN640" s="5"/>
      <c r="EO640" s="5"/>
      <c r="EP640" s="5"/>
      <c r="EQ640" s="237">
        <f t="shared" si="79"/>
        <v>0</v>
      </c>
      <c r="ER640" s="239">
        <v>23300</v>
      </c>
      <c r="ES640" s="5">
        <v>7.5</v>
      </c>
    </row>
    <row r="641" spans="1:149" x14ac:dyDescent="0.3">
      <c r="A641" s="124"/>
      <c r="B641" s="121"/>
      <c r="C641" s="121"/>
      <c r="D641" s="121"/>
      <c r="E641" s="121"/>
      <c r="F641" s="121"/>
      <c r="G641" s="121"/>
      <c r="H641" s="121"/>
      <c r="I641" s="121"/>
      <c r="J641" s="121"/>
      <c r="K641" s="121"/>
      <c r="L641" s="121"/>
      <c r="M641" s="121"/>
      <c r="N641" s="121"/>
      <c r="O641" s="235"/>
      <c r="P641" s="121"/>
      <c r="Q641" s="121"/>
      <c r="R641" s="121"/>
      <c r="S641" s="121"/>
      <c r="T641" s="121"/>
      <c r="U641" s="121"/>
      <c r="V641" s="121"/>
      <c r="W641" s="121"/>
      <c r="X641" s="117"/>
      <c r="Y641" s="117"/>
      <c r="Z641" s="121"/>
      <c r="AA641" s="121"/>
      <c r="AB641" s="121"/>
      <c r="AC641" s="121"/>
      <c r="AD641" s="121"/>
      <c r="AE641" s="121"/>
      <c r="AF641" s="121"/>
      <c r="AG641" s="121"/>
      <c r="AH641" s="121"/>
      <c r="AI641" s="121"/>
      <c r="AJ641" s="121"/>
      <c r="AK641" s="121"/>
      <c r="AL641" s="121"/>
      <c r="AM641" s="121"/>
      <c r="AN641" s="121"/>
      <c r="AO641" s="121"/>
      <c r="AP641" s="121"/>
      <c r="AQ641" s="121"/>
      <c r="AR641" s="121"/>
      <c r="AS641" s="121"/>
      <c r="AT641" s="121"/>
      <c r="AU641" s="121"/>
      <c r="AV641" s="121"/>
      <c r="AW641" s="121"/>
      <c r="AX641" s="121"/>
      <c r="AY641" s="121"/>
      <c r="AZ641" s="121"/>
      <c r="BA641" s="121"/>
      <c r="BB641" s="121"/>
      <c r="BC641" s="121"/>
      <c r="BD641" s="121"/>
      <c r="BE641" s="121"/>
      <c r="BF641" s="121"/>
      <c r="BG641" s="121"/>
      <c r="BH641" s="121"/>
      <c r="BI641" s="121"/>
      <c r="BJ641" s="121"/>
      <c r="BK641" s="121"/>
      <c r="BL641" s="121"/>
      <c r="BM641" s="121"/>
      <c r="BN641" s="121"/>
      <c r="BO641" s="121"/>
      <c r="BP641" s="121"/>
      <c r="BQ641" s="121"/>
      <c r="BR641" s="121"/>
      <c r="BS641" s="121"/>
      <c r="BT641" s="121"/>
      <c r="BU641" s="121"/>
      <c r="BV641" s="121"/>
      <c r="BW641" s="121"/>
      <c r="BX641" s="121"/>
      <c r="BY641" s="121"/>
      <c r="BZ641" s="121"/>
      <c r="CA641" s="121"/>
      <c r="CB641" s="121"/>
      <c r="CC641" s="121"/>
      <c r="CD641" s="121"/>
      <c r="CE641" s="121"/>
      <c r="CF641" s="121"/>
      <c r="CG641" s="121"/>
      <c r="CH641" s="121"/>
      <c r="CI641" s="121"/>
      <c r="CJ641" s="121"/>
      <c r="CK641" s="121"/>
      <c r="CL641" s="121"/>
      <c r="CM641" s="121"/>
      <c r="CN641" s="121"/>
      <c r="CO641" s="121"/>
      <c r="CP641" s="121"/>
      <c r="CQ641" s="121"/>
      <c r="CR641" s="121"/>
      <c r="CS641" s="121"/>
      <c r="CT641" s="121"/>
      <c r="CU641" s="121"/>
      <c r="CV641" s="121"/>
      <c r="CW641" s="121"/>
      <c r="CX641" s="121"/>
      <c r="CY641" s="121"/>
      <c r="CZ641" s="121"/>
      <c r="DA641" s="121"/>
      <c r="DB641" s="121"/>
      <c r="DC641" s="121"/>
      <c r="DD641" s="121"/>
      <c r="DE641" s="121"/>
      <c r="DF641" s="121"/>
      <c r="DG641" s="121"/>
      <c r="DH641" s="121"/>
      <c r="DI641" s="121"/>
      <c r="DJ641" s="121"/>
      <c r="DK641" s="121"/>
      <c r="DL641" s="121"/>
      <c r="DM641" s="121"/>
      <c r="DN641" s="121"/>
      <c r="DO641" s="121"/>
      <c r="DP641" s="121"/>
      <c r="DQ641" s="121"/>
      <c r="DR641" s="121"/>
      <c r="DS641" s="121"/>
      <c r="DT641" s="240"/>
      <c r="DU641" s="240"/>
      <c r="DV641" s="240"/>
      <c r="DW641" s="240"/>
      <c r="DX641" s="240"/>
      <c r="DY641" s="240"/>
      <c r="DZ641" s="240"/>
      <c r="EA641" s="240"/>
      <c r="EB641" s="237">
        <f t="shared" si="72"/>
        <v>0</v>
      </c>
      <c r="EC641" s="237">
        <f t="shared" si="73"/>
        <v>0</v>
      </c>
      <c r="ED641" s="237">
        <f t="shared" si="74"/>
        <v>0</v>
      </c>
      <c r="EE641" s="237">
        <f t="shared" si="75"/>
        <v>0</v>
      </c>
      <c r="EF641" s="121"/>
      <c r="EG641" s="238">
        <f t="shared" si="76"/>
        <v>0</v>
      </c>
      <c r="EH641" s="121"/>
      <c r="EI641" s="237">
        <f t="shared" si="77"/>
        <v>0</v>
      </c>
      <c r="EJ641" s="121"/>
      <c r="EK641" s="237">
        <f t="shared" si="78"/>
        <v>0</v>
      </c>
      <c r="EL641" s="237"/>
      <c r="EM641" s="5"/>
      <c r="EN641" s="5"/>
      <c r="EO641" s="5"/>
      <c r="EP641" s="5"/>
      <c r="EQ641" s="237">
        <f t="shared" si="79"/>
        <v>0</v>
      </c>
      <c r="ER641" s="239">
        <v>23300</v>
      </c>
      <c r="ES641" s="5">
        <v>7.5</v>
      </c>
    </row>
    <row r="642" spans="1:149" x14ac:dyDescent="0.3">
      <c r="A642" s="124"/>
      <c r="B642" s="121"/>
      <c r="C642" s="121"/>
      <c r="D642" s="121"/>
      <c r="E642" s="121"/>
      <c r="F642" s="121"/>
      <c r="G642" s="121"/>
      <c r="H642" s="121"/>
      <c r="I642" s="121"/>
      <c r="J642" s="121"/>
      <c r="K642" s="121"/>
      <c r="L642" s="121"/>
      <c r="M642" s="121"/>
      <c r="N642" s="121"/>
      <c r="O642" s="235"/>
      <c r="P642" s="121"/>
      <c r="Q642" s="121"/>
      <c r="R642" s="121"/>
      <c r="S642" s="121"/>
      <c r="T642" s="121"/>
      <c r="U642" s="121"/>
      <c r="V642" s="121"/>
      <c r="W642" s="121"/>
      <c r="X642" s="117"/>
      <c r="Y642" s="117"/>
      <c r="Z642" s="121"/>
      <c r="AA642" s="121"/>
      <c r="AB642" s="121"/>
      <c r="AC642" s="121"/>
      <c r="AD642" s="121"/>
      <c r="AE642" s="121"/>
      <c r="AF642" s="121"/>
      <c r="AG642" s="121"/>
      <c r="AH642" s="121"/>
      <c r="AI642" s="121"/>
      <c r="AJ642" s="121"/>
      <c r="AK642" s="121"/>
      <c r="AL642" s="121"/>
      <c r="AM642" s="121"/>
      <c r="AN642" s="121"/>
      <c r="AO642" s="121"/>
      <c r="AP642" s="121"/>
      <c r="AQ642" s="121"/>
      <c r="AR642" s="121"/>
      <c r="AS642" s="121"/>
      <c r="AT642" s="121"/>
      <c r="AU642" s="121"/>
      <c r="AV642" s="121"/>
      <c r="AW642" s="121"/>
      <c r="AX642" s="121"/>
      <c r="AY642" s="121"/>
      <c r="AZ642" s="121"/>
      <c r="BA642" s="121"/>
      <c r="BB642" s="121"/>
      <c r="BC642" s="121"/>
      <c r="BD642" s="121"/>
      <c r="BE642" s="121"/>
      <c r="BF642" s="121"/>
      <c r="BG642" s="121"/>
      <c r="BH642" s="121"/>
      <c r="BI642" s="121"/>
      <c r="BJ642" s="121"/>
      <c r="BK642" s="121"/>
      <c r="BL642" s="121"/>
      <c r="BM642" s="121"/>
      <c r="BN642" s="121"/>
      <c r="BO642" s="121"/>
      <c r="BP642" s="121"/>
      <c r="BQ642" s="121"/>
      <c r="BR642" s="121"/>
      <c r="BS642" s="121"/>
      <c r="BT642" s="121"/>
      <c r="BU642" s="121"/>
      <c r="BV642" s="121"/>
      <c r="BW642" s="121"/>
      <c r="BX642" s="121"/>
      <c r="BY642" s="121"/>
      <c r="BZ642" s="121"/>
      <c r="CA642" s="121"/>
      <c r="CB642" s="121"/>
      <c r="CC642" s="121"/>
      <c r="CD642" s="121"/>
      <c r="CE642" s="121"/>
      <c r="CF642" s="121"/>
      <c r="CG642" s="121"/>
      <c r="CH642" s="121"/>
      <c r="CI642" s="121"/>
      <c r="CJ642" s="121"/>
      <c r="CK642" s="121"/>
      <c r="CL642" s="121"/>
      <c r="CM642" s="121"/>
      <c r="CN642" s="121"/>
      <c r="CO642" s="121"/>
      <c r="CP642" s="121"/>
      <c r="CQ642" s="121"/>
      <c r="CR642" s="121"/>
      <c r="CS642" s="121"/>
      <c r="CT642" s="121"/>
      <c r="CU642" s="121"/>
      <c r="CV642" s="121"/>
      <c r="CW642" s="121"/>
      <c r="CX642" s="121"/>
      <c r="CY642" s="121"/>
      <c r="CZ642" s="121"/>
      <c r="DA642" s="121"/>
      <c r="DB642" s="121"/>
      <c r="DC642" s="121"/>
      <c r="DD642" s="121"/>
      <c r="DE642" s="121"/>
      <c r="DF642" s="121"/>
      <c r="DG642" s="121"/>
      <c r="DH642" s="121"/>
      <c r="DI642" s="121"/>
      <c r="DJ642" s="121"/>
      <c r="DK642" s="121"/>
      <c r="DL642" s="121"/>
      <c r="DM642" s="121"/>
      <c r="DN642" s="121"/>
      <c r="DO642" s="121"/>
      <c r="DP642" s="121"/>
      <c r="DQ642" s="121"/>
      <c r="DR642" s="121"/>
      <c r="DS642" s="121"/>
      <c r="DT642" s="240"/>
      <c r="DU642" s="240"/>
      <c r="DV642" s="240"/>
      <c r="DW642" s="240"/>
      <c r="DX642" s="240"/>
      <c r="DY642" s="240"/>
      <c r="DZ642" s="240"/>
      <c r="EA642" s="240"/>
      <c r="EB642" s="237">
        <f t="shared" si="72"/>
        <v>0</v>
      </c>
      <c r="EC642" s="237">
        <f t="shared" si="73"/>
        <v>0</v>
      </c>
      <c r="ED642" s="237">
        <f t="shared" si="74"/>
        <v>0</v>
      </c>
      <c r="EE642" s="237">
        <f t="shared" si="75"/>
        <v>0</v>
      </c>
      <c r="EF642" s="121"/>
      <c r="EG642" s="238">
        <f t="shared" si="76"/>
        <v>0</v>
      </c>
      <c r="EH642" s="121"/>
      <c r="EI642" s="237">
        <f t="shared" si="77"/>
        <v>0</v>
      </c>
      <c r="EJ642" s="121"/>
      <c r="EK642" s="237">
        <f t="shared" si="78"/>
        <v>0</v>
      </c>
      <c r="EL642" s="237"/>
      <c r="EM642" s="5"/>
      <c r="EN642" s="5"/>
      <c r="EO642" s="5"/>
      <c r="EP642" s="5"/>
      <c r="EQ642" s="237">
        <f t="shared" si="79"/>
        <v>0</v>
      </c>
      <c r="ER642" s="239">
        <v>23300</v>
      </c>
      <c r="ES642" s="5">
        <v>7.5</v>
      </c>
    </row>
    <row r="643" spans="1:149" x14ac:dyDescent="0.3">
      <c r="A643" s="124"/>
      <c r="B643" s="121"/>
      <c r="C643" s="121"/>
      <c r="D643" s="121"/>
      <c r="E643" s="121"/>
      <c r="F643" s="121"/>
      <c r="G643" s="121"/>
      <c r="H643" s="121"/>
      <c r="I643" s="121"/>
      <c r="J643" s="121"/>
      <c r="K643" s="121"/>
      <c r="L643" s="121"/>
      <c r="M643" s="121"/>
      <c r="N643" s="121"/>
      <c r="O643" s="235"/>
      <c r="P643" s="121"/>
      <c r="Q643" s="121"/>
      <c r="R643" s="121"/>
      <c r="S643" s="121"/>
      <c r="T643" s="121"/>
      <c r="U643" s="121"/>
      <c r="V643" s="121"/>
      <c r="W643" s="121"/>
      <c r="X643" s="117"/>
      <c r="Y643" s="117"/>
      <c r="Z643" s="121"/>
      <c r="AA643" s="121"/>
      <c r="AB643" s="121"/>
      <c r="AC643" s="121"/>
      <c r="AD643" s="121"/>
      <c r="AE643" s="121"/>
      <c r="AF643" s="121"/>
      <c r="AG643" s="121"/>
      <c r="AH643" s="121"/>
      <c r="AI643" s="121"/>
      <c r="AJ643" s="121"/>
      <c r="AK643" s="121"/>
      <c r="AL643" s="121"/>
      <c r="AM643" s="121"/>
      <c r="AN643" s="121"/>
      <c r="AO643" s="121"/>
      <c r="AP643" s="121"/>
      <c r="AQ643" s="121"/>
      <c r="AR643" s="121"/>
      <c r="AS643" s="121"/>
      <c r="AT643" s="121"/>
      <c r="AU643" s="121"/>
      <c r="AV643" s="121"/>
      <c r="AW643" s="121"/>
      <c r="AX643" s="121"/>
      <c r="AY643" s="121"/>
      <c r="AZ643" s="121"/>
      <c r="BA643" s="121"/>
      <c r="BB643" s="121"/>
      <c r="BC643" s="121"/>
      <c r="BD643" s="121"/>
      <c r="BE643" s="121"/>
      <c r="BF643" s="121"/>
      <c r="BG643" s="121"/>
      <c r="BH643" s="121"/>
      <c r="BI643" s="121"/>
      <c r="BJ643" s="121"/>
      <c r="BK643" s="121"/>
      <c r="BL643" s="121"/>
      <c r="BM643" s="121"/>
      <c r="BN643" s="121"/>
      <c r="BO643" s="121"/>
      <c r="BP643" s="121"/>
      <c r="BQ643" s="121"/>
      <c r="BR643" s="121"/>
      <c r="BS643" s="121"/>
      <c r="BT643" s="121"/>
      <c r="BU643" s="121"/>
      <c r="BV643" s="121"/>
      <c r="BW643" s="121"/>
      <c r="BX643" s="121"/>
      <c r="BY643" s="121"/>
      <c r="BZ643" s="121"/>
      <c r="CA643" s="121"/>
      <c r="CB643" s="121"/>
      <c r="CC643" s="121"/>
      <c r="CD643" s="121"/>
      <c r="CE643" s="121"/>
      <c r="CF643" s="121"/>
      <c r="CG643" s="121"/>
      <c r="CH643" s="121"/>
      <c r="CI643" s="121"/>
      <c r="CJ643" s="121"/>
      <c r="CK643" s="121"/>
      <c r="CL643" s="121"/>
      <c r="CM643" s="121"/>
      <c r="CN643" s="121"/>
      <c r="CO643" s="121"/>
      <c r="CP643" s="121"/>
      <c r="CQ643" s="121"/>
      <c r="CR643" s="121"/>
      <c r="CS643" s="121"/>
      <c r="CT643" s="121"/>
      <c r="CU643" s="121"/>
      <c r="CV643" s="121"/>
      <c r="CW643" s="121"/>
      <c r="CX643" s="121"/>
      <c r="CY643" s="121"/>
      <c r="CZ643" s="121"/>
      <c r="DA643" s="121"/>
      <c r="DB643" s="121"/>
      <c r="DC643" s="121"/>
      <c r="DD643" s="121"/>
      <c r="DE643" s="121"/>
      <c r="DF643" s="121"/>
      <c r="DG643" s="121"/>
      <c r="DH643" s="121"/>
      <c r="DI643" s="121"/>
      <c r="DJ643" s="121"/>
      <c r="DK643" s="121"/>
      <c r="DL643" s="121"/>
      <c r="DM643" s="121"/>
      <c r="DN643" s="121"/>
      <c r="DO643" s="121"/>
      <c r="DP643" s="121"/>
      <c r="DQ643" s="121"/>
      <c r="DR643" s="121"/>
      <c r="DS643" s="121"/>
      <c r="DT643" s="240"/>
      <c r="DU643" s="240"/>
      <c r="DV643" s="240"/>
      <c r="DW643" s="240"/>
      <c r="DX643" s="240"/>
      <c r="DY643" s="240"/>
      <c r="DZ643" s="240"/>
      <c r="EA643" s="240"/>
      <c r="EB643" s="237">
        <f t="shared" si="72"/>
        <v>0</v>
      </c>
      <c r="EC643" s="237">
        <f t="shared" si="73"/>
        <v>0</v>
      </c>
      <c r="ED643" s="237">
        <f t="shared" si="74"/>
        <v>0</v>
      </c>
      <c r="EE643" s="237">
        <f t="shared" si="75"/>
        <v>0</v>
      </c>
      <c r="EF643" s="121"/>
      <c r="EG643" s="238">
        <f t="shared" si="76"/>
        <v>0</v>
      </c>
      <c r="EH643" s="121"/>
      <c r="EI643" s="237">
        <f t="shared" si="77"/>
        <v>0</v>
      </c>
      <c r="EJ643" s="121"/>
      <c r="EK643" s="237">
        <f t="shared" si="78"/>
        <v>0</v>
      </c>
      <c r="EL643" s="237"/>
      <c r="EM643" s="5"/>
      <c r="EN643" s="5"/>
      <c r="EO643" s="5"/>
      <c r="EP643" s="5"/>
      <c r="EQ643" s="237">
        <f t="shared" si="79"/>
        <v>0</v>
      </c>
      <c r="ER643" s="239">
        <v>23300</v>
      </c>
      <c r="ES643" s="5">
        <v>7.5</v>
      </c>
    </row>
    <row r="644" spans="1:149" x14ac:dyDescent="0.3">
      <c r="A644" s="124"/>
      <c r="B644" s="121"/>
      <c r="C644" s="121"/>
      <c r="D644" s="121"/>
      <c r="E644" s="121"/>
      <c r="F644" s="121"/>
      <c r="G644" s="121"/>
      <c r="H644" s="121"/>
      <c r="I644" s="121"/>
      <c r="J644" s="121"/>
      <c r="K644" s="121"/>
      <c r="L644" s="121"/>
      <c r="M644" s="121"/>
      <c r="N644" s="121"/>
      <c r="O644" s="235"/>
      <c r="P644" s="121"/>
      <c r="Q644" s="121"/>
      <c r="R644" s="121"/>
      <c r="S644" s="121"/>
      <c r="T644" s="121"/>
      <c r="U644" s="121"/>
      <c r="V644" s="121"/>
      <c r="W644" s="121"/>
      <c r="X644" s="117"/>
      <c r="Y644" s="117"/>
      <c r="Z644" s="121"/>
      <c r="AA644" s="121"/>
      <c r="AB644" s="121"/>
      <c r="AC644" s="121"/>
      <c r="AD644" s="121"/>
      <c r="AE644" s="121"/>
      <c r="AF644" s="121"/>
      <c r="AG644" s="121"/>
      <c r="AH644" s="121"/>
      <c r="AI644" s="121"/>
      <c r="AJ644" s="121"/>
      <c r="AK644" s="121"/>
      <c r="AL644" s="121"/>
      <c r="AM644" s="121"/>
      <c r="AN644" s="121"/>
      <c r="AO644" s="121"/>
      <c r="AP644" s="121"/>
      <c r="AQ644" s="121"/>
      <c r="AR644" s="121"/>
      <c r="AS644" s="121"/>
      <c r="AT644" s="121"/>
      <c r="AU644" s="121"/>
      <c r="AV644" s="121"/>
      <c r="AW644" s="121"/>
      <c r="AX644" s="121"/>
      <c r="AY644" s="121"/>
      <c r="AZ644" s="121"/>
      <c r="BA644" s="121"/>
      <c r="BB644" s="121"/>
      <c r="BC644" s="121"/>
      <c r="BD644" s="121"/>
      <c r="BE644" s="121"/>
      <c r="BF644" s="121"/>
      <c r="BG644" s="121"/>
      <c r="BH644" s="121"/>
      <c r="BI644" s="121"/>
      <c r="BJ644" s="121"/>
      <c r="BK644" s="121"/>
      <c r="BL644" s="121"/>
      <c r="BM644" s="121"/>
      <c r="BN644" s="121"/>
      <c r="BO644" s="121"/>
      <c r="BP644" s="121"/>
      <c r="BQ644" s="121"/>
      <c r="BR644" s="121"/>
      <c r="BS644" s="121"/>
      <c r="BT644" s="121"/>
      <c r="BU644" s="121"/>
      <c r="BV644" s="121"/>
      <c r="BW644" s="121"/>
      <c r="BX644" s="121"/>
      <c r="BY644" s="121"/>
      <c r="BZ644" s="121"/>
      <c r="CA644" s="121"/>
      <c r="CB644" s="121"/>
      <c r="CC644" s="121"/>
      <c r="CD644" s="121"/>
      <c r="CE644" s="121"/>
      <c r="CF644" s="121"/>
      <c r="CG644" s="121"/>
      <c r="CH644" s="121"/>
      <c r="CI644" s="121"/>
      <c r="CJ644" s="121"/>
      <c r="CK644" s="121"/>
      <c r="CL644" s="121"/>
      <c r="CM644" s="121"/>
      <c r="CN644" s="121"/>
      <c r="CO644" s="121"/>
      <c r="CP644" s="121"/>
      <c r="CQ644" s="121"/>
      <c r="CR644" s="121"/>
      <c r="CS644" s="121"/>
      <c r="CT644" s="121"/>
      <c r="CU644" s="121"/>
      <c r="CV644" s="121"/>
      <c r="CW644" s="121"/>
      <c r="CX644" s="121"/>
      <c r="CY644" s="121"/>
      <c r="CZ644" s="121"/>
      <c r="DA644" s="121"/>
      <c r="DB644" s="121"/>
      <c r="DC644" s="121"/>
      <c r="DD644" s="121"/>
      <c r="DE644" s="121"/>
      <c r="DF644" s="121"/>
      <c r="DG644" s="121"/>
      <c r="DH644" s="121"/>
      <c r="DI644" s="121"/>
      <c r="DJ644" s="121"/>
      <c r="DK644" s="121"/>
      <c r="DL644" s="121"/>
      <c r="DM644" s="121"/>
      <c r="DN644" s="121"/>
      <c r="DO644" s="121"/>
      <c r="DP644" s="121"/>
      <c r="DQ644" s="121"/>
      <c r="DR644" s="121"/>
      <c r="DS644" s="121"/>
      <c r="DT644" s="240"/>
      <c r="DU644" s="240"/>
      <c r="DV644" s="240"/>
      <c r="DW644" s="240"/>
      <c r="DX644" s="240"/>
      <c r="DY644" s="240"/>
      <c r="DZ644" s="240"/>
      <c r="EA644" s="240"/>
      <c r="EB644" s="237">
        <f t="shared" si="72"/>
        <v>0</v>
      </c>
      <c r="EC644" s="237">
        <f t="shared" si="73"/>
        <v>0</v>
      </c>
      <c r="ED644" s="237">
        <f t="shared" si="74"/>
        <v>0</v>
      </c>
      <c r="EE644" s="237">
        <f t="shared" si="75"/>
        <v>0</v>
      </c>
      <c r="EF644" s="121"/>
      <c r="EG644" s="238">
        <f t="shared" si="76"/>
        <v>0</v>
      </c>
      <c r="EH644" s="121"/>
      <c r="EI644" s="237">
        <f t="shared" si="77"/>
        <v>0</v>
      </c>
      <c r="EJ644" s="121"/>
      <c r="EK644" s="237">
        <f t="shared" si="78"/>
        <v>0</v>
      </c>
      <c r="EL644" s="237"/>
      <c r="EM644" s="5"/>
      <c r="EN644" s="5"/>
      <c r="EO644" s="5"/>
      <c r="EP644" s="5"/>
      <c r="EQ644" s="237">
        <f t="shared" si="79"/>
        <v>0</v>
      </c>
      <c r="ER644" s="239">
        <v>23300</v>
      </c>
      <c r="ES644" s="5">
        <v>7.5</v>
      </c>
    </row>
    <row r="645" spans="1:149" x14ac:dyDescent="0.3">
      <c r="A645" s="124"/>
      <c r="B645" s="121"/>
      <c r="C645" s="121"/>
      <c r="D645" s="121"/>
      <c r="E645" s="121"/>
      <c r="F645" s="121"/>
      <c r="G645" s="121"/>
      <c r="H645" s="121"/>
      <c r="I645" s="121"/>
      <c r="J645" s="121"/>
      <c r="K645" s="121"/>
      <c r="L645" s="121"/>
      <c r="M645" s="121"/>
      <c r="N645" s="121"/>
      <c r="O645" s="235"/>
      <c r="P645" s="121"/>
      <c r="Q645" s="121"/>
      <c r="R645" s="121"/>
      <c r="S645" s="121"/>
      <c r="T645" s="121"/>
      <c r="U645" s="121"/>
      <c r="V645" s="121"/>
      <c r="W645" s="121"/>
      <c r="X645" s="117"/>
      <c r="Y645" s="117"/>
      <c r="Z645" s="121"/>
      <c r="AA645" s="121"/>
      <c r="AB645" s="121"/>
      <c r="AC645" s="121"/>
      <c r="AD645" s="121"/>
      <c r="AE645" s="121"/>
      <c r="AF645" s="121"/>
      <c r="AG645" s="121"/>
      <c r="AH645" s="121"/>
      <c r="AI645" s="121"/>
      <c r="AJ645" s="121"/>
      <c r="AK645" s="121"/>
      <c r="AL645" s="121"/>
      <c r="AM645" s="121"/>
      <c r="AN645" s="121"/>
      <c r="AO645" s="121"/>
      <c r="AP645" s="121"/>
      <c r="AQ645" s="121"/>
      <c r="AR645" s="121"/>
      <c r="AS645" s="121"/>
      <c r="AT645" s="121"/>
      <c r="AU645" s="121"/>
      <c r="AV645" s="121"/>
      <c r="AW645" s="121"/>
      <c r="AX645" s="121"/>
      <c r="AY645" s="121"/>
      <c r="AZ645" s="121"/>
      <c r="BA645" s="121"/>
      <c r="BB645" s="121"/>
      <c r="BC645" s="121"/>
      <c r="BD645" s="121"/>
      <c r="BE645" s="121"/>
      <c r="BF645" s="121"/>
      <c r="BG645" s="121"/>
      <c r="BH645" s="121"/>
      <c r="BI645" s="121"/>
      <c r="BJ645" s="121"/>
      <c r="BK645" s="121"/>
      <c r="BL645" s="121"/>
      <c r="BM645" s="121"/>
      <c r="BN645" s="121"/>
      <c r="BO645" s="121"/>
      <c r="BP645" s="121"/>
      <c r="BQ645" s="121"/>
      <c r="BR645" s="121"/>
      <c r="BS645" s="121"/>
      <c r="BT645" s="121"/>
      <c r="BU645" s="121"/>
      <c r="BV645" s="121"/>
      <c r="BW645" s="121"/>
      <c r="BX645" s="121"/>
      <c r="BY645" s="121"/>
      <c r="BZ645" s="121"/>
      <c r="CA645" s="121"/>
      <c r="CB645" s="121"/>
      <c r="CC645" s="121"/>
      <c r="CD645" s="121"/>
      <c r="CE645" s="121"/>
      <c r="CF645" s="121"/>
      <c r="CG645" s="121"/>
      <c r="CH645" s="121"/>
      <c r="CI645" s="121"/>
      <c r="CJ645" s="121"/>
      <c r="CK645" s="121"/>
      <c r="CL645" s="121"/>
      <c r="CM645" s="121"/>
      <c r="CN645" s="121"/>
      <c r="CO645" s="121"/>
      <c r="CP645" s="121"/>
      <c r="CQ645" s="121"/>
      <c r="CR645" s="121"/>
      <c r="CS645" s="121"/>
      <c r="CT645" s="121"/>
      <c r="CU645" s="121"/>
      <c r="CV645" s="121"/>
      <c r="CW645" s="121"/>
      <c r="CX645" s="121"/>
      <c r="CY645" s="121"/>
      <c r="CZ645" s="121"/>
      <c r="DA645" s="121"/>
      <c r="DB645" s="121"/>
      <c r="DC645" s="121"/>
      <c r="DD645" s="121"/>
      <c r="DE645" s="121"/>
      <c r="DF645" s="121"/>
      <c r="DG645" s="121"/>
      <c r="DH645" s="121"/>
      <c r="DI645" s="121"/>
      <c r="DJ645" s="121"/>
      <c r="DK645" s="121"/>
      <c r="DL645" s="121"/>
      <c r="DM645" s="121"/>
      <c r="DN645" s="121"/>
      <c r="DO645" s="121"/>
      <c r="DP645" s="121"/>
      <c r="DQ645" s="121"/>
      <c r="DR645" s="121"/>
      <c r="DS645" s="121"/>
      <c r="DT645" s="240"/>
      <c r="DU645" s="240"/>
      <c r="DV645" s="240"/>
      <c r="DW645" s="240"/>
      <c r="DX645" s="240"/>
      <c r="DY645" s="240"/>
      <c r="DZ645" s="240"/>
      <c r="EA645" s="240"/>
      <c r="EB645" s="237">
        <f t="shared" si="72"/>
        <v>0</v>
      </c>
      <c r="EC645" s="237">
        <f t="shared" si="73"/>
        <v>0</v>
      </c>
      <c r="ED645" s="237">
        <f t="shared" si="74"/>
        <v>0</v>
      </c>
      <c r="EE645" s="237">
        <f t="shared" si="75"/>
        <v>0</v>
      </c>
      <c r="EF645" s="121"/>
      <c r="EG645" s="238">
        <f t="shared" si="76"/>
        <v>0</v>
      </c>
      <c r="EH645" s="121"/>
      <c r="EI645" s="237">
        <f t="shared" si="77"/>
        <v>0</v>
      </c>
      <c r="EJ645" s="121"/>
      <c r="EK645" s="237">
        <f t="shared" si="78"/>
        <v>0</v>
      </c>
      <c r="EL645" s="237"/>
      <c r="EM645" s="5"/>
      <c r="EN645" s="5"/>
      <c r="EO645" s="5"/>
      <c r="EP645" s="5"/>
      <c r="EQ645" s="237">
        <f t="shared" si="79"/>
        <v>0</v>
      </c>
      <c r="ER645" s="239">
        <v>23300</v>
      </c>
      <c r="ES645" s="5">
        <v>7.5</v>
      </c>
    </row>
    <row r="646" spans="1:149" x14ac:dyDescent="0.3">
      <c r="A646" s="124"/>
      <c r="B646" s="121"/>
      <c r="C646" s="121"/>
      <c r="D646" s="121"/>
      <c r="E646" s="121"/>
      <c r="F646" s="121"/>
      <c r="G646" s="121"/>
      <c r="H646" s="121"/>
      <c r="I646" s="121"/>
      <c r="J646" s="121"/>
      <c r="K646" s="121"/>
      <c r="L646" s="121"/>
      <c r="M646" s="121"/>
      <c r="N646" s="121"/>
      <c r="O646" s="235"/>
      <c r="P646" s="121"/>
      <c r="Q646" s="121"/>
      <c r="R646" s="121"/>
      <c r="S646" s="121"/>
      <c r="T646" s="121"/>
      <c r="U646" s="121"/>
      <c r="V646" s="121"/>
      <c r="W646" s="121"/>
      <c r="X646" s="117"/>
      <c r="Y646" s="117"/>
      <c r="Z646" s="121"/>
      <c r="AA646" s="121"/>
      <c r="AB646" s="121"/>
      <c r="AC646" s="121"/>
      <c r="AD646" s="121"/>
      <c r="AE646" s="121"/>
      <c r="AF646" s="121"/>
      <c r="AG646" s="121"/>
      <c r="AH646" s="121"/>
      <c r="AI646" s="121"/>
      <c r="AJ646" s="121"/>
      <c r="AK646" s="121"/>
      <c r="AL646" s="121"/>
      <c r="AM646" s="121"/>
      <c r="AN646" s="121"/>
      <c r="AO646" s="121"/>
      <c r="AP646" s="121"/>
      <c r="AQ646" s="121"/>
      <c r="AR646" s="121"/>
      <c r="AS646" s="121"/>
      <c r="AT646" s="121"/>
      <c r="AU646" s="121"/>
      <c r="AV646" s="121"/>
      <c r="AW646" s="121"/>
      <c r="AX646" s="121"/>
      <c r="AY646" s="121"/>
      <c r="AZ646" s="121"/>
      <c r="BA646" s="121"/>
      <c r="BB646" s="121"/>
      <c r="BC646" s="121"/>
      <c r="BD646" s="121"/>
      <c r="BE646" s="121"/>
      <c r="BF646" s="121"/>
      <c r="BG646" s="121"/>
      <c r="BH646" s="121"/>
      <c r="BI646" s="121"/>
      <c r="BJ646" s="121"/>
      <c r="BK646" s="121"/>
      <c r="BL646" s="121"/>
      <c r="BM646" s="121"/>
      <c r="BN646" s="121"/>
      <c r="BO646" s="121"/>
      <c r="BP646" s="121"/>
      <c r="BQ646" s="121"/>
      <c r="BR646" s="121"/>
      <c r="BS646" s="121"/>
      <c r="BT646" s="121"/>
      <c r="BU646" s="121"/>
      <c r="BV646" s="121"/>
      <c r="BW646" s="121"/>
      <c r="BX646" s="121"/>
      <c r="BY646" s="121"/>
      <c r="BZ646" s="121"/>
      <c r="CA646" s="121"/>
      <c r="CB646" s="121"/>
      <c r="CC646" s="121"/>
      <c r="CD646" s="121"/>
      <c r="CE646" s="121"/>
      <c r="CF646" s="121"/>
      <c r="CG646" s="121"/>
      <c r="CH646" s="121"/>
      <c r="CI646" s="121"/>
      <c r="CJ646" s="121"/>
      <c r="CK646" s="121"/>
      <c r="CL646" s="121"/>
      <c r="CM646" s="121"/>
      <c r="CN646" s="121"/>
      <c r="CO646" s="121"/>
      <c r="CP646" s="121"/>
      <c r="CQ646" s="121"/>
      <c r="CR646" s="121"/>
      <c r="CS646" s="121"/>
      <c r="CT646" s="121"/>
      <c r="CU646" s="121"/>
      <c r="CV646" s="121"/>
      <c r="CW646" s="121"/>
      <c r="CX646" s="121"/>
      <c r="CY646" s="121"/>
      <c r="CZ646" s="121"/>
      <c r="DA646" s="121"/>
      <c r="DB646" s="121"/>
      <c r="DC646" s="121"/>
      <c r="DD646" s="121"/>
      <c r="DE646" s="121"/>
      <c r="DF646" s="121"/>
      <c r="DG646" s="121"/>
      <c r="DH646" s="121"/>
      <c r="DI646" s="121"/>
      <c r="DJ646" s="121"/>
      <c r="DK646" s="121"/>
      <c r="DL646" s="121"/>
      <c r="DM646" s="121"/>
      <c r="DN646" s="121"/>
      <c r="DO646" s="121"/>
      <c r="DP646" s="121"/>
      <c r="DQ646" s="121"/>
      <c r="DR646" s="121"/>
      <c r="DS646" s="121"/>
      <c r="DT646" s="240"/>
      <c r="DU646" s="240"/>
      <c r="DV646" s="240"/>
      <c r="DW646" s="240"/>
      <c r="DX646" s="240"/>
      <c r="DY646" s="240"/>
      <c r="DZ646" s="240"/>
      <c r="EA646" s="240"/>
      <c r="EB646" s="237">
        <f t="shared" ref="EB646:EB709" si="80">AB646+AC646*K646+AD646*K646+((AF646+AG646+AH646+AJ646+AK646)*K646+AE646+AI646+AL646*K646+AM646*K646)+AP646+AQ646*L646+AR646*L646+((AT646+AU646+AV646+AX646+AY646)*L646+AS646+AW646+AZ646*L646+BA646*L646)+IF(AND(M646&gt;0,MAX(M646,N646/1000)&lt;1),BD646+1*(BE646+BF646)+(1*(BH646+BI646+BJ646+BL646+BM646)+BG646+BK646+BN646+BO646),IF(AND(M646&gt;0,MAX(M646,N646/1000)&gt;1),BD646+MAX(M646,N646/1000)*(BE646+BF646)+(MAX(M646,N646/1000)*(BH646+BI646+BJ646+BL646+BM646)+BG646+BK646+BN646+BO646),IF(AND(K646="",L646="",M646=""),BD646+N646*(BE646+BF646)+((BH646+BI646+BJ646+BL646+BM646)*N646+BG646+BK646+BN646+BO646),0)))</f>
        <v>0</v>
      </c>
      <c r="EC646" s="237">
        <f t="shared" ref="EC646:EC709" si="81">BR646+BS646*K646+BT646*K646+((BV646+BW646+BX646+BZ646+CA646)*K646+BU646+BY646+CB646*K646+CC646*K646)+CJ646+CK646*L646+CL646*L646+((CN646+CO646+CP646+CR646+CS646)*L646+CM646+CQ646+CT646*L646+CU646*L646)+IF(AND(M646&gt;0,MAX(M646,N646/1000)&lt;1),DB646+1*(DC646+DD646)+(1*(DF646+DG646+DH646+DJ646+DK646)+DE646+DI646+DL646+DM646),IF(AND(M646&gt;0,MAX(M646,N646/1000)&gt;1),DB646+MAX(M646,N646/1000)*(DC646+DD646)+(MAX(M646,N646/1000)*(DF646+DG646+DH646+DJ646+DK646)+DE646+DI646+DL646+DM646),IF(AND(K646="",L646="",M646=""),DB646+N646*(DC646+DD646)+((DF646+DG646+DH646+DJ646+DK646)*N646+DE646+DI646+DL646+DM646),0)))</f>
        <v>0</v>
      </c>
      <c r="ED646" s="237">
        <f t="shared" ref="ED646:ED709" si="82">AN646*K646*(1-AO646%)+BB646*L646*(1-BC646%)+BP646*IF(AND(M646&gt;0,M646&lt;1),1,IF(M646&gt;1,MAX(M646,N646/1000),N646))*(1-BQ646%)</f>
        <v>0</v>
      </c>
      <c r="EE646" s="237">
        <f t="shared" ref="EE646:EE709" si="83">(CD646+CE646*K646)*(1-CF646%)+(CG646+CH646*K646)*(1-CI646%)+(CV646+CW646*L646)*(1-CX646%)+(CY646+CZ646*L646)*(1-DA646%)+(DN646+DO646*IF(AND(M646&gt;0,M646&lt;1),1,IF(M646&gt;1,MAX(M646,N646/1000),N646)))*(1-DP646%)+(DQ646+DR646*IF(AND(M646&gt;0,M646&lt;1),1,IF(M646&gt;1,MAX(M646,N646/1000),N646)))*(1-DS646%)</f>
        <v>0</v>
      </c>
      <c r="EF646" s="121"/>
      <c r="EG646" s="238">
        <f t="shared" ref="EG646:EG709" si="84">((BR646+BS646*K646+BT646*K646)+(CJ646+CK646*L646*+CL646*L646)+IF(AND(M646&gt;0,MAX(M646,N646/1000)&lt;1),DB646+DC646+DD646,IF(AND(M646&gt;0,MAX(M646,N646/1000)&gt;1),DB646+DC646*M646+DD646*M646,IF(AND(M646&gt;0,MAX(M646,N646/1000)&gt;1),DB646+MAX(M646,N646/1000)*DC646+MAX(M646,N646/1000)*DD646+IF(AND(K646="",L646="",M646=""),DB646+DC646*N646+DD646*N646,0)))))*EF646/365*ES646%</f>
        <v>0</v>
      </c>
      <c r="EH646" s="121"/>
      <c r="EI646" s="237">
        <f t="shared" ref="EI646:EI709" si="85">(((BV646+BW646+BX646+BZ646+CA646)*K646+BU646+BY646)*1.08+CJ646+CK646*L646+CL646*L646+((CN646+CO646+CP646+CR646+CS646)*L646+CM646+CQ646)*1.08+IF(AND(M646&gt;0,MAX(M646,N646/1000)&lt;1),DB646+1*(DC646+DD646)+(1*(DF646+DG646+DH646+DJ646+DK646)+DE646+DI646)*1.08,IF(AND(M646&gt;0,MAX(M646,N646/1000)&gt;1),DB646+MAX(M646,N646/1000)*(DC646+DD646)+(MAX(M646,N646/1000)*(DF646+DG646+DH646+DJ646+DK646)+DE646+DI646)*1.08,IF(AND(K646="",L646="",M646=""),DB646+N646*(DC646+DD646)+((DF646+DG646+DH646+DJ646+DK646)*N646+DE646+DI646)*1.08,0))))*EH646/365*ES646%</f>
        <v>0</v>
      </c>
      <c r="EJ646" s="121"/>
      <c r="EK646" s="237">
        <f t="shared" ref="EK646:EK709" si="86">((CB646*K646+CC646*K646)*1.1+(CT646*L646+CU646*L646)*1.1+(DL646+DM646)*1.1)*EJ646/365*ES646%</f>
        <v>0</v>
      </c>
      <c r="EL646" s="237"/>
      <c r="EM646" s="5"/>
      <c r="EN646" s="5"/>
      <c r="EO646" s="5"/>
      <c r="EP646" s="5"/>
      <c r="EQ646" s="237">
        <f t="shared" ref="EQ646:EQ709" si="87">EC646-EB646-EG646-EI646-EK646-(AN646*K646+BB646*L646+BP646*IF(AND(M646&gt;0,M646&lt;1),1,IF(M646&gt;1,MAX(M646,N646/1000),N646))+CD646+CE646*K646+CV646+CW646*L646+DN646+DO646*IF(AND(M646&gt;0,M646&lt;1),1,IF(M646&gt;1,MAX(M646,N646/1000),N646))+CG646+CH646*K646+CY646+CZ646*L646+DQ646+DR646*IF(AND(M646&gt;0,M646&lt;1),1,IF(M646&gt;1,MAX(M646,N646/1000),N646)))-EL646-EM646*EN646/365*ES646%-EO646*EP646/365*ES646%</f>
        <v>0</v>
      </c>
      <c r="ER646" s="239">
        <v>23300</v>
      </c>
      <c r="ES646" s="5">
        <v>7.5</v>
      </c>
    </row>
    <row r="647" spans="1:149" x14ac:dyDescent="0.3">
      <c r="A647" s="124"/>
      <c r="B647" s="121"/>
      <c r="C647" s="121"/>
      <c r="D647" s="121"/>
      <c r="E647" s="121"/>
      <c r="F647" s="121"/>
      <c r="G647" s="121"/>
      <c r="H647" s="121"/>
      <c r="I647" s="121"/>
      <c r="J647" s="121"/>
      <c r="K647" s="121"/>
      <c r="L647" s="121"/>
      <c r="M647" s="121"/>
      <c r="N647" s="121"/>
      <c r="O647" s="235"/>
      <c r="P647" s="121"/>
      <c r="Q647" s="121"/>
      <c r="R647" s="121"/>
      <c r="S647" s="121"/>
      <c r="T647" s="121"/>
      <c r="U647" s="121"/>
      <c r="V647" s="121"/>
      <c r="W647" s="121"/>
      <c r="X647" s="117"/>
      <c r="Y647" s="117"/>
      <c r="Z647" s="121"/>
      <c r="AA647" s="121"/>
      <c r="AB647" s="121"/>
      <c r="AC647" s="121"/>
      <c r="AD647" s="121"/>
      <c r="AE647" s="121"/>
      <c r="AF647" s="121"/>
      <c r="AG647" s="121"/>
      <c r="AH647" s="121"/>
      <c r="AI647" s="121"/>
      <c r="AJ647" s="121"/>
      <c r="AK647" s="121"/>
      <c r="AL647" s="121"/>
      <c r="AM647" s="121"/>
      <c r="AN647" s="121"/>
      <c r="AO647" s="121"/>
      <c r="AP647" s="121"/>
      <c r="AQ647" s="121"/>
      <c r="AR647" s="121"/>
      <c r="AS647" s="121"/>
      <c r="AT647" s="121"/>
      <c r="AU647" s="121"/>
      <c r="AV647" s="121"/>
      <c r="AW647" s="121"/>
      <c r="AX647" s="121"/>
      <c r="AY647" s="121"/>
      <c r="AZ647" s="121"/>
      <c r="BA647" s="121"/>
      <c r="BB647" s="121"/>
      <c r="BC647" s="121"/>
      <c r="BD647" s="121"/>
      <c r="BE647" s="121"/>
      <c r="BF647" s="121"/>
      <c r="BG647" s="121"/>
      <c r="BH647" s="121"/>
      <c r="BI647" s="121"/>
      <c r="BJ647" s="121"/>
      <c r="BK647" s="121"/>
      <c r="BL647" s="121"/>
      <c r="BM647" s="121"/>
      <c r="BN647" s="121"/>
      <c r="BO647" s="121"/>
      <c r="BP647" s="121"/>
      <c r="BQ647" s="121"/>
      <c r="BR647" s="121"/>
      <c r="BS647" s="121"/>
      <c r="BT647" s="121"/>
      <c r="BU647" s="121"/>
      <c r="BV647" s="121"/>
      <c r="BW647" s="121"/>
      <c r="BX647" s="121"/>
      <c r="BY647" s="121"/>
      <c r="BZ647" s="121"/>
      <c r="CA647" s="121"/>
      <c r="CB647" s="121"/>
      <c r="CC647" s="121"/>
      <c r="CD647" s="121"/>
      <c r="CE647" s="121"/>
      <c r="CF647" s="121"/>
      <c r="CG647" s="121"/>
      <c r="CH647" s="121"/>
      <c r="CI647" s="121"/>
      <c r="CJ647" s="121"/>
      <c r="CK647" s="121"/>
      <c r="CL647" s="121"/>
      <c r="CM647" s="121"/>
      <c r="CN647" s="121"/>
      <c r="CO647" s="121"/>
      <c r="CP647" s="121"/>
      <c r="CQ647" s="121"/>
      <c r="CR647" s="121"/>
      <c r="CS647" s="121"/>
      <c r="CT647" s="121"/>
      <c r="CU647" s="121"/>
      <c r="CV647" s="121"/>
      <c r="CW647" s="121"/>
      <c r="CX647" s="121"/>
      <c r="CY647" s="121"/>
      <c r="CZ647" s="121"/>
      <c r="DA647" s="121"/>
      <c r="DB647" s="121"/>
      <c r="DC647" s="121"/>
      <c r="DD647" s="121"/>
      <c r="DE647" s="121"/>
      <c r="DF647" s="121"/>
      <c r="DG647" s="121"/>
      <c r="DH647" s="121"/>
      <c r="DI647" s="121"/>
      <c r="DJ647" s="121"/>
      <c r="DK647" s="121"/>
      <c r="DL647" s="121"/>
      <c r="DM647" s="121"/>
      <c r="DN647" s="121"/>
      <c r="DO647" s="121"/>
      <c r="DP647" s="121"/>
      <c r="DQ647" s="121"/>
      <c r="DR647" s="121"/>
      <c r="DS647" s="121"/>
      <c r="DT647" s="240"/>
      <c r="DU647" s="240"/>
      <c r="DV647" s="240"/>
      <c r="DW647" s="240"/>
      <c r="DX647" s="240"/>
      <c r="DY647" s="240"/>
      <c r="DZ647" s="240"/>
      <c r="EA647" s="240"/>
      <c r="EB647" s="237">
        <f t="shared" si="80"/>
        <v>0</v>
      </c>
      <c r="EC647" s="237">
        <f t="shared" si="81"/>
        <v>0</v>
      </c>
      <c r="ED647" s="237">
        <f t="shared" si="82"/>
        <v>0</v>
      </c>
      <c r="EE647" s="237">
        <f t="shared" si="83"/>
        <v>0</v>
      </c>
      <c r="EF647" s="121"/>
      <c r="EG647" s="238">
        <f t="shared" si="84"/>
        <v>0</v>
      </c>
      <c r="EH647" s="121"/>
      <c r="EI647" s="237">
        <f t="shared" si="85"/>
        <v>0</v>
      </c>
      <c r="EJ647" s="121"/>
      <c r="EK647" s="237">
        <f t="shared" si="86"/>
        <v>0</v>
      </c>
      <c r="EL647" s="237"/>
      <c r="EM647" s="5"/>
      <c r="EN647" s="5"/>
      <c r="EO647" s="5"/>
      <c r="EP647" s="5"/>
      <c r="EQ647" s="237">
        <f t="shared" si="87"/>
        <v>0</v>
      </c>
      <c r="ER647" s="239">
        <v>23300</v>
      </c>
      <c r="ES647" s="5">
        <v>7.5</v>
      </c>
    </row>
    <row r="648" spans="1:149" x14ac:dyDescent="0.3">
      <c r="A648" s="124"/>
      <c r="B648" s="121"/>
      <c r="C648" s="121"/>
      <c r="D648" s="121"/>
      <c r="E648" s="121"/>
      <c r="F648" s="121"/>
      <c r="G648" s="121"/>
      <c r="H648" s="121"/>
      <c r="I648" s="121"/>
      <c r="J648" s="121"/>
      <c r="K648" s="121"/>
      <c r="L648" s="121"/>
      <c r="M648" s="121"/>
      <c r="N648" s="121"/>
      <c r="O648" s="235"/>
      <c r="P648" s="121"/>
      <c r="Q648" s="121"/>
      <c r="R648" s="121"/>
      <c r="S648" s="121"/>
      <c r="T648" s="121"/>
      <c r="U648" s="121"/>
      <c r="V648" s="121"/>
      <c r="W648" s="121"/>
      <c r="X648" s="117"/>
      <c r="Y648" s="117"/>
      <c r="Z648" s="121"/>
      <c r="AA648" s="121"/>
      <c r="AB648" s="121"/>
      <c r="AC648" s="121"/>
      <c r="AD648" s="121"/>
      <c r="AE648" s="121"/>
      <c r="AF648" s="121"/>
      <c r="AG648" s="121"/>
      <c r="AH648" s="121"/>
      <c r="AI648" s="121"/>
      <c r="AJ648" s="121"/>
      <c r="AK648" s="121"/>
      <c r="AL648" s="121"/>
      <c r="AM648" s="121"/>
      <c r="AN648" s="121"/>
      <c r="AO648" s="121"/>
      <c r="AP648" s="121"/>
      <c r="AQ648" s="121"/>
      <c r="AR648" s="121"/>
      <c r="AS648" s="121"/>
      <c r="AT648" s="121"/>
      <c r="AU648" s="121"/>
      <c r="AV648" s="121"/>
      <c r="AW648" s="121"/>
      <c r="AX648" s="121"/>
      <c r="AY648" s="121"/>
      <c r="AZ648" s="121"/>
      <c r="BA648" s="121"/>
      <c r="BB648" s="121"/>
      <c r="BC648" s="121"/>
      <c r="BD648" s="121"/>
      <c r="BE648" s="121"/>
      <c r="BF648" s="121"/>
      <c r="BG648" s="121"/>
      <c r="BH648" s="121"/>
      <c r="BI648" s="121"/>
      <c r="BJ648" s="121"/>
      <c r="BK648" s="121"/>
      <c r="BL648" s="121"/>
      <c r="BM648" s="121"/>
      <c r="BN648" s="121"/>
      <c r="BO648" s="121"/>
      <c r="BP648" s="121"/>
      <c r="BQ648" s="121"/>
      <c r="BR648" s="121"/>
      <c r="BS648" s="121"/>
      <c r="BT648" s="121"/>
      <c r="BU648" s="121"/>
      <c r="BV648" s="121"/>
      <c r="BW648" s="121"/>
      <c r="BX648" s="121"/>
      <c r="BY648" s="121"/>
      <c r="BZ648" s="121"/>
      <c r="CA648" s="121"/>
      <c r="CB648" s="121"/>
      <c r="CC648" s="121"/>
      <c r="CD648" s="121"/>
      <c r="CE648" s="121"/>
      <c r="CF648" s="121"/>
      <c r="CG648" s="121"/>
      <c r="CH648" s="121"/>
      <c r="CI648" s="121"/>
      <c r="CJ648" s="121"/>
      <c r="CK648" s="121"/>
      <c r="CL648" s="121"/>
      <c r="CM648" s="121"/>
      <c r="CN648" s="121"/>
      <c r="CO648" s="121"/>
      <c r="CP648" s="121"/>
      <c r="CQ648" s="121"/>
      <c r="CR648" s="121"/>
      <c r="CS648" s="121"/>
      <c r="CT648" s="121"/>
      <c r="CU648" s="121"/>
      <c r="CV648" s="121"/>
      <c r="CW648" s="121"/>
      <c r="CX648" s="121"/>
      <c r="CY648" s="121"/>
      <c r="CZ648" s="121"/>
      <c r="DA648" s="121"/>
      <c r="DB648" s="121"/>
      <c r="DC648" s="121"/>
      <c r="DD648" s="121"/>
      <c r="DE648" s="121"/>
      <c r="DF648" s="121"/>
      <c r="DG648" s="121"/>
      <c r="DH648" s="121"/>
      <c r="DI648" s="121"/>
      <c r="DJ648" s="121"/>
      <c r="DK648" s="121"/>
      <c r="DL648" s="121"/>
      <c r="DM648" s="121"/>
      <c r="DN648" s="121"/>
      <c r="DO648" s="121"/>
      <c r="DP648" s="121"/>
      <c r="DQ648" s="121"/>
      <c r="DR648" s="121"/>
      <c r="DS648" s="121"/>
      <c r="DT648" s="240"/>
      <c r="DU648" s="240"/>
      <c r="DV648" s="240"/>
      <c r="DW648" s="240"/>
      <c r="DX648" s="240"/>
      <c r="DY648" s="240"/>
      <c r="DZ648" s="240"/>
      <c r="EA648" s="240"/>
      <c r="EB648" s="237">
        <f t="shared" si="80"/>
        <v>0</v>
      </c>
      <c r="EC648" s="237">
        <f t="shared" si="81"/>
        <v>0</v>
      </c>
      <c r="ED648" s="237">
        <f t="shared" si="82"/>
        <v>0</v>
      </c>
      <c r="EE648" s="237">
        <f t="shared" si="83"/>
        <v>0</v>
      </c>
      <c r="EF648" s="121"/>
      <c r="EG648" s="238">
        <f t="shared" si="84"/>
        <v>0</v>
      </c>
      <c r="EH648" s="121"/>
      <c r="EI648" s="237">
        <f t="shared" si="85"/>
        <v>0</v>
      </c>
      <c r="EJ648" s="121"/>
      <c r="EK648" s="237">
        <f t="shared" si="86"/>
        <v>0</v>
      </c>
      <c r="EL648" s="237"/>
      <c r="EM648" s="5"/>
      <c r="EN648" s="5"/>
      <c r="EO648" s="5"/>
      <c r="EP648" s="5"/>
      <c r="EQ648" s="237">
        <f t="shared" si="87"/>
        <v>0</v>
      </c>
      <c r="ER648" s="239">
        <v>23300</v>
      </c>
      <c r="ES648" s="5">
        <v>7.5</v>
      </c>
    </row>
    <row r="649" spans="1:149" x14ac:dyDescent="0.3">
      <c r="A649" s="124"/>
      <c r="B649" s="121"/>
      <c r="C649" s="121"/>
      <c r="D649" s="121"/>
      <c r="E649" s="121"/>
      <c r="F649" s="121"/>
      <c r="G649" s="121"/>
      <c r="H649" s="121"/>
      <c r="I649" s="121"/>
      <c r="J649" s="121"/>
      <c r="K649" s="121"/>
      <c r="L649" s="121"/>
      <c r="M649" s="121"/>
      <c r="N649" s="121"/>
      <c r="O649" s="235"/>
      <c r="P649" s="121"/>
      <c r="Q649" s="121"/>
      <c r="R649" s="121"/>
      <c r="S649" s="121"/>
      <c r="T649" s="121"/>
      <c r="U649" s="121"/>
      <c r="V649" s="121"/>
      <c r="W649" s="121"/>
      <c r="X649" s="117"/>
      <c r="Y649" s="117"/>
      <c r="Z649" s="121"/>
      <c r="AA649" s="121"/>
      <c r="AB649" s="121"/>
      <c r="AC649" s="121"/>
      <c r="AD649" s="121"/>
      <c r="AE649" s="121"/>
      <c r="AF649" s="121"/>
      <c r="AG649" s="121"/>
      <c r="AH649" s="121"/>
      <c r="AI649" s="121"/>
      <c r="AJ649" s="121"/>
      <c r="AK649" s="121"/>
      <c r="AL649" s="121"/>
      <c r="AM649" s="121"/>
      <c r="AN649" s="121"/>
      <c r="AO649" s="121"/>
      <c r="AP649" s="121"/>
      <c r="AQ649" s="121"/>
      <c r="AR649" s="121"/>
      <c r="AS649" s="121"/>
      <c r="AT649" s="121"/>
      <c r="AU649" s="121"/>
      <c r="AV649" s="121"/>
      <c r="AW649" s="121"/>
      <c r="AX649" s="121"/>
      <c r="AY649" s="121"/>
      <c r="AZ649" s="121"/>
      <c r="BA649" s="121"/>
      <c r="BB649" s="121"/>
      <c r="BC649" s="121"/>
      <c r="BD649" s="121"/>
      <c r="BE649" s="121"/>
      <c r="BF649" s="121"/>
      <c r="BG649" s="121"/>
      <c r="BH649" s="121"/>
      <c r="BI649" s="121"/>
      <c r="BJ649" s="121"/>
      <c r="BK649" s="121"/>
      <c r="BL649" s="121"/>
      <c r="BM649" s="121"/>
      <c r="BN649" s="121"/>
      <c r="BO649" s="121"/>
      <c r="BP649" s="121"/>
      <c r="BQ649" s="121"/>
      <c r="BR649" s="121"/>
      <c r="BS649" s="121"/>
      <c r="BT649" s="121"/>
      <c r="BU649" s="121"/>
      <c r="BV649" s="121"/>
      <c r="BW649" s="121"/>
      <c r="BX649" s="121"/>
      <c r="BY649" s="121"/>
      <c r="BZ649" s="121"/>
      <c r="CA649" s="121"/>
      <c r="CB649" s="121"/>
      <c r="CC649" s="121"/>
      <c r="CD649" s="121"/>
      <c r="CE649" s="121"/>
      <c r="CF649" s="121"/>
      <c r="CG649" s="121"/>
      <c r="CH649" s="121"/>
      <c r="CI649" s="121"/>
      <c r="CJ649" s="121"/>
      <c r="CK649" s="121"/>
      <c r="CL649" s="121"/>
      <c r="CM649" s="121"/>
      <c r="CN649" s="121"/>
      <c r="CO649" s="121"/>
      <c r="CP649" s="121"/>
      <c r="CQ649" s="121"/>
      <c r="CR649" s="121"/>
      <c r="CS649" s="121"/>
      <c r="CT649" s="121"/>
      <c r="CU649" s="121"/>
      <c r="CV649" s="121"/>
      <c r="CW649" s="121"/>
      <c r="CX649" s="121"/>
      <c r="CY649" s="121"/>
      <c r="CZ649" s="121"/>
      <c r="DA649" s="121"/>
      <c r="DB649" s="121"/>
      <c r="DC649" s="121"/>
      <c r="DD649" s="121"/>
      <c r="DE649" s="121"/>
      <c r="DF649" s="121"/>
      <c r="DG649" s="121"/>
      <c r="DH649" s="121"/>
      <c r="DI649" s="121"/>
      <c r="DJ649" s="121"/>
      <c r="DK649" s="121"/>
      <c r="DL649" s="121"/>
      <c r="DM649" s="121"/>
      <c r="DN649" s="121"/>
      <c r="DO649" s="121"/>
      <c r="DP649" s="121"/>
      <c r="DQ649" s="121"/>
      <c r="DR649" s="121"/>
      <c r="DS649" s="121"/>
      <c r="DT649" s="240"/>
      <c r="DU649" s="240"/>
      <c r="DV649" s="240"/>
      <c r="DW649" s="240"/>
      <c r="DX649" s="240"/>
      <c r="DY649" s="240"/>
      <c r="DZ649" s="240"/>
      <c r="EA649" s="240"/>
      <c r="EB649" s="237">
        <f t="shared" si="80"/>
        <v>0</v>
      </c>
      <c r="EC649" s="237">
        <f t="shared" si="81"/>
        <v>0</v>
      </c>
      <c r="ED649" s="237">
        <f t="shared" si="82"/>
        <v>0</v>
      </c>
      <c r="EE649" s="237">
        <f t="shared" si="83"/>
        <v>0</v>
      </c>
      <c r="EF649" s="121"/>
      <c r="EG649" s="238">
        <f t="shared" si="84"/>
        <v>0</v>
      </c>
      <c r="EH649" s="121"/>
      <c r="EI649" s="237">
        <f t="shared" si="85"/>
        <v>0</v>
      </c>
      <c r="EJ649" s="121"/>
      <c r="EK649" s="237">
        <f t="shared" si="86"/>
        <v>0</v>
      </c>
      <c r="EL649" s="237"/>
      <c r="EM649" s="5"/>
      <c r="EN649" s="5"/>
      <c r="EO649" s="5"/>
      <c r="EP649" s="5"/>
      <c r="EQ649" s="237">
        <f t="shared" si="87"/>
        <v>0</v>
      </c>
      <c r="ER649" s="239">
        <v>23300</v>
      </c>
      <c r="ES649" s="5">
        <v>7.5</v>
      </c>
    </row>
    <row r="650" spans="1:149" x14ac:dyDescent="0.3">
      <c r="A650" s="124"/>
      <c r="B650" s="121"/>
      <c r="C650" s="121"/>
      <c r="D650" s="121"/>
      <c r="E650" s="121"/>
      <c r="F650" s="121"/>
      <c r="G650" s="121"/>
      <c r="H650" s="121"/>
      <c r="I650" s="121"/>
      <c r="J650" s="121"/>
      <c r="K650" s="121"/>
      <c r="L650" s="121"/>
      <c r="M650" s="121"/>
      <c r="N650" s="121"/>
      <c r="O650" s="235"/>
      <c r="P650" s="121"/>
      <c r="Q650" s="121"/>
      <c r="R650" s="121"/>
      <c r="S650" s="121"/>
      <c r="T650" s="121"/>
      <c r="U650" s="121"/>
      <c r="V650" s="121"/>
      <c r="W650" s="121"/>
      <c r="X650" s="117"/>
      <c r="Y650" s="117"/>
      <c r="Z650" s="121"/>
      <c r="AA650" s="121"/>
      <c r="AB650" s="121"/>
      <c r="AC650" s="121"/>
      <c r="AD650" s="121"/>
      <c r="AE650" s="121"/>
      <c r="AF650" s="121"/>
      <c r="AG650" s="121"/>
      <c r="AH650" s="121"/>
      <c r="AI650" s="121"/>
      <c r="AJ650" s="121"/>
      <c r="AK650" s="121"/>
      <c r="AL650" s="121"/>
      <c r="AM650" s="121"/>
      <c r="AN650" s="121"/>
      <c r="AO650" s="121"/>
      <c r="AP650" s="121"/>
      <c r="AQ650" s="121"/>
      <c r="AR650" s="121"/>
      <c r="AS650" s="121"/>
      <c r="AT650" s="121"/>
      <c r="AU650" s="121"/>
      <c r="AV650" s="121"/>
      <c r="AW650" s="121"/>
      <c r="AX650" s="121"/>
      <c r="AY650" s="121"/>
      <c r="AZ650" s="121"/>
      <c r="BA650" s="121"/>
      <c r="BB650" s="121"/>
      <c r="BC650" s="121"/>
      <c r="BD650" s="121"/>
      <c r="BE650" s="121"/>
      <c r="BF650" s="121"/>
      <c r="BG650" s="121"/>
      <c r="BH650" s="121"/>
      <c r="BI650" s="121"/>
      <c r="BJ650" s="121"/>
      <c r="BK650" s="121"/>
      <c r="BL650" s="121"/>
      <c r="BM650" s="121"/>
      <c r="BN650" s="121"/>
      <c r="BO650" s="121"/>
      <c r="BP650" s="121"/>
      <c r="BQ650" s="121"/>
      <c r="BR650" s="121"/>
      <c r="BS650" s="121"/>
      <c r="BT650" s="121"/>
      <c r="BU650" s="121"/>
      <c r="BV650" s="121"/>
      <c r="BW650" s="121"/>
      <c r="BX650" s="121"/>
      <c r="BY650" s="121"/>
      <c r="BZ650" s="121"/>
      <c r="CA650" s="121"/>
      <c r="CB650" s="121"/>
      <c r="CC650" s="121"/>
      <c r="CD650" s="121"/>
      <c r="CE650" s="121"/>
      <c r="CF650" s="121"/>
      <c r="CG650" s="121"/>
      <c r="CH650" s="121"/>
      <c r="CI650" s="121"/>
      <c r="CJ650" s="121"/>
      <c r="CK650" s="121"/>
      <c r="CL650" s="121"/>
      <c r="CM650" s="121"/>
      <c r="CN650" s="121"/>
      <c r="CO650" s="121"/>
      <c r="CP650" s="121"/>
      <c r="CQ650" s="121"/>
      <c r="CR650" s="121"/>
      <c r="CS650" s="121"/>
      <c r="CT650" s="121"/>
      <c r="CU650" s="121"/>
      <c r="CV650" s="121"/>
      <c r="CW650" s="121"/>
      <c r="CX650" s="121"/>
      <c r="CY650" s="121"/>
      <c r="CZ650" s="121"/>
      <c r="DA650" s="121"/>
      <c r="DB650" s="121"/>
      <c r="DC650" s="121"/>
      <c r="DD650" s="121"/>
      <c r="DE650" s="121"/>
      <c r="DF650" s="121"/>
      <c r="DG650" s="121"/>
      <c r="DH650" s="121"/>
      <c r="DI650" s="121"/>
      <c r="DJ650" s="121"/>
      <c r="DK650" s="121"/>
      <c r="DL650" s="121"/>
      <c r="DM650" s="121"/>
      <c r="DN650" s="121"/>
      <c r="DO650" s="121"/>
      <c r="DP650" s="121"/>
      <c r="DQ650" s="121"/>
      <c r="DR650" s="121"/>
      <c r="DS650" s="121"/>
      <c r="DT650" s="240"/>
      <c r="DU650" s="240"/>
      <c r="DV650" s="240"/>
      <c r="DW650" s="240"/>
      <c r="DX650" s="240"/>
      <c r="DY650" s="240"/>
      <c r="DZ650" s="240"/>
      <c r="EA650" s="240"/>
      <c r="EB650" s="237">
        <f t="shared" si="80"/>
        <v>0</v>
      </c>
      <c r="EC650" s="237">
        <f t="shared" si="81"/>
        <v>0</v>
      </c>
      <c r="ED650" s="237">
        <f t="shared" si="82"/>
        <v>0</v>
      </c>
      <c r="EE650" s="237">
        <f t="shared" si="83"/>
        <v>0</v>
      </c>
      <c r="EF650" s="121"/>
      <c r="EG650" s="238">
        <f t="shared" si="84"/>
        <v>0</v>
      </c>
      <c r="EH650" s="121"/>
      <c r="EI650" s="237">
        <f t="shared" si="85"/>
        <v>0</v>
      </c>
      <c r="EJ650" s="121"/>
      <c r="EK650" s="237">
        <f t="shared" si="86"/>
        <v>0</v>
      </c>
      <c r="EL650" s="237"/>
      <c r="EM650" s="5"/>
      <c r="EN650" s="5"/>
      <c r="EO650" s="5"/>
      <c r="EP650" s="5"/>
      <c r="EQ650" s="237">
        <f t="shared" si="87"/>
        <v>0</v>
      </c>
      <c r="ER650" s="239">
        <v>23300</v>
      </c>
      <c r="ES650" s="5">
        <v>7.5</v>
      </c>
    </row>
    <row r="651" spans="1:149" x14ac:dyDescent="0.3">
      <c r="A651" s="124"/>
      <c r="B651" s="121"/>
      <c r="C651" s="121"/>
      <c r="D651" s="121"/>
      <c r="E651" s="121"/>
      <c r="F651" s="121"/>
      <c r="G651" s="121"/>
      <c r="H651" s="121"/>
      <c r="I651" s="121"/>
      <c r="J651" s="121"/>
      <c r="K651" s="121"/>
      <c r="L651" s="121"/>
      <c r="M651" s="121"/>
      <c r="N651" s="121"/>
      <c r="O651" s="235"/>
      <c r="P651" s="121"/>
      <c r="Q651" s="121"/>
      <c r="R651" s="121"/>
      <c r="S651" s="121"/>
      <c r="T651" s="121"/>
      <c r="U651" s="121"/>
      <c r="V651" s="121"/>
      <c r="W651" s="121"/>
      <c r="X651" s="117"/>
      <c r="Y651" s="117"/>
      <c r="Z651" s="121"/>
      <c r="AA651" s="121"/>
      <c r="AB651" s="121"/>
      <c r="AC651" s="121"/>
      <c r="AD651" s="121"/>
      <c r="AE651" s="121"/>
      <c r="AF651" s="121"/>
      <c r="AG651" s="121"/>
      <c r="AH651" s="121"/>
      <c r="AI651" s="121"/>
      <c r="AJ651" s="121"/>
      <c r="AK651" s="121"/>
      <c r="AL651" s="121"/>
      <c r="AM651" s="121"/>
      <c r="AN651" s="121"/>
      <c r="AO651" s="121"/>
      <c r="AP651" s="121"/>
      <c r="AQ651" s="121"/>
      <c r="AR651" s="121"/>
      <c r="AS651" s="121"/>
      <c r="AT651" s="121"/>
      <c r="AU651" s="121"/>
      <c r="AV651" s="121"/>
      <c r="AW651" s="121"/>
      <c r="AX651" s="121"/>
      <c r="AY651" s="121"/>
      <c r="AZ651" s="121"/>
      <c r="BA651" s="121"/>
      <c r="BB651" s="121"/>
      <c r="BC651" s="121"/>
      <c r="BD651" s="121"/>
      <c r="BE651" s="121"/>
      <c r="BF651" s="121"/>
      <c r="BG651" s="121"/>
      <c r="BH651" s="121"/>
      <c r="BI651" s="121"/>
      <c r="BJ651" s="121"/>
      <c r="BK651" s="121"/>
      <c r="BL651" s="121"/>
      <c r="BM651" s="121"/>
      <c r="BN651" s="121"/>
      <c r="BO651" s="121"/>
      <c r="BP651" s="121"/>
      <c r="BQ651" s="121"/>
      <c r="BR651" s="121"/>
      <c r="BS651" s="121"/>
      <c r="BT651" s="121"/>
      <c r="BU651" s="121"/>
      <c r="BV651" s="121"/>
      <c r="BW651" s="121"/>
      <c r="BX651" s="121"/>
      <c r="BY651" s="121"/>
      <c r="BZ651" s="121"/>
      <c r="CA651" s="121"/>
      <c r="CB651" s="121"/>
      <c r="CC651" s="121"/>
      <c r="CD651" s="121"/>
      <c r="CE651" s="121"/>
      <c r="CF651" s="121"/>
      <c r="CG651" s="121"/>
      <c r="CH651" s="121"/>
      <c r="CI651" s="121"/>
      <c r="CJ651" s="121"/>
      <c r="CK651" s="121"/>
      <c r="CL651" s="121"/>
      <c r="CM651" s="121"/>
      <c r="CN651" s="121"/>
      <c r="CO651" s="121"/>
      <c r="CP651" s="121"/>
      <c r="CQ651" s="121"/>
      <c r="CR651" s="121"/>
      <c r="CS651" s="121"/>
      <c r="CT651" s="121"/>
      <c r="CU651" s="121"/>
      <c r="CV651" s="121"/>
      <c r="CW651" s="121"/>
      <c r="CX651" s="121"/>
      <c r="CY651" s="121"/>
      <c r="CZ651" s="121"/>
      <c r="DA651" s="121"/>
      <c r="DB651" s="121"/>
      <c r="DC651" s="121"/>
      <c r="DD651" s="121"/>
      <c r="DE651" s="121"/>
      <c r="DF651" s="121"/>
      <c r="DG651" s="121"/>
      <c r="DH651" s="121"/>
      <c r="DI651" s="121"/>
      <c r="DJ651" s="121"/>
      <c r="DK651" s="121"/>
      <c r="DL651" s="121"/>
      <c r="DM651" s="121"/>
      <c r="DN651" s="121"/>
      <c r="DO651" s="121"/>
      <c r="DP651" s="121"/>
      <c r="DQ651" s="121"/>
      <c r="DR651" s="121"/>
      <c r="DS651" s="121"/>
      <c r="DT651" s="240"/>
      <c r="DU651" s="240"/>
      <c r="DV651" s="240"/>
      <c r="DW651" s="240"/>
      <c r="DX651" s="240"/>
      <c r="DY651" s="240"/>
      <c r="DZ651" s="240"/>
      <c r="EA651" s="240"/>
      <c r="EB651" s="237">
        <f t="shared" si="80"/>
        <v>0</v>
      </c>
      <c r="EC651" s="237">
        <f t="shared" si="81"/>
        <v>0</v>
      </c>
      <c r="ED651" s="237">
        <f t="shared" si="82"/>
        <v>0</v>
      </c>
      <c r="EE651" s="237">
        <f t="shared" si="83"/>
        <v>0</v>
      </c>
      <c r="EF651" s="121"/>
      <c r="EG651" s="238">
        <f t="shared" si="84"/>
        <v>0</v>
      </c>
      <c r="EH651" s="121"/>
      <c r="EI651" s="237">
        <f t="shared" si="85"/>
        <v>0</v>
      </c>
      <c r="EJ651" s="121"/>
      <c r="EK651" s="237">
        <f t="shared" si="86"/>
        <v>0</v>
      </c>
      <c r="EL651" s="237"/>
      <c r="EM651" s="5"/>
      <c r="EN651" s="5"/>
      <c r="EO651" s="5"/>
      <c r="EP651" s="5"/>
      <c r="EQ651" s="237">
        <f t="shared" si="87"/>
        <v>0</v>
      </c>
      <c r="ER651" s="239">
        <v>23300</v>
      </c>
      <c r="ES651" s="5">
        <v>7.5</v>
      </c>
    </row>
    <row r="652" spans="1:149" x14ac:dyDescent="0.3">
      <c r="A652" s="124"/>
      <c r="B652" s="121"/>
      <c r="C652" s="121"/>
      <c r="D652" s="121"/>
      <c r="E652" s="121"/>
      <c r="F652" s="121"/>
      <c r="G652" s="121"/>
      <c r="H652" s="121"/>
      <c r="I652" s="121"/>
      <c r="J652" s="121"/>
      <c r="K652" s="121"/>
      <c r="L652" s="121"/>
      <c r="M652" s="121"/>
      <c r="N652" s="121"/>
      <c r="O652" s="235"/>
      <c r="P652" s="121"/>
      <c r="Q652" s="121"/>
      <c r="R652" s="121"/>
      <c r="S652" s="121"/>
      <c r="T652" s="121"/>
      <c r="U652" s="121"/>
      <c r="V652" s="121"/>
      <c r="W652" s="121"/>
      <c r="X652" s="117"/>
      <c r="Y652" s="117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/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121"/>
      <c r="BJ652" s="121"/>
      <c r="BK652" s="121"/>
      <c r="BL652" s="121"/>
      <c r="BM652" s="121"/>
      <c r="BN652" s="121"/>
      <c r="BO652" s="121"/>
      <c r="BP652" s="121"/>
      <c r="BQ652" s="121"/>
      <c r="BR652" s="121"/>
      <c r="BS652" s="121"/>
      <c r="BT652" s="121"/>
      <c r="BU652" s="121"/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/>
      <c r="CP652" s="121"/>
      <c r="CQ652" s="121"/>
      <c r="CR652" s="121"/>
      <c r="CS652" s="121"/>
      <c r="CT652" s="121"/>
      <c r="CU652" s="121"/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/>
      <c r="DF652" s="121"/>
      <c r="DG652" s="121"/>
      <c r="DH652" s="121"/>
      <c r="DI652" s="121"/>
      <c r="DJ652" s="121"/>
      <c r="DK652" s="121"/>
      <c r="DL652" s="121"/>
      <c r="DM652" s="121"/>
      <c r="DN652" s="121"/>
      <c r="DO652" s="121"/>
      <c r="DP652" s="121"/>
      <c r="DQ652" s="121"/>
      <c r="DR652" s="121"/>
      <c r="DS652" s="121"/>
      <c r="DT652" s="240"/>
      <c r="DU652" s="240"/>
      <c r="DV652" s="240"/>
      <c r="DW652" s="240"/>
      <c r="DX652" s="240"/>
      <c r="DY652" s="240"/>
      <c r="DZ652" s="240"/>
      <c r="EA652" s="240"/>
      <c r="EB652" s="237">
        <f t="shared" si="80"/>
        <v>0</v>
      </c>
      <c r="EC652" s="237">
        <f t="shared" si="81"/>
        <v>0</v>
      </c>
      <c r="ED652" s="237">
        <f t="shared" si="82"/>
        <v>0</v>
      </c>
      <c r="EE652" s="237">
        <f t="shared" si="83"/>
        <v>0</v>
      </c>
      <c r="EF652" s="121"/>
      <c r="EG652" s="238">
        <f t="shared" si="84"/>
        <v>0</v>
      </c>
      <c r="EH652" s="121"/>
      <c r="EI652" s="237">
        <f t="shared" si="85"/>
        <v>0</v>
      </c>
      <c r="EJ652" s="121"/>
      <c r="EK652" s="237">
        <f t="shared" si="86"/>
        <v>0</v>
      </c>
      <c r="EL652" s="237"/>
      <c r="EM652" s="5"/>
      <c r="EN652" s="5"/>
      <c r="EO652" s="5"/>
      <c r="EP652" s="5"/>
      <c r="EQ652" s="237">
        <f t="shared" si="87"/>
        <v>0</v>
      </c>
      <c r="ER652" s="239">
        <v>23300</v>
      </c>
      <c r="ES652" s="5">
        <v>7.5</v>
      </c>
    </row>
    <row r="653" spans="1:149" x14ac:dyDescent="0.3">
      <c r="A653" s="124"/>
      <c r="B653" s="121"/>
      <c r="C653" s="121"/>
      <c r="D653" s="121"/>
      <c r="E653" s="121"/>
      <c r="F653" s="121"/>
      <c r="G653" s="121"/>
      <c r="H653" s="121"/>
      <c r="I653" s="121"/>
      <c r="J653" s="121"/>
      <c r="K653" s="121"/>
      <c r="L653" s="121"/>
      <c r="M653" s="121"/>
      <c r="N653" s="121"/>
      <c r="O653" s="235"/>
      <c r="P653" s="121"/>
      <c r="Q653" s="121"/>
      <c r="R653" s="121"/>
      <c r="S653" s="121"/>
      <c r="T653" s="121"/>
      <c r="U653" s="121"/>
      <c r="V653" s="121"/>
      <c r="W653" s="121"/>
      <c r="X653" s="117"/>
      <c r="Y653" s="117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21"/>
      <c r="BJ653" s="121"/>
      <c r="BK653" s="121"/>
      <c r="BL653" s="121"/>
      <c r="BM653" s="121"/>
      <c r="BN653" s="121"/>
      <c r="BO653" s="121"/>
      <c r="BP653" s="121"/>
      <c r="BQ653" s="121"/>
      <c r="BR653" s="121"/>
      <c r="BS653" s="121"/>
      <c r="BT653" s="121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21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  <c r="DK653" s="121"/>
      <c r="DL653" s="121"/>
      <c r="DM653" s="121"/>
      <c r="DN653" s="121"/>
      <c r="DO653" s="121"/>
      <c r="DP653" s="121"/>
      <c r="DQ653" s="121"/>
      <c r="DR653" s="121"/>
      <c r="DS653" s="121"/>
      <c r="DT653" s="240"/>
      <c r="DU653" s="240"/>
      <c r="DV653" s="240"/>
      <c r="DW653" s="240"/>
      <c r="DX653" s="240"/>
      <c r="DY653" s="240"/>
      <c r="DZ653" s="240"/>
      <c r="EA653" s="240"/>
      <c r="EB653" s="237">
        <f t="shared" si="80"/>
        <v>0</v>
      </c>
      <c r="EC653" s="237">
        <f t="shared" si="81"/>
        <v>0</v>
      </c>
      <c r="ED653" s="237">
        <f t="shared" si="82"/>
        <v>0</v>
      </c>
      <c r="EE653" s="237">
        <f t="shared" si="83"/>
        <v>0</v>
      </c>
      <c r="EF653" s="121"/>
      <c r="EG653" s="238">
        <f t="shared" si="84"/>
        <v>0</v>
      </c>
      <c r="EH653" s="121"/>
      <c r="EI653" s="237">
        <f t="shared" si="85"/>
        <v>0</v>
      </c>
      <c r="EJ653" s="121"/>
      <c r="EK653" s="237">
        <f t="shared" si="86"/>
        <v>0</v>
      </c>
      <c r="EL653" s="237"/>
      <c r="EM653" s="5"/>
      <c r="EN653" s="5"/>
      <c r="EO653" s="5"/>
      <c r="EP653" s="5"/>
      <c r="EQ653" s="237">
        <f t="shared" si="87"/>
        <v>0</v>
      </c>
      <c r="ER653" s="239">
        <v>23300</v>
      </c>
      <c r="ES653" s="5">
        <v>7.5</v>
      </c>
    </row>
    <row r="654" spans="1:149" x14ac:dyDescent="0.3">
      <c r="A654" s="124"/>
      <c r="B654" s="121"/>
      <c r="C654" s="121"/>
      <c r="D654" s="121"/>
      <c r="E654" s="121"/>
      <c r="F654" s="121"/>
      <c r="G654" s="121"/>
      <c r="H654" s="121"/>
      <c r="I654" s="121"/>
      <c r="J654" s="121"/>
      <c r="K654" s="121"/>
      <c r="L654" s="121"/>
      <c r="M654" s="121"/>
      <c r="N654" s="121"/>
      <c r="O654" s="235"/>
      <c r="P654" s="121"/>
      <c r="Q654" s="121"/>
      <c r="R654" s="121"/>
      <c r="S654" s="121"/>
      <c r="T654" s="121"/>
      <c r="U654" s="121"/>
      <c r="V654" s="121"/>
      <c r="W654" s="121"/>
      <c r="X654" s="117"/>
      <c r="Y654" s="117"/>
      <c r="Z654" s="121"/>
      <c r="AA654" s="121"/>
      <c r="AB654" s="121"/>
      <c r="AC654" s="121"/>
      <c r="AD654" s="121"/>
      <c r="AE654" s="121"/>
      <c r="AF654" s="121"/>
      <c r="AG654" s="121"/>
      <c r="AH654" s="121"/>
      <c r="AI654" s="121"/>
      <c r="AJ654" s="121"/>
      <c r="AK654" s="121"/>
      <c r="AL654" s="121"/>
      <c r="AM654" s="121"/>
      <c r="AN654" s="121"/>
      <c r="AO654" s="121"/>
      <c r="AP654" s="121"/>
      <c r="AQ654" s="121"/>
      <c r="AR654" s="121"/>
      <c r="AS654" s="121"/>
      <c r="AT654" s="121"/>
      <c r="AU654" s="121"/>
      <c r="AV654" s="121"/>
      <c r="AW654" s="121"/>
      <c r="AX654" s="121"/>
      <c r="AY654" s="121"/>
      <c r="AZ654" s="121"/>
      <c r="BA654" s="121"/>
      <c r="BB654" s="121"/>
      <c r="BC654" s="121"/>
      <c r="BD654" s="121"/>
      <c r="BE654" s="121"/>
      <c r="BF654" s="121"/>
      <c r="BG654" s="121"/>
      <c r="BH654" s="121"/>
      <c r="BI654" s="121"/>
      <c r="BJ654" s="121"/>
      <c r="BK654" s="121"/>
      <c r="BL654" s="121"/>
      <c r="BM654" s="121"/>
      <c r="BN654" s="121"/>
      <c r="BO654" s="121"/>
      <c r="BP654" s="121"/>
      <c r="BQ654" s="121"/>
      <c r="BR654" s="121"/>
      <c r="BS654" s="121"/>
      <c r="BT654" s="121"/>
      <c r="BU654" s="121"/>
      <c r="BV654" s="121"/>
      <c r="BW654" s="121"/>
      <c r="BX654" s="121"/>
      <c r="BY654" s="121"/>
      <c r="BZ654" s="121"/>
      <c r="CA654" s="121"/>
      <c r="CB654" s="121"/>
      <c r="CC654" s="121"/>
      <c r="CD654" s="121"/>
      <c r="CE654" s="121"/>
      <c r="CF654" s="121"/>
      <c r="CG654" s="121"/>
      <c r="CH654" s="121"/>
      <c r="CI654" s="121"/>
      <c r="CJ654" s="121"/>
      <c r="CK654" s="121"/>
      <c r="CL654" s="121"/>
      <c r="CM654" s="121"/>
      <c r="CN654" s="121"/>
      <c r="CO654" s="121"/>
      <c r="CP654" s="121"/>
      <c r="CQ654" s="121"/>
      <c r="CR654" s="121"/>
      <c r="CS654" s="121"/>
      <c r="CT654" s="121"/>
      <c r="CU654" s="121"/>
      <c r="CV654" s="121"/>
      <c r="CW654" s="121"/>
      <c r="CX654" s="121"/>
      <c r="CY654" s="121"/>
      <c r="CZ654" s="121"/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  <c r="DK654" s="121"/>
      <c r="DL654" s="121"/>
      <c r="DM654" s="121"/>
      <c r="DN654" s="121"/>
      <c r="DO654" s="121"/>
      <c r="DP654" s="121"/>
      <c r="DQ654" s="121"/>
      <c r="DR654" s="121"/>
      <c r="DS654" s="121"/>
      <c r="DT654" s="240"/>
      <c r="DU654" s="240"/>
      <c r="DV654" s="240"/>
      <c r="DW654" s="240"/>
      <c r="DX654" s="240"/>
      <c r="DY654" s="240"/>
      <c r="DZ654" s="240"/>
      <c r="EA654" s="240"/>
      <c r="EB654" s="237">
        <f t="shared" si="80"/>
        <v>0</v>
      </c>
      <c r="EC654" s="237">
        <f t="shared" si="81"/>
        <v>0</v>
      </c>
      <c r="ED654" s="237">
        <f t="shared" si="82"/>
        <v>0</v>
      </c>
      <c r="EE654" s="237">
        <f t="shared" si="83"/>
        <v>0</v>
      </c>
      <c r="EF654" s="121"/>
      <c r="EG654" s="238">
        <f t="shared" si="84"/>
        <v>0</v>
      </c>
      <c r="EH654" s="121"/>
      <c r="EI654" s="237">
        <f t="shared" si="85"/>
        <v>0</v>
      </c>
      <c r="EJ654" s="121"/>
      <c r="EK654" s="237">
        <f t="shared" si="86"/>
        <v>0</v>
      </c>
      <c r="EL654" s="237"/>
      <c r="EM654" s="5"/>
      <c r="EN654" s="5"/>
      <c r="EO654" s="5"/>
      <c r="EP654" s="5"/>
      <c r="EQ654" s="237">
        <f t="shared" si="87"/>
        <v>0</v>
      </c>
      <c r="ER654" s="239">
        <v>23300</v>
      </c>
      <c r="ES654" s="5">
        <v>7.5</v>
      </c>
    </row>
    <row r="655" spans="1:149" x14ac:dyDescent="0.3">
      <c r="A655" s="124"/>
      <c r="B655" s="121"/>
      <c r="C655" s="121"/>
      <c r="D655" s="121"/>
      <c r="E655" s="121"/>
      <c r="F655" s="121"/>
      <c r="G655" s="121"/>
      <c r="H655" s="121"/>
      <c r="I655" s="121"/>
      <c r="J655" s="121"/>
      <c r="K655" s="121"/>
      <c r="L655" s="121"/>
      <c r="M655" s="121"/>
      <c r="N655" s="121"/>
      <c r="O655" s="235"/>
      <c r="P655" s="121"/>
      <c r="Q655" s="121"/>
      <c r="R655" s="121"/>
      <c r="S655" s="121"/>
      <c r="T655" s="121"/>
      <c r="U655" s="121"/>
      <c r="V655" s="121"/>
      <c r="W655" s="121"/>
      <c r="X655" s="117"/>
      <c r="Y655" s="117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1"/>
      <c r="AL655" s="121"/>
      <c r="AM655" s="121"/>
      <c r="AN655" s="121"/>
      <c r="AO655" s="121"/>
      <c r="AP655" s="121"/>
      <c r="AQ655" s="121"/>
      <c r="AR655" s="121"/>
      <c r="AS655" s="121"/>
      <c r="AT655" s="121"/>
      <c r="AU655" s="121"/>
      <c r="AV655" s="121"/>
      <c r="AW655" s="121"/>
      <c r="AX655" s="121"/>
      <c r="AY655" s="121"/>
      <c r="AZ655" s="121"/>
      <c r="BA655" s="121"/>
      <c r="BB655" s="121"/>
      <c r="BC655" s="121"/>
      <c r="BD655" s="121"/>
      <c r="BE655" s="121"/>
      <c r="BF655" s="121"/>
      <c r="BG655" s="121"/>
      <c r="BH655" s="121"/>
      <c r="BI655" s="121"/>
      <c r="BJ655" s="121"/>
      <c r="BK655" s="121"/>
      <c r="BL655" s="121"/>
      <c r="BM655" s="121"/>
      <c r="BN655" s="121"/>
      <c r="BO655" s="121"/>
      <c r="BP655" s="121"/>
      <c r="BQ655" s="121"/>
      <c r="BR655" s="121"/>
      <c r="BS655" s="121"/>
      <c r="BT655" s="121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21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  <c r="DK655" s="121"/>
      <c r="DL655" s="121"/>
      <c r="DM655" s="121"/>
      <c r="DN655" s="121"/>
      <c r="DO655" s="121"/>
      <c r="DP655" s="121"/>
      <c r="DQ655" s="121"/>
      <c r="DR655" s="121"/>
      <c r="DS655" s="121"/>
      <c r="DT655" s="240"/>
      <c r="DU655" s="240"/>
      <c r="DV655" s="240"/>
      <c r="DW655" s="240"/>
      <c r="DX655" s="240"/>
      <c r="DY655" s="240"/>
      <c r="DZ655" s="240"/>
      <c r="EA655" s="240"/>
      <c r="EB655" s="237">
        <f t="shared" si="80"/>
        <v>0</v>
      </c>
      <c r="EC655" s="237">
        <f t="shared" si="81"/>
        <v>0</v>
      </c>
      <c r="ED655" s="237">
        <f t="shared" si="82"/>
        <v>0</v>
      </c>
      <c r="EE655" s="237">
        <f t="shared" si="83"/>
        <v>0</v>
      </c>
      <c r="EF655" s="121"/>
      <c r="EG655" s="238">
        <f t="shared" si="84"/>
        <v>0</v>
      </c>
      <c r="EH655" s="121"/>
      <c r="EI655" s="237">
        <f t="shared" si="85"/>
        <v>0</v>
      </c>
      <c r="EJ655" s="121"/>
      <c r="EK655" s="237">
        <f t="shared" si="86"/>
        <v>0</v>
      </c>
      <c r="EL655" s="237"/>
      <c r="EM655" s="5"/>
      <c r="EN655" s="5"/>
      <c r="EO655" s="5"/>
      <c r="EP655" s="5"/>
      <c r="EQ655" s="237">
        <f t="shared" si="87"/>
        <v>0</v>
      </c>
      <c r="ER655" s="239">
        <v>23300</v>
      </c>
      <c r="ES655" s="5">
        <v>7.5</v>
      </c>
    </row>
    <row r="656" spans="1:149" x14ac:dyDescent="0.3">
      <c r="A656" s="124"/>
      <c r="B656" s="121"/>
      <c r="C656" s="121"/>
      <c r="D656" s="121"/>
      <c r="E656" s="121"/>
      <c r="F656" s="121"/>
      <c r="G656" s="121"/>
      <c r="H656" s="121"/>
      <c r="I656" s="121"/>
      <c r="J656" s="121"/>
      <c r="K656" s="121"/>
      <c r="L656" s="121"/>
      <c r="M656" s="121"/>
      <c r="N656" s="121"/>
      <c r="O656" s="235"/>
      <c r="P656" s="121"/>
      <c r="Q656" s="121"/>
      <c r="R656" s="121"/>
      <c r="S656" s="121"/>
      <c r="T656" s="121"/>
      <c r="U656" s="121"/>
      <c r="V656" s="121"/>
      <c r="W656" s="121"/>
      <c r="X656" s="117"/>
      <c r="Y656" s="117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21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  <c r="DK656" s="121"/>
      <c r="DL656" s="121"/>
      <c r="DM656" s="121"/>
      <c r="DN656" s="121"/>
      <c r="DO656" s="121"/>
      <c r="DP656" s="121"/>
      <c r="DQ656" s="121"/>
      <c r="DR656" s="121"/>
      <c r="DS656" s="121"/>
      <c r="DT656" s="240"/>
      <c r="DU656" s="240"/>
      <c r="DV656" s="240"/>
      <c r="DW656" s="240"/>
      <c r="DX656" s="240"/>
      <c r="DY656" s="240"/>
      <c r="DZ656" s="240"/>
      <c r="EA656" s="240"/>
      <c r="EB656" s="237">
        <f t="shared" si="80"/>
        <v>0</v>
      </c>
      <c r="EC656" s="237">
        <f t="shared" si="81"/>
        <v>0</v>
      </c>
      <c r="ED656" s="237">
        <f t="shared" si="82"/>
        <v>0</v>
      </c>
      <c r="EE656" s="237">
        <f t="shared" si="83"/>
        <v>0</v>
      </c>
      <c r="EF656" s="121"/>
      <c r="EG656" s="238">
        <f t="shared" si="84"/>
        <v>0</v>
      </c>
      <c r="EH656" s="121"/>
      <c r="EI656" s="237">
        <f t="shared" si="85"/>
        <v>0</v>
      </c>
      <c r="EJ656" s="121"/>
      <c r="EK656" s="237">
        <f t="shared" si="86"/>
        <v>0</v>
      </c>
      <c r="EL656" s="237"/>
      <c r="EM656" s="5"/>
      <c r="EN656" s="5"/>
      <c r="EO656" s="5"/>
      <c r="EP656" s="5"/>
      <c r="EQ656" s="237">
        <f t="shared" si="87"/>
        <v>0</v>
      </c>
      <c r="ER656" s="239">
        <v>23300</v>
      </c>
      <c r="ES656" s="5">
        <v>7.5</v>
      </c>
    </row>
    <row r="657" spans="1:149" x14ac:dyDescent="0.3">
      <c r="A657" s="124"/>
      <c r="B657" s="121"/>
      <c r="C657" s="121"/>
      <c r="D657" s="121"/>
      <c r="E657" s="121"/>
      <c r="F657" s="121"/>
      <c r="G657" s="121"/>
      <c r="H657" s="121"/>
      <c r="I657" s="121"/>
      <c r="J657" s="121"/>
      <c r="K657" s="121"/>
      <c r="L657" s="121"/>
      <c r="M657" s="121"/>
      <c r="N657" s="121"/>
      <c r="O657" s="235"/>
      <c r="P657" s="121"/>
      <c r="Q657" s="121"/>
      <c r="R657" s="121"/>
      <c r="S657" s="121"/>
      <c r="T657" s="121"/>
      <c r="U657" s="121"/>
      <c r="V657" s="121"/>
      <c r="W657" s="121"/>
      <c r="X657" s="117"/>
      <c r="Y657" s="117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21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  <c r="DK657" s="121"/>
      <c r="DL657" s="121"/>
      <c r="DM657" s="121"/>
      <c r="DN657" s="121"/>
      <c r="DO657" s="121"/>
      <c r="DP657" s="121"/>
      <c r="DQ657" s="121"/>
      <c r="DR657" s="121"/>
      <c r="DS657" s="121"/>
      <c r="DT657" s="240"/>
      <c r="DU657" s="240"/>
      <c r="DV657" s="240"/>
      <c r="DW657" s="240"/>
      <c r="DX657" s="240"/>
      <c r="DY657" s="240"/>
      <c r="DZ657" s="240"/>
      <c r="EA657" s="240"/>
      <c r="EB657" s="237">
        <f t="shared" si="80"/>
        <v>0</v>
      </c>
      <c r="EC657" s="237">
        <f t="shared" si="81"/>
        <v>0</v>
      </c>
      <c r="ED657" s="237">
        <f t="shared" si="82"/>
        <v>0</v>
      </c>
      <c r="EE657" s="237">
        <f t="shared" si="83"/>
        <v>0</v>
      </c>
      <c r="EF657" s="121"/>
      <c r="EG657" s="238">
        <f t="shared" si="84"/>
        <v>0</v>
      </c>
      <c r="EH657" s="121"/>
      <c r="EI657" s="237">
        <f t="shared" si="85"/>
        <v>0</v>
      </c>
      <c r="EJ657" s="121"/>
      <c r="EK657" s="237">
        <f t="shared" si="86"/>
        <v>0</v>
      </c>
      <c r="EL657" s="237"/>
      <c r="EM657" s="5"/>
      <c r="EN657" s="5"/>
      <c r="EO657" s="5"/>
      <c r="EP657" s="5"/>
      <c r="EQ657" s="237">
        <f t="shared" si="87"/>
        <v>0</v>
      </c>
      <c r="ER657" s="239">
        <v>23300</v>
      </c>
      <c r="ES657" s="5">
        <v>7.5</v>
      </c>
    </row>
    <row r="658" spans="1:149" x14ac:dyDescent="0.3">
      <c r="A658" s="124"/>
      <c r="B658" s="121"/>
      <c r="C658" s="121"/>
      <c r="D658" s="121"/>
      <c r="E658" s="121"/>
      <c r="F658" s="121"/>
      <c r="G658" s="121"/>
      <c r="H658" s="121"/>
      <c r="I658" s="121"/>
      <c r="J658" s="121"/>
      <c r="K658" s="121"/>
      <c r="L658" s="121"/>
      <c r="M658" s="121"/>
      <c r="N658" s="121"/>
      <c r="O658" s="235"/>
      <c r="P658" s="121"/>
      <c r="Q658" s="121"/>
      <c r="R658" s="121"/>
      <c r="S658" s="121"/>
      <c r="T658" s="121"/>
      <c r="U658" s="121"/>
      <c r="V658" s="121"/>
      <c r="W658" s="121"/>
      <c r="X658" s="117"/>
      <c r="Y658" s="117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21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  <c r="DK658" s="121"/>
      <c r="DL658" s="121"/>
      <c r="DM658" s="121"/>
      <c r="DN658" s="121"/>
      <c r="DO658" s="121"/>
      <c r="DP658" s="121"/>
      <c r="DQ658" s="121"/>
      <c r="DR658" s="121"/>
      <c r="DS658" s="121"/>
      <c r="DT658" s="240"/>
      <c r="DU658" s="240"/>
      <c r="DV658" s="240"/>
      <c r="DW658" s="240"/>
      <c r="DX658" s="240"/>
      <c r="DY658" s="240"/>
      <c r="DZ658" s="240"/>
      <c r="EA658" s="240"/>
      <c r="EB658" s="237">
        <f t="shared" si="80"/>
        <v>0</v>
      </c>
      <c r="EC658" s="237">
        <f t="shared" si="81"/>
        <v>0</v>
      </c>
      <c r="ED658" s="237">
        <f t="shared" si="82"/>
        <v>0</v>
      </c>
      <c r="EE658" s="237">
        <f t="shared" si="83"/>
        <v>0</v>
      </c>
      <c r="EF658" s="121"/>
      <c r="EG658" s="238">
        <f t="shared" si="84"/>
        <v>0</v>
      </c>
      <c r="EH658" s="121"/>
      <c r="EI658" s="237">
        <f t="shared" si="85"/>
        <v>0</v>
      </c>
      <c r="EJ658" s="121"/>
      <c r="EK658" s="237">
        <f t="shared" si="86"/>
        <v>0</v>
      </c>
      <c r="EL658" s="237"/>
      <c r="EM658" s="5"/>
      <c r="EN658" s="5"/>
      <c r="EO658" s="5"/>
      <c r="EP658" s="5"/>
      <c r="EQ658" s="237">
        <f t="shared" si="87"/>
        <v>0</v>
      </c>
      <c r="ER658" s="239">
        <v>23300</v>
      </c>
      <c r="ES658" s="5">
        <v>7.5</v>
      </c>
    </row>
    <row r="659" spans="1:149" x14ac:dyDescent="0.3">
      <c r="A659" s="124"/>
      <c r="B659" s="121"/>
      <c r="C659" s="121"/>
      <c r="D659" s="121"/>
      <c r="E659" s="121"/>
      <c r="F659" s="121"/>
      <c r="G659" s="121"/>
      <c r="H659" s="121"/>
      <c r="I659" s="121"/>
      <c r="J659" s="121"/>
      <c r="K659" s="121"/>
      <c r="L659" s="121"/>
      <c r="M659" s="121"/>
      <c r="N659" s="121"/>
      <c r="O659" s="235"/>
      <c r="P659" s="121"/>
      <c r="Q659" s="121"/>
      <c r="R659" s="121"/>
      <c r="S659" s="121"/>
      <c r="T659" s="121"/>
      <c r="U659" s="121"/>
      <c r="V659" s="121"/>
      <c r="W659" s="121"/>
      <c r="X659" s="117"/>
      <c r="Y659" s="117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21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  <c r="DK659" s="121"/>
      <c r="DL659" s="121"/>
      <c r="DM659" s="121"/>
      <c r="DN659" s="121"/>
      <c r="DO659" s="121"/>
      <c r="DP659" s="121"/>
      <c r="DQ659" s="121"/>
      <c r="DR659" s="121"/>
      <c r="DS659" s="121"/>
      <c r="DT659" s="240"/>
      <c r="DU659" s="240"/>
      <c r="DV659" s="240"/>
      <c r="DW659" s="240"/>
      <c r="DX659" s="240"/>
      <c r="DY659" s="240"/>
      <c r="DZ659" s="240"/>
      <c r="EA659" s="240"/>
      <c r="EB659" s="237">
        <f t="shared" si="80"/>
        <v>0</v>
      </c>
      <c r="EC659" s="237">
        <f t="shared" si="81"/>
        <v>0</v>
      </c>
      <c r="ED659" s="237">
        <f t="shared" si="82"/>
        <v>0</v>
      </c>
      <c r="EE659" s="237">
        <f t="shared" si="83"/>
        <v>0</v>
      </c>
      <c r="EF659" s="121"/>
      <c r="EG659" s="238">
        <f t="shared" si="84"/>
        <v>0</v>
      </c>
      <c r="EH659" s="121"/>
      <c r="EI659" s="237">
        <f t="shared" si="85"/>
        <v>0</v>
      </c>
      <c r="EJ659" s="121"/>
      <c r="EK659" s="237">
        <f t="shared" si="86"/>
        <v>0</v>
      </c>
      <c r="EL659" s="237"/>
      <c r="EM659" s="5"/>
      <c r="EN659" s="5"/>
      <c r="EO659" s="5"/>
      <c r="EP659" s="5"/>
      <c r="EQ659" s="237">
        <f t="shared" si="87"/>
        <v>0</v>
      </c>
      <c r="ER659" s="239">
        <v>23300</v>
      </c>
      <c r="ES659" s="5">
        <v>7.5</v>
      </c>
    </row>
    <row r="660" spans="1:149" x14ac:dyDescent="0.3">
      <c r="A660" s="124"/>
      <c r="B660" s="121"/>
      <c r="C660" s="121"/>
      <c r="D660" s="121"/>
      <c r="E660" s="121"/>
      <c r="F660" s="121"/>
      <c r="G660" s="121"/>
      <c r="H660" s="121"/>
      <c r="I660" s="121"/>
      <c r="J660" s="121"/>
      <c r="K660" s="121"/>
      <c r="L660" s="121"/>
      <c r="M660" s="121"/>
      <c r="N660" s="121"/>
      <c r="O660" s="235"/>
      <c r="P660" s="121"/>
      <c r="Q660" s="121"/>
      <c r="R660" s="121"/>
      <c r="S660" s="121"/>
      <c r="T660" s="121"/>
      <c r="U660" s="121"/>
      <c r="V660" s="121"/>
      <c r="W660" s="121"/>
      <c r="X660" s="117"/>
      <c r="Y660" s="117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21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  <c r="DK660" s="121"/>
      <c r="DL660" s="121"/>
      <c r="DM660" s="121"/>
      <c r="DN660" s="121"/>
      <c r="DO660" s="121"/>
      <c r="DP660" s="121"/>
      <c r="DQ660" s="121"/>
      <c r="DR660" s="121"/>
      <c r="DS660" s="121"/>
      <c r="DT660" s="240"/>
      <c r="DU660" s="240"/>
      <c r="DV660" s="240"/>
      <c r="DW660" s="240"/>
      <c r="DX660" s="240"/>
      <c r="DY660" s="240"/>
      <c r="DZ660" s="240"/>
      <c r="EA660" s="240"/>
      <c r="EB660" s="237">
        <f t="shared" si="80"/>
        <v>0</v>
      </c>
      <c r="EC660" s="237">
        <f t="shared" si="81"/>
        <v>0</v>
      </c>
      <c r="ED660" s="237">
        <f t="shared" si="82"/>
        <v>0</v>
      </c>
      <c r="EE660" s="237">
        <f t="shared" si="83"/>
        <v>0</v>
      </c>
      <c r="EF660" s="121"/>
      <c r="EG660" s="238">
        <f t="shared" si="84"/>
        <v>0</v>
      </c>
      <c r="EH660" s="121"/>
      <c r="EI660" s="237">
        <f t="shared" si="85"/>
        <v>0</v>
      </c>
      <c r="EJ660" s="121"/>
      <c r="EK660" s="237">
        <f t="shared" si="86"/>
        <v>0</v>
      </c>
      <c r="EL660" s="237"/>
      <c r="EM660" s="5"/>
      <c r="EN660" s="5"/>
      <c r="EO660" s="5"/>
      <c r="EP660" s="5"/>
      <c r="EQ660" s="237">
        <f t="shared" si="87"/>
        <v>0</v>
      </c>
      <c r="ER660" s="239">
        <v>23300</v>
      </c>
      <c r="ES660" s="5">
        <v>7.5</v>
      </c>
    </row>
    <row r="661" spans="1:149" x14ac:dyDescent="0.3">
      <c r="A661" s="124"/>
      <c r="B661" s="121"/>
      <c r="C661" s="121"/>
      <c r="D661" s="121"/>
      <c r="E661" s="121"/>
      <c r="F661" s="121"/>
      <c r="G661" s="121"/>
      <c r="H661" s="121"/>
      <c r="I661" s="121"/>
      <c r="J661" s="121"/>
      <c r="K661" s="121"/>
      <c r="L661" s="121"/>
      <c r="M661" s="121"/>
      <c r="N661" s="121"/>
      <c r="O661" s="235"/>
      <c r="P661" s="121"/>
      <c r="Q661" s="121"/>
      <c r="R661" s="121"/>
      <c r="S661" s="121"/>
      <c r="T661" s="121"/>
      <c r="U661" s="121"/>
      <c r="V661" s="121"/>
      <c r="W661" s="121"/>
      <c r="X661" s="117"/>
      <c r="Y661" s="117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21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  <c r="DK661" s="121"/>
      <c r="DL661" s="121"/>
      <c r="DM661" s="121"/>
      <c r="DN661" s="121"/>
      <c r="DO661" s="121"/>
      <c r="DP661" s="121"/>
      <c r="DQ661" s="121"/>
      <c r="DR661" s="121"/>
      <c r="DS661" s="121"/>
      <c r="DT661" s="240"/>
      <c r="DU661" s="240"/>
      <c r="DV661" s="240"/>
      <c r="DW661" s="240"/>
      <c r="DX661" s="240"/>
      <c r="DY661" s="240"/>
      <c r="DZ661" s="240"/>
      <c r="EA661" s="240"/>
      <c r="EB661" s="237">
        <f t="shared" si="80"/>
        <v>0</v>
      </c>
      <c r="EC661" s="237">
        <f t="shared" si="81"/>
        <v>0</v>
      </c>
      <c r="ED661" s="237">
        <f t="shared" si="82"/>
        <v>0</v>
      </c>
      <c r="EE661" s="237">
        <f t="shared" si="83"/>
        <v>0</v>
      </c>
      <c r="EF661" s="121"/>
      <c r="EG661" s="238">
        <f t="shared" si="84"/>
        <v>0</v>
      </c>
      <c r="EH661" s="121"/>
      <c r="EI661" s="237">
        <f t="shared" si="85"/>
        <v>0</v>
      </c>
      <c r="EJ661" s="121"/>
      <c r="EK661" s="237">
        <f t="shared" si="86"/>
        <v>0</v>
      </c>
      <c r="EL661" s="237"/>
      <c r="EM661" s="5"/>
      <c r="EN661" s="5"/>
      <c r="EO661" s="5"/>
      <c r="EP661" s="5"/>
      <c r="EQ661" s="237">
        <f t="shared" si="87"/>
        <v>0</v>
      </c>
      <c r="ER661" s="239">
        <v>23300</v>
      </c>
      <c r="ES661" s="5">
        <v>7.5</v>
      </c>
    </row>
    <row r="662" spans="1:149" x14ac:dyDescent="0.3">
      <c r="A662" s="124"/>
      <c r="B662" s="121"/>
      <c r="C662" s="121"/>
      <c r="D662" s="121"/>
      <c r="E662" s="121"/>
      <c r="F662" s="121"/>
      <c r="G662" s="121"/>
      <c r="H662" s="121"/>
      <c r="I662" s="121"/>
      <c r="J662" s="121"/>
      <c r="K662" s="121"/>
      <c r="L662" s="121"/>
      <c r="M662" s="121"/>
      <c r="N662" s="121"/>
      <c r="O662" s="235"/>
      <c r="P662" s="121"/>
      <c r="Q662" s="121"/>
      <c r="R662" s="121"/>
      <c r="S662" s="121"/>
      <c r="T662" s="121"/>
      <c r="U662" s="121"/>
      <c r="V662" s="121"/>
      <c r="W662" s="121"/>
      <c r="X662" s="117"/>
      <c r="Y662" s="117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21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  <c r="DK662" s="121"/>
      <c r="DL662" s="121"/>
      <c r="DM662" s="121"/>
      <c r="DN662" s="121"/>
      <c r="DO662" s="121"/>
      <c r="DP662" s="121"/>
      <c r="DQ662" s="121"/>
      <c r="DR662" s="121"/>
      <c r="DS662" s="121"/>
      <c r="DT662" s="240"/>
      <c r="DU662" s="240"/>
      <c r="DV662" s="240"/>
      <c r="DW662" s="240"/>
      <c r="DX662" s="240"/>
      <c r="DY662" s="240"/>
      <c r="DZ662" s="240"/>
      <c r="EA662" s="240"/>
      <c r="EB662" s="237">
        <f t="shared" si="80"/>
        <v>0</v>
      </c>
      <c r="EC662" s="237">
        <f t="shared" si="81"/>
        <v>0</v>
      </c>
      <c r="ED662" s="237">
        <f t="shared" si="82"/>
        <v>0</v>
      </c>
      <c r="EE662" s="237">
        <f t="shared" si="83"/>
        <v>0</v>
      </c>
      <c r="EF662" s="121"/>
      <c r="EG662" s="238">
        <f t="shared" si="84"/>
        <v>0</v>
      </c>
      <c r="EH662" s="121"/>
      <c r="EI662" s="237">
        <f t="shared" si="85"/>
        <v>0</v>
      </c>
      <c r="EJ662" s="121"/>
      <c r="EK662" s="237">
        <f t="shared" si="86"/>
        <v>0</v>
      </c>
      <c r="EL662" s="237"/>
      <c r="EM662" s="5"/>
      <c r="EN662" s="5"/>
      <c r="EO662" s="5"/>
      <c r="EP662" s="5"/>
      <c r="EQ662" s="237">
        <f t="shared" si="87"/>
        <v>0</v>
      </c>
      <c r="ER662" s="239">
        <v>23300</v>
      </c>
      <c r="ES662" s="5">
        <v>7.5</v>
      </c>
    </row>
    <row r="663" spans="1:149" x14ac:dyDescent="0.3">
      <c r="A663" s="124"/>
      <c r="B663" s="121"/>
      <c r="C663" s="121"/>
      <c r="D663" s="121"/>
      <c r="E663" s="121"/>
      <c r="F663" s="121"/>
      <c r="G663" s="121"/>
      <c r="H663" s="121"/>
      <c r="I663" s="121"/>
      <c r="J663" s="121"/>
      <c r="K663" s="121"/>
      <c r="L663" s="121"/>
      <c r="M663" s="121"/>
      <c r="N663" s="121"/>
      <c r="O663" s="235"/>
      <c r="P663" s="121"/>
      <c r="Q663" s="121"/>
      <c r="R663" s="121"/>
      <c r="S663" s="121"/>
      <c r="T663" s="121"/>
      <c r="U663" s="121"/>
      <c r="V663" s="121"/>
      <c r="W663" s="121"/>
      <c r="X663" s="117"/>
      <c r="Y663" s="117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21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  <c r="DK663" s="121"/>
      <c r="DL663" s="121"/>
      <c r="DM663" s="121"/>
      <c r="DN663" s="121"/>
      <c r="DO663" s="121"/>
      <c r="DP663" s="121"/>
      <c r="DQ663" s="121"/>
      <c r="DR663" s="121"/>
      <c r="DS663" s="121"/>
      <c r="DT663" s="240"/>
      <c r="DU663" s="240"/>
      <c r="DV663" s="240"/>
      <c r="DW663" s="240"/>
      <c r="DX663" s="240"/>
      <c r="DY663" s="240"/>
      <c r="DZ663" s="240"/>
      <c r="EA663" s="240"/>
      <c r="EB663" s="237">
        <f t="shared" si="80"/>
        <v>0</v>
      </c>
      <c r="EC663" s="237">
        <f t="shared" si="81"/>
        <v>0</v>
      </c>
      <c r="ED663" s="237">
        <f t="shared" si="82"/>
        <v>0</v>
      </c>
      <c r="EE663" s="237">
        <f t="shared" si="83"/>
        <v>0</v>
      </c>
      <c r="EF663" s="121"/>
      <c r="EG663" s="238">
        <f t="shared" si="84"/>
        <v>0</v>
      </c>
      <c r="EH663" s="121"/>
      <c r="EI663" s="237">
        <f t="shared" si="85"/>
        <v>0</v>
      </c>
      <c r="EJ663" s="121"/>
      <c r="EK663" s="237">
        <f t="shared" si="86"/>
        <v>0</v>
      </c>
      <c r="EL663" s="237"/>
      <c r="EM663" s="5"/>
      <c r="EN663" s="5"/>
      <c r="EO663" s="5"/>
      <c r="EP663" s="5"/>
      <c r="EQ663" s="237">
        <f t="shared" si="87"/>
        <v>0</v>
      </c>
      <c r="ER663" s="239">
        <v>23300</v>
      </c>
      <c r="ES663" s="5">
        <v>7.5</v>
      </c>
    </row>
    <row r="664" spans="1:149" x14ac:dyDescent="0.3">
      <c r="A664" s="124"/>
      <c r="B664" s="121"/>
      <c r="C664" s="121"/>
      <c r="D664" s="121"/>
      <c r="E664" s="121"/>
      <c r="F664" s="121"/>
      <c r="G664" s="121"/>
      <c r="H664" s="121"/>
      <c r="I664" s="121"/>
      <c r="J664" s="121"/>
      <c r="K664" s="121"/>
      <c r="L664" s="121"/>
      <c r="M664" s="121"/>
      <c r="N664" s="121"/>
      <c r="O664" s="235"/>
      <c r="P664" s="121"/>
      <c r="Q664" s="121"/>
      <c r="R664" s="121"/>
      <c r="S664" s="121"/>
      <c r="T664" s="121"/>
      <c r="U664" s="121"/>
      <c r="V664" s="121"/>
      <c r="W664" s="121"/>
      <c r="X664" s="117"/>
      <c r="Y664" s="117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21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  <c r="DK664" s="121"/>
      <c r="DL664" s="121"/>
      <c r="DM664" s="121"/>
      <c r="DN664" s="121"/>
      <c r="DO664" s="121"/>
      <c r="DP664" s="121"/>
      <c r="DQ664" s="121"/>
      <c r="DR664" s="121"/>
      <c r="DS664" s="121"/>
      <c r="DT664" s="240"/>
      <c r="DU664" s="240"/>
      <c r="DV664" s="240"/>
      <c r="DW664" s="240"/>
      <c r="DX664" s="240"/>
      <c r="DY664" s="240"/>
      <c r="DZ664" s="240"/>
      <c r="EA664" s="240"/>
      <c r="EB664" s="237">
        <f t="shared" si="80"/>
        <v>0</v>
      </c>
      <c r="EC664" s="237">
        <f t="shared" si="81"/>
        <v>0</v>
      </c>
      <c r="ED664" s="237">
        <f t="shared" si="82"/>
        <v>0</v>
      </c>
      <c r="EE664" s="237">
        <f t="shared" si="83"/>
        <v>0</v>
      </c>
      <c r="EF664" s="121"/>
      <c r="EG664" s="238">
        <f t="shared" si="84"/>
        <v>0</v>
      </c>
      <c r="EH664" s="121"/>
      <c r="EI664" s="237">
        <f t="shared" si="85"/>
        <v>0</v>
      </c>
      <c r="EJ664" s="121"/>
      <c r="EK664" s="237">
        <f t="shared" si="86"/>
        <v>0</v>
      </c>
      <c r="EL664" s="237"/>
      <c r="EM664" s="5"/>
      <c r="EN664" s="5"/>
      <c r="EO664" s="5"/>
      <c r="EP664" s="5"/>
      <c r="EQ664" s="237">
        <f t="shared" si="87"/>
        <v>0</v>
      </c>
      <c r="ER664" s="239">
        <v>23300</v>
      </c>
      <c r="ES664" s="5">
        <v>7.5</v>
      </c>
    </row>
    <row r="665" spans="1:149" x14ac:dyDescent="0.3">
      <c r="A665" s="124"/>
      <c r="B665" s="121"/>
      <c r="C665" s="121"/>
      <c r="D665" s="121"/>
      <c r="E665" s="121"/>
      <c r="F665" s="121"/>
      <c r="G665" s="121"/>
      <c r="H665" s="121"/>
      <c r="I665" s="121"/>
      <c r="J665" s="121"/>
      <c r="K665" s="121"/>
      <c r="L665" s="121"/>
      <c r="M665" s="121"/>
      <c r="N665" s="121"/>
      <c r="O665" s="235"/>
      <c r="P665" s="121"/>
      <c r="Q665" s="121"/>
      <c r="R665" s="121"/>
      <c r="S665" s="121"/>
      <c r="T665" s="121"/>
      <c r="U665" s="121"/>
      <c r="V665" s="121"/>
      <c r="W665" s="121"/>
      <c r="X665" s="117"/>
      <c r="Y665" s="117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21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  <c r="DK665" s="121"/>
      <c r="DL665" s="121"/>
      <c r="DM665" s="121"/>
      <c r="DN665" s="121"/>
      <c r="DO665" s="121"/>
      <c r="DP665" s="121"/>
      <c r="DQ665" s="121"/>
      <c r="DR665" s="121"/>
      <c r="DS665" s="121"/>
      <c r="DT665" s="240"/>
      <c r="DU665" s="240"/>
      <c r="DV665" s="240"/>
      <c r="DW665" s="240"/>
      <c r="DX665" s="240"/>
      <c r="DY665" s="240"/>
      <c r="DZ665" s="240"/>
      <c r="EA665" s="240"/>
      <c r="EB665" s="237">
        <f t="shared" si="80"/>
        <v>0</v>
      </c>
      <c r="EC665" s="237">
        <f t="shared" si="81"/>
        <v>0</v>
      </c>
      <c r="ED665" s="237">
        <f t="shared" si="82"/>
        <v>0</v>
      </c>
      <c r="EE665" s="237">
        <f t="shared" si="83"/>
        <v>0</v>
      </c>
      <c r="EF665" s="121"/>
      <c r="EG665" s="238">
        <f t="shared" si="84"/>
        <v>0</v>
      </c>
      <c r="EH665" s="121"/>
      <c r="EI665" s="237">
        <f t="shared" si="85"/>
        <v>0</v>
      </c>
      <c r="EJ665" s="121"/>
      <c r="EK665" s="237">
        <f t="shared" si="86"/>
        <v>0</v>
      </c>
      <c r="EL665" s="237"/>
      <c r="EM665" s="5"/>
      <c r="EN665" s="5"/>
      <c r="EO665" s="5"/>
      <c r="EP665" s="5"/>
      <c r="EQ665" s="237">
        <f t="shared" si="87"/>
        <v>0</v>
      </c>
      <c r="ER665" s="239">
        <v>23300</v>
      </c>
      <c r="ES665" s="5">
        <v>7.5</v>
      </c>
    </row>
    <row r="666" spans="1:149" x14ac:dyDescent="0.3">
      <c r="A666" s="124"/>
      <c r="B666" s="121"/>
      <c r="C666" s="121"/>
      <c r="D666" s="121"/>
      <c r="E666" s="121"/>
      <c r="F666" s="121"/>
      <c r="G666" s="121"/>
      <c r="H666" s="121"/>
      <c r="I666" s="121"/>
      <c r="J666" s="121"/>
      <c r="K666" s="121"/>
      <c r="L666" s="121"/>
      <c r="M666" s="121"/>
      <c r="N666" s="121"/>
      <c r="O666" s="235"/>
      <c r="P666" s="121"/>
      <c r="Q666" s="121"/>
      <c r="R666" s="121"/>
      <c r="S666" s="121"/>
      <c r="T666" s="121"/>
      <c r="U666" s="121"/>
      <c r="V666" s="121"/>
      <c r="W666" s="121"/>
      <c r="X666" s="117"/>
      <c r="Y666" s="117"/>
      <c r="Z666" s="121"/>
      <c r="AA666" s="121"/>
      <c r="AB666" s="121"/>
      <c r="AC666" s="121"/>
      <c r="AD666" s="121"/>
      <c r="AE666" s="121"/>
      <c r="AF666" s="121"/>
      <c r="AG666" s="121"/>
      <c r="AH666" s="121"/>
      <c r="AI666" s="121"/>
      <c r="AJ666" s="121"/>
      <c r="AK666" s="121"/>
      <c r="AL666" s="121"/>
      <c r="AM666" s="121"/>
      <c r="AN666" s="121"/>
      <c r="AO666" s="121"/>
      <c r="AP666" s="121"/>
      <c r="AQ666" s="121"/>
      <c r="AR666" s="121"/>
      <c r="AS666" s="121"/>
      <c r="AT666" s="121"/>
      <c r="AU666" s="121"/>
      <c r="AV666" s="121"/>
      <c r="AW666" s="121"/>
      <c r="AX666" s="121"/>
      <c r="AY666" s="121"/>
      <c r="AZ666" s="121"/>
      <c r="BA666" s="121"/>
      <c r="BB666" s="121"/>
      <c r="BC666" s="121"/>
      <c r="BD666" s="121"/>
      <c r="BE666" s="121"/>
      <c r="BF666" s="121"/>
      <c r="BG666" s="121"/>
      <c r="BH666" s="121"/>
      <c r="BI666" s="121"/>
      <c r="BJ666" s="121"/>
      <c r="BK666" s="121"/>
      <c r="BL666" s="121"/>
      <c r="BM666" s="121"/>
      <c r="BN666" s="121"/>
      <c r="BO666" s="121"/>
      <c r="BP666" s="121"/>
      <c r="BQ666" s="121"/>
      <c r="BR666" s="121"/>
      <c r="BS666" s="121"/>
      <c r="BT666" s="121"/>
      <c r="BU666" s="121"/>
      <c r="BV666" s="121"/>
      <c r="BW666" s="121"/>
      <c r="BX666" s="121"/>
      <c r="BY666" s="121"/>
      <c r="BZ666" s="121"/>
      <c r="CA666" s="121"/>
      <c r="CB666" s="121"/>
      <c r="CC666" s="121"/>
      <c r="CD666" s="121"/>
      <c r="CE666" s="121"/>
      <c r="CF666" s="121"/>
      <c r="CG666" s="121"/>
      <c r="CH666" s="121"/>
      <c r="CI666" s="121"/>
      <c r="CJ666" s="121"/>
      <c r="CK666" s="121"/>
      <c r="CL666" s="121"/>
      <c r="CM666" s="121"/>
      <c r="CN666" s="121"/>
      <c r="CO666" s="121"/>
      <c r="CP666" s="121"/>
      <c r="CQ666" s="121"/>
      <c r="CR666" s="121"/>
      <c r="CS666" s="121"/>
      <c r="CT666" s="121"/>
      <c r="CU666" s="121"/>
      <c r="CV666" s="121"/>
      <c r="CW666" s="121"/>
      <c r="CX666" s="121"/>
      <c r="CY666" s="121"/>
      <c r="CZ666" s="121"/>
      <c r="DA666" s="121"/>
      <c r="DB666" s="121"/>
      <c r="DC666" s="121"/>
      <c r="DD666" s="121"/>
      <c r="DE666" s="121"/>
      <c r="DF666" s="121"/>
      <c r="DG666" s="121"/>
      <c r="DH666" s="121"/>
      <c r="DI666" s="121"/>
      <c r="DJ666" s="121"/>
      <c r="DK666" s="121"/>
      <c r="DL666" s="121"/>
      <c r="DM666" s="121"/>
      <c r="DN666" s="121"/>
      <c r="DO666" s="121"/>
      <c r="DP666" s="121"/>
      <c r="DQ666" s="121"/>
      <c r="DR666" s="121"/>
      <c r="DS666" s="121"/>
      <c r="DT666" s="240"/>
      <c r="DU666" s="240"/>
      <c r="DV666" s="240"/>
      <c r="DW666" s="240"/>
      <c r="DX666" s="240"/>
      <c r="DY666" s="240"/>
      <c r="DZ666" s="240"/>
      <c r="EA666" s="240"/>
      <c r="EB666" s="237">
        <f t="shared" si="80"/>
        <v>0</v>
      </c>
      <c r="EC666" s="237">
        <f t="shared" si="81"/>
        <v>0</v>
      </c>
      <c r="ED666" s="237">
        <f t="shared" si="82"/>
        <v>0</v>
      </c>
      <c r="EE666" s="237">
        <f t="shared" si="83"/>
        <v>0</v>
      </c>
      <c r="EF666" s="121"/>
      <c r="EG666" s="238">
        <f t="shared" si="84"/>
        <v>0</v>
      </c>
      <c r="EH666" s="121"/>
      <c r="EI666" s="237">
        <f t="shared" si="85"/>
        <v>0</v>
      </c>
      <c r="EJ666" s="121"/>
      <c r="EK666" s="237">
        <f t="shared" si="86"/>
        <v>0</v>
      </c>
      <c r="EL666" s="237"/>
      <c r="EM666" s="5"/>
      <c r="EN666" s="5"/>
      <c r="EO666" s="5"/>
      <c r="EP666" s="5"/>
      <c r="EQ666" s="237">
        <f t="shared" si="87"/>
        <v>0</v>
      </c>
      <c r="ER666" s="239">
        <v>23300</v>
      </c>
      <c r="ES666" s="5">
        <v>7.5</v>
      </c>
    </row>
    <row r="667" spans="1:149" x14ac:dyDescent="0.3">
      <c r="A667" s="124"/>
      <c r="B667" s="121"/>
      <c r="C667" s="121"/>
      <c r="D667" s="121"/>
      <c r="E667" s="121"/>
      <c r="F667" s="121"/>
      <c r="G667" s="121"/>
      <c r="H667" s="121"/>
      <c r="I667" s="121"/>
      <c r="J667" s="121"/>
      <c r="K667" s="121"/>
      <c r="L667" s="121"/>
      <c r="M667" s="121"/>
      <c r="N667" s="121"/>
      <c r="O667" s="235"/>
      <c r="P667" s="121"/>
      <c r="Q667" s="121"/>
      <c r="R667" s="121"/>
      <c r="S667" s="121"/>
      <c r="T667" s="121"/>
      <c r="U667" s="121"/>
      <c r="V667" s="121"/>
      <c r="W667" s="121"/>
      <c r="X667" s="117"/>
      <c r="Y667" s="117"/>
      <c r="Z667" s="121"/>
      <c r="AA667" s="121"/>
      <c r="AB667" s="121"/>
      <c r="AC667" s="121"/>
      <c r="AD667" s="121"/>
      <c r="AE667" s="121"/>
      <c r="AF667" s="121"/>
      <c r="AG667" s="121"/>
      <c r="AH667" s="121"/>
      <c r="AI667" s="121"/>
      <c r="AJ667" s="121"/>
      <c r="AK667" s="121"/>
      <c r="AL667" s="121"/>
      <c r="AM667" s="121"/>
      <c r="AN667" s="121"/>
      <c r="AO667" s="121"/>
      <c r="AP667" s="121"/>
      <c r="AQ667" s="121"/>
      <c r="AR667" s="121"/>
      <c r="AS667" s="121"/>
      <c r="AT667" s="121"/>
      <c r="AU667" s="121"/>
      <c r="AV667" s="121"/>
      <c r="AW667" s="121"/>
      <c r="AX667" s="121"/>
      <c r="AY667" s="121"/>
      <c r="AZ667" s="121"/>
      <c r="BA667" s="121"/>
      <c r="BB667" s="121"/>
      <c r="BC667" s="121"/>
      <c r="BD667" s="121"/>
      <c r="BE667" s="121"/>
      <c r="BF667" s="121"/>
      <c r="BG667" s="121"/>
      <c r="BH667" s="121"/>
      <c r="BI667" s="121"/>
      <c r="BJ667" s="121"/>
      <c r="BK667" s="121"/>
      <c r="BL667" s="121"/>
      <c r="BM667" s="121"/>
      <c r="BN667" s="121"/>
      <c r="BO667" s="121"/>
      <c r="BP667" s="121"/>
      <c r="BQ667" s="121"/>
      <c r="BR667" s="121"/>
      <c r="BS667" s="121"/>
      <c r="BT667" s="121"/>
      <c r="BU667" s="121"/>
      <c r="BV667" s="121"/>
      <c r="BW667" s="121"/>
      <c r="BX667" s="121"/>
      <c r="BY667" s="121"/>
      <c r="BZ667" s="121"/>
      <c r="CA667" s="121"/>
      <c r="CB667" s="121"/>
      <c r="CC667" s="121"/>
      <c r="CD667" s="121"/>
      <c r="CE667" s="121"/>
      <c r="CF667" s="121"/>
      <c r="CG667" s="121"/>
      <c r="CH667" s="121"/>
      <c r="CI667" s="121"/>
      <c r="CJ667" s="121"/>
      <c r="CK667" s="121"/>
      <c r="CL667" s="121"/>
      <c r="CM667" s="121"/>
      <c r="CN667" s="121"/>
      <c r="CO667" s="121"/>
      <c r="CP667" s="121"/>
      <c r="CQ667" s="121"/>
      <c r="CR667" s="121"/>
      <c r="CS667" s="121"/>
      <c r="CT667" s="121"/>
      <c r="CU667" s="121"/>
      <c r="CV667" s="121"/>
      <c r="CW667" s="121"/>
      <c r="CX667" s="121"/>
      <c r="CY667" s="121"/>
      <c r="CZ667" s="121"/>
      <c r="DA667" s="121"/>
      <c r="DB667" s="121"/>
      <c r="DC667" s="121"/>
      <c r="DD667" s="121"/>
      <c r="DE667" s="121"/>
      <c r="DF667" s="121"/>
      <c r="DG667" s="121"/>
      <c r="DH667" s="121"/>
      <c r="DI667" s="121"/>
      <c r="DJ667" s="121"/>
      <c r="DK667" s="121"/>
      <c r="DL667" s="121"/>
      <c r="DM667" s="121"/>
      <c r="DN667" s="121"/>
      <c r="DO667" s="121"/>
      <c r="DP667" s="121"/>
      <c r="DQ667" s="121"/>
      <c r="DR667" s="121"/>
      <c r="DS667" s="121"/>
      <c r="DT667" s="240"/>
      <c r="DU667" s="240"/>
      <c r="DV667" s="240"/>
      <c r="DW667" s="240"/>
      <c r="DX667" s="240"/>
      <c r="DY667" s="240"/>
      <c r="DZ667" s="240"/>
      <c r="EA667" s="240"/>
      <c r="EB667" s="237">
        <f t="shared" si="80"/>
        <v>0</v>
      </c>
      <c r="EC667" s="237">
        <f t="shared" si="81"/>
        <v>0</v>
      </c>
      <c r="ED667" s="237">
        <f t="shared" si="82"/>
        <v>0</v>
      </c>
      <c r="EE667" s="237">
        <f t="shared" si="83"/>
        <v>0</v>
      </c>
      <c r="EF667" s="121"/>
      <c r="EG667" s="238">
        <f t="shared" si="84"/>
        <v>0</v>
      </c>
      <c r="EH667" s="121"/>
      <c r="EI667" s="237">
        <f t="shared" si="85"/>
        <v>0</v>
      </c>
      <c r="EJ667" s="121"/>
      <c r="EK667" s="237">
        <f t="shared" si="86"/>
        <v>0</v>
      </c>
      <c r="EL667" s="237"/>
      <c r="EM667" s="5"/>
      <c r="EN667" s="5"/>
      <c r="EO667" s="5"/>
      <c r="EP667" s="5"/>
      <c r="EQ667" s="237">
        <f t="shared" si="87"/>
        <v>0</v>
      </c>
      <c r="ER667" s="239">
        <v>23300</v>
      </c>
      <c r="ES667" s="5">
        <v>7.5</v>
      </c>
    </row>
    <row r="668" spans="1:149" x14ac:dyDescent="0.3">
      <c r="A668" s="124"/>
      <c r="B668" s="121"/>
      <c r="C668" s="121"/>
      <c r="D668" s="121"/>
      <c r="E668" s="121"/>
      <c r="F668" s="121"/>
      <c r="G668" s="121"/>
      <c r="H668" s="121"/>
      <c r="I668" s="121"/>
      <c r="J668" s="121"/>
      <c r="K668" s="121"/>
      <c r="L668" s="121"/>
      <c r="M668" s="121"/>
      <c r="N668" s="121"/>
      <c r="O668" s="235"/>
      <c r="P668" s="121"/>
      <c r="Q668" s="121"/>
      <c r="R668" s="121"/>
      <c r="S668" s="121"/>
      <c r="T668" s="121"/>
      <c r="U668" s="121"/>
      <c r="V668" s="121"/>
      <c r="W668" s="121"/>
      <c r="X668" s="117"/>
      <c r="Y668" s="117"/>
      <c r="Z668" s="121"/>
      <c r="AA668" s="121"/>
      <c r="AB668" s="121"/>
      <c r="AC668" s="121"/>
      <c r="AD668" s="121"/>
      <c r="AE668" s="121"/>
      <c r="AF668" s="121"/>
      <c r="AG668" s="121"/>
      <c r="AH668" s="121"/>
      <c r="AI668" s="121"/>
      <c r="AJ668" s="121"/>
      <c r="AK668" s="121"/>
      <c r="AL668" s="121"/>
      <c r="AM668" s="121"/>
      <c r="AN668" s="121"/>
      <c r="AO668" s="121"/>
      <c r="AP668" s="121"/>
      <c r="AQ668" s="121"/>
      <c r="AR668" s="121"/>
      <c r="AS668" s="121"/>
      <c r="AT668" s="121"/>
      <c r="AU668" s="121"/>
      <c r="AV668" s="121"/>
      <c r="AW668" s="121"/>
      <c r="AX668" s="121"/>
      <c r="AY668" s="121"/>
      <c r="AZ668" s="121"/>
      <c r="BA668" s="121"/>
      <c r="BB668" s="121"/>
      <c r="BC668" s="121"/>
      <c r="BD668" s="121"/>
      <c r="BE668" s="121"/>
      <c r="BF668" s="121"/>
      <c r="BG668" s="121"/>
      <c r="BH668" s="121"/>
      <c r="BI668" s="121"/>
      <c r="BJ668" s="121"/>
      <c r="BK668" s="121"/>
      <c r="BL668" s="121"/>
      <c r="BM668" s="121"/>
      <c r="BN668" s="121"/>
      <c r="BO668" s="121"/>
      <c r="BP668" s="121"/>
      <c r="BQ668" s="121"/>
      <c r="BR668" s="121"/>
      <c r="BS668" s="121"/>
      <c r="BT668" s="121"/>
      <c r="BU668" s="121"/>
      <c r="BV668" s="121"/>
      <c r="BW668" s="121"/>
      <c r="BX668" s="121"/>
      <c r="BY668" s="121"/>
      <c r="BZ668" s="121"/>
      <c r="CA668" s="121"/>
      <c r="CB668" s="121"/>
      <c r="CC668" s="121"/>
      <c r="CD668" s="121"/>
      <c r="CE668" s="121"/>
      <c r="CF668" s="121"/>
      <c r="CG668" s="121"/>
      <c r="CH668" s="121"/>
      <c r="CI668" s="121"/>
      <c r="CJ668" s="121"/>
      <c r="CK668" s="121"/>
      <c r="CL668" s="121"/>
      <c r="CM668" s="121"/>
      <c r="CN668" s="121"/>
      <c r="CO668" s="121"/>
      <c r="CP668" s="121"/>
      <c r="CQ668" s="121"/>
      <c r="CR668" s="121"/>
      <c r="CS668" s="121"/>
      <c r="CT668" s="121"/>
      <c r="CU668" s="121"/>
      <c r="CV668" s="121"/>
      <c r="CW668" s="121"/>
      <c r="CX668" s="121"/>
      <c r="CY668" s="121"/>
      <c r="CZ668" s="121"/>
      <c r="DA668" s="121"/>
      <c r="DB668" s="121"/>
      <c r="DC668" s="121"/>
      <c r="DD668" s="121"/>
      <c r="DE668" s="121"/>
      <c r="DF668" s="121"/>
      <c r="DG668" s="121"/>
      <c r="DH668" s="121"/>
      <c r="DI668" s="121"/>
      <c r="DJ668" s="121"/>
      <c r="DK668" s="121"/>
      <c r="DL668" s="121"/>
      <c r="DM668" s="121"/>
      <c r="DN668" s="121"/>
      <c r="DO668" s="121"/>
      <c r="DP668" s="121"/>
      <c r="DQ668" s="121"/>
      <c r="DR668" s="121"/>
      <c r="DS668" s="121"/>
      <c r="DT668" s="240"/>
      <c r="DU668" s="240"/>
      <c r="DV668" s="240"/>
      <c r="DW668" s="240"/>
      <c r="DX668" s="240"/>
      <c r="DY668" s="240"/>
      <c r="DZ668" s="240"/>
      <c r="EA668" s="240"/>
      <c r="EB668" s="237">
        <f t="shared" si="80"/>
        <v>0</v>
      </c>
      <c r="EC668" s="237">
        <f t="shared" si="81"/>
        <v>0</v>
      </c>
      <c r="ED668" s="237">
        <f t="shared" si="82"/>
        <v>0</v>
      </c>
      <c r="EE668" s="237">
        <f t="shared" si="83"/>
        <v>0</v>
      </c>
      <c r="EF668" s="121"/>
      <c r="EG668" s="238">
        <f t="shared" si="84"/>
        <v>0</v>
      </c>
      <c r="EH668" s="121"/>
      <c r="EI668" s="237">
        <f t="shared" si="85"/>
        <v>0</v>
      </c>
      <c r="EJ668" s="121"/>
      <c r="EK668" s="237">
        <f t="shared" si="86"/>
        <v>0</v>
      </c>
      <c r="EL668" s="237"/>
      <c r="EM668" s="5"/>
      <c r="EN668" s="5"/>
      <c r="EO668" s="5"/>
      <c r="EP668" s="5"/>
      <c r="EQ668" s="237">
        <f t="shared" si="87"/>
        <v>0</v>
      </c>
      <c r="ER668" s="239">
        <v>23300</v>
      </c>
      <c r="ES668" s="5">
        <v>7.5</v>
      </c>
    </row>
    <row r="669" spans="1:149" x14ac:dyDescent="0.3">
      <c r="A669" s="124"/>
      <c r="B669" s="121"/>
      <c r="C669" s="121"/>
      <c r="D669" s="121"/>
      <c r="E669" s="121"/>
      <c r="F669" s="121"/>
      <c r="G669" s="121"/>
      <c r="H669" s="121"/>
      <c r="I669" s="121"/>
      <c r="J669" s="121"/>
      <c r="K669" s="121"/>
      <c r="L669" s="121"/>
      <c r="M669" s="121"/>
      <c r="N669" s="121"/>
      <c r="O669" s="235"/>
      <c r="P669" s="121"/>
      <c r="Q669" s="121"/>
      <c r="R669" s="121"/>
      <c r="S669" s="121"/>
      <c r="T669" s="121"/>
      <c r="U669" s="121"/>
      <c r="V669" s="121"/>
      <c r="W669" s="121"/>
      <c r="X669" s="117"/>
      <c r="Y669" s="117"/>
      <c r="Z669" s="121"/>
      <c r="AA669" s="121"/>
      <c r="AB669" s="121"/>
      <c r="AC669" s="121"/>
      <c r="AD669" s="121"/>
      <c r="AE669" s="121"/>
      <c r="AF669" s="121"/>
      <c r="AG669" s="121"/>
      <c r="AH669" s="121"/>
      <c r="AI669" s="121"/>
      <c r="AJ669" s="121"/>
      <c r="AK669" s="121"/>
      <c r="AL669" s="121"/>
      <c r="AM669" s="121"/>
      <c r="AN669" s="121"/>
      <c r="AO669" s="121"/>
      <c r="AP669" s="121"/>
      <c r="AQ669" s="121"/>
      <c r="AR669" s="121"/>
      <c r="AS669" s="121"/>
      <c r="AT669" s="121"/>
      <c r="AU669" s="121"/>
      <c r="AV669" s="121"/>
      <c r="AW669" s="121"/>
      <c r="AX669" s="121"/>
      <c r="AY669" s="121"/>
      <c r="AZ669" s="121"/>
      <c r="BA669" s="121"/>
      <c r="BB669" s="121"/>
      <c r="BC669" s="121"/>
      <c r="BD669" s="121"/>
      <c r="BE669" s="121"/>
      <c r="BF669" s="121"/>
      <c r="BG669" s="121"/>
      <c r="BH669" s="121"/>
      <c r="BI669" s="121"/>
      <c r="BJ669" s="121"/>
      <c r="BK669" s="121"/>
      <c r="BL669" s="121"/>
      <c r="BM669" s="121"/>
      <c r="BN669" s="121"/>
      <c r="BO669" s="121"/>
      <c r="BP669" s="121"/>
      <c r="BQ669" s="121"/>
      <c r="BR669" s="121"/>
      <c r="BS669" s="121"/>
      <c r="BT669" s="121"/>
      <c r="BU669" s="121"/>
      <c r="BV669" s="121"/>
      <c r="BW669" s="121"/>
      <c r="BX669" s="121"/>
      <c r="BY669" s="121"/>
      <c r="BZ669" s="121"/>
      <c r="CA669" s="121"/>
      <c r="CB669" s="121"/>
      <c r="CC669" s="121"/>
      <c r="CD669" s="121"/>
      <c r="CE669" s="121"/>
      <c r="CF669" s="121"/>
      <c r="CG669" s="121"/>
      <c r="CH669" s="121"/>
      <c r="CI669" s="121"/>
      <c r="CJ669" s="121"/>
      <c r="CK669" s="121"/>
      <c r="CL669" s="121"/>
      <c r="CM669" s="121"/>
      <c r="CN669" s="121"/>
      <c r="CO669" s="121"/>
      <c r="CP669" s="121"/>
      <c r="CQ669" s="121"/>
      <c r="CR669" s="121"/>
      <c r="CS669" s="121"/>
      <c r="CT669" s="121"/>
      <c r="CU669" s="121"/>
      <c r="CV669" s="121"/>
      <c r="CW669" s="121"/>
      <c r="CX669" s="121"/>
      <c r="CY669" s="121"/>
      <c r="CZ669" s="121"/>
      <c r="DA669" s="121"/>
      <c r="DB669" s="121"/>
      <c r="DC669" s="121"/>
      <c r="DD669" s="121"/>
      <c r="DE669" s="121"/>
      <c r="DF669" s="121"/>
      <c r="DG669" s="121"/>
      <c r="DH669" s="121"/>
      <c r="DI669" s="121"/>
      <c r="DJ669" s="121"/>
      <c r="DK669" s="121"/>
      <c r="DL669" s="121"/>
      <c r="DM669" s="121"/>
      <c r="DN669" s="121"/>
      <c r="DO669" s="121"/>
      <c r="DP669" s="121"/>
      <c r="DQ669" s="121"/>
      <c r="DR669" s="121"/>
      <c r="DS669" s="121"/>
      <c r="DT669" s="240"/>
      <c r="DU669" s="240"/>
      <c r="DV669" s="240"/>
      <c r="DW669" s="240"/>
      <c r="DX669" s="240"/>
      <c r="DY669" s="240"/>
      <c r="DZ669" s="240"/>
      <c r="EA669" s="240"/>
      <c r="EB669" s="237">
        <f t="shared" si="80"/>
        <v>0</v>
      </c>
      <c r="EC669" s="237">
        <f t="shared" si="81"/>
        <v>0</v>
      </c>
      <c r="ED669" s="237">
        <f t="shared" si="82"/>
        <v>0</v>
      </c>
      <c r="EE669" s="237">
        <f t="shared" si="83"/>
        <v>0</v>
      </c>
      <c r="EF669" s="121"/>
      <c r="EG669" s="238">
        <f t="shared" si="84"/>
        <v>0</v>
      </c>
      <c r="EH669" s="121"/>
      <c r="EI669" s="237">
        <f t="shared" si="85"/>
        <v>0</v>
      </c>
      <c r="EJ669" s="121"/>
      <c r="EK669" s="237">
        <f t="shared" si="86"/>
        <v>0</v>
      </c>
      <c r="EL669" s="237"/>
      <c r="EM669" s="5"/>
      <c r="EN669" s="5"/>
      <c r="EO669" s="5"/>
      <c r="EP669" s="5"/>
      <c r="EQ669" s="237">
        <f t="shared" si="87"/>
        <v>0</v>
      </c>
      <c r="ER669" s="239">
        <v>23300</v>
      </c>
      <c r="ES669" s="5">
        <v>7.5</v>
      </c>
    </row>
    <row r="670" spans="1:149" x14ac:dyDescent="0.3">
      <c r="A670" s="124"/>
      <c r="B670" s="121"/>
      <c r="C670" s="121"/>
      <c r="D670" s="121"/>
      <c r="E670" s="121"/>
      <c r="F670" s="121"/>
      <c r="G670" s="121"/>
      <c r="H670" s="121"/>
      <c r="I670" s="121"/>
      <c r="J670" s="121"/>
      <c r="K670" s="121"/>
      <c r="L670" s="121"/>
      <c r="M670" s="121"/>
      <c r="N670" s="121"/>
      <c r="O670" s="235"/>
      <c r="P670" s="121"/>
      <c r="Q670" s="121"/>
      <c r="R670" s="121"/>
      <c r="S670" s="121"/>
      <c r="T670" s="121"/>
      <c r="U670" s="121"/>
      <c r="V670" s="121"/>
      <c r="W670" s="121"/>
      <c r="X670" s="117"/>
      <c r="Y670" s="117"/>
      <c r="Z670" s="121"/>
      <c r="AA670" s="121"/>
      <c r="AB670" s="121"/>
      <c r="AC670" s="121"/>
      <c r="AD670" s="121"/>
      <c r="AE670" s="121"/>
      <c r="AF670" s="121"/>
      <c r="AG670" s="121"/>
      <c r="AH670" s="121"/>
      <c r="AI670" s="121"/>
      <c r="AJ670" s="121"/>
      <c r="AK670" s="121"/>
      <c r="AL670" s="121"/>
      <c r="AM670" s="121"/>
      <c r="AN670" s="121"/>
      <c r="AO670" s="121"/>
      <c r="AP670" s="121"/>
      <c r="AQ670" s="121"/>
      <c r="AR670" s="121"/>
      <c r="AS670" s="121"/>
      <c r="AT670" s="121"/>
      <c r="AU670" s="121"/>
      <c r="AV670" s="121"/>
      <c r="AW670" s="121"/>
      <c r="AX670" s="121"/>
      <c r="AY670" s="121"/>
      <c r="AZ670" s="121"/>
      <c r="BA670" s="121"/>
      <c r="BB670" s="121"/>
      <c r="BC670" s="121"/>
      <c r="BD670" s="121"/>
      <c r="BE670" s="121"/>
      <c r="BF670" s="121"/>
      <c r="BG670" s="121"/>
      <c r="BH670" s="121"/>
      <c r="BI670" s="121"/>
      <c r="BJ670" s="121"/>
      <c r="BK670" s="121"/>
      <c r="BL670" s="121"/>
      <c r="BM670" s="121"/>
      <c r="BN670" s="121"/>
      <c r="BO670" s="121"/>
      <c r="BP670" s="121"/>
      <c r="BQ670" s="121"/>
      <c r="BR670" s="121"/>
      <c r="BS670" s="121"/>
      <c r="BT670" s="121"/>
      <c r="BU670" s="121"/>
      <c r="BV670" s="121"/>
      <c r="BW670" s="121"/>
      <c r="BX670" s="121"/>
      <c r="BY670" s="121"/>
      <c r="BZ670" s="121"/>
      <c r="CA670" s="121"/>
      <c r="CB670" s="121"/>
      <c r="CC670" s="121"/>
      <c r="CD670" s="121"/>
      <c r="CE670" s="121"/>
      <c r="CF670" s="121"/>
      <c r="CG670" s="121"/>
      <c r="CH670" s="121"/>
      <c r="CI670" s="121"/>
      <c r="CJ670" s="121"/>
      <c r="CK670" s="121"/>
      <c r="CL670" s="121"/>
      <c r="CM670" s="121"/>
      <c r="CN670" s="121"/>
      <c r="CO670" s="121"/>
      <c r="CP670" s="121"/>
      <c r="CQ670" s="121"/>
      <c r="CR670" s="121"/>
      <c r="CS670" s="121"/>
      <c r="CT670" s="121"/>
      <c r="CU670" s="121"/>
      <c r="CV670" s="121"/>
      <c r="CW670" s="121"/>
      <c r="CX670" s="121"/>
      <c r="CY670" s="121"/>
      <c r="CZ670" s="121"/>
      <c r="DA670" s="121"/>
      <c r="DB670" s="121"/>
      <c r="DC670" s="121"/>
      <c r="DD670" s="121"/>
      <c r="DE670" s="121"/>
      <c r="DF670" s="121"/>
      <c r="DG670" s="121"/>
      <c r="DH670" s="121"/>
      <c r="DI670" s="121"/>
      <c r="DJ670" s="121"/>
      <c r="DK670" s="121"/>
      <c r="DL670" s="121"/>
      <c r="DM670" s="121"/>
      <c r="DN670" s="121"/>
      <c r="DO670" s="121"/>
      <c r="DP670" s="121"/>
      <c r="DQ670" s="121"/>
      <c r="DR670" s="121"/>
      <c r="DS670" s="121"/>
      <c r="DT670" s="240"/>
      <c r="DU670" s="240"/>
      <c r="DV670" s="240"/>
      <c r="DW670" s="240"/>
      <c r="DX670" s="240"/>
      <c r="DY670" s="240"/>
      <c r="DZ670" s="240"/>
      <c r="EA670" s="240"/>
      <c r="EB670" s="237">
        <f t="shared" si="80"/>
        <v>0</v>
      </c>
      <c r="EC670" s="237">
        <f t="shared" si="81"/>
        <v>0</v>
      </c>
      <c r="ED670" s="237">
        <f t="shared" si="82"/>
        <v>0</v>
      </c>
      <c r="EE670" s="237">
        <f t="shared" si="83"/>
        <v>0</v>
      </c>
      <c r="EF670" s="121"/>
      <c r="EG670" s="238">
        <f t="shared" si="84"/>
        <v>0</v>
      </c>
      <c r="EH670" s="121"/>
      <c r="EI670" s="237">
        <f t="shared" si="85"/>
        <v>0</v>
      </c>
      <c r="EJ670" s="121"/>
      <c r="EK670" s="237">
        <f t="shared" si="86"/>
        <v>0</v>
      </c>
      <c r="EL670" s="237"/>
      <c r="EM670" s="5"/>
      <c r="EN670" s="5"/>
      <c r="EO670" s="5"/>
      <c r="EP670" s="5"/>
      <c r="EQ670" s="237">
        <f t="shared" si="87"/>
        <v>0</v>
      </c>
      <c r="ER670" s="239">
        <v>23300</v>
      </c>
      <c r="ES670" s="5">
        <v>7.5</v>
      </c>
    </row>
    <row r="671" spans="1:149" x14ac:dyDescent="0.3">
      <c r="A671" s="124"/>
      <c r="B671" s="121"/>
      <c r="C671" s="121"/>
      <c r="D671" s="121"/>
      <c r="E671" s="121"/>
      <c r="F671" s="121"/>
      <c r="G671" s="121"/>
      <c r="H671" s="121"/>
      <c r="I671" s="121"/>
      <c r="J671" s="121"/>
      <c r="K671" s="121"/>
      <c r="L671" s="121"/>
      <c r="M671" s="121"/>
      <c r="N671" s="121"/>
      <c r="O671" s="235"/>
      <c r="P671" s="121"/>
      <c r="Q671" s="121"/>
      <c r="R671" s="121"/>
      <c r="S671" s="121"/>
      <c r="T671" s="121"/>
      <c r="U671" s="121"/>
      <c r="V671" s="121"/>
      <c r="W671" s="121"/>
      <c r="X671" s="117"/>
      <c r="Y671" s="117"/>
      <c r="Z671" s="121"/>
      <c r="AA671" s="121"/>
      <c r="AB671" s="121"/>
      <c r="AC671" s="121"/>
      <c r="AD671" s="121"/>
      <c r="AE671" s="121"/>
      <c r="AF671" s="121"/>
      <c r="AG671" s="121"/>
      <c r="AH671" s="121"/>
      <c r="AI671" s="121"/>
      <c r="AJ671" s="121"/>
      <c r="AK671" s="121"/>
      <c r="AL671" s="121"/>
      <c r="AM671" s="121"/>
      <c r="AN671" s="121"/>
      <c r="AO671" s="121"/>
      <c r="AP671" s="121"/>
      <c r="AQ671" s="121"/>
      <c r="AR671" s="121"/>
      <c r="AS671" s="121"/>
      <c r="AT671" s="121"/>
      <c r="AU671" s="121"/>
      <c r="AV671" s="121"/>
      <c r="AW671" s="121"/>
      <c r="AX671" s="121"/>
      <c r="AY671" s="121"/>
      <c r="AZ671" s="121"/>
      <c r="BA671" s="121"/>
      <c r="BB671" s="121"/>
      <c r="BC671" s="121"/>
      <c r="BD671" s="121"/>
      <c r="BE671" s="121"/>
      <c r="BF671" s="121"/>
      <c r="BG671" s="121"/>
      <c r="BH671" s="121"/>
      <c r="BI671" s="121"/>
      <c r="BJ671" s="121"/>
      <c r="BK671" s="121"/>
      <c r="BL671" s="121"/>
      <c r="BM671" s="121"/>
      <c r="BN671" s="121"/>
      <c r="BO671" s="121"/>
      <c r="BP671" s="121"/>
      <c r="BQ671" s="121"/>
      <c r="BR671" s="121"/>
      <c r="BS671" s="121"/>
      <c r="BT671" s="121"/>
      <c r="BU671" s="121"/>
      <c r="BV671" s="121"/>
      <c r="BW671" s="121"/>
      <c r="BX671" s="121"/>
      <c r="BY671" s="121"/>
      <c r="BZ671" s="121"/>
      <c r="CA671" s="121"/>
      <c r="CB671" s="121"/>
      <c r="CC671" s="121"/>
      <c r="CD671" s="121"/>
      <c r="CE671" s="121"/>
      <c r="CF671" s="121"/>
      <c r="CG671" s="121"/>
      <c r="CH671" s="121"/>
      <c r="CI671" s="121"/>
      <c r="CJ671" s="121"/>
      <c r="CK671" s="121"/>
      <c r="CL671" s="121"/>
      <c r="CM671" s="121"/>
      <c r="CN671" s="121"/>
      <c r="CO671" s="121"/>
      <c r="CP671" s="121"/>
      <c r="CQ671" s="121"/>
      <c r="CR671" s="121"/>
      <c r="CS671" s="121"/>
      <c r="CT671" s="121"/>
      <c r="CU671" s="121"/>
      <c r="CV671" s="121"/>
      <c r="CW671" s="121"/>
      <c r="CX671" s="121"/>
      <c r="CY671" s="121"/>
      <c r="CZ671" s="121"/>
      <c r="DA671" s="121"/>
      <c r="DB671" s="121"/>
      <c r="DC671" s="121"/>
      <c r="DD671" s="121"/>
      <c r="DE671" s="121"/>
      <c r="DF671" s="121"/>
      <c r="DG671" s="121"/>
      <c r="DH671" s="121"/>
      <c r="DI671" s="121"/>
      <c r="DJ671" s="121"/>
      <c r="DK671" s="121"/>
      <c r="DL671" s="121"/>
      <c r="DM671" s="121"/>
      <c r="DN671" s="121"/>
      <c r="DO671" s="121"/>
      <c r="DP671" s="121"/>
      <c r="DQ671" s="121"/>
      <c r="DR671" s="121"/>
      <c r="DS671" s="121"/>
      <c r="DT671" s="240"/>
      <c r="DU671" s="240"/>
      <c r="DV671" s="240"/>
      <c r="DW671" s="240"/>
      <c r="DX671" s="240"/>
      <c r="DY671" s="240"/>
      <c r="DZ671" s="240"/>
      <c r="EA671" s="240"/>
      <c r="EB671" s="237">
        <f t="shared" si="80"/>
        <v>0</v>
      </c>
      <c r="EC671" s="237">
        <f t="shared" si="81"/>
        <v>0</v>
      </c>
      <c r="ED671" s="237">
        <f t="shared" si="82"/>
        <v>0</v>
      </c>
      <c r="EE671" s="237">
        <f t="shared" si="83"/>
        <v>0</v>
      </c>
      <c r="EF671" s="121"/>
      <c r="EG671" s="238">
        <f t="shared" si="84"/>
        <v>0</v>
      </c>
      <c r="EH671" s="121"/>
      <c r="EI671" s="237">
        <f t="shared" si="85"/>
        <v>0</v>
      </c>
      <c r="EJ671" s="121"/>
      <c r="EK671" s="237">
        <f t="shared" si="86"/>
        <v>0</v>
      </c>
      <c r="EL671" s="237"/>
      <c r="EM671" s="5"/>
      <c r="EN671" s="5"/>
      <c r="EO671" s="5"/>
      <c r="EP671" s="5"/>
      <c r="EQ671" s="237">
        <f t="shared" si="87"/>
        <v>0</v>
      </c>
      <c r="ER671" s="239">
        <v>23300</v>
      </c>
      <c r="ES671" s="5">
        <v>7.5</v>
      </c>
    </row>
    <row r="672" spans="1:149" x14ac:dyDescent="0.3">
      <c r="A672" s="124"/>
      <c r="B672" s="121"/>
      <c r="C672" s="121"/>
      <c r="D672" s="121"/>
      <c r="E672" s="121"/>
      <c r="F672" s="121"/>
      <c r="G672" s="121"/>
      <c r="H672" s="121"/>
      <c r="I672" s="121"/>
      <c r="J672" s="121"/>
      <c r="K672" s="121"/>
      <c r="L672" s="121"/>
      <c r="M672" s="121"/>
      <c r="N672" s="121"/>
      <c r="O672" s="235"/>
      <c r="P672" s="121"/>
      <c r="Q672" s="121"/>
      <c r="R672" s="121"/>
      <c r="S672" s="121"/>
      <c r="T672" s="121"/>
      <c r="U672" s="121"/>
      <c r="V672" s="121"/>
      <c r="W672" s="121"/>
      <c r="X672" s="117"/>
      <c r="Y672" s="117"/>
      <c r="Z672" s="121"/>
      <c r="AA672" s="121"/>
      <c r="AB672" s="121"/>
      <c r="AC672" s="121"/>
      <c r="AD672" s="121"/>
      <c r="AE672" s="121"/>
      <c r="AF672" s="121"/>
      <c r="AG672" s="121"/>
      <c r="AH672" s="121"/>
      <c r="AI672" s="121"/>
      <c r="AJ672" s="121"/>
      <c r="AK672" s="121"/>
      <c r="AL672" s="121"/>
      <c r="AM672" s="121"/>
      <c r="AN672" s="121"/>
      <c r="AO672" s="121"/>
      <c r="AP672" s="121"/>
      <c r="AQ672" s="121"/>
      <c r="AR672" s="121"/>
      <c r="AS672" s="121"/>
      <c r="AT672" s="121"/>
      <c r="AU672" s="121"/>
      <c r="AV672" s="121"/>
      <c r="AW672" s="121"/>
      <c r="AX672" s="121"/>
      <c r="AY672" s="121"/>
      <c r="AZ672" s="121"/>
      <c r="BA672" s="121"/>
      <c r="BB672" s="121"/>
      <c r="BC672" s="121"/>
      <c r="BD672" s="121"/>
      <c r="BE672" s="121"/>
      <c r="BF672" s="121"/>
      <c r="BG672" s="121"/>
      <c r="BH672" s="121"/>
      <c r="BI672" s="121"/>
      <c r="BJ672" s="121"/>
      <c r="BK672" s="121"/>
      <c r="BL672" s="121"/>
      <c r="BM672" s="121"/>
      <c r="BN672" s="121"/>
      <c r="BO672" s="121"/>
      <c r="BP672" s="121"/>
      <c r="BQ672" s="121"/>
      <c r="BR672" s="121"/>
      <c r="BS672" s="121"/>
      <c r="BT672" s="121"/>
      <c r="BU672" s="121"/>
      <c r="BV672" s="121"/>
      <c r="BW672" s="121"/>
      <c r="BX672" s="121"/>
      <c r="BY672" s="121"/>
      <c r="BZ672" s="121"/>
      <c r="CA672" s="121"/>
      <c r="CB672" s="121"/>
      <c r="CC672" s="121"/>
      <c r="CD672" s="121"/>
      <c r="CE672" s="121"/>
      <c r="CF672" s="121"/>
      <c r="CG672" s="121"/>
      <c r="CH672" s="121"/>
      <c r="CI672" s="121"/>
      <c r="CJ672" s="121"/>
      <c r="CK672" s="121"/>
      <c r="CL672" s="121"/>
      <c r="CM672" s="121"/>
      <c r="CN672" s="121"/>
      <c r="CO672" s="121"/>
      <c r="CP672" s="121"/>
      <c r="CQ672" s="121"/>
      <c r="CR672" s="121"/>
      <c r="CS672" s="121"/>
      <c r="CT672" s="121"/>
      <c r="CU672" s="121"/>
      <c r="CV672" s="121"/>
      <c r="CW672" s="121"/>
      <c r="CX672" s="121"/>
      <c r="CY672" s="121"/>
      <c r="CZ672" s="121"/>
      <c r="DA672" s="121"/>
      <c r="DB672" s="121"/>
      <c r="DC672" s="121"/>
      <c r="DD672" s="121"/>
      <c r="DE672" s="121"/>
      <c r="DF672" s="121"/>
      <c r="DG672" s="121"/>
      <c r="DH672" s="121"/>
      <c r="DI672" s="121"/>
      <c r="DJ672" s="121"/>
      <c r="DK672" s="121"/>
      <c r="DL672" s="121"/>
      <c r="DM672" s="121"/>
      <c r="DN672" s="121"/>
      <c r="DO672" s="121"/>
      <c r="DP672" s="121"/>
      <c r="DQ672" s="121"/>
      <c r="DR672" s="121"/>
      <c r="DS672" s="121"/>
      <c r="DT672" s="240"/>
      <c r="DU672" s="240"/>
      <c r="DV672" s="240"/>
      <c r="DW672" s="240"/>
      <c r="DX672" s="240"/>
      <c r="DY672" s="240"/>
      <c r="DZ672" s="240"/>
      <c r="EA672" s="240"/>
      <c r="EB672" s="237">
        <f t="shared" si="80"/>
        <v>0</v>
      </c>
      <c r="EC672" s="237">
        <f t="shared" si="81"/>
        <v>0</v>
      </c>
      <c r="ED672" s="237">
        <f t="shared" si="82"/>
        <v>0</v>
      </c>
      <c r="EE672" s="237">
        <f t="shared" si="83"/>
        <v>0</v>
      </c>
      <c r="EF672" s="121"/>
      <c r="EG672" s="238">
        <f t="shared" si="84"/>
        <v>0</v>
      </c>
      <c r="EH672" s="121"/>
      <c r="EI672" s="237">
        <f t="shared" si="85"/>
        <v>0</v>
      </c>
      <c r="EJ672" s="121"/>
      <c r="EK672" s="237">
        <f t="shared" si="86"/>
        <v>0</v>
      </c>
      <c r="EL672" s="237"/>
      <c r="EM672" s="5"/>
      <c r="EN672" s="5"/>
      <c r="EO672" s="5"/>
      <c r="EP672" s="5"/>
      <c r="EQ672" s="237">
        <f t="shared" si="87"/>
        <v>0</v>
      </c>
      <c r="ER672" s="239">
        <v>23300</v>
      </c>
      <c r="ES672" s="5">
        <v>7.5</v>
      </c>
    </row>
    <row r="673" spans="1:149" x14ac:dyDescent="0.3">
      <c r="A673" s="124"/>
      <c r="B673" s="121"/>
      <c r="C673" s="121"/>
      <c r="D673" s="121"/>
      <c r="E673" s="121"/>
      <c r="F673" s="121"/>
      <c r="G673" s="121"/>
      <c r="H673" s="121"/>
      <c r="I673" s="121"/>
      <c r="J673" s="121"/>
      <c r="K673" s="121"/>
      <c r="L673" s="121"/>
      <c r="M673" s="121"/>
      <c r="N673" s="121"/>
      <c r="O673" s="235"/>
      <c r="P673" s="121"/>
      <c r="Q673" s="121"/>
      <c r="R673" s="121"/>
      <c r="S673" s="121"/>
      <c r="T673" s="121"/>
      <c r="U673" s="121"/>
      <c r="V673" s="121"/>
      <c r="W673" s="121"/>
      <c r="X673" s="117"/>
      <c r="Y673" s="117"/>
      <c r="Z673" s="121"/>
      <c r="AA673" s="121"/>
      <c r="AB673" s="121"/>
      <c r="AC673" s="121"/>
      <c r="AD673" s="121"/>
      <c r="AE673" s="121"/>
      <c r="AF673" s="121"/>
      <c r="AG673" s="121"/>
      <c r="AH673" s="121"/>
      <c r="AI673" s="121"/>
      <c r="AJ673" s="121"/>
      <c r="AK673" s="121"/>
      <c r="AL673" s="121"/>
      <c r="AM673" s="121"/>
      <c r="AN673" s="121"/>
      <c r="AO673" s="121"/>
      <c r="AP673" s="121"/>
      <c r="AQ673" s="121"/>
      <c r="AR673" s="121"/>
      <c r="AS673" s="121"/>
      <c r="AT673" s="121"/>
      <c r="AU673" s="121"/>
      <c r="AV673" s="121"/>
      <c r="AW673" s="121"/>
      <c r="AX673" s="121"/>
      <c r="AY673" s="121"/>
      <c r="AZ673" s="121"/>
      <c r="BA673" s="121"/>
      <c r="BB673" s="121"/>
      <c r="BC673" s="121"/>
      <c r="BD673" s="121"/>
      <c r="BE673" s="121"/>
      <c r="BF673" s="121"/>
      <c r="BG673" s="121"/>
      <c r="BH673" s="121"/>
      <c r="BI673" s="121"/>
      <c r="BJ673" s="121"/>
      <c r="BK673" s="121"/>
      <c r="BL673" s="121"/>
      <c r="BM673" s="121"/>
      <c r="BN673" s="121"/>
      <c r="BO673" s="121"/>
      <c r="BP673" s="121"/>
      <c r="BQ673" s="121"/>
      <c r="BR673" s="121"/>
      <c r="BS673" s="121"/>
      <c r="BT673" s="121"/>
      <c r="BU673" s="121"/>
      <c r="BV673" s="121"/>
      <c r="BW673" s="121"/>
      <c r="BX673" s="121"/>
      <c r="BY673" s="121"/>
      <c r="BZ673" s="121"/>
      <c r="CA673" s="121"/>
      <c r="CB673" s="121"/>
      <c r="CC673" s="121"/>
      <c r="CD673" s="121"/>
      <c r="CE673" s="121"/>
      <c r="CF673" s="121"/>
      <c r="CG673" s="121"/>
      <c r="CH673" s="121"/>
      <c r="CI673" s="121"/>
      <c r="CJ673" s="121"/>
      <c r="CK673" s="121"/>
      <c r="CL673" s="121"/>
      <c r="CM673" s="121"/>
      <c r="CN673" s="121"/>
      <c r="CO673" s="121"/>
      <c r="CP673" s="121"/>
      <c r="CQ673" s="121"/>
      <c r="CR673" s="121"/>
      <c r="CS673" s="121"/>
      <c r="CT673" s="121"/>
      <c r="CU673" s="121"/>
      <c r="CV673" s="121"/>
      <c r="CW673" s="121"/>
      <c r="CX673" s="121"/>
      <c r="CY673" s="121"/>
      <c r="CZ673" s="121"/>
      <c r="DA673" s="121"/>
      <c r="DB673" s="121"/>
      <c r="DC673" s="121"/>
      <c r="DD673" s="121"/>
      <c r="DE673" s="121"/>
      <c r="DF673" s="121"/>
      <c r="DG673" s="121"/>
      <c r="DH673" s="121"/>
      <c r="DI673" s="121"/>
      <c r="DJ673" s="121"/>
      <c r="DK673" s="121"/>
      <c r="DL673" s="121"/>
      <c r="DM673" s="121"/>
      <c r="DN673" s="121"/>
      <c r="DO673" s="121"/>
      <c r="DP673" s="121"/>
      <c r="DQ673" s="121"/>
      <c r="DR673" s="121"/>
      <c r="DS673" s="121"/>
      <c r="DT673" s="240"/>
      <c r="DU673" s="240"/>
      <c r="DV673" s="240"/>
      <c r="DW673" s="240"/>
      <c r="DX673" s="240"/>
      <c r="DY673" s="240"/>
      <c r="DZ673" s="240"/>
      <c r="EA673" s="240"/>
      <c r="EB673" s="237">
        <f t="shared" si="80"/>
        <v>0</v>
      </c>
      <c r="EC673" s="237">
        <f t="shared" si="81"/>
        <v>0</v>
      </c>
      <c r="ED673" s="237">
        <f t="shared" si="82"/>
        <v>0</v>
      </c>
      <c r="EE673" s="237">
        <f t="shared" si="83"/>
        <v>0</v>
      </c>
      <c r="EF673" s="121"/>
      <c r="EG673" s="238">
        <f t="shared" si="84"/>
        <v>0</v>
      </c>
      <c r="EH673" s="121"/>
      <c r="EI673" s="237">
        <f t="shared" si="85"/>
        <v>0</v>
      </c>
      <c r="EJ673" s="121"/>
      <c r="EK673" s="237">
        <f t="shared" si="86"/>
        <v>0</v>
      </c>
      <c r="EL673" s="237"/>
      <c r="EM673" s="5"/>
      <c r="EN673" s="5"/>
      <c r="EO673" s="5"/>
      <c r="EP673" s="5"/>
      <c r="EQ673" s="237">
        <f t="shared" si="87"/>
        <v>0</v>
      </c>
      <c r="ER673" s="239">
        <v>23300</v>
      </c>
      <c r="ES673" s="5">
        <v>7.5</v>
      </c>
    </row>
    <row r="674" spans="1:149" x14ac:dyDescent="0.3">
      <c r="A674" s="124"/>
      <c r="B674" s="121"/>
      <c r="C674" s="121"/>
      <c r="D674" s="121"/>
      <c r="E674" s="121"/>
      <c r="F674" s="121"/>
      <c r="G674" s="121"/>
      <c r="H674" s="121"/>
      <c r="I674" s="121"/>
      <c r="J674" s="121"/>
      <c r="K674" s="121"/>
      <c r="L674" s="121"/>
      <c r="M674" s="121"/>
      <c r="N674" s="121"/>
      <c r="O674" s="235"/>
      <c r="P674" s="121"/>
      <c r="Q674" s="121"/>
      <c r="R674" s="121"/>
      <c r="S674" s="121"/>
      <c r="T674" s="121"/>
      <c r="U674" s="121"/>
      <c r="V674" s="121"/>
      <c r="W674" s="121"/>
      <c r="X674" s="117"/>
      <c r="Y674" s="117"/>
      <c r="Z674" s="121"/>
      <c r="AA674" s="121"/>
      <c r="AB674" s="121"/>
      <c r="AC674" s="121"/>
      <c r="AD674" s="121"/>
      <c r="AE674" s="121"/>
      <c r="AF674" s="121"/>
      <c r="AG674" s="121"/>
      <c r="AH674" s="121"/>
      <c r="AI674" s="121"/>
      <c r="AJ674" s="121"/>
      <c r="AK674" s="121"/>
      <c r="AL674" s="121"/>
      <c r="AM674" s="121"/>
      <c r="AN674" s="121"/>
      <c r="AO674" s="121"/>
      <c r="AP674" s="121"/>
      <c r="AQ674" s="121"/>
      <c r="AR674" s="121"/>
      <c r="AS674" s="121"/>
      <c r="AT674" s="121"/>
      <c r="AU674" s="121"/>
      <c r="AV674" s="121"/>
      <c r="AW674" s="121"/>
      <c r="AX674" s="121"/>
      <c r="AY674" s="121"/>
      <c r="AZ674" s="121"/>
      <c r="BA674" s="121"/>
      <c r="BB674" s="121"/>
      <c r="BC674" s="121"/>
      <c r="BD674" s="121"/>
      <c r="BE674" s="121"/>
      <c r="BF674" s="121"/>
      <c r="BG674" s="121"/>
      <c r="BH674" s="121"/>
      <c r="BI674" s="121"/>
      <c r="BJ674" s="121"/>
      <c r="BK674" s="121"/>
      <c r="BL674" s="121"/>
      <c r="BM674" s="121"/>
      <c r="BN674" s="121"/>
      <c r="BO674" s="121"/>
      <c r="BP674" s="121"/>
      <c r="BQ674" s="121"/>
      <c r="BR674" s="121"/>
      <c r="BS674" s="121"/>
      <c r="BT674" s="121"/>
      <c r="BU674" s="121"/>
      <c r="BV674" s="121"/>
      <c r="BW674" s="121"/>
      <c r="BX674" s="121"/>
      <c r="BY674" s="121"/>
      <c r="BZ674" s="121"/>
      <c r="CA674" s="121"/>
      <c r="CB674" s="121"/>
      <c r="CC674" s="121"/>
      <c r="CD674" s="121"/>
      <c r="CE674" s="121"/>
      <c r="CF674" s="121"/>
      <c r="CG674" s="121"/>
      <c r="CH674" s="121"/>
      <c r="CI674" s="121"/>
      <c r="CJ674" s="121"/>
      <c r="CK674" s="121"/>
      <c r="CL674" s="121"/>
      <c r="CM674" s="121"/>
      <c r="CN674" s="121"/>
      <c r="CO674" s="121"/>
      <c r="CP674" s="121"/>
      <c r="CQ674" s="121"/>
      <c r="CR674" s="121"/>
      <c r="CS674" s="121"/>
      <c r="CT674" s="121"/>
      <c r="CU674" s="121"/>
      <c r="CV674" s="121"/>
      <c r="CW674" s="121"/>
      <c r="CX674" s="121"/>
      <c r="CY674" s="121"/>
      <c r="CZ674" s="121"/>
      <c r="DA674" s="121"/>
      <c r="DB674" s="121"/>
      <c r="DC674" s="121"/>
      <c r="DD674" s="121"/>
      <c r="DE674" s="121"/>
      <c r="DF674" s="121"/>
      <c r="DG674" s="121"/>
      <c r="DH674" s="121"/>
      <c r="DI674" s="121"/>
      <c r="DJ674" s="121"/>
      <c r="DK674" s="121"/>
      <c r="DL674" s="121"/>
      <c r="DM674" s="121"/>
      <c r="DN674" s="121"/>
      <c r="DO674" s="121"/>
      <c r="DP674" s="121"/>
      <c r="DQ674" s="121"/>
      <c r="DR674" s="121"/>
      <c r="DS674" s="121"/>
      <c r="DT674" s="240"/>
      <c r="DU674" s="240"/>
      <c r="DV674" s="240"/>
      <c r="DW674" s="240"/>
      <c r="DX674" s="240"/>
      <c r="DY674" s="240"/>
      <c r="DZ674" s="240"/>
      <c r="EA674" s="240"/>
      <c r="EB674" s="237">
        <f t="shared" si="80"/>
        <v>0</v>
      </c>
      <c r="EC674" s="237">
        <f t="shared" si="81"/>
        <v>0</v>
      </c>
      <c r="ED674" s="237">
        <f t="shared" si="82"/>
        <v>0</v>
      </c>
      <c r="EE674" s="237">
        <f t="shared" si="83"/>
        <v>0</v>
      </c>
      <c r="EF674" s="121"/>
      <c r="EG674" s="238">
        <f t="shared" si="84"/>
        <v>0</v>
      </c>
      <c r="EH674" s="121"/>
      <c r="EI674" s="237">
        <f t="shared" si="85"/>
        <v>0</v>
      </c>
      <c r="EJ674" s="121"/>
      <c r="EK674" s="237">
        <f t="shared" si="86"/>
        <v>0</v>
      </c>
      <c r="EL674" s="237"/>
      <c r="EM674" s="5"/>
      <c r="EN674" s="5"/>
      <c r="EO674" s="5"/>
      <c r="EP674" s="5"/>
      <c r="EQ674" s="237">
        <f t="shared" si="87"/>
        <v>0</v>
      </c>
      <c r="ER674" s="239">
        <v>23300</v>
      </c>
      <c r="ES674" s="5">
        <v>7.5</v>
      </c>
    </row>
    <row r="675" spans="1:149" x14ac:dyDescent="0.3">
      <c r="A675" s="124"/>
      <c r="B675" s="121"/>
      <c r="C675" s="121"/>
      <c r="D675" s="121"/>
      <c r="E675" s="121"/>
      <c r="F675" s="121"/>
      <c r="G675" s="121"/>
      <c r="H675" s="121"/>
      <c r="I675" s="121"/>
      <c r="J675" s="121"/>
      <c r="K675" s="121"/>
      <c r="L675" s="121"/>
      <c r="M675" s="121"/>
      <c r="N675" s="121"/>
      <c r="O675" s="235"/>
      <c r="P675" s="121"/>
      <c r="Q675" s="121"/>
      <c r="R675" s="121"/>
      <c r="S675" s="121"/>
      <c r="T675" s="121"/>
      <c r="U675" s="121"/>
      <c r="V675" s="121"/>
      <c r="W675" s="121"/>
      <c r="X675" s="117"/>
      <c r="Y675" s="117"/>
      <c r="Z675" s="121"/>
      <c r="AA675" s="121"/>
      <c r="AB675" s="121"/>
      <c r="AC675" s="121"/>
      <c r="AD675" s="121"/>
      <c r="AE675" s="121"/>
      <c r="AF675" s="121"/>
      <c r="AG675" s="121"/>
      <c r="AH675" s="121"/>
      <c r="AI675" s="121"/>
      <c r="AJ675" s="121"/>
      <c r="AK675" s="121"/>
      <c r="AL675" s="121"/>
      <c r="AM675" s="121"/>
      <c r="AN675" s="121"/>
      <c r="AO675" s="121"/>
      <c r="AP675" s="121"/>
      <c r="AQ675" s="121"/>
      <c r="AR675" s="121"/>
      <c r="AS675" s="121"/>
      <c r="AT675" s="121"/>
      <c r="AU675" s="121"/>
      <c r="AV675" s="121"/>
      <c r="AW675" s="121"/>
      <c r="AX675" s="121"/>
      <c r="AY675" s="121"/>
      <c r="AZ675" s="121"/>
      <c r="BA675" s="121"/>
      <c r="BB675" s="121"/>
      <c r="BC675" s="121"/>
      <c r="BD675" s="121"/>
      <c r="BE675" s="121"/>
      <c r="BF675" s="121"/>
      <c r="BG675" s="121"/>
      <c r="BH675" s="121"/>
      <c r="BI675" s="121"/>
      <c r="BJ675" s="121"/>
      <c r="BK675" s="121"/>
      <c r="BL675" s="121"/>
      <c r="BM675" s="121"/>
      <c r="BN675" s="121"/>
      <c r="BO675" s="121"/>
      <c r="BP675" s="121"/>
      <c r="BQ675" s="121"/>
      <c r="BR675" s="121"/>
      <c r="BS675" s="121"/>
      <c r="BT675" s="121"/>
      <c r="BU675" s="121"/>
      <c r="BV675" s="121"/>
      <c r="BW675" s="121"/>
      <c r="BX675" s="121"/>
      <c r="BY675" s="121"/>
      <c r="BZ675" s="121"/>
      <c r="CA675" s="121"/>
      <c r="CB675" s="121"/>
      <c r="CC675" s="121"/>
      <c r="CD675" s="121"/>
      <c r="CE675" s="121"/>
      <c r="CF675" s="121"/>
      <c r="CG675" s="121"/>
      <c r="CH675" s="121"/>
      <c r="CI675" s="121"/>
      <c r="CJ675" s="121"/>
      <c r="CK675" s="121"/>
      <c r="CL675" s="121"/>
      <c r="CM675" s="121"/>
      <c r="CN675" s="121"/>
      <c r="CO675" s="121"/>
      <c r="CP675" s="121"/>
      <c r="CQ675" s="121"/>
      <c r="CR675" s="121"/>
      <c r="CS675" s="121"/>
      <c r="CT675" s="121"/>
      <c r="CU675" s="121"/>
      <c r="CV675" s="121"/>
      <c r="CW675" s="121"/>
      <c r="CX675" s="121"/>
      <c r="CY675" s="121"/>
      <c r="CZ675" s="121"/>
      <c r="DA675" s="121"/>
      <c r="DB675" s="121"/>
      <c r="DC675" s="121"/>
      <c r="DD675" s="121"/>
      <c r="DE675" s="121"/>
      <c r="DF675" s="121"/>
      <c r="DG675" s="121"/>
      <c r="DH675" s="121"/>
      <c r="DI675" s="121"/>
      <c r="DJ675" s="121"/>
      <c r="DK675" s="121"/>
      <c r="DL675" s="121"/>
      <c r="DM675" s="121"/>
      <c r="DN675" s="121"/>
      <c r="DO675" s="121"/>
      <c r="DP675" s="121"/>
      <c r="DQ675" s="121"/>
      <c r="DR675" s="121"/>
      <c r="DS675" s="121"/>
      <c r="DT675" s="240"/>
      <c r="DU675" s="240"/>
      <c r="DV675" s="240"/>
      <c r="DW675" s="240"/>
      <c r="DX675" s="240"/>
      <c r="DY675" s="240"/>
      <c r="DZ675" s="240"/>
      <c r="EA675" s="240"/>
      <c r="EB675" s="237">
        <f t="shared" si="80"/>
        <v>0</v>
      </c>
      <c r="EC675" s="237">
        <f t="shared" si="81"/>
        <v>0</v>
      </c>
      <c r="ED675" s="237">
        <f t="shared" si="82"/>
        <v>0</v>
      </c>
      <c r="EE675" s="237">
        <f t="shared" si="83"/>
        <v>0</v>
      </c>
      <c r="EF675" s="121"/>
      <c r="EG675" s="238">
        <f t="shared" si="84"/>
        <v>0</v>
      </c>
      <c r="EH675" s="121"/>
      <c r="EI675" s="237">
        <f t="shared" si="85"/>
        <v>0</v>
      </c>
      <c r="EJ675" s="121"/>
      <c r="EK675" s="237">
        <f t="shared" si="86"/>
        <v>0</v>
      </c>
      <c r="EL675" s="237"/>
      <c r="EM675" s="5"/>
      <c r="EN675" s="5"/>
      <c r="EO675" s="5"/>
      <c r="EP675" s="5"/>
      <c r="EQ675" s="237">
        <f t="shared" si="87"/>
        <v>0</v>
      </c>
      <c r="ER675" s="239">
        <v>23300</v>
      </c>
      <c r="ES675" s="5">
        <v>7.5</v>
      </c>
    </row>
    <row r="676" spans="1:149" x14ac:dyDescent="0.3">
      <c r="A676" s="124"/>
      <c r="B676" s="121"/>
      <c r="C676" s="121"/>
      <c r="D676" s="121"/>
      <c r="E676" s="121"/>
      <c r="F676" s="121"/>
      <c r="G676" s="121"/>
      <c r="H676" s="121"/>
      <c r="I676" s="121"/>
      <c r="J676" s="121"/>
      <c r="K676" s="121"/>
      <c r="L676" s="121"/>
      <c r="M676" s="121"/>
      <c r="N676" s="121"/>
      <c r="O676" s="235"/>
      <c r="P676" s="121"/>
      <c r="Q676" s="121"/>
      <c r="R676" s="121"/>
      <c r="S676" s="121"/>
      <c r="T676" s="121"/>
      <c r="U676" s="121"/>
      <c r="V676" s="121"/>
      <c r="W676" s="121"/>
      <c r="X676" s="117"/>
      <c r="Y676" s="117"/>
      <c r="Z676" s="121"/>
      <c r="AA676" s="121"/>
      <c r="AB676" s="121"/>
      <c r="AC676" s="121"/>
      <c r="AD676" s="121"/>
      <c r="AE676" s="121"/>
      <c r="AF676" s="121"/>
      <c r="AG676" s="121"/>
      <c r="AH676" s="121"/>
      <c r="AI676" s="121"/>
      <c r="AJ676" s="121"/>
      <c r="AK676" s="121"/>
      <c r="AL676" s="121"/>
      <c r="AM676" s="121"/>
      <c r="AN676" s="121"/>
      <c r="AO676" s="121"/>
      <c r="AP676" s="121"/>
      <c r="AQ676" s="121"/>
      <c r="AR676" s="121"/>
      <c r="AS676" s="121"/>
      <c r="AT676" s="121"/>
      <c r="AU676" s="121"/>
      <c r="AV676" s="121"/>
      <c r="AW676" s="121"/>
      <c r="AX676" s="121"/>
      <c r="AY676" s="121"/>
      <c r="AZ676" s="121"/>
      <c r="BA676" s="121"/>
      <c r="BB676" s="121"/>
      <c r="BC676" s="121"/>
      <c r="BD676" s="121"/>
      <c r="BE676" s="121"/>
      <c r="BF676" s="121"/>
      <c r="BG676" s="121"/>
      <c r="BH676" s="121"/>
      <c r="BI676" s="121"/>
      <c r="BJ676" s="121"/>
      <c r="BK676" s="121"/>
      <c r="BL676" s="121"/>
      <c r="BM676" s="121"/>
      <c r="BN676" s="121"/>
      <c r="BO676" s="121"/>
      <c r="BP676" s="121"/>
      <c r="BQ676" s="121"/>
      <c r="BR676" s="121"/>
      <c r="BS676" s="121"/>
      <c r="BT676" s="121"/>
      <c r="BU676" s="121"/>
      <c r="BV676" s="121"/>
      <c r="BW676" s="121"/>
      <c r="BX676" s="121"/>
      <c r="BY676" s="121"/>
      <c r="BZ676" s="121"/>
      <c r="CA676" s="121"/>
      <c r="CB676" s="121"/>
      <c r="CC676" s="121"/>
      <c r="CD676" s="121"/>
      <c r="CE676" s="121"/>
      <c r="CF676" s="121"/>
      <c r="CG676" s="121"/>
      <c r="CH676" s="121"/>
      <c r="CI676" s="121"/>
      <c r="CJ676" s="121"/>
      <c r="CK676" s="121"/>
      <c r="CL676" s="121"/>
      <c r="CM676" s="121"/>
      <c r="CN676" s="121"/>
      <c r="CO676" s="121"/>
      <c r="CP676" s="121"/>
      <c r="CQ676" s="121"/>
      <c r="CR676" s="121"/>
      <c r="CS676" s="121"/>
      <c r="CT676" s="121"/>
      <c r="CU676" s="121"/>
      <c r="CV676" s="121"/>
      <c r="CW676" s="121"/>
      <c r="CX676" s="121"/>
      <c r="CY676" s="121"/>
      <c r="CZ676" s="121"/>
      <c r="DA676" s="121"/>
      <c r="DB676" s="121"/>
      <c r="DC676" s="121"/>
      <c r="DD676" s="121"/>
      <c r="DE676" s="121"/>
      <c r="DF676" s="121"/>
      <c r="DG676" s="121"/>
      <c r="DH676" s="121"/>
      <c r="DI676" s="121"/>
      <c r="DJ676" s="121"/>
      <c r="DK676" s="121"/>
      <c r="DL676" s="121"/>
      <c r="DM676" s="121"/>
      <c r="DN676" s="121"/>
      <c r="DO676" s="121"/>
      <c r="DP676" s="121"/>
      <c r="DQ676" s="121"/>
      <c r="DR676" s="121"/>
      <c r="DS676" s="121"/>
      <c r="DT676" s="240"/>
      <c r="DU676" s="240"/>
      <c r="DV676" s="240"/>
      <c r="DW676" s="240"/>
      <c r="DX676" s="240"/>
      <c r="DY676" s="240"/>
      <c r="DZ676" s="240"/>
      <c r="EA676" s="240"/>
      <c r="EB676" s="237">
        <f t="shared" si="80"/>
        <v>0</v>
      </c>
      <c r="EC676" s="237">
        <f t="shared" si="81"/>
        <v>0</v>
      </c>
      <c r="ED676" s="237">
        <f t="shared" si="82"/>
        <v>0</v>
      </c>
      <c r="EE676" s="237">
        <f t="shared" si="83"/>
        <v>0</v>
      </c>
      <c r="EF676" s="121"/>
      <c r="EG676" s="238">
        <f t="shared" si="84"/>
        <v>0</v>
      </c>
      <c r="EH676" s="121"/>
      <c r="EI676" s="237">
        <f t="shared" si="85"/>
        <v>0</v>
      </c>
      <c r="EJ676" s="121"/>
      <c r="EK676" s="237">
        <f t="shared" si="86"/>
        <v>0</v>
      </c>
      <c r="EL676" s="237"/>
      <c r="EM676" s="5"/>
      <c r="EN676" s="5"/>
      <c r="EO676" s="5"/>
      <c r="EP676" s="5"/>
      <c r="EQ676" s="237">
        <f t="shared" si="87"/>
        <v>0</v>
      </c>
      <c r="ER676" s="239">
        <v>23300</v>
      </c>
      <c r="ES676" s="5">
        <v>7.5</v>
      </c>
    </row>
    <row r="677" spans="1:149" x14ac:dyDescent="0.3">
      <c r="A677" s="124"/>
      <c r="B677" s="121"/>
      <c r="C677" s="121"/>
      <c r="D677" s="121"/>
      <c r="E677" s="121"/>
      <c r="F677" s="121"/>
      <c r="G677" s="121"/>
      <c r="H677" s="121"/>
      <c r="I677" s="121"/>
      <c r="J677" s="121"/>
      <c r="K677" s="121"/>
      <c r="L677" s="121"/>
      <c r="M677" s="121"/>
      <c r="N677" s="121"/>
      <c r="O677" s="235"/>
      <c r="P677" s="121"/>
      <c r="Q677" s="121"/>
      <c r="R677" s="121"/>
      <c r="S677" s="121"/>
      <c r="T677" s="121"/>
      <c r="U677" s="121"/>
      <c r="V677" s="121"/>
      <c r="W677" s="121"/>
      <c r="X677" s="117"/>
      <c r="Y677" s="117"/>
      <c r="Z677" s="121"/>
      <c r="AA677" s="121"/>
      <c r="AB677" s="121"/>
      <c r="AC677" s="121"/>
      <c r="AD677" s="121"/>
      <c r="AE677" s="121"/>
      <c r="AF677" s="121"/>
      <c r="AG677" s="121"/>
      <c r="AH677" s="121"/>
      <c r="AI677" s="121"/>
      <c r="AJ677" s="121"/>
      <c r="AK677" s="121"/>
      <c r="AL677" s="121"/>
      <c r="AM677" s="121"/>
      <c r="AN677" s="121"/>
      <c r="AO677" s="121"/>
      <c r="AP677" s="121"/>
      <c r="AQ677" s="121"/>
      <c r="AR677" s="121"/>
      <c r="AS677" s="121"/>
      <c r="AT677" s="121"/>
      <c r="AU677" s="121"/>
      <c r="AV677" s="121"/>
      <c r="AW677" s="121"/>
      <c r="AX677" s="121"/>
      <c r="AY677" s="121"/>
      <c r="AZ677" s="121"/>
      <c r="BA677" s="121"/>
      <c r="BB677" s="121"/>
      <c r="BC677" s="121"/>
      <c r="BD677" s="121"/>
      <c r="BE677" s="121"/>
      <c r="BF677" s="121"/>
      <c r="BG677" s="121"/>
      <c r="BH677" s="121"/>
      <c r="BI677" s="121"/>
      <c r="BJ677" s="121"/>
      <c r="BK677" s="121"/>
      <c r="BL677" s="121"/>
      <c r="BM677" s="121"/>
      <c r="BN677" s="121"/>
      <c r="BO677" s="121"/>
      <c r="BP677" s="121"/>
      <c r="BQ677" s="121"/>
      <c r="BR677" s="121"/>
      <c r="BS677" s="121"/>
      <c r="BT677" s="121"/>
      <c r="BU677" s="121"/>
      <c r="BV677" s="121"/>
      <c r="BW677" s="121"/>
      <c r="BX677" s="121"/>
      <c r="BY677" s="121"/>
      <c r="BZ677" s="121"/>
      <c r="CA677" s="121"/>
      <c r="CB677" s="121"/>
      <c r="CC677" s="121"/>
      <c r="CD677" s="121"/>
      <c r="CE677" s="121"/>
      <c r="CF677" s="121"/>
      <c r="CG677" s="121"/>
      <c r="CH677" s="121"/>
      <c r="CI677" s="121"/>
      <c r="CJ677" s="121"/>
      <c r="CK677" s="121"/>
      <c r="CL677" s="121"/>
      <c r="CM677" s="121"/>
      <c r="CN677" s="121"/>
      <c r="CO677" s="121"/>
      <c r="CP677" s="121"/>
      <c r="CQ677" s="121"/>
      <c r="CR677" s="121"/>
      <c r="CS677" s="121"/>
      <c r="CT677" s="121"/>
      <c r="CU677" s="121"/>
      <c r="CV677" s="121"/>
      <c r="CW677" s="121"/>
      <c r="CX677" s="121"/>
      <c r="CY677" s="121"/>
      <c r="CZ677" s="121"/>
      <c r="DA677" s="121"/>
      <c r="DB677" s="121"/>
      <c r="DC677" s="121"/>
      <c r="DD677" s="121"/>
      <c r="DE677" s="121"/>
      <c r="DF677" s="121"/>
      <c r="DG677" s="121"/>
      <c r="DH677" s="121"/>
      <c r="DI677" s="121"/>
      <c r="DJ677" s="121"/>
      <c r="DK677" s="121"/>
      <c r="DL677" s="121"/>
      <c r="DM677" s="121"/>
      <c r="DN677" s="121"/>
      <c r="DO677" s="121"/>
      <c r="DP677" s="121"/>
      <c r="DQ677" s="121"/>
      <c r="DR677" s="121"/>
      <c r="DS677" s="121"/>
      <c r="DT677" s="240"/>
      <c r="DU677" s="240"/>
      <c r="DV677" s="240"/>
      <c r="DW677" s="240"/>
      <c r="DX677" s="240"/>
      <c r="DY677" s="240"/>
      <c r="DZ677" s="240"/>
      <c r="EA677" s="240"/>
      <c r="EB677" s="237">
        <f t="shared" si="80"/>
        <v>0</v>
      </c>
      <c r="EC677" s="237">
        <f t="shared" si="81"/>
        <v>0</v>
      </c>
      <c r="ED677" s="237">
        <f t="shared" si="82"/>
        <v>0</v>
      </c>
      <c r="EE677" s="237">
        <f t="shared" si="83"/>
        <v>0</v>
      </c>
      <c r="EF677" s="121"/>
      <c r="EG677" s="238">
        <f t="shared" si="84"/>
        <v>0</v>
      </c>
      <c r="EH677" s="121"/>
      <c r="EI677" s="237">
        <f t="shared" si="85"/>
        <v>0</v>
      </c>
      <c r="EJ677" s="121"/>
      <c r="EK677" s="237">
        <f t="shared" si="86"/>
        <v>0</v>
      </c>
      <c r="EL677" s="237"/>
      <c r="EM677" s="5"/>
      <c r="EN677" s="5"/>
      <c r="EO677" s="5"/>
      <c r="EP677" s="5"/>
      <c r="EQ677" s="237">
        <f t="shared" si="87"/>
        <v>0</v>
      </c>
      <c r="ER677" s="239">
        <v>23300</v>
      </c>
      <c r="ES677" s="5">
        <v>7.5</v>
      </c>
    </row>
    <row r="678" spans="1:149" x14ac:dyDescent="0.3">
      <c r="A678" s="124"/>
      <c r="B678" s="121"/>
      <c r="C678" s="121"/>
      <c r="D678" s="121"/>
      <c r="E678" s="121"/>
      <c r="F678" s="121"/>
      <c r="G678" s="121"/>
      <c r="H678" s="121"/>
      <c r="I678" s="121"/>
      <c r="J678" s="121"/>
      <c r="K678" s="121"/>
      <c r="L678" s="121"/>
      <c r="M678" s="121"/>
      <c r="N678" s="121"/>
      <c r="O678" s="235"/>
      <c r="P678" s="121"/>
      <c r="Q678" s="121"/>
      <c r="R678" s="121"/>
      <c r="S678" s="121"/>
      <c r="T678" s="121"/>
      <c r="U678" s="121"/>
      <c r="V678" s="121"/>
      <c r="W678" s="121"/>
      <c r="X678" s="117"/>
      <c r="Y678" s="117"/>
      <c r="Z678" s="121"/>
      <c r="AA678" s="121"/>
      <c r="AB678" s="121"/>
      <c r="AC678" s="121"/>
      <c r="AD678" s="121"/>
      <c r="AE678" s="121"/>
      <c r="AF678" s="121"/>
      <c r="AG678" s="121"/>
      <c r="AH678" s="121"/>
      <c r="AI678" s="121"/>
      <c r="AJ678" s="121"/>
      <c r="AK678" s="121"/>
      <c r="AL678" s="121"/>
      <c r="AM678" s="121"/>
      <c r="AN678" s="121"/>
      <c r="AO678" s="121"/>
      <c r="AP678" s="121"/>
      <c r="AQ678" s="121"/>
      <c r="AR678" s="121"/>
      <c r="AS678" s="121"/>
      <c r="AT678" s="121"/>
      <c r="AU678" s="121"/>
      <c r="AV678" s="121"/>
      <c r="AW678" s="121"/>
      <c r="AX678" s="121"/>
      <c r="AY678" s="121"/>
      <c r="AZ678" s="121"/>
      <c r="BA678" s="121"/>
      <c r="BB678" s="121"/>
      <c r="BC678" s="121"/>
      <c r="BD678" s="121"/>
      <c r="BE678" s="121"/>
      <c r="BF678" s="121"/>
      <c r="BG678" s="121"/>
      <c r="BH678" s="121"/>
      <c r="BI678" s="121"/>
      <c r="BJ678" s="121"/>
      <c r="BK678" s="121"/>
      <c r="BL678" s="121"/>
      <c r="BM678" s="121"/>
      <c r="BN678" s="121"/>
      <c r="BO678" s="121"/>
      <c r="BP678" s="121"/>
      <c r="BQ678" s="121"/>
      <c r="BR678" s="121"/>
      <c r="BS678" s="121"/>
      <c r="BT678" s="121"/>
      <c r="BU678" s="121"/>
      <c r="BV678" s="121"/>
      <c r="BW678" s="121"/>
      <c r="BX678" s="121"/>
      <c r="BY678" s="121"/>
      <c r="BZ678" s="121"/>
      <c r="CA678" s="121"/>
      <c r="CB678" s="121"/>
      <c r="CC678" s="121"/>
      <c r="CD678" s="121"/>
      <c r="CE678" s="121"/>
      <c r="CF678" s="121"/>
      <c r="CG678" s="121"/>
      <c r="CH678" s="121"/>
      <c r="CI678" s="121"/>
      <c r="CJ678" s="121"/>
      <c r="CK678" s="121"/>
      <c r="CL678" s="121"/>
      <c r="CM678" s="121"/>
      <c r="CN678" s="121"/>
      <c r="CO678" s="121"/>
      <c r="CP678" s="121"/>
      <c r="CQ678" s="121"/>
      <c r="CR678" s="121"/>
      <c r="CS678" s="121"/>
      <c r="CT678" s="121"/>
      <c r="CU678" s="121"/>
      <c r="CV678" s="121"/>
      <c r="CW678" s="121"/>
      <c r="CX678" s="121"/>
      <c r="CY678" s="121"/>
      <c r="CZ678" s="121"/>
      <c r="DA678" s="121"/>
      <c r="DB678" s="121"/>
      <c r="DC678" s="121"/>
      <c r="DD678" s="121"/>
      <c r="DE678" s="121"/>
      <c r="DF678" s="121"/>
      <c r="DG678" s="121"/>
      <c r="DH678" s="121"/>
      <c r="DI678" s="121"/>
      <c r="DJ678" s="121"/>
      <c r="DK678" s="121"/>
      <c r="DL678" s="121"/>
      <c r="DM678" s="121"/>
      <c r="DN678" s="121"/>
      <c r="DO678" s="121"/>
      <c r="DP678" s="121"/>
      <c r="DQ678" s="121"/>
      <c r="DR678" s="121"/>
      <c r="DS678" s="121"/>
      <c r="DT678" s="240"/>
      <c r="DU678" s="240"/>
      <c r="DV678" s="240"/>
      <c r="DW678" s="240"/>
      <c r="DX678" s="240"/>
      <c r="DY678" s="240"/>
      <c r="DZ678" s="240"/>
      <c r="EA678" s="240"/>
      <c r="EB678" s="237">
        <f t="shared" si="80"/>
        <v>0</v>
      </c>
      <c r="EC678" s="237">
        <f t="shared" si="81"/>
        <v>0</v>
      </c>
      <c r="ED678" s="237">
        <f t="shared" si="82"/>
        <v>0</v>
      </c>
      <c r="EE678" s="237">
        <f t="shared" si="83"/>
        <v>0</v>
      </c>
      <c r="EF678" s="121"/>
      <c r="EG678" s="238">
        <f t="shared" si="84"/>
        <v>0</v>
      </c>
      <c r="EH678" s="121"/>
      <c r="EI678" s="237">
        <f t="shared" si="85"/>
        <v>0</v>
      </c>
      <c r="EJ678" s="121"/>
      <c r="EK678" s="237">
        <f t="shared" si="86"/>
        <v>0</v>
      </c>
      <c r="EL678" s="237"/>
      <c r="EM678" s="5"/>
      <c r="EN678" s="5"/>
      <c r="EO678" s="5"/>
      <c r="EP678" s="5"/>
      <c r="EQ678" s="237">
        <f t="shared" si="87"/>
        <v>0</v>
      </c>
      <c r="ER678" s="239">
        <v>23300</v>
      </c>
      <c r="ES678" s="5">
        <v>7.5</v>
      </c>
    </row>
    <row r="679" spans="1:149" x14ac:dyDescent="0.3">
      <c r="A679" s="124"/>
      <c r="B679" s="121"/>
      <c r="C679" s="121"/>
      <c r="D679" s="121"/>
      <c r="E679" s="121"/>
      <c r="F679" s="121"/>
      <c r="G679" s="121"/>
      <c r="H679" s="121"/>
      <c r="I679" s="121"/>
      <c r="J679" s="121"/>
      <c r="K679" s="121"/>
      <c r="L679" s="121"/>
      <c r="M679" s="121"/>
      <c r="N679" s="121"/>
      <c r="O679" s="235"/>
      <c r="P679" s="121"/>
      <c r="Q679" s="121"/>
      <c r="R679" s="121"/>
      <c r="S679" s="121"/>
      <c r="T679" s="121"/>
      <c r="U679" s="121"/>
      <c r="V679" s="121"/>
      <c r="W679" s="121"/>
      <c r="X679" s="117"/>
      <c r="Y679" s="117"/>
      <c r="Z679" s="121"/>
      <c r="AA679" s="121"/>
      <c r="AB679" s="121"/>
      <c r="AC679" s="121"/>
      <c r="AD679" s="121"/>
      <c r="AE679" s="121"/>
      <c r="AF679" s="121"/>
      <c r="AG679" s="121"/>
      <c r="AH679" s="121"/>
      <c r="AI679" s="121"/>
      <c r="AJ679" s="121"/>
      <c r="AK679" s="121"/>
      <c r="AL679" s="121"/>
      <c r="AM679" s="121"/>
      <c r="AN679" s="121"/>
      <c r="AO679" s="121"/>
      <c r="AP679" s="121"/>
      <c r="AQ679" s="121"/>
      <c r="AR679" s="121"/>
      <c r="AS679" s="121"/>
      <c r="AT679" s="121"/>
      <c r="AU679" s="121"/>
      <c r="AV679" s="121"/>
      <c r="AW679" s="121"/>
      <c r="AX679" s="121"/>
      <c r="AY679" s="121"/>
      <c r="AZ679" s="121"/>
      <c r="BA679" s="121"/>
      <c r="BB679" s="121"/>
      <c r="BC679" s="121"/>
      <c r="BD679" s="121"/>
      <c r="BE679" s="121"/>
      <c r="BF679" s="121"/>
      <c r="BG679" s="121"/>
      <c r="BH679" s="121"/>
      <c r="BI679" s="121"/>
      <c r="BJ679" s="121"/>
      <c r="BK679" s="121"/>
      <c r="BL679" s="121"/>
      <c r="BM679" s="121"/>
      <c r="BN679" s="121"/>
      <c r="BO679" s="121"/>
      <c r="BP679" s="121"/>
      <c r="BQ679" s="121"/>
      <c r="BR679" s="121"/>
      <c r="BS679" s="121"/>
      <c r="BT679" s="121"/>
      <c r="BU679" s="121"/>
      <c r="BV679" s="121"/>
      <c r="BW679" s="121"/>
      <c r="BX679" s="121"/>
      <c r="BY679" s="121"/>
      <c r="BZ679" s="121"/>
      <c r="CA679" s="121"/>
      <c r="CB679" s="121"/>
      <c r="CC679" s="121"/>
      <c r="CD679" s="121"/>
      <c r="CE679" s="121"/>
      <c r="CF679" s="121"/>
      <c r="CG679" s="121"/>
      <c r="CH679" s="121"/>
      <c r="CI679" s="121"/>
      <c r="CJ679" s="121"/>
      <c r="CK679" s="121"/>
      <c r="CL679" s="121"/>
      <c r="CM679" s="121"/>
      <c r="CN679" s="121"/>
      <c r="CO679" s="121"/>
      <c r="CP679" s="121"/>
      <c r="CQ679" s="121"/>
      <c r="CR679" s="121"/>
      <c r="CS679" s="121"/>
      <c r="CT679" s="121"/>
      <c r="CU679" s="121"/>
      <c r="CV679" s="121"/>
      <c r="CW679" s="121"/>
      <c r="CX679" s="121"/>
      <c r="CY679" s="121"/>
      <c r="CZ679" s="121"/>
      <c r="DA679" s="121"/>
      <c r="DB679" s="121"/>
      <c r="DC679" s="121"/>
      <c r="DD679" s="121"/>
      <c r="DE679" s="121"/>
      <c r="DF679" s="121"/>
      <c r="DG679" s="121"/>
      <c r="DH679" s="121"/>
      <c r="DI679" s="121"/>
      <c r="DJ679" s="121"/>
      <c r="DK679" s="121"/>
      <c r="DL679" s="121"/>
      <c r="DM679" s="121"/>
      <c r="DN679" s="121"/>
      <c r="DO679" s="121"/>
      <c r="DP679" s="121"/>
      <c r="DQ679" s="121"/>
      <c r="DR679" s="121"/>
      <c r="DS679" s="121"/>
      <c r="DT679" s="240"/>
      <c r="DU679" s="240"/>
      <c r="DV679" s="240"/>
      <c r="DW679" s="240"/>
      <c r="DX679" s="240"/>
      <c r="DY679" s="240"/>
      <c r="DZ679" s="240"/>
      <c r="EA679" s="240"/>
      <c r="EB679" s="237">
        <f t="shared" si="80"/>
        <v>0</v>
      </c>
      <c r="EC679" s="237">
        <f t="shared" si="81"/>
        <v>0</v>
      </c>
      <c r="ED679" s="237">
        <f t="shared" si="82"/>
        <v>0</v>
      </c>
      <c r="EE679" s="237">
        <f t="shared" si="83"/>
        <v>0</v>
      </c>
      <c r="EF679" s="121"/>
      <c r="EG679" s="238">
        <f t="shared" si="84"/>
        <v>0</v>
      </c>
      <c r="EH679" s="121"/>
      <c r="EI679" s="237">
        <f t="shared" si="85"/>
        <v>0</v>
      </c>
      <c r="EJ679" s="121"/>
      <c r="EK679" s="237">
        <f t="shared" si="86"/>
        <v>0</v>
      </c>
      <c r="EL679" s="237"/>
      <c r="EM679" s="5"/>
      <c r="EN679" s="5"/>
      <c r="EO679" s="5"/>
      <c r="EP679" s="5"/>
      <c r="EQ679" s="237">
        <f t="shared" si="87"/>
        <v>0</v>
      </c>
      <c r="ER679" s="239">
        <v>23300</v>
      </c>
      <c r="ES679" s="5">
        <v>7.5</v>
      </c>
    </row>
    <row r="680" spans="1:149" x14ac:dyDescent="0.3">
      <c r="A680" s="124"/>
      <c r="B680" s="121"/>
      <c r="C680" s="121"/>
      <c r="D680" s="121"/>
      <c r="E680" s="121"/>
      <c r="F680" s="121"/>
      <c r="G680" s="121"/>
      <c r="H680" s="121"/>
      <c r="I680" s="121"/>
      <c r="J680" s="121"/>
      <c r="K680" s="121"/>
      <c r="L680" s="121"/>
      <c r="M680" s="121"/>
      <c r="N680" s="121"/>
      <c r="O680" s="235"/>
      <c r="P680" s="121"/>
      <c r="Q680" s="121"/>
      <c r="R680" s="121"/>
      <c r="S680" s="121"/>
      <c r="T680" s="121"/>
      <c r="U680" s="121"/>
      <c r="V680" s="121"/>
      <c r="W680" s="121"/>
      <c r="X680" s="117"/>
      <c r="Y680" s="117"/>
      <c r="Z680" s="121"/>
      <c r="AA680" s="121"/>
      <c r="AB680" s="121"/>
      <c r="AC680" s="121"/>
      <c r="AD680" s="121"/>
      <c r="AE680" s="121"/>
      <c r="AF680" s="121"/>
      <c r="AG680" s="121"/>
      <c r="AH680" s="121"/>
      <c r="AI680" s="121"/>
      <c r="AJ680" s="121"/>
      <c r="AK680" s="121"/>
      <c r="AL680" s="121"/>
      <c r="AM680" s="121"/>
      <c r="AN680" s="121"/>
      <c r="AO680" s="121"/>
      <c r="AP680" s="121"/>
      <c r="AQ680" s="121"/>
      <c r="AR680" s="121"/>
      <c r="AS680" s="121"/>
      <c r="AT680" s="121"/>
      <c r="AU680" s="121"/>
      <c r="AV680" s="121"/>
      <c r="AW680" s="121"/>
      <c r="AX680" s="121"/>
      <c r="AY680" s="121"/>
      <c r="AZ680" s="121"/>
      <c r="BA680" s="121"/>
      <c r="BB680" s="121"/>
      <c r="BC680" s="121"/>
      <c r="BD680" s="121"/>
      <c r="BE680" s="121"/>
      <c r="BF680" s="121"/>
      <c r="BG680" s="121"/>
      <c r="BH680" s="121"/>
      <c r="BI680" s="121"/>
      <c r="BJ680" s="121"/>
      <c r="BK680" s="121"/>
      <c r="BL680" s="121"/>
      <c r="BM680" s="121"/>
      <c r="BN680" s="121"/>
      <c r="BO680" s="121"/>
      <c r="BP680" s="121"/>
      <c r="BQ680" s="121"/>
      <c r="BR680" s="121"/>
      <c r="BS680" s="121"/>
      <c r="BT680" s="121"/>
      <c r="BU680" s="121"/>
      <c r="BV680" s="121"/>
      <c r="BW680" s="121"/>
      <c r="BX680" s="121"/>
      <c r="BY680" s="121"/>
      <c r="BZ680" s="121"/>
      <c r="CA680" s="121"/>
      <c r="CB680" s="121"/>
      <c r="CC680" s="121"/>
      <c r="CD680" s="121"/>
      <c r="CE680" s="121"/>
      <c r="CF680" s="121"/>
      <c r="CG680" s="121"/>
      <c r="CH680" s="121"/>
      <c r="CI680" s="121"/>
      <c r="CJ680" s="121"/>
      <c r="CK680" s="121"/>
      <c r="CL680" s="121"/>
      <c r="CM680" s="121"/>
      <c r="CN680" s="121"/>
      <c r="CO680" s="121"/>
      <c r="CP680" s="121"/>
      <c r="CQ680" s="121"/>
      <c r="CR680" s="121"/>
      <c r="CS680" s="121"/>
      <c r="CT680" s="121"/>
      <c r="CU680" s="121"/>
      <c r="CV680" s="121"/>
      <c r="CW680" s="121"/>
      <c r="CX680" s="121"/>
      <c r="CY680" s="121"/>
      <c r="CZ680" s="121"/>
      <c r="DA680" s="121"/>
      <c r="DB680" s="121"/>
      <c r="DC680" s="121"/>
      <c r="DD680" s="121"/>
      <c r="DE680" s="121"/>
      <c r="DF680" s="121"/>
      <c r="DG680" s="121"/>
      <c r="DH680" s="121"/>
      <c r="DI680" s="121"/>
      <c r="DJ680" s="121"/>
      <c r="DK680" s="121"/>
      <c r="DL680" s="121"/>
      <c r="DM680" s="121"/>
      <c r="DN680" s="121"/>
      <c r="DO680" s="121"/>
      <c r="DP680" s="121"/>
      <c r="DQ680" s="121"/>
      <c r="DR680" s="121"/>
      <c r="DS680" s="121"/>
      <c r="DT680" s="240"/>
      <c r="DU680" s="240"/>
      <c r="DV680" s="240"/>
      <c r="DW680" s="240"/>
      <c r="DX680" s="240"/>
      <c r="DY680" s="240"/>
      <c r="DZ680" s="240"/>
      <c r="EA680" s="240"/>
      <c r="EB680" s="237">
        <f t="shared" si="80"/>
        <v>0</v>
      </c>
      <c r="EC680" s="237">
        <f t="shared" si="81"/>
        <v>0</v>
      </c>
      <c r="ED680" s="237">
        <f t="shared" si="82"/>
        <v>0</v>
      </c>
      <c r="EE680" s="237">
        <f t="shared" si="83"/>
        <v>0</v>
      </c>
      <c r="EF680" s="121"/>
      <c r="EG680" s="238">
        <f t="shared" si="84"/>
        <v>0</v>
      </c>
      <c r="EH680" s="121"/>
      <c r="EI680" s="237">
        <f t="shared" si="85"/>
        <v>0</v>
      </c>
      <c r="EJ680" s="121"/>
      <c r="EK680" s="237">
        <f t="shared" si="86"/>
        <v>0</v>
      </c>
      <c r="EL680" s="237"/>
      <c r="EM680" s="5"/>
      <c r="EN680" s="5"/>
      <c r="EO680" s="5"/>
      <c r="EP680" s="5"/>
      <c r="EQ680" s="237">
        <f t="shared" si="87"/>
        <v>0</v>
      </c>
      <c r="ER680" s="239">
        <v>23300</v>
      </c>
      <c r="ES680" s="5">
        <v>7.5</v>
      </c>
    </row>
    <row r="681" spans="1:149" x14ac:dyDescent="0.3">
      <c r="A681" s="124"/>
      <c r="B681" s="121"/>
      <c r="C681" s="121"/>
      <c r="D681" s="121"/>
      <c r="E681" s="121"/>
      <c r="F681" s="121"/>
      <c r="G681" s="121"/>
      <c r="H681" s="121"/>
      <c r="I681" s="121"/>
      <c r="J681" s="121"/>
      <c r="K681" s="121"/>
      <c r="L681" s="121"/>
      <c r="M681" s="121"/>
      <c r="N681" s="121"/>
      <c r="O681" s="235"/>
      <c r="P681" s="121"/>
      <c r="Q681" s="121"/>
      <c r="R681" s="121"/>
      <c r="S681" s="121"/>
      <c r="T681" s="121"/>
      <c r="U681" s="121"/>
      <c r="V681" s="121"/>
      <c r="W681" s="121"/>
      <c r="X681" s="117"/>
      <c r="Y681" s="117"/>
      <c r="Z681" s="121"/>
      <c r="AA681" s="121"/>
      <c r="AB681" s="121"/>
      <c r="AC681" s="121"/>
      <c r="AD681" s="121"/>
      <c r="AE681" s="121"/>
      <c r="AF681" s="121"/>
      <c r="AG681" s="121"/>
      <c r="AH681" s="121"/>
      <c r="AI681" s="121"/>
      <c r="AJ681" s="121"/>
      <c r="AK681" s="121"/>
      <c r="AL681" s="121"/>
      <c r="AM681" s="121"/>
      <c r="AN681" s="121"/>
      <c r="AO681" s="121"/>
      <c r="AP681" s="121"/>
      <c r="AQ681" s="121"/>
      <c r="AR681" s="121"/>
      <c r="AS681" s="121"/>
      <c r="AT681" s="121"/>
      <c r="AU681" s="121"/>
      <c r="AV681" s="121"/>
      <c r="AW681" s="121"/>
      <c r="AX681" s="121"/>
      <c r="AY681" s="121"/>
      <c r="AZ681" s="121"/>
      <c r="BA681" s="121"/>
      <c r="BB681" s="121"/>
      <c r="BC681" s="121"/>
      <c r="BD681" s="121"/>
      <c r="BE681" s="121"/>
      <c r="BF681" s="121"/>
      <c r="BG681" s="121"/>
      <c r="BH681" s="121"/>
      <c r="BI681" s="121"/>
      <c r="BJ681" s="121"/>
      <c r="BK681" s="121"/>
      <c r="BL681" s="121"/>
      <c r="BM681" s="121"/>
      <c r="BN681" s="121"/>
      <c r="BO681" s="121"/>
      <c r="BP681" s="121"/>
      <c r="BQ681" s="121"/>
      <c r="BR681" s="121"/>
      <c r="BS681" s="121"/>
      <c r="BT681" s="121"/>
      <c r="BU681" s="121"/>
      <c r="BV681" s="121"/>
      <c r="BW681" s="121"/>
      <c r="BX681" s="121"/>
      <c r="BY681" s="121"/>
      <c r="BZ681" s="121"/>
      <c r="CA681" s="121"/>
      <c r="CB681" s="121"/>
      <c r="CC681" s="121"/>
      <c r="CD681" s="121"/>
      <c r="CE681" s="121"/>
      <c r="CF681" s="121"/>
      <c r="CG681" s="121"/>
      <c r="CH681" s="121"/>
      <c r="CI681" s="121"/>
      <c r="CJ681" s="121"/>
      <c r="CK681" s="121"/>
      <c r="CL681" s="121"/>
      <c r="CM681" s="121"/>
      <c r="CN681" s="121"/>
      <c r="CO681" s="121"/>
      <c r="CP681" s="121"/>
      <c r="CQ681" s="121"/>
      <c r="CR681" s="121"/>
      <c r="CS681" s="121"/>
      <c r="CT681" s="121"/>
      <c r="CU681" s="121"/>
      <c r="CV681" s="121"/>
      <c r="CW681" s="121"/>
      <c r="CX681" s="121"/>
      <c r="CY681" s="121"/>
      <c r="CZ681" s="121"/>
      <c r="DA681" s="121"/>
      <c r="DB681" s="121"/>
      <c r="DC681" s="121"/>
      <c r="DD681" s="121"/>
      <c r="DE681" s="121"/>
      <c r="DF681" s="121"/>
      <c r="DG681" s="121"/>
      <c r="DH681" s="121"/>
      <c r="DI681" s="121"/>
      <c r="DJ681" s="121"/>
      <c r="DK681" s="121"/>
      <c r="DL681" s="121"/>
      <c r="DM681" s="121"/>
      <c r="DN681" s="121"/>
      <c r="DO681" s="121"/>
      <c r="DP681" s="121"/>
      <c r="DQ681" s="121"/>
      <c r="DR681" s="121"/>
      <c r="DS681" s="121"/>
      <c r="DT681" s="240"/>
      <c r="DU681" s="240"/>
      <c r="DV681" s="240"/>
      <c r="DW681" s="240"/>
      <c r="DX681" s="240"/>
      <c r="DY681" s="240"/>
      <c r="DZ681" s="240"/>
      <c r="EA681" s="240"/>
      <c r="EB681" s="237">
        <f t="shared" si="80"/>
        <v>0</v>
      </c>
      <c r="EC681" s="237">
        <f t="shared" si="81"/>
        <v>0</v>
      </c>
      <c r="ED681" s="237">
        <f t="shared" si="82"/>
        <v>0</v>
      </c>
      <c r="EE681" s="237">
        <f t="shared" si="83"/>
        <v>0</v>
      </c>
      <c r="EF681" s="121"/>
      <c r="EG681" s="238">
        <f t="shared" si="84"/>
        <v>0</v>
      </c>
      <c r="EH681" s="121"/>
      <c r="EI681" s="237">
        <f t="shared" si="85"/>
        <v>0</v>
      </c>
      <c r="EJ681" s="121"/>
      <c r="EK681" s="237">
        <f t="shared" si="86"/>
        <v>0</v>
      </c>
      <c r="EL681" s="237"/>
      <c r="EM681" s="5"/>
      <c r="EN681" s="5"/>
      <c r="EO681" s="5"/>
      <c r="EP681" s="5"/>
      <c r="EQ681" s="237">
        <f t="shared" si="87"/>
        <v>0</v>
      </c>
      <c r="ER681" s="239">
        <v>23300</v>
      </c>
      <c r="ES681" s="5">
        <v>7.5</v>
      </c>
    </row>
    <row r="682" spans="1:149" x14ac:dyDescent="0.3">
      <c r="A682" s="124"/>
      <c r="B682" s="121"/>
      <c r="C682" s="121"/>
      <c r="D682" s="121"/>
      <c r="E682" s="121"/>
      <c r="F682" s="121"/>
      <c r="G682" s="121"/>
      <c r="H682" s="121"/>
      <c r="I682" s="121"/>
      <c r="J682" s="121"/>
      <c r="K682" s="121"/>
      <c r="L682" s="121"/>
      <c r="M682" s="121"/>
      <c r="N682" s="121"/>
      <c r="O682" s="235"/>
      <c r="P682" s="121"/>
      <c r="Q682" s="121"/>
      <c r="R682" s="121"/>
      <c r="S682" s="121"/>
      <c r="T682" s="121"/>
      <c r="U682" s="121"/>
      <c r="V682" s="121"/>
      <c r="W682" s="121"/>
      <c r="X682" s="117"/>
      <c r="Y682" s="117"/>
      <c r="Z682" s="121"/>
      <c r="AA682" s="121"/>
      <c r="AB682" s="121"/>
      <c r="AC682" s="121"/>
      <c r="AD682" s="121"/>
      <c r="AE682" s="121"/>
      <c r="AF682" s="121"/>
      <c r="AG682" s="121"/>
      <c r="AH682" s="121"/>
      <c r="AI682" s="121"/>
      <c r="AJ682" s="121"/>
      <c r="AK682" s="121"/>
      <c r="AL682" s="121"/>
      <c r="AM682" s="121"/>
      <c r="AN682" s="121"/>
      <c r="AO682" s="121"/>
      <c r="AP682" s="121"/>
      <c r="AQ682" s="121"/>
      <c r="AR682" s="121"/>
      <c r="AS682" s="121"/>
      <c r="AT682" s="121"/>
      <c r="AU682" s="121"/>
      <c r="AV682" s="121"/>
      <c r="AW682" s="121"/>
      <c r="AX682" s="121"/>
      <c r="AY682" s="121"/>
      <c r="AZ682" s="121"/>
      <c r="BA682" s="121"/>
      <c r="BB682" s="121"/>
      <c r="BC682" s="121"/>
      <c r="BD682" s="121"/>
      <c r="BE682" s="121"/>
      <c r="BF682" s="121"/>
      <c r="BG682" s="121"/>
      <c r="BH682" s="121"/>
      <c r="BI682" s="121"/>
      <c r="BJ682" s="121"/>
      <c r="BK682" s="121"/>
      <c r="BL682" s="121"/>
      <c r="BM682" s="121"/>
      <c r="BN682" s="121"/>
      <c r="BO682" s="121"/>
      <c r="BP682" s="121"/>
      <c r="BQ682" s="121"/>
      <c r="BR682" s="121"/>
      <c r="BS682" s="121"/>
      <c r="BT682" s="121"/>
      <c r="BU682" s="121"/>
      <c r="BV682" s="121"/>
      <c r="BW682" s="121"/>
      <c r="BX682" s="121"/>
      <c r="BY682" s="121"/>
      <c r="BZ682" s="121"/>
      <c r="CA682" s="121"/>
      <c r="CB682" s="121"/>
      <c r="CC682" s="121"/>
      <c r="CD682" s="121"/>
      <c r="CE682" s="121"/>
      <c r="CF682" s="121"/>
      <c r="CG682" s="121"/>
      <c r="CH682" s="121"/>
      <c r="CI682" s="121"/>
      <c r="CJ682" s="121"/>
      <c r="CK682" s="121"/>
      <c r="CL682" s="121"/>
      <c r="CM682" s="121"/>
      <c r="CN682" s="121"/>
      <c r="CO682" s="121"/>
      <c r="CP682" s="121"/>
      <c r="CQ682" s="121"/>
      <c r="CR682" s="121"/>
      <c r="CS682" s="121"/>
      <c r="CT682" s="121"/>
      <c r="CU682" s="121"/>
      <c r="CV682" s="121"/>
      <c r="CW682" s="121"/>
      <c r="CX682" s="121"/>
      <c r="CY682" s="121"/>
      <c r="CZ682" s="121"/>
      <c r="DA682" s="121"/>
      <c r="DB682" s="121"/>
      <c r="DC682" s="121"/>
      <c r="DD682" s="121"/>
      <c r="DE682" s="121"/>
      <c r="DF682" s="121"/>
      <c r="DG682" s="121"/>
      <c r="DH682" s="121"/>
      <c r="DI682" s="121"/>
      <c r="DJ682" s="121"/>
      <c r="DK682" s="121"/>
      <c r="DL682" s="121"/>
      <c r="DM682" s="121"/>
      <c r="DN682" s="121"/>
      <c r="DO682" s="121"/>
      <c r="DP682" s="121"/>
      <c r="DQ682" s="121"/>
      <c r="DR682" s="121"/>
      <c r="DS682" s="121"/>
      <c r="DT682" s="240"/>
      <c r="DU682" s="240"/>
      <c r="DV682" s="240"/>
      <c r="DW682" s="240"/>
      <c r="DX682" s="240"/>
      <c r="DY682" s="240"/>
      <c r="DZ682" s="240"/>
      <c r="EA682" s="240"/>
      <c r="EB682" s="237">
        <f t="shared" si="80"/>
        <v>0</v>
      </c>
      <c r="EC682" s="237">
        <f t="shared" si="81"/>
        <v>0</v>
      </c>
      <c r="ED682" s="237">
        <f t="shared" si="82"/>
        <v>0</v>
      </c>
      <c r="EE682" s="237">
        <f t="shared" si="83"/>
        <v>0</v>
      </c>
      <c r="EF682" s="121"/>
      <c r="EG682" s="238">
        <f t="shared" si="84"/>
        <v>0</v>
      </c>
      <c r="EH682" s="121"/>
      <c r="EI682" s="237">
        <f t="shared" si="85"/>
        <v>0</v>
      </c>
      <c r="EJ682" s="121"/>
      <c r="EK682" s="237">
        <f t="shared" si="86"/>
        <v>0</v>
      </c>
      <c r="EL682" s="237"/>
      <c r="EM682" s="5"/>
      <c r="EN682" s="5"/>
      <c r="EO682" s="5"/>
      <c r="EP682" s="5"/>
      <c r="EQ682" s="237">
        <f t="shared" si="87"/>
        <v>0</v>
      </c>
      <c r="ER682" s="239">
        <v>23300</v>
      </c>
      <c r="ES682" s="5">
        <v>7.5</v>
      </c>
    </row>
    <row r="683" spans="1:149" x14ac:dyDescent="0.3">
      <c r="A683" s="124"/>
      <c r="B683" s="121"/>
      <c r="C683" s="121"/>
      <c r="D683" s="121"/>
      <c r="E683" s="121"/>
      <c r="F683" s="121"/>
      <c r="G683" s="121"/>
      <c r="H683" s="121"/>
      <c r="I683" s="121"/>
      <c r="J683" s="121"/>
      <c r="K683" s="121"/>
      <c r="L683" s="121"/>
      <c r="M683" s="121"/>
      <c r="N683" s="121"/>
      <c r="O683" s="235"/>
      <c r="P683" s="121"/>
      <c r="Q683" s="121"/>
      <c r="R683" s="121"/>
      <c r="S683" s="121"/>
      <c r="T683" s="121"/>
      <c r="U683" s="121"/>
      <c r="V683" s="121"/>
      <c r="W683" s="121"/>
      <c r="X683" s="117"/>
      <c r="Y683" s="117"/>
      <c r="Z683" s="121"/>
      <c r="AA683" s="121"/>
      <c r="AB683" s="121"/>
      <c r="AC683" s="121"/>
      <c r="AD683" s="121"/>
      <c r="AE683" s="121"/>
      <c r="AF683" s="121"/>
      <c r="AG683" s="121"/>
      <c r="AH683" s="121"/>
      <c r="AI683" s="121"/>
      <c r="AJ683" s="121"/>
      <c r="AK683" s="121"/>
      <c r="AL683" s="121"/>
      <c r="AM683" s="121"/>
      <c r="AN683" s="121"/>
      <c r="AO683" s="121"/>
      <c r="AP683" s="121"/>
      <c r="AQ683" s="121"/>
      <c r="AR683" s="121"/>
      <c r="AS683" s="121"/>
      <c r="AT683" s="121"/>
      <c r="AU683" s="121"/>
      <c r="AV683" s="121"/>
      <c r="AW683" s="121"/>
      <c r="AX683" s="121"/>
      <c r="AY683" s="121"/>
      <c r="AZ683" s="121"/>
      <c r="BA683" s="121"/>
      <c r="BB683" s="121"/>
      <c r="BC683" s="121"/>
      <c r="BD683" s="121"/>
      <c r="BE683" s="121"/>
      <c r="BF683" s="121"/>
      <c r="BG683" s="121"/>
      <c r="BH683" s="121"/>
      <c r="BI683" s="121"/>
      <c r="BJ683" s="121"/>
      <c r="BK683" s="121"/>
      <c r="BL683" s="121"/>
      <c r="BM683" s="121"/>
      <c r="BN683" s="121"/>
      <c r="BO683" s="121"/>
      <c r="BP683" s="121"/>
      <c r="BQ683" s="121"/>
      <c r="BR683" s="121"/>
      <c r="BS683" s="121"/>
      <c r="BT683" s="121"/>
      <c r="BU683" s="121"/>
      <c r="BV683" s="121"/>
      <c r="BW683" s="121"/>
      <c r="BX683" s="121"/>
      <c r="BY683" s="121"/>
      <c r="BZ683" s="121"/>
      <c r="CA683" s="121"/>
      <c r="CB683" s="121"/>
      <c r="CC683" s="121"/>
      <c r="CD683" s="121"/>
      <c r="CE683" s="121"/>
      <c r="CF683" s="121"/>
      <c r="CG683" s="121"/>
      <c r="CH683" s="121"/>
      <c r="CI683" s="121"/>
      <c r="CJ683" s="121"/>
      <c r="CK683" s="121"/>
      <c r="CL683" s="121"/>
      <c r="CM683" s="121"/>
      <c r="CN683" s="121"/>
      <c r="CO683" s="121"/>
      <c r="CP683" s="121"/>
      <c r="CQ683" s="121"/>
      <c r="CR683" s="121"/>
      <c r="CS683" s="121"/>
      <c r="CT683" s="121"/>
      <c r="CU683" s="121"/>
      <c r="CV683" s="121"/>
      <c r="CW683" s="121"/>
      <c r="CX683" s="121"/>
      <c r="CY683" s="121"/>
      <c r="CZ683" s="121"/>
      <c r="DA683" s="121"/>
      <c r="DB683" s="121"/>
      <c r="DC683" s="121"/>
      <c r="DD683" s="121"/>
      <c r="DE683" s="121"/>
      <c r="DF683" s="121"/>
      <c r="DG683" s="121"/>
      <c r="DH683" s="121"/>
      <c r="DI683" s="121"/>
      <c r="DJ683" s="121"/>
      <c r="DK683" s="121"/>
      <c r="DL683" s="121"/>
      <c r="DM683" s="121"/>
      <c r="DN683" s="121"/>
      <c r="DO683" s="121"/>
      <c r="DP683" s="121"/>
      <c r="DQ683" s="121"/>
      <c r="DR683" s="121"/>
      <c r="DS683" s="121"/>
      <c r="DT683" s="240"/>
      <c r="DU683" s="240"/>
      <c r="DV683" s="240"/>
      <c r="DW683" s="240"/>
      <c r="DX683" s="240"/>
      <c r="DY683" s="240"/>
      <c r="DZ683" s="240"/>
      <c r="EA683" s="240"/>
      <c r="EB683" s="237">
        <f t="shared" si="80"/>
        <v>0</v>
      </c>
      <c r="EC683" s="237">
        <f t="shared" si="81"/>
        <v>0</v>
      </c>
      <c r="ED683" s="237">
        <f t="shared" si="82"/>
        <v>0</v>
      </c>
      <c r="EE683" s="237">
        <f t="shared" si="83"/>
        <v>0</v>
      </c>
      <c r="EF683" s="121"/>
      <c r="EG683" s="238">
        <f t="shared" si="84"/>
        <v>0</v>
      </c>
      <c r="EH683" s="121"/>
      <c r="EI683" s="237">
        <f t="shared" si="85"/>
        <v>0</v>
      </c>
      <c r="EJ683" s="121"/>
      <c r="EK683" s="237">
        <f t="shared" si="86"/>
        <v>0</v>
      </c>
      <c r="EL683" s="237"/>
      <c r="EM683" s="5"/>
      <c r="EN683" s="5"/>
      <c r="EO683" s="5"/>
      <c r="EP683" s="5"/>
      <c r="EQ683" s="237">
        <f t="shared" si="87"/>
        <v>0</v>
      </c>
      <c r="ER683" s="239">
        <v>23300</v>
      </c>
      <c r="ES683" s="5">
        <v>7.5</v>
      </c>
    </row>
    <row r="684" spans="1:149" x14ac:dyDescent="0.3">
      <c r="A684" s="124"/>
      <c r="B684" s="121"/>
      <c r="C684" s="121"/>
      <c r="D684" s="121"/>
      <c r="E684" s="121"/>
      <c r="F684" s="121"/>
      <c r="G684" s="121"/>
      <c r="H684" s="121"/>
      <c r="I684" s="121"/>
      <c r="J684" s="121"/>
      <c r="K684" s="121"/>
      <c r="L684" s="121"/>
      <c r="M684" s="121"/>
      <c r="N684" s="121"/>
      <c r="O684" s="235"/>
      <c r="P684" s="121"/>
      <c r="Q684" s="121"/>
      <c r="R684" s="121"/>
      <c r="S684" s="121"/>
      <c r="T684" s="121"/>
      <c r="U684" s="121"/>
      <c r="V684" s="121"/>
      <c r="W684" s="121"/>
      <c r="X684" s="117"/>
      <c r="Y684" s="117"/>
      <c r="Z684" s="121"/>
      <c r="AA684" s="121"/>
      <c r="AB684" s="121"/>
      <c r="AC684" s="121"/>
      <c r="AD684" s="121"/>
      <c r="AE684" s="121"/>
      <c r="AF684" s="121"/>
      <c r="AG684" s="121"/>
      <c r="AH684" s="121"/>
      <c r="AI684" s="121"/>
      <c r="AJ684" s="121"/>
      <c r="AK684" s="121"/>
      <c r="AL684" s="121"/>
      <c r="AM684" s="121"/>
      <c r="AN684" s="121"/>
      <c r="AO684" s="121"/>
      <c r="AP684" s="121"/>
      <c r="AQ684" s="121"/>
      <c r="AR684" s="121"/>
      <c r="AS684" s="121"/>
      <c r="AT684" s="121"/>
      <c r="AU684" s="121"/>
      <c r="AV684" s="121"/>
      <c r="AW684" s="121"/>
      <c r="AX684" s="121"/>
      <c r="AY684" s="121"/>
      <c r="AZ684" s="121"/>
      <c r="BA684" s="121"/>
      <c r="BB684" s="121"/>
      <c r="BC684" s="121"/>
      <c r="BD684" s="121"/>
      <c r="BE684" s="121"/>
      <c r="BF684" s="121"/>
      <c r="BG684" s="121"/>
      <c r="BH684" s="121"/>
      <c r="BI684" s="121"/>
      <c r="BJ684" s="121"/>
      <c r="BK684" s="121"/>
      <c r="BL684" s="121"/>
      <c r="BM684" s="121"/>
      <c r="BN684" s="121"/>
      <c r="BO684" s="121"/>
      <c r="BP684" s="121"/>
      <c r="BQ684" s="121"/>
      <c r="BR684" s="121"/>
      <c r="BS684" s="121"/>
      <c r="BT684" s="121"/>
      <c r="BU684" s="121"/>
      <c r="BV684" s="121"/>
      <c r="BW684" s="121"/>
      <c r="BX684" s="121"/>
      <c r="BY684" s="121"/>
      <c r="BZ684" s="121"/>
      <c r="CA684" s="121"/>
      <c r="CB684" s="121"/>
      <c r="CC684" s="121"/>
      <c r="CD684" s="121"/>
      <c r="CE684" s="121"/>
      <c r="CF684" s="121"/>
      <c r="CG684" s="121"/>
      <c r="CH684" s="121"/>
      <c r="CI684" s="121"/>
      <c r="CJ684" s="121"/>
      <c r="CK684" s="121"/>
      <c r="CL684" s="121"/>
      <c r="CM684" s="121"/>
      <c r="CN684" s="121"/>
      <c r="CO684" s="121"/>
      <c r="CP684" s="121"/>
      <c r="CQ684" s="121"/>
      <c r="CR684" s="121"/>
      <c r="CS684" s="121"/>
      <c r="CT684" s="121"/>
      <c r="CU684" s="121"/>
      <c r="CV684" s="121"/>
      <c r="CW684" s="121"/>
      <c r="CX684" s="121"/>
      <c r="CY684" s="121"/>
      <c r="CZ684" s="121"/>
      <c r="DA684" s="121"/>
      <c r="DB684" s="121"/>
      <c r="DC684" s="121"/>
      <c r="DD684" s="121"/>
      <c r="DE684" s="121"/>
      <c r="DF684" s="121"/>
      <c r="DG684" s="121"/>
      <c r="DH684" s="121"/>
      <c r="DI684" s="121"/>
      <c r="DJ684" s="121"/>
      <c r="DK684" s="121"/>
      <c r="DL684" s="121"/>
      <c r="DM684" s="121"/>
      <c r="DN684" s="121"/>
      <c r="DO684" s="121"/>
      <c r="DP684" s="121"/>
      <c r="DQ684" s="121"/>
      <c r="DR684" s="121"/>
      <c r="DS684" s="121"/>
      <c r="DT684" s="240"/>
      <c r="DU684" s="240"/>
      <c r="DV684" s="240"/>
      <c r="DW684" s="240"/>
      <c r="DX684" s="240"/>
      <c r="DY684" s="240"/>
      <c r="DZ684" s="240"/>
      <c r="EA684" s="240"/>
      <c r="EB684" s="237">
        <f t="shared" si="80"/>
        <v>0</v>
      </c>
      <c r="EC684" s="237">
        <f t="shared" si="81"/>
        <v>0</v>
      </c>
      <c r="ED684" s="237">
        <f t="shared" si="82"/>
        <v>0</v>
      </c>
      <c r="EE684" s="237">
        <f t="shared" si="83"/>
        <v>0</v>
      </c>
      <c r="EF684" s="121"/>
      <c r="EG684" s="238">
        <f t="shared" si="84"/>
        <v>0</v>
      </c>
      <c r="EH684" s="121"/>
      <c r="EI684" s="237">
        <f t="shared" si="85"/>
        <v>0</v>
      </c>
      <c r="EJ684" s="121"/>
      <c r="EK684" s="237">
        <f t="shared" si="86"/>
        <v>0</v>
      </c>
      <c r="EL684" s="237"/>
      <c r="EM684" s="5"/>
      <c r="EN684" s="5"/>
      <c r="EO684" s="5"/>
      <c r="EP684" s="5"/>
      <c r="EQ684" s="237">
        <f t="shared" si="87"/>
        <v>0</v>
      </c>
      <c r="ER684" s="239">
        <v>23300</v>
      </c>
      <c r="ES684" s="5">
        <v>7.5</v>
      </c>
    </row>
    <row r="685" spans="1:149" x14ac:dyDescent="0.3">
      <c r="A685" s="124"/>
      <c r="B685" s="121"/>
      <c r="C685" s="121"/>
      <c r="D685" s="121"/>
      <c r="E685" s="121"/>
      <c r="F685" s="121"/>
      <c r="G685" s="121"/>
      <c r="H685" s="121"/>
      <c r="I685" s="121"/>
      <c r="J685" s="121"/>
      <c r="K685" s="121"/>
      <c r="L685" s="121"/>
      <c r="M685" s="121"/>
      <c r="N685" s="121"/>
      <c r="O685" s="235"/>
      <c r="P685" s="121"/>
      <c r="Q685" s="121"/>
      <c r="R685" s="121"/>
      <c r="S685" s="121"/>
      <c r="T685" s="121"/>
      <c r="U685" s="121"/>
      <c r="V685" s="121"/>
      <c r="W685" s="121"/>
      <c r="X685" s="117"/>
      <c r="Y685" s="117"/>
      <c r="Z685" s="121"/>
      <c r="AA685" s="121"/>
      <c r="AB685" s="121"/>
      <c r="AC685" s="121"/>
      <c r="AD685" s="121"/>
      <c r="AE685" s="121"/>
      <c r="AF685" s="121"/>
      <c r="AG685" s="121"/>
      <c r="AH685" s="121"/>
      <c r="AI685" s="121"/>
      <c r="AJ685" s="121"/>
      <c r="AK685" s="121"/>
      <c r="AL685" s="121"/>
      <c r="AM685" s="121"/>
      <c r="AN685" s="121"/>
      <c r="AO685" s="121"/>
      <c r="AP685" s="121"/>
      <c r="AQ685" s="121"/>
      <c r="AR685" s="121"/>
      <c r="AS685" s="121"/>
      <c r="AT685" s="121"/>
      <c r="AU685" s="121"/>
      <c r="AV685" s="121"/>
      <c r="AW685" s="121"/>
      <c r="AX685" s="121"/>
      <c r="AY685" s="121"/>
      <c r="AZ685" s="121"/>
      <c r="BA685" s="121"/>
      <c r="BB685" s="121"/>
      <c r="BC685" s="121"/>
      <c r="BD685" s="121"/>
      <c r="BE685" s="121"/>
      <c r="BF685" s="121"/>
      <c r="BG685" s="121"/>
      <c r="BH685" s="121"/>
      <c r="BI685" s="121"/>
      <c r="BJ685" s="121"/>
      <c r="BK685" s="121"/>
      <c r="BL685" s="121"/>
      <c r="BM685" s="121"/>
      <c r="BN685" s="121"/>
      <c r="BO685" s="121"/>
      <c r="BP685" s="121"/>
      <c r="BQ685" s="121"/>
      <c r="BR685" s="121"/>
      <c r="BS685" s="121"/>
      <c r="BT685" s="121"/>
      <c r="BU685" s="121"/>
      <c r="BV685" s="121"/>
      <c r="BW685" s="121"/>
      <c r="BX685" s="121"/>
      <c r="BY685" s="121"/>
      <c r="BZ685" s="121"/>
      <c r="CA685" s="121"/>
      <c r="CB685" s="121"/>
      <c r="CC685" s="121"/>
      <c r="CD685" s="121"/>
      <c r="CE685" s="121"/>
      <c r="CF685" s="121"/>
      <c r="CG685" s="121"/>
      <c r="CH685" s="121"/>
      <c r="CI685" s="121"/>
      <c r="CJ685" s="121"/>
      <c r="CK685" s="121"/>
      <c r="CL685" s="121"/>
      <c r="CM685" s="121"/>
      <c r="CN685" s="121"/>
      <c r="CO685" s="121"/>
      <c r="CP685" s="121"/>
      <c r="CQ685" s="121"/>
      <c r="CR685" s="121"/>
      <c r="CS685" s="121"/>
      <c r="CT685" s="121"/>
      <c r="CU685" s="121"/>
      <c r="CV685" s="121"/>
      <c r="CW685" s="121"/>
      <c r="CX685" s="121"/>
      <c r="CY685" s="121"/>
      <c r="CZ685" s="121"/>
      <c r="DA685" s="121"/>
      <c r="DB685" s="121"/>
      <c r="DC685" s="121"/>
      <c r="DD685" s="121"/>
      <c r="DE685" s="121"/>
      <c r="DF685" s="121"/>
      <c r="DG685" s="121"/>
      <c r="DH685" s="121"/>
      <c r="DI685" s="121"/>
      <c r="DJ685" s="121"/>
      <c r="DK685" s="121"/>
      <c r="DL685" s="121"/>
      <c r="DM685" s="121"/>
      <c r="DN685" s="121"/>
      <c r="DO685" s="121"/>
      <c r="DP685" s="121"/>
      <c r="DQ685" s="121"/>
      <c r="DR685" s="121"/>
      <c r="DS685" s="121"/>
      <c r="DT685" s="240"/>
      <c r="DU685" s="240"/>
      <c r="DV685" s="240"/>
      <c r="DW685" s="240"/>
      <c r="DX685" s="240"/>
      <c r="DY685" s="240"/>
      <c r="DZ685" s="240"/>
      <c r="EA685" s="240"/>
      <c r="EB685" s="237">
        <f t="shared" si="80"/>
        <v>0</v>
      </c>
      <c r="EC685" s="237">
        <f t="shared" si="81"/>
        <v>0</v>
      </c>
      <c r="ED685" s="237">
        <f t="shared" si="82"/>
        <v>0</v>
      </c>
      <c r="EE685" s="237">
        <f t="shared" si="83"/>
        <v>0</v>
      </c>
      <c r="EF685" s="121"/>
      <c r="EG685" s="238">
        <f t="shared" si="84"/>
        <v>0</v>
      </c>
      <c r="EH685" s="121"/>
      <c r="EI685" s="237">
        <f t="shared" si="85"/>
        <v>0</v>
      </c>
      <c r="EJ685" s="121"/>
      <c r="EK685" s="237">
        <f t="shared" si="86"/>
        <v>0</v>
      </c>
      <c r="EL685" s="237"/>
      <c r="EM685" s="5"/>
      <c r="EN685" s="5"/>
      <c r="EO685" s="5"/>
      <c r="EP685" s="5"/>
      <c r="EQ685" s="237">
        <f t="shared" si="87"/>
        <v>0</v>
      </c>
      <c r="ER685" s="239">
        <v>23300</v>
      </c>
      <c r="ES685" s="5">
        <v>7.5</v>
      </c>
    </row>
    <row r="686" spans="1:149" x14ac:dyDescent="0.3">
      <c r="A686" s="124"/>
      <c r="B686" s="121"/>
      <c r="C686" s="121"/>
      <c r="D686" s="121"/>
      <c r="E686" s="121"/>
      <c r="F686" s="121"/>
      <c r="G686" s="121"/>
      <c r="H686" s="121"/>
      <c r="I686" s="121"/>
      <c r="J686" s="121"/>
      <c r="K686" s="121"/>
      <c r="L686" s="121"/>
      <c r="M686" s="121"/>
      <c r="N686" s="121"/>
      <c r="O686" s="235"/>
      <c r="P686" s="121"/>
      <c r="Q686" s="121"/>
      <c r="R686" s="121"/>
      <c r="S686" s="121"/>
      <c r="T686" s="121"/>
      <c r="U686" s="121"/>
      <c r="V686" s="121"/>
      <c r="W686" s="121"/>
      <c r="X686" s="117"/>
      <c r="Y686" s="117"/>
      <c r="Z686" s="121"/>
      <c r="AA686" s="121"/>
      <c r="AB686" s="121"/>
      <c r="AC686" s="121"/>
      <c r="AD686" s="121"/>
      <c r="AE686" s="121"/>
      <c r="AF686" s="121"/>
      <c r="AG686" s="121"/>
      <c r="AH686" s="121"/>
      <c r="AI686" s="121"/>
      <c r="AJ686" s="121"/>
      <c r="AK686" s="121"/>
      <c r="AL686" s="121"/>
      <c r="AM686" s="121"/>
      <c r="AN686" s="121"/>
      <c r="AO686" s="121"/>
      <c r="AP686" s="121"/>
      <c r="AQ686" s="121"/>
      <c r="AR686" s="121"/>
      <c r="AS686" s="121"/>
      <c r="AT686" s="121"/>
      <c r="AU686" s="121"/>
      <c r="AV686" s="121"/>
      <c r="AW686" s="121"/>
      <c r="AX686" s="121"/>
      <c r="AY686" s="121"/>
      <c r="AZ686" s="121"/>
      <c r="BA686" s="121"/>
      <c r="BB686" s="121"/>
      <c r="BC686" s="121"/>
      <c r="BD686" s="121"/>
      <c r="BE686" s="121"/>
      <c r="BF686" s="121"/>
      <c r="BG686" s="121"/>
      <c r="BH686" s="121"/>
      <c r="BI686" s="121"/>
      <c r="BJ686" s="121"/>
      <c r="BK686" s="121"/>
      <c r="BL686" s="121"/>
      <c r="BM686" s="121"/>
      <c r="BN686" s="121"/>
      <c r="BO686" s="121"/>
      <c r="BP686" s="121"/>
      <c r="BQ686" s="121"/>
      <c r="BR686" s="121"/>
      <c r="BS686" s="121"/>
      <c r="BT686" s="121"/>
      <c r="BU686" s="121"/>
      <c r="BV686" s="121"/>
      <c r="BW686" s="121"/>
      <c r="BX686" s="121"/>
      <c r="BY686" s="121"/>
      <c r="BZ686" s="121"/>
      <c r="CA686" s="121"/>
      <c r="CB686" s="121"/>
      <c r="CC686" s="121"/>
      <c r="CD686" s="121"/>
      <c r="CE686" s="121"/>
      <c r="CF686" s="121"/>
      <c r="CG686" s="121"/>
      <c r="CH686" s="121"/>
      <c r="CI686" s="121"/>
      <c r="CJ686" s="121"/>
      <c r="CK686" s="121"/>
      <c r="CL686" s="121"/>
      <c r="CM686" s="121"/>
      <c r="CN686" s="121"/>
      <c r="CO686" s="121"/>
      <c r="CP686" s="121"/>
      <c r="CQ686" s="121"/>
      <c r="CR686" s="121"/>
      <c r="CS686" s="121"/>
      <c r="CT686" s="121"/>
      <c r="CU686" s="121"/>
      <c r="CV686" s="121"/>
      <c r="CW686" s="121"/>
      <c r="CX686" s="121"/>
      <c r="CY686" s="121"/>
      <c r="CZ686" s="121"/>
      <c r="DA686" s="121"/>
      <c r="DB686" s="121"/>
      <c r="DC686" s="121"/>
      <c r="DD686" s="121"/>
      <c r="DE686" s="121"/>
      <c r="DF686" s="121"/>
      <c r="DG686" s="121"/>
      <c r="DH686" s="121"/>
      <c r="DI686" s="121"/>
      <c r="DJ686" s="121"/>
      <c r="DK686" s="121"/>
      <c r="DL686" s="121"/>
      <c r="DM686" s="121"/>
      <c r="DN686" s="121"/>
      <c r="DO686" s="121"/>
      <c r="DP686" s="121"/>
      <c r="DQ686" s="121"/>
      <c r="DR686" s="121"/>
      <c r="DS686" s="121"/>
      <c r="DT686" s="240"/>
      <c r="DU686" s="240"/>
      <c r="DV686" s="240"/>
      <c r="DW686" s="240"/>
      <c r="DX686" s="240"/>
      <c r="DY686" s="240"/>
      <c r="DZ686" s="240"/>
      <c r="EA686" s="240"/>
      <c r="EB686" s="237">
        <f t="shared" si="80"/>
        <v>0</v>
      </c>
      <c r="EC686" s="237">
        <f t="shared" si="81"/>
        <v>0</v>
      </c>
      <c r="ED686" s="237">
        <f t="shared" si="82"/>
        <v>0</v>
      </c>
      <c r="EE686" s="237">
        <f t="shared" si="83"/>
        <v>0</v>
      </c>
      <c r="EF686" s="121"/>
      <c r="EG686" s="238">
        <f t="shared" si="84"/>
        <v>0</v>
      </c>
      <c r="EH686" s="121"/>
      <c r="EI686" s="237">
        <f t="shared" si="85"/>
        <v>0</v>
      </c>
      <c r="EJ686" s="121"/>
      <c r="EK686" s="237">
        <f t="shared" si="86"/>
        <v>0</v>
      </c>
      <c r="EL686" s="237"/>
      <c r="EM686" s="5"/>
      <c r="EN686" s="5"/>
      <c r="EO686" s="5"/>
      <c r="EP686" s="5"/>
      <c r="EQ686" s="237">
        <f t="shared" si="87"/>
        <v>0</v>
      </c>
      <c r="ER686" s="239">
        <v>23300</v>
      </c>
      <c r="ES686" s="5">
        <v>7.5</v>
      </c>
    </row>
    <row r="687" spans="1:149" x14ac:dyDescent="0.3">
      <c r="A687" s="124"/>
      <c r="B687" s="121"/>
      <c r="C687" s="121"/>
      <c r="D687" s="121"/>
      <c r="E687" s="121"/>
      <c r="F687" s="121"/>
      <c r="G687" s="121"/>
      <c r="H687" s="121"/>
      <c r="I687" s="121"/>
      <c r="J687" s="121"/>
      <c r="K687" s="121"/>
      <c r="L687" s="121"/>
      <c r="M687" s="121"/>
      <c r="N687" s="121"/>
      <c r="O687" s="235"/>
      <c r="P687" s="121"/>
      <c r="Q687" s="121"/>
      <c r="R687" s="121"/>
      <c r="S687" s="121"/>
      <c r="T687" s="121"/>
      <c r="U687" s="121"/>
      <c r="V687" s="121"/>
      <c r="W687" s="121"/>
      <c r="X687" s="117"/>
      <c r="Y687" s="117"/>
      <c r="Z687" s="121"/>
      <c r="AA687" s="121"/>
      <c r="AB687" s="121"/>
      <c r="AC687" s="121"/>
      <c r="AD687" s="121"/>
      <c r="AE687" s="121"/>
      <c r="AF687" s="121"/>
      <c r="AG687" s="121"/>
      <c r="AH687" s="121"/>
      <c r="AI687" s="121"/>
      <c r="AJ687" s="121"/>
      <c r="AK687" s="121"/>
      <c r="AL687" s="121"/>
      <c r="AM687" s="121"/>
      <c r="AN687" s="121"/>
      <c r="AO687" s="121"/>
      <c r="AP687" s="121"/>
      <c r="AQ687" s="121"/>
      <c r="AR687" s="121"/>
      <c r="AS687" s="121"/>
      <c r="AT687" s="121"/>
      <c r="AU687" s="121"/>
      <c r="AV687" s="121"/>
      <c r="AW687" s="121"/>
      <c r="AX687" s="121"/>
      <c r="AY687" s="121"/>
      <c r="AZ687" s="121"/>
      <c r="BA687" s="121"/>
      <c r="BB687" s="121"/>
      <c r="BC687" s="121"/>
      <c r="BD687" s="121"/>
      <c r="BE687" s="121"/>
      <c r="BF687" s="121"/>
      <c r="BG687" s="121"/>
      <c r="BH687" s="121"/>
      <c r="BI687" s="121"/>
      <c r="BJ687" s="121"/>
      <c r="BK687" s="121"/>
      <c r="BL687" s="121"/>
      <c r="BM687" s="121"/>
      <c r="BN687" s="121"/>
      <c r="BO687" s="121"/>
      <c r="BP687" s="121"/>
      <c r="BQ687" s="121"/>
      <c r="BR687" s="121"/>
      <c r="BS687" s="121"/>
      <c r="BT687" s="121"/>
      <c r="BU687" s="121"/>
      <c r="BV687" s="121"/>
      <c r="BW687" s="121"/>
      <c r="BX687" s="121"/>
      <c r="BY687" s="121"/>
      <c r="BZ687" s="121"/>
      <c r="CA687" s="121"/>
      <c r="CB687" s="121"/>
      <c r="CC687" s="121"/>
      <c r="CD687" s="121"/>
      <c r="CE687" s="121"/>
      <c r="CF687" s="121"/>
      <c r="CG687" s="121"/>
      <c r="CH687" s="121"/>
      <c r="CI687" s="121"/>
      <c r="CJ687" s="121"/>
      <c r="CK687" s="121"/>
      <c r="CL687" s="121"/>
      <c r="CM687" s="121"/>
      <c r="CN687" s="121"/>
      <c r="CO687" s="121"/>
      <c r="CP687" s="121"/>
      <c r="CQ687" s="121"/>
      <c r="CR687" s="121"/>
      <c r="CS687" s="121"/>
      <c r="CT687" s="121"/>
      <c r="CU687" s="121"/>
      <c r="CV687" s="121"/>
      <c r="CW687" s="121"/>
      <c r="CX687" s="121"/>
      <c r="CY687" s="121"/>
      <c r="CZ687" s="121"/>
      <c r="DA687" s="121"/>
      <c r="DB687" s="121"/>
      <c r="DC687" s="121"/>
      <c r="DD687" s="121"/>
      <c r="DE687" s="121"/>
      <c r="DF687" s="121"/>
      <c r="DG687" s="121"/>
      <c r="DH687" s="121"/>
      <c r="DI687" s="121"/>
      <c r="DJ687" s="121"/>
      <c r="DK687" s="121"/>
      <c r="DL687" s="121"/>
      <c r="DM687" s="121"/>
      <c r="DN687" s="121"/>
      <c r="DO687" s="121"/>
      <c r="DP687" s="121"/>
      <c r="DQ687" s="121"/>
      <c r="DR687" s="121"/>
      <c r="DS687" s="121"/>
      <c r="DT687" s="240"/>
      <c r="DU687" s="240"/>
      <c r="DV687" s="240"/>
      <c r="DW687" s="240"/>
      <c r="DX687" s="240"/>
      <c r="DY687" s="240"/>
      <c r="DZ687" s="240"/>
      <c r="EA687" s="240"/>
      <c r="EB687" s="237">
        <f t="shared" si="80"/>
        <v>0</v>
      </c>
      <c r="EC687" s="237">
        <f t="shared" si="81"/>
        <v>0</v>
      </c>
      <c r="ED687" s="237">
        <f t="shared" si="82"/>
        <v>0</v>
      </c>
      <c r="EE687" s="237">
        <f t="shared" si="83"/>
        <v>0</v>
      </c>
      <c r="EF687" s="121"/>
      <c r="EG687" s="238">
        <f t="shared" si="84"/>
        <v>0</v>
      </c>
      <c r="EH687" s="121"/>
      <c r="EI687" s="237">
        <f t="shared" si="85"/>
        <v>0</v>
      </c>
      <c r="EJ687" s="121"/>
      <c r="EK687" s="237">
        <f t="shared" si="86"/>
        <v>0</v>
      </c>
      <c r="EL687" s="237"/>
      <c r="EM687" s="5"/>
      <c r="EN687" s="5"/>
      <c r="EO687" s="5"/>
      <c r="EP687" s="5"/>
      <c r="EQ687" s="237">
        <f t="shared" si="87"/>
        <v>0</v>
      </c>
      <c r="ER687" s="239">
        <v>23300</v>
      </c>
      <c r="ES687" s="5">
        <v>7.5</v>
      </c>
    </row>
    <row r="688" spans="1:149" x14ac:dyDescent="0.3">
      <c r="A688" s="124"/>
      <c r="B688" s="121"/>
      <c r="C688" s="121"/>
      <c r="D688" s="121"/>
      <c r="E688" s="121"/>
      <c r="F688" s="121"/>
      <c r="G688" s="121"/>
      <c r="H688" s="121"/>
      <c r="I688" s="121"/>
      <c r="J688" s="121"/>
      <c r="K688" s="121"/>
      <c r="L688" s="121"/>
      <c r="M688" s="121"/>
      <c r="N688" s="121"/>
      <c r="O688" s="235"/>
      <c r="P688" s="121"/>
      <c r="Q688" s="121"/>
      <c r="R688" s="121"/>
      <c r="S688" s="121"/>
      <c r="T688" s="121"/>
      <c r="U688" s="121"/>
      <c r="V688" s="121"/>
      <c r="W688" s="121"/>
      <c r="X688" s="117"/>
      <c r="Y688" s="117"/>
      <c r="Z688" s="121"/>
      <c r="AA688" s="121"/>
      <c r="AB688" s="121"/>
      <c r="AC688" s="121"/>
      <c r="AD688" s="121"/>
      <c r="AE688" s="121"/>
      <c r="AF688" s="121"/>
      <c r="AG688" s="121"/>
      <c r="AH688" s="121"/>
      <c r="AI688" s="121"/>
      <c r="AJ688" s="121"/>
      <c r="AK688" s="121"/>
      <c r="AL688" s="121"/>
      <c r="AM688" s="121"/>
      <c r="AN688" s="121"/>
      <c r="AO688" s="121"/>
      <c r="AP688" s="121"/>
      <c r="AQ688" s="121"/>
      <c r="AR688" s="121"/>
      <c r="AS688" s="121"/>
      <c r="AT688" s="121"/>
      <c r="AU688" s="121"/>
      <c r="AV688" s="121"/>
      <c r="AW688" s="121"/>
      <c r="AX688" s="121"/>
      <c r="AY688" s="121"/>
      <c r="AZ688" s="121"/>
      <c r="BA688" s="121"/>
      <c r="BB688" s="121"/>
      <c r="BC688" s="121"/>
      <c r="BD688" s="121"/>
      <c r="BE688" s="121"/>
      <c r="BF688" s="121"/>
      <c r="BG688" s="121"/>
      <c r="BH688" s="121"/>
      <c r="BI688" s="121"/>
      <c r="BJ688" s="121"/>
      <c r="BK688" s="121"/>
      <c r="BL688" s="121"/>
      <c r="BM688" s="121"/>
      <c r="BN688" s="121"/>
      <c r="BO688" s="121"/>
      <c r="BP688" s="121"/>
      <c r="BQ688" s="121"/>
      <c r="BR688" s="121"/>
      <c r="BS688" s="121"/>
      <c r="BT688" s="121"/>
      <c r="BU688" s="121"/>
      <c r="BV688" s="121"/>
      <c r="BW688" s="121"/>
      <c r="BX688" s="121"/>
      <c r="BY688" s="121"/>
      <c r="BZ688" s="121"/>
      <c r="CA688" s="121"/>
      <c r="CB688" s="121"/>
      <c r="CC688" s="121"/>
      <c r="CD688" s="121"/>
      <c r="CE688" s="121"/>
      <c r="CF688" s="121"/>
      <c r="CG688" s="121"/>
      <c r="CH688" s="121"/>
      <c r="CI688" s="121"/>
      <c r="CJ688" s="121"/>
      <c r="CK688" s="121"/>
      <c r="CL688" s="121"/>
      <c r="CM688" s="121"/>
      <c r="CN688" s="121"/>
      <c r="CO688" s="121"/>
      <c r="CP688" s="121"/>
      <c r="CQ688" s="121"/>
      <c r="CR688" s="121"/>
      <c r="CS688" s="121"/>
      <c r="CT688" s="121"/>
      <c r="CU688" s="121"/>
      <c r="CV688" s="121"/>
      <c r="CW688" s="121"/>
      <c r="CX688" s="121"/>
      <c r="CY688" s="121"/>
      <c r="CZ688" s="121"/>
      <c r="DA688" s="121"/>
      <c r="DB688" s="121"/>
      <c r="DC688" s="121"/>
      <c r="DD688" s="121"/>
      <c r="DE688" s="121"/>
      <c r="DF688" s="121"/>
      <c r="DG688" s="121"/>
      <c r="DH688" s="121"/>
      <c r="DI688" s="121"/>
      <c r="DJ688" s="121"/>
      <c r="DK688" s="121"/>
      <c r="DL688" s="121"/>
      <c r="DM688" s="121"/>
      <c r="DN688" s="121"/>
      <c r="DO688" s="121"/>
      <c r="DP688" s="121"/>
      <c r="DQ688" s="121"/>
      <c r="DR688" s="121"/>
      <c r="DS688" s="121"/>
      <c r="DT688" s="240"/>
      <c r="DU688" s="240"/>
      <c r="DV688" s="240"/>
      <c r="DW688" s="240"/>
      <c r="DX688" s="240"/>
      <c r="DY688" s="240"/>
      <c r="DZ688" s="240"/>
      <c r="EA688" s="240"/>
      <c r="EB688" s="237">
        <f t="shared" si="80"/>
        <v>0</v>
      </c>
      <c r="EC688" s="237">
        <f t="shared" si="81"/>
        <v>0</v>
      </c>
      <c r="ED688" s="237">
        <f t="shared" si="82"/>
        <v>0</v>
      </c>
      <c r="EE688" s="237">
        <f t="shared" si="83"/>
        <v>0</v>
      </c>
      <c r="EF688" s="121"/>
      <c r="EG688" s="238">
        <f t="shared" si="84"/>
        <v>0</v>
      </c>
      <c r="EH688" s="121"/>
      <c r="EI688" s="237">
        <f t="shared" si="85"/>
        <v>0</v>
      </c>
      <c r="EJ688" s="121"/>
      <c r="EK688" s="237">
        <f t="shared" si="86"/>
        <v>0</v>
      </c>
      <c r="EL688" s="237"/>
      <c r="EM688" s="5"/>
      <c r="EN688" s="5"/>
      <c r="EO688" s="5"/>
      <c r="EP688" s="5"/>
      <c r="EQ688" s="237">
        <f t="shared" si="87"/>
        <v>0</v>
      </c>
      <c r="ER688" s="239">
        <v>23300</v>
      </c>
      <c r="ES688" s="5">
        <v>7.5</v>
      </c>
    </row>
    <row r="689" spans="1:149" x14ac:dyDescent="0.3">
      <c r="A689" s="124"/>
      <c r="B689" s="121"/>
      <c r="C689" s="121"/>
      <c r="D689" s="121"/>
      <c r="E689" s="121"/>
      <c r="F689" s="121"/>
      <c r="G689" s="121"/>
      <c r="H689" s="121"/>
      <c r="I689" s="121"/>
      <c r="J689" s="121"/>
      <c r="K689" s="121"/>
      <c r="L689" s="121"/>
      <c r="M689" s="121"/>
      <c r="N689" s="121"/>
      <c r="O689" s="235"/>
      <c r="P689" s="121"/>
      <c r="Q689" s="121"/>
      <c r="R689" s="121"/>
      <c r="S689" s="121"/>
      <c r="T689" s="121"/>
      <c r="U689" s="121"/>
      <c r="V689" s="121"/>
      <c r="W689" s="121"/>
      <c r="X689" s="117"/>
      <c r="Y689" s="117"/>
      <c r="Z689" s="121"/>
      <c r="AA689" s="121"/>
      <c r="AB689" s="121"/>
      <c r="AC689" s="121"/>
      <c r="AD689" s="121"/>
      <c r="AE689" s="121"/>
      <c r="AF689" s="121"/>
      <c r="AG689" s="121"/>
      <c r="AH689" s="121"/>
      <c r="AI689" s="121"/>
      <c r="AJ689" s="121"/>
      <c r="AK689" s="121"/>
      <c r="AL689" s="121"/>
      <c r="AM689" s="121"/>
      <c r="AN689" s="121"/>
      <c r="AO689" s="121"/>
      <c r="AP689" s="121"/>
      <c r="AQ689" s="121"/>
      <c r="AR689" s="121"/>
      <c r="AS689" s="121"/>
      <c r="AT689" s="121"/>
      <c r="AU689" s="121"/>
      <c r="AV689" s="121"/>
      <c r="AW689" s="121"/>
      <c r="AX689" s="121"/>
      <c r="AY689" s="121"/>
      <c r="AZ689" s="121"/>
      <c r="BA689" s="121"/>
      <c r="BB689" s="121"/>
      <c r="BC689" s="121"/>
      <c r="BD689" s="121"/>
      <c r="BE689" s="121"/>
      <c r="BF689" s="121"/>
      <c r="BG689" s="121"/>
      <c r="BH689" s="121"/>
      <c r="BI689" s="121"/>
      <c r="BJ689" s="121"/>
      <c r="BK689" s="121"/>
      <c r="BL689" s="121"/>
      <c r="BM689" s="121"/>
      <c r="BN689" s="121"/>
      <c r="BO689" s="121"/>
      <c r="BP689" s="121"/>
      <c r="BQ689" s="121"/>
      <c r="BR689" s="121"/>
      <c r="BS689" s="121"/>
      <c r="BT689" s="121"/>
      <c r="BU689" s="121"/>
      <c r="BV689" s="121"/>
      <c r="BW689" s="121"/>
      <c r="BX689" s="121"/>
      <c r="BY689" s="121"/>
      <c r="BZ689" s="121"/>
      <c r="CA689" s="121"/>
      <c r="CB689" s="121"/>
      <c r="CC689" s="121"/>
      <c r="CD689" s="121"/>
      <c r="CE689" s="121"/>
      <c r="CF689" s="121"/>
      <c r="CG689" s="121"/>
      <c r="CH689" s="121"/>
      <c r="CI689" s="121"/>
      <c r="CJ689" s="121"/>
      <c r="CK689" s="121"/>
      <c r="CL689" s="121"/>
      <c r="CM689" s="121"/>
      <c r="CN689" s="121"/>
      <c r="CO689" s="121"/>
      <c r="CP689" s="121"/>
      <c r="CQ689" s="121"/>
      <c r="CR689" s="121"/>
      <c r="CS689" s="121"/>
      <c r="CT689" s="121"/>
      <c r="CU689" s="121"/>
      <c r="CV689" s="121"/>
      <c r="CW689" s="121"/>
      <c r="CX689" s="121"/>
      <c r="CY689" s="121"/>
      <c r="CZ689" s="121"/>
      <c r="DA689" s="121"/>
      <c r="DB689" s="121"/>
      <c r="DC689" s="121"/>
      <c r="DD689" s="121"/>
      <c r="DE689" s="121"/>
      <c r="DF689" s="121"/>
      <c r="DG689" s="121"/>
      <c r="DH689" s="121"/>
      <c r="DI689" s="121"/>
      <c r="DJ689" s="121"/>
      <c r="DK689" s="121"/>
      <c r="DL689" s="121"/>
      <c r="DM689" s="121"/>
      <c r="DN689" s="121"/>
      <c r="DO689" s="121"/>
      <c r="DP689" s="121"/>
      <c r="DQ689" s="121"/>
      <c r="DR689" s="121"/>
      <c r="DS689" s="121"/>
      <c r="DT689" s="240"/>
      <c r="DU689" s="240"/>
      <c r="DV689" s="240"/>
      <c r="DW689" s="240"/>
      <c r="DX689" s="240"/>
      <c r="DY689" s="240"/>
      <c r="DZ689" s="240"/>
      <c r="EA689" s="240"/>
      <c r="EB689" s="237">
        <f t="shared" si="80"/>
        <v>0</v>
      </c>
      <c r="EC689" s="237">
        <f t="shared" si="81"/>
        <v>0</v>
      </c>
      <c r="ED689" s="237">
        <f t="shared" si="82"/>
        <v>0</v>
      </c>
      <c r="EE689" s="237">
        <f t="shared" si="83"/>
        <v>0</v>
      </c>
      <c r="EF689" s="121"/>
      <c r="EG689" s="238">
        <f t="shared" si="84"/>
        <v>0</v>
      </c>
      <c r="EH689" s="121"/>
      <c r="EI689" s="237">
        <f t="shared" si="85"/>
        <v>0</v>
      </c>
      <c r="EJ689" s="121"/>
      <c r="EK689" s="237">
        <f t="shared" si="86"/>
        <v>0</v>
      </c>
      <c r="EL689" s="237"/>
      <c r="EM689" s="5"/>
      <c r="EN689" s="5"/>
      <c r="EO689" s="5"/>
      <c r="EP689" s="5"/>
      <c r="EQ689" s="237">
        <f t="shared" si="87"/>
        <v>0</v>
      </c>
      <c r="ER689" s="239">
        <v>23300</v>
      </c>
      <c r="ES689" s="5">
        <v>7.5</v>
      </c>
    </row>
    <row r="690" spans="1:149" x14ac:dyDescent="0.3">
      <c r="A690" s="124"/>
      <c r="B690" s="121"/>
      <c r="C690" s="121"/>
      <c r="D690" s="121"/>
      <c r="E690" s="121"/>
      <c r="F690" s="121"/>
      <c r="G690" s="121"/>
      <c r="H690" s="121"/>
      <c r="I690" s="121"/>
      <c r="J690" s="121"/>
      <c r="K690" s="121"/>
      <c r="L690" s="121"/>
      <c r="M690" s="121"/>
      <c r="N690" s="121"/>
      <c r="O690" s="235"/>
      <c r="P690" s="121"/>
      <c r="Q690" s="121"/>
      <c r="R690" s="121"/>
      <c r="S690" s="121"/>
      <c r="T690" s="121"/>
      <c r="U690" s="121"/>
      <c r="V690" s="121"/>
      <c r="W690" s="121"/>
      <c r="X690" s="117"/>
      <c r="Y690" s="117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/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121"/>
      <c r="BJ690" s="121"/>
      <c r="BK690" s="121"/>
      <c r="BL690" s="121"/>
      <c r="BM690" s="121"/>
      <c r="BN690" s="121"/>
      <c r="BO690" s="121"/>
      <c r="BP690" s="121"/>
      <c r="BQ690" s="121"/>
      <c r="BR690" s="121"/>
      <c r="BS690" s="121"/>
      <c r="BT690" s="121"/>
      <c r="BU690" s="121"/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/>
      <c r="CP690" s="121"/>
      <c r="CQ690" s="121"/>
      <c r="CR690" s="121"/>
      <c r="CS690" s="121"/>
      <c r="CT690" s="121"/>
      <c r="CU690" s="121"/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/>
      <c r="DF690" s="121"/>
      <c r="DG690" s="121"/>
      <c r="DH690" s="121"/>
      <c r="DI690" s="121"/>
      <c r="DJ690" s="121"/>
      <c r="DK690" s="121"/>
      <c r="DL690" s="121"/>
      <c r="DM690" s="121"/>
      <c r="DN690" s="121"/>
      <c r="DO690" s="121"/>
      <c r="DP690" s="121"/>
      <c r="DQ690" s="121"/>
      <c r="DR690" s="121"/>
      <c r="DS690" s="121"/>
      <c r="DT690" s="240"/>
      <c r="DU690" s="240"/>
      <c r="DV690" s="240"/>
      <c r="DW690" s="240"/>
      <c r="DX690" s="240"/>
      <c r="DY690" s="240"/>
      <c r="DZ690" s="240"/>
      <c r="EA690" s="240"/>
      <c r="EB690" s="237">
        <f t="shared" si="80"/>
        <v>0</v>
      </c>
      <c r="EC690" s="237">
        <f t="shared" si="81"/>
        <v>0</v>
      </c>
      <c r="ED690" s="237">
        <f t="shared" si="82"/>
        <v>0</v>
      </c>
      <c r="EE690" s="237">
        <f t="shared" si="83"/>
        <v>0</v>
      </c>
      <c r="EF690" s="121"/>
      <c r="EG690" s="238">
        <f t="shared" si="84"/>
        <v>0</v>
      </c>
      <c r="EH690" s="121"/>
      <c r="EI690" s="237">
        <f t="shared" si="85"/>
        <v>0</v>
      </c>
      <c r="EJ690" s="121"/>
      <c r="EK690" s="237">
        <f t="shared" si="86"/>
        <v>0</v>
      </c>
      <c r="EL690" s="237"/>
      <c r="EM690" s="5"/>
      <c r="EN690" s="5"/>
      <c r="EO690" s="5"/>
      <c r="EP690" s="5"/>
      <c r="EQ690" s="237">
        <f t="shared" si="87"/>
        <v>0</v>
      </c>
      <c r="ER690" s="239">
        <v>23300</v>
      </c>
      <c r="ES690" s="5">
        <v>7.5</v>
      </c>
    </row>
    <row r="691" spans="1:149" x14ac:dyDescent="0.3">
      <c r="A691" s="124"/>
      <c r="B691" s="121"/>
      <c r="C691" s="121"/>
      <c r="D691" s="121"/>
      <c r="E691" s="121"/>
      <c r="F691" s="121"/>
      <c r="G691" s="121"/>
      <c r="H691" s="121"/>
      <c r="I691" s="121"/>
      <c r="J691" s="121"/>
      <c r="K691" s="121"/>
      <c r="L691" s="121"/>
      <c r="M691" s="121"/>
      <c r="N691" s="121"/>
      <c r="O691" s="235"/>
      <c r="P691" s="121"/>
      <c r="Q691" s="121"/>
      <c r="R691" s="121"/>
      <c r="S691" s="121"/>
      <c r="T691" s="121"/>
      <c r="U691" s="121"/>
      <c r="V691" s="121"/>
      <c r="W691" s="121"/>
      <c r="X691" s="117"/>
      <c r="Y691" s="117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21"/>
      <c r="BJ691" s="121"/>
      <c r="BK691" s="121"/>
      <c r="BL691" s="121"/>
      <c r="BM691" s="121"/>
      <c r="BN691" s="121"/>
      <c r="BO691" s="121"/>
      <c r="BP691" s="121"/>
      <c r="BQ691" s="121"/>
      <c r="BR691" s="121"/>
      <c r="BS691" s="121"/>
      <c r="BT691" s="121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21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  <c r="DK691" s="121"/>
      <c r="DL691" s="121"/>
      <c r="DM691" s="121"/>
      <c r="DN691" s="121"/>
      <c r="DO691" s="121"/>
      <c r="DP691" s="121"/>
      <c r="DQ691" s="121"/>
      <c r="DR691" s="121"/>
      <c r="DS691" s="121"/>
      <c r="DT691" s="240"/>
      <c r="DU691" s="240"/>
      <c r="DV691" s="240"/>
      <c r="DW691" s="240"/>
      <c r="DX691" s="240"/>
      <c r="DY691" s="240"/>
      <c r="DZ691" s="240"/>
      <c r="EA691" s="240"/>
      <c r="EB691" s="237">
        <f t="shared" si="80"/>
        <v>0</v>
      </c>
      <c r="EC691" s="237">
        <f t="shared" si="81"/>
        <v>0</v>
      </c>
      <c r="ED691" s="237">
        <f t="shared" si="82"/>
        <v>0</v>
      </c>
      <c r="EE691" s="237">
        <f t="shared" si="83"/>
        <v>0</v>
      </c>
      <c r="EF691" s="121"/>
      <c r="EG691" s="238">
        <f t="shared" si="84"/>
        <v>0</v>
      </c>
      <c r="EH691" s="121"/>
      <c r="EI691" s="237">
        <f t="shared" si="85"/>
        <v>0</v>
      </c>
      <c r="EJ691" s="121"/>
      <c r="EK691" s="237">
        <f t="shared" si="86"/>
        <v>0</v>
      </c>
      <c r="EL691" s="237"/>
      <c r="EM691" s="5"/>
      <c r="EN691" s="5"/>
      <c r="EO691" s="5"/>
      <c r="EP691" s="5"/>
      <c r="EQ691" s="237">
        <f t="shared" si="87"/>
        <v>0</v>
      </c>
      <c r="ER691" s="239">
        <v>23300</v>
      </c>
      <c r="ES691" s="5">
        <v>7.5</v>
      </c>
    </row>
    <row r="692" spans="1:149" x14ac:dyDescent="0.3">
      <c r="A692" s="124"/>
      <c r="B692" s="121"/>
      <c r="C692" s="121"/>
      <c r="D692" s="121"/>
      <c r="E692" s="121"/>
      <c r="F692" s="121"/>
      <c r="G692" s="121"/>
      <c r="H692" s="121"/>
      <c r="I692" s="121"/>
      <c r="J692" s="121"/>
      <c r="K692" s="121"/>
      <c r="L692" s="121"/>
      <c r="M692" s="121"/>
      <c r="N692" s="121"/>
      <c r="O692" s="235"/>
      <c r="P692" s="121"/>
      <c r="Q692" s="121"/>
      <c r="R692" s="121"/>
      <c r="S692" s="121"/>
      <c r="T692" s="121"/>
      <c r="U692" s="121"/>
      <c r="V692" s="121"/>
      <c r="W692" s="121"/>
      <c r="X692" s="117"/>
      <c r="Y692" s="117"/>
      <c r="Z692" s="121"/>
      <c r="AA692" s="121"/>
      <c r="AB692" s="121"/>
      <c r="AC692" s="121"/>
      <c r="AD692" s="121"/>
      <c r="AE692" s="121"/>
      <c r="AF692" s="121"/>
      <c r="AG692" s="121"/>
      <c r="AH692" s="121"/>
      <c r="AI692" s="121"/>
      <c r="AJ692" s="121"/>
      <c r="AK692" s="121"/>
      <c r="AL692" s="121"/>
      <c r="AM692" s="121"/>
      <c r="AN692" s="121"/>
      <c r="AO692" s="121"/>
      <c r="AP692" s="121"/>
      <c r="AQ692" s="121"/>
      <c r="AR692" s="121"/>
      <c r="AS692" s="121"/>
      <c r="AT692" s="121"/>
      <c r="AU692" s="121"/>
      <c r="AV692" s="121"/>
      <c r="AW692" s="121"/>
      <c r="AX692" s="121"/>
      <c r="AY692" s="121"/>
      <c r="AZ692" s="121"/>
      <c r="BA692" s="121"/>
      <c r="BB692" s="121"/>
      <c r="BC692" s="121"/>
      <c r="BD692" s="121"/>
      <c r="BE692" s="121"/>
      <c r="BF692" s="121"/>
      <c r="BG692" s="121"/>
      <c r="BH692" s="121"/>
      <c r="BI692" s="121"/>
      <c r="BJ692" s="121"/>
      <c r="BK692" s="121"/>
      <c r="BL692" s="121"/>
      <c r="BM692" s="121"/>
      <c r="BN692" s="121"/>
      <c r="BO692" s="121"/>
      <c r="BP692" s="121"/>
      <c r="BQ692" s="121"/>
      <c r="BR692" s="121"/>
      <c r="BS692" s="121"/>
      <c r="BT692" s="121"/>
      <c r="BU692" s="121"/>
      <c r="BV692" s="121"/>
      <c r="BW692" s="121"/>
      <c r="BX692" s="121"/>
      <c r="BY692" s="121"/>
      <c r="BZ692" s="121"/>
      <c r="CA692" s="121"/>
      <c r="CB692" s="121"/>
      <c r="CC692" s="121"/>
      <c r="CD692" s="121"/>
      <c r="CE692" s="121"/>
      <c r="CF692" s="121"/>
      <c r="CG692" s="121"/>
      <c r="CH692" s="121"/>
      <c r="CI692" s="121"/>
      <c r="CJ692" s="121"/>
      <c r="CK692" s="121"/>
      <c r="CL692" s="121"/>
      <c r="CM692" s="121"/>
      <c r="CN692" s="121"/>
      <c r="CO692" s="121"/>
      <c r="CP692" s="121"/>
      <c r="CQ692" s="121"/>
      <c r="CR692" s="121"/>
      <c r="CS692" s="121"/>
      <c r="CT692" s="121"/>
      <c r="CU692" s="121"/>
      <c r="CV692" s="121"/>
      <c r="CW692" s="121"/>
      <c r="CX692" s="121"/>
      <c r="CY692" s="121"/>
      <c r="CZ692" s="121"/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  <c r="DK692" s="121"/>
      <c r="DL692" s="121"/>
      <c r="DM692" s="121"/>
      <c r="DN692" s="121"/>
      <c r="DO692" s="121"/>
      <c r="DP692" s="121"/>
      <c r="DQ692" s="121"/>
      <c r="DR692" s="121"/>
      <c r="DS692" s="121"/>
      <c r="DT692" s="240"/>
      <c r="DU692" s="240"/>
      <c r="DV692" s="240"/>
      <c r="DW692" s="240"/>
      <c r="DX692" s="240"/>
      <c r="DY692" s="240"/>
      <c r="DZ692" s="240"/>
      <c r="EA692" s="240"/>
      <c r="EB692" s="237">
        <f t="shared" si="80"/>
        <v>0</v>
      </c>
      <c r="EC692" s="237">
        <f t="shared" si="81"/>
        <v>0</v>
      </c>
      <c r="ED692" s="237">
        <f t="shared" si="82"/>
        <v>0</v>
      </c>
      <c r="EE692" s="237">
        <f t="shared" si="83"/>
        <v>0</v>
      </c>
      <c r="EF692" s="121"/>
      <c r="EG692" s="238">
        <f t="shared" si="84"/>
        <v>0</v>
      </c>
      <c r="EH692" s="121"/>
      <c r="EI692" s="237">
        <f t="shared" si="85"/>
        <v>0</v>
      </c>
      <c r="EJ692" s="121"/>
      <c r="EK692" s="237">
        <f t="shared" si="86"/>
        <v>0</v>
      </c>
      <c r="EL692" s="237"/>
      <c r="EM692" s="5"/>
      <c r="EN692" s="5"/>
      <c r="EO692" s="5"/>
      <c r="EP692" s="5"/>
      <c r="EQ692" s="237">
        <f t="shared" si="87"/>
        <v>0</v>
      </c>
      <c r="ER692" s="239">
        <v>23300</v>
      </c>
      <c r="ES692" s="5">
        <v>7.5</v>
      </c>
    </row>
    <row r="693" spans="1:149" x14ac:dyDescent="0.3">
      <c r="A693" s="124"/>
      <c r="B693" s="121"/>
      <c r="C693" s="121"/>
      <c r="D693" s="121"/>
      <c r="E693" s="121"/>
      <c r="F693" s="121"/>
      <c r="G693" s="121"/>
      <c r="H693" s="121"/>
      <c r="I693" s="121"/>
      <c r="J693" s="121"/>
      <c r="K693" s="121"/>
      <c r="L693" s="121"/>
      <c r="M693" s="121"/>
      <c r="N693" s="121"/>
      <c r="O693" s="235"/>
      <c r="P693" s="121"/>
      <c r="Q693" s="121"/>
      <c r="R693" s="121"/>
      <c r="S693" s="121"/>
      <c r="T693" s="121"/>
      <c r="U693" s="121"/>
      <c r="V693" s="121"/>
      <c r="W693" s="121"/>
      <c r="X693" s="117"/>
      <c r="Y693" s="117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1"/>
      <c r="AL693" s="121"/>
      <c r="AM693" s="121"/>
      <c r="AN693" s="121"/>
      <c r="AO693" s="121"/>
      <c r="AP693" s="121"/>
      <c r="AQ693" s="121"/>
      <c r="AR693" s="121"/>
      <c r="AS693" s="121"/>
      <c r="AT693" s="121"/>
      <c r="AU693" s="121"/>
      <c r="AV693" s="121"/>
      <c r="AW693" s="121"/>
      <c r="AX693" s="121"/>
      <c r="AY693" s="121"/>
      <c r="AZ693" s="121"/>
      <c r="BA693" s="121"/>
      <c r="BB693" s="121"/>
      <c r="BC693" s="121"/>
      <c r="BD693" s="121"/>
      <c r="BE693" s="121"/>
      <c r="BF693" s="121"/>
      <c r="BG693" s="121"/>
      <c r="BH693" s="121"/>
      <c r="BI693" s="121"/>
      <c r="BJ693" s="121"/>
      <c r="BK693" s="121"/>
      <c r="BL693" s="121"/>
      <c r="BM693" s="121"/>
      <c r="BN693" s="121"/>
      <c r="BO693" s="121"/>
      <c r="BP693" s="121"/>
      <c r="BQ693" s="121"/>
      <c r="BR693" s="121"/>
      <c r="BS693" s="121"/>
      <c r="BT693" s="121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21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  <c r="DK693" s="121"/>
      <c r="DL693" s="121"/>
      <c r="DM693" s="121"/>
      <c r="DN693" s="121"/>
      <c r="DO693" s="121"/>
      <c r="DP693" s="121"/>
      <c r="DQ693" s="121"/>
      <c r="DR693" s="121"/>
      <c r="DS693" s="121"/>
      <c r="DT693" s="240"/>
      <c r="DU693" s="240"/>
      <c r="DV693" s="240"/>
      <c r="DW693" s="240"/>
      <c r="DX693" s="240"/>
      <c r="DY693" s="240"/>
      <c r="DZ693" s="240"/>
      <c r="EA693" s="240"/>
      <c r="EB693" s="237">
        <f t="shared" si="80"/>
        <v>0</v>
      </c>
      <c r="EC693" s="237">
        <f t="shared" si="81"/>
        <v>0</v>
      </c>
      <c r="ED693" s="237">
        <f t="shared" si="82"/>
        <v>0</v>
      </c>
      <c r="EE693" s="237">
        <f t="shared" si="83"/>
        <v>0</v>
      </c>
      <c r="EF693" s="121"/>
      <c r="EG693" s="238">
        <f t="shared" si="84"/>
        <v>0</v>
      </c>
      <c r="EH693" s="121"/>
      <c r="EI693" s="237">
        <f t="shared" si="85"/>
        <v>0</v>
      </c>
      <c r="EJ693" s="121"/>
      <c r="EK693" s="237">
        <f t="shared" si="86"/>
        <v>0</v>
      </c>
      <c r="EL693" s="237"/>
      <c r="EM693" s="5"/>
      <c r="EN693" s="5"/>
      <c r="EO693" s="5"/>
      <c r="EP693" s="5"/>
      <c r="EQ693" s="237">
        <f t="shared" si="87"/>
        <v>0</v>
      </c>
      <c r="ER693" s="239">
        <v>23300</v>
      </c>
      <c r="ES693" s="5">
        <v>7.5</v>
      </c>
    </row>
    <row r="694" spans="1:149" x14ac:dyDescent="0.3">
      <c r="A694" s="124"/>
      <c r="B694" s="121"/>
      <c r="C694" s="121"/>
      <c r="D694" s="121"/>
      <c r="E694" s="121"/>
      <c r="F694" s="121"/>
      <c r="G694" s="121"/>
      <c r="H694" s="121"/>
      <c r="I694" s="121"/>
      <c r="J694" s="121"/>
      <c r="K694" s="121"/>
      <c r="L694" s="121"/>
      <c r="M694" s="121"/>
      <c r="N694" s="121"/>
      <c r="O694" s="235"/>
      <c r="P694" s="121"/>
      <c r="Q694" s="121"/>
      <c r="R694" s="121"/>
      <c r="S694" s="121"/>
      <c r="T694" s="121"/>
      <c r="U694" s="121"/>
      <c r="V694" s="121"/>
      <c r="W694" s="121"/>
      <c r="X694" s="117"/>
      <c r="Y694" s="117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21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  <c r="DK694" s="121"/>
      <c r="DL694" s="121"/>
      <c r="DM694" s="121"/>
      <c r="DN694" s="121"/>
      <c r="DO694" s="121"/>
      <c r="DP694" s="121"/>
      <c r="DQ694" s="121"/>
      <c r="DR694" s="121"/>
      <c r="DS694" s="121"/>
      <c r="DT694" s="240"/>
      <c r="DU694" s="240"/>
      <c r="DV694" s="240"/>
      <c r="DW694" s="240"/>
      <c r="DX694" s="240"/>
      <c r="DY694" s="240"/>
      <c r="DZ694" s="240"/>
      <c r="EA694" s="240"/>
      <c r="EB694" s="237">
        <f t="shared" si="80"/>
        <v>0</v>
      </c>
      <c r="EC694" s="237">
        <f t="shared" si="81"/>
        <v>0</v>
      </c>
      <c r="ED694" s="237">
        <f t="shared" si="82"/>
        <v>0</v>
      </c>
      <c r="EE694" s="237">
        <f t="shared" si="83"/>
        <v>0</v>
      </c>
      <c r="EF694" s="121"/>
      <c r="EG694" s="238">
        <f t="shared" si="84"/>
        <v>0</v>
      </c>
      <c r="EH694" s="121"/>
      <c r="EI694" s="237">
        <f t="shared" si="85"/>
        <v>0</v>
      </c>
      <c r="EJ694" s="121"/>
      <c r="EK694" s="237">
        <f t="shared" si="86"/>
        <v>0</v>
      </c>
      <c r="EL694" s="237"/>
      <c r="EM694" s="5"/>
      <c r="EN694" s="5"/>
      <c r="EO694" s="5"/>
      <c r="EP694" s="5"/>
      <c r="EQ694" s="237">
        <f t="shared" si="87"/>
        <v>0</v>
      </c>
      <c r="ER694" s="239">
        <v>23300</v>
      </c>
      <c r="ES694" s="5">
        <v>7.5</v>
      </c>
    </row>
    <row r="695" spans="1:149" x14ac:dyDescent="0.3">
      <c r="A695" s="124"/>
      <c r="B695" s="121"/>
      <c r="C695" s="121"/>
      <c r="D695" s="121"/>
      <c r="E695" s="121"/>
      <c r="F695" s="121"/>
      <c r="G695" s="121"/>
      <c r="H695" s="121"/>
      <c r="I695" s="121"/>
      <c r="J695" s="121"/>
      <c r="K695" s="121"/>
      <c r="L695" s="121"/>
      <c r="M695" s="121"/>
      <c r="N695" s="121"/>
      <c r="O695" s="235"/>
      <c r="P695" s="121"/>
      <c r="Q695" s="121"/>
      <c r="R695" s="121"/>
      <c r="S695" s="121"/>
      <c r="T695" s="121"/>
      <c r="U695" s="121"/>
      <c r="V695" s="121"/>
      <c r="W695" s="121"/>
      <c r="X695" s="117"/>
      <c r="Y695" s="117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21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  <c r="DK695" s="121"/>
      <c r="DL695" s="121"/>
      <c r="DM695" s="121"/>
      <c r="DN695" s="121"/>
      <c r="DO695" s="121"/>
      <c r="DP695" s="121"/>
      <c r="DQ695" s="121"/>
      <c r="DR695" s="121"/>
      <c r="DS695" s="121"/>
      <c r="DT695" s="240"/>
      <c r="DU695" s="240"/>
      <c r="DV695" s="240"/>
      <c r="DW695" s="240"/>
      <c r="DX695" s="240"/>
      <c r="DY695" s="240"/>
      <c r="DZ695" s="240"/>
      <c r="EA695" s="240"/>
      <c r="EB695" s="237">
        <f t="shared" si="80"/>
        <v>0</v>
      </c>
      <c r="EC695" s="237">
        <f t="shared" si="81"/>
        <v>0</v>
      </c>
      <c r="ED695" s="237">
        <f t="shared" si="82"/>
        <v>0</v>
      </c>
      <c r="EE695" s="237">
        <f t="shared" si="83"/>
        <v>0</v>
      </c>
      <c r="EF695" s="121"/>
      <c r="EG695" s="238">
        <f t="shared" si="84"/>
        <v>0</v>
      </c>
      <c r="EH695" s="121"/>
      <c r="EI695" s="237">
        <f t="shared" si="85"/>
        <v>0</v>
      </c>
      <c r="EJ695" s="121"/>
      <c r="EK695" s="237">
        <f t="shared" si="86"/>
        <v>0</v>
      </c>
      <c r="EL695" s="237"/>
      <c r="EM695" s="5"/>
      <c r="EN695" s="5"/>
      <c r="EO695" s="5"/>
      <c r="EP695" s="5"/>
      <c r="EQ695" s="237">
        <f t="shared" si="87"/>
        <v>0</v>
      </c>
      <c r="ER695" s="239">
        <v>23300</v>
      </c>
      <c r="ES695" s="5">
        <v>7.5</v>
      </c>
    </row>
    <row r="696" spans="1:149" x14ac:dyDescent="0.3">
      <c r="A696" s="124"/>
      <c r="B696" s="121"/>
      <c r="C696" s="121"/>
      <c r="D696" s="121"/>
      <c r="E696" s="121"/>
      <c r="F696" s="121"/>
      <c r="G696" s="121"/>
      <c r="H696" s="121"/>
      <c r="I696" s="121"/>
      <c r="J696" s="121"/>
      <c r="K696" s="121"/>
      <c r="L696" s="121"/>
      <c r="M696" s="121"/>
      <c r="N696" s="121"/>
      <c r="O696" s="235"/>
      <c r="P696" s="121"/>
      <c r="Q696" s="121"/>
      <c r="R696" s="121"/>
      <c r="S696" s="121"/>
      <c r="T696" s="121"/>
      <c r="U696" s="121"/>
      <c r="V696" s="121"/>
      <c r="W696" s="121"/>
      <c r="X696" s="117"/>
      <c r="Y696" s="117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21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  <c r="DK696" s="121"/>
      <c r="DL696" s="121"/>
      <c r="DM696" s="121"/>
      <c r="DN696" s="121"/>
      <c r="DO696" s="121"/>
      <c r="DP696" s="121"/>
      <c r="DQ696" s="121"/>
      <c r="DR696" s="121"/>
      <c r="DS696" s="121"/>
      <c r="DT696" s="240"/>
      <c r="DU696" s="240"/>
      <c r="DV696" s="240"/>
      <c r="DW696" s="240"/>
      <c r="DX696" s="240"/>
      <c r="DY696" s="240"/>
      <c r="DZ696" s="240"/>
      <c r="EA696" s="240"/>
      <c r="EB696" s="237">
        <f t="shared" si="80"/>
        <v>0</v>
      </c>
      <c r="EC696" s="237">
        <f t="shared" si="81"/>
        <v>0</v>
      </c>
      <c r="ED696" s="237">
        <f t="shared" si="82"/>
        <v>0</v>
      </c>
      <c r="EE696" s="237">
        <f t="shared" si="83"/>
        <v>0</v>
      </c>
      <c r="EF696" s="121"/>
      <c r="EG696" s="238">
        <f t="shared" si="84"/>
        <v>0</v>
      </c>
      <c r="EH696" s="121"/>
      <c r="EI696" s="237">
        <f t="shared" si="85"/>
        <v>0</v>
      </c>
      <c r="EJ696" s="121"/>
      <c r="EK696" s="237">
        <f t="shared" si="86"/>
        <v>0</v>
      </c>
      <c r="EL696" s="237"/>
      <c r="EM696" s="5"/>
      <c r="EN696" s="5"/>
      <c r="EO696" s="5"/>
      <c r="EP696" s="5"/>
      <c r="EQ696" s="237">
        <f t="shared" si="87"/>
        <v>0</v>
      </c>
      <c r="ER696" s="239">
        <v>23300</v>
      </c>
      <c r="ES696" s="5">
        <v>7.5</v>
      </c>
    </row>
    <row r="697" spans="1:149" x14ac:dyDescent="0.3">
      <c r="A697" s="124"/>
      <c r="B697" s="121"/>
      <c r="C697" s="121"/>
      <c r="D697" s="121"/>
      <c r="E697" s="121"/>
      <c r="F697" s="121"/>
      <c r="G697" s="121"/>
      <c r="H697" s="121"/>
      <c r="I697" s="121"/>
      <c r="J697" s="121"/>
      <c r="K697" s="121"/>
      <c r="L697" s="121"/>
      <c r="M697" s="121"/>
      <c r="N697" s="121"/>
      <c r="O697" s="235"/>
      <c r="P697" s="121"/>
      <c r="Q697" s="121"/>
      <c r="R697" s="121"/>
      <c r="S697" s="121"/>
      <c r="T697" s="121"/>
      <c r="U697" s="121"/>
      <c r="V697" s="121"/>
      <c r="W697" s="121"/>
      <c r="X697" s="117"/>
      <c r="Y697" s="117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21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  <c r="DK697" s="121"/>
      <c r="DL697" s="121"/>
      <c r="DM697" s="121"/>
      <c r="DN697" s="121"/>
      <c r="DO697" s="121"/>
      <c r="DP697" s="121"/>
      <c r="DQ697" s="121"/>
      <c r="DR697" s="121"/>
      <c r="DS697" s="121"/>
      <c r="DT697" s="240"/>
      <c r="DU697" s="240"/>
      <c r="DV697" s="240"/>
      <c r="DW697" s="240"/>
      <c r="DX697" s="240"/>
      <c r="DY697" s="240"/>
      <c r="DZ697" s="240"/>
      <c r="EA697" s="240"/>
      <c r="EB697" s="237">
        <f t="shared" si="80"/>
        <v>0</v>
      </c>
      <c r="EC697" s="237">
        <f t="shared" si="81"/>
        <v>0</v>
      </c>
      <c r="ED697" s="237">
        <f t="shared" si="82"/>
        <v>0</v>
      </c>
      <c r="EE697" s="237">
        <f t="shared" si="83"/>
        <v>0</v>
      </c>
      <c r="EF697" s="121"/>
      <c r="EG697" s="238">
        <f t="shared" si="84"/>
        <v>0</v>
      </c>
      <c r="EH697" s="121"/>
      <c r="EI697" s="237">
        <f t="shared" si="85"/>
        <v>0</v>
      </c>
      <c r="EJ697" s="121"/>
      <c r="EK697" s="237">
        <f t="shared" si="86"/>
        <v>0</v>
      </c>
      <c r="EL697" s="237"/>
      <c r="EM697" s="5"/>
      <c r="EN697" s="5"/>
      <c r="EO697" s="5"/>
      <c r="EP697" s="5"/>
      <c r="EQ697" s="237">
        <f t="shared" si="87"/>
        <v>0</v>
      </c>
      <c r="ER697" s="239">
        <v>23300</v>
      </c>
      <c r="ES697" s="5">
        <v>7.5</v>
      </c>
    </row>
    <row r="698" spans="1:149" x14ac:dyDescent="0.3">
      <c r="A698" s="124"/>
      <c r="B698" s="121"/>
      <c r="C698" s="121"/>
      <c r="D698" s="121"/>
      <c r="E698" s="121"/>
      <c r="F698" s="121"/>
      <c r="G698" s="121"/>
      <c r="H698" s="121"/>
      <c r="I698" s="121"/>
      <c r="J698" s="121"/>
      <c r="K698" s="121"/>
      <c r="L698" s="121"/>
      <c r="M698" s="121"/>
      <c r="N698" s="121"/>
      <c r="O698" s="235"/>
      <c r="P698" s="121"/>
      <c r="Q698" s="121"/>
      <c r="R698" s="121"/>
      <c r="S698" s="121"/>
      <c r="T698" s="121"/>
      <c r="U698" s="121"/>
      <c r="V698" s="121"/>
      <c r="W698" s="121"/>
      <c r="X698" s="117"/>
      <c r="Y698" s="117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21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  <c r="DK698" s="121"/>
      <c r="DL698" s="121"/>
      <c r="DM698" s="121"/>
      <c r="DN698" s="121"/>
      <c r="DO698" s="121"/>
      <c r="DP698" s="121"/>
      <c r="DQ698" s="121"/>
      <c r="DR698" s="121"/>
      <c r="DS698" s="121"/>
      <c r="DT698" s="240"/>
      <c r="DU698" s="240"/>
      <c r="DV698" s="240"/>
      <c r="DW698" s="240"/>
      <c r="DX698" s="240"/>
      <c r="DY698" s="240"/>
      <c r="DZ698" s="240"/>
      <c r="EA698" s="240"/>
      <c r="EB698" s="237">
        <f t="shared" si="80"/>
        <v>0</v>
      </c>
      <c r="EC698" s="237">
        <f t="shared" si="81"/>
        <v>0</v>
      </c>
      <c r="ED698" s="237">
        <f t="shared" si="82"/>
        <v>0</v>
      </c>
      <c r="EE698" s="237">
        <f t="shared" si="83"/>
        <v>0</v>
      </c>
      <c r="EF698" s="121"/>
      <c r="EG698" s="238">
        <f t="shared" si="84"/>
        <v>0</v>
      </c>
      <c r="EH698" s="121"/>
      <c r="EI698" s="237">
        <f t="shared" si="85"/>
        <v>0</v>
      </c>
      <c r="EJ698" s="121"/>
      <c r="EK698" s="237">
        <f t="shared" si="86"/>
        <v>0</v>
      </c>
      <c r="EL698" s="237"/>
      <c r="EM698" s="5"/>
      <c r="EN698" s="5"/>
      <c r="EO698" s="5"/>
      <c r="EP698" s="5"/>
      <c r="EQ698" s="237">
        <f t="shared" si="87"/>
        <v>0</v>
      </c>
      <c r="ER698" s="239">
        <v>23300</v>
      </c>
      <c r="ES698" s="5">
        <v>7.5</v>
      </c>
    </row>
    <row r="699" spans="1:149" x14ac:dyDescent="0.3">
      <c r="A699" s="124"/>
      <c r="B699" s="121"/>
      <c r="C699" s="121"/>
      <c r="D699" s="121"/>
      <c r="E699" s="121"/>
      <c r="F699" s="121"/>
      <c r="G699" s="121"/>
      <c r="H699" s="121"/>
      <c r="I699" s="121"/>
      <c r="J699" s="121"/>
      <c r="K699" s="121"/>
      <c r="L699" s="121"/>
      <c r="M699" s="121"/>
      <c r="N699" s="121"/>
      <c r="O699" s="235"/>
      <c r="P699" s="121"/>
      <c r="Q699" s="121"/>
      <c r="R699" s="121"/>
      <c r="S699" s="121"/>
      <c r="T699" s="121"/>
      <c r="U699" s="121"/>
      <c r="V699" s="121"/>
      <c r="W699" s="121"/>
      <c r="X699" s="117"/>
      <c r="Y699" s="117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21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  <c r="DK699" s="121"/>
      <c r="DL699" s="121"/>
      <c r="DM699" s="121"/>
      <c r="DN699" s="121"/>
      <c r="DO699" s="121"/>
      <c r="DP699" s="121"/>
      <c r="DQ699" s="121"/>
      <c r="DR699" s="121"/>
      <c r="DS699" s="121"/>
      <c r="DT699" s="240"/>
      <c r="DU699" s="240"/>
      <c r="DV699" s="240"/>
      <c r="DW699" s="240"/>
      <c r="DX699" s="240"/>
      <c r="DY699" s="240"/>
      <c r="DZ699" s="240"/>
      <c r="EA699" s="240"/>
      <c r="EB699" s="237">
        <f t="shared" si="80"/>
        <v>0</v>
      </c>
      <c r="EC699" s="237">
        <f t="shared" si="81"/>
        <v>0</v>
      </c>
      <c r="ED699" s="237">
        <f t="shared" si="82"/>
        <v>0</v>
      </c>
      <c r="EE699" s="237">
        <f t="shared" si="83"/>
        <v>0</v>
      </c>
      <c r="EF699" s="121"/>
      <c r="EG699" s="238">
        <f t="shared" si="84"/>
        <v>0</v>
      </c>
      <c r="EH699" s="121"/>
      <c r="EI699" s="237">
        <f t="shared" si="85"/>
        <v>0</v>
      </c>
      <c r="EJ699" s="121"/>
      <c r="EK699" s="237">
        <f t="shared" si="86"/>
        <v>0</v>
      </c>
      <c r="EL699" s="237"/>
      <c r="EM699" s="5"/>
      <c r="EN699" s="5"/>
      <c r="EO699" s="5"/>
      <c r="EP699" s="5"/>
      <c r="EQ699" s="237">
        <f t="shared" si="87"/>
        <v>0</v>
      </c>
      <c r="ER699" s="239">
        <v>23300</v>
      </c>
      <c r="ES699" s="5">
        <v>7.5</v>
      </c>
    </row>
    <row r="700" spans="1:149" x14ac:dyDescent="0.3">
      <c r="A700" s="124"/>
      <c r="B700" s="121"/>
      <c r="C700" s="121"/>
      <c r="D700" s="121"/>
      <c r="E700" s="121"/>
      <c r="F700" s="121"/>
      <c r="G700" s="121"/>
      <c r="H700" s="121"/>
      <c r="I700" s="121"/>
      <c r="J700" s="121"/>
      <c r="K700" s="121"/>
      <c r="L700" s="121"/>
      <c r="M700" s="121"/>
      <c r="N700" s="121"/>
      <c r="O700" s="235"/>
      <c r="P700" s="121"/>
      <c r="Q700" s="121"/>
      <c r="R700" s="121"/>
      <c r="S700" s="121"/>
      <c r="T700" s="121"/>
      <c r="U700" s="121"/>
      <c r="V700" s="121"/>
      <c r="W700" s="121"/>
      <c r="X700" s="117"/>
      <c r="Y700" s="117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21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  <c r="DK700" s="121"/>
      <c r="DL700" s="121"/>
      <c r="DM700" s="121"/>
      <c r="DN700" s="121"/>
      <c r="DO700" s="121"/>
      <c r="DP700" s="121"/>
      <c r="DQ700" s="121"/>
      <c r="DR700" s="121"/>
      <c r="DS700" s="121"/>
      <c r="DT700" s="240"/>
      <c r="DU700" s="240"/>
      <c r="DV700" s="240"/>
      <c r="DW700" s="240"/>
      <c r="DX700" s="240"/>
      <c r="DY700" s="240"/>
      <c r="DZ700" s="240"/>
      <c r="EA700" s="240"/>
      <c r="EB700" s="237">
        <f t="shared" si="80"/>
        <v>0</v>
      </c>
      <c r="EC700" s="237">
        <f t="shared" si="81"/>
        <v>0</v>
      </c>
      <c r="ED700" s="237">
        <f t="shared" si="82"/>
        <v>0</v>
      </c>
      <c r="EE700" s="237">
        <f t="shared" si="83"/>
        <v>0</v>
      </c>
      <c r="EF700" s="121"/>
      <c r="EG700" s="238">
        <f t="shared" si="84"/>
        <v>0</v>
      </c>
      <c r="EH700" s="121"/>
      <c r="EI700" s="237">
        <f t="shared" si="85"/>
        <v>0</v>
      </c>
      <c r="EJ700" s="121"/>
      <c r="EK700" s="237">
        <f t="shared" si="86"/>
        <v>0</v>
      </c>
      <c r="EL700" s="237"/>
      <c r="EM700" s="5"/>
      <c r="EN700" s="5"/>
      <c r="EO700" s="5"/>
      <c r="EP700" s="5"/>
      <c r="EQ700" s="237">
        <f t="shared" si="87"/>
        <v>0</v>
      </c>
      <c r="ER700" s="239">
        <v>23300</v>
      </c>
      <c r="ES700" s="5">
        <v>7.5</v>
      </c>
    </row>
    <row r="701" spans="1:149" x14ac:dyDescent="0.3">
      <c r="A701" s="124"/>
      <c r="B701" s="121"/>
      <c r="C701" s="121"/>
      <c r="D701" s="121"/>
      <c r="E701" s="121"/>
      <c r="F701" s="121"/>
      <c r="G701" s="121"/>
      <c r="H701" s="121"/>
      <c r="I701" s="121"/>
      <c r="J701" s="121"/>
      <c r="K701" s="121"/>
      <c r="L701" s="121"/>
      <c r="M701" s="121"/>
      <c r="N701" s="121"/>
      <c r="O701" s="235"/>
      <c r="P701" s="121"/>
      <c r="Q701" s="121"/>
      <c r="R701" s="121"/>
      <c r="S701" s="121"/>
      <c r="T701" s="121"/>
      <c r="U701" s="121"/>
      <c r="V701" s="121"/>
      <c r="W701" s="121"/>
      <c r="X701" s="117"/>
      <c r="Y701" s="117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21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  <c r="DK701" s="121"/>
      <c r="DL701" s="121"/>
      <c r="DM701" s="121"/>
      <c r="DN701" s="121"/>
      <c r="DO701" s="121"/>
      <c r="DP701" s="121"/>
      <c r="DQ701" s="121"/>
      <c r="DR701" s="121"/>
      <c r="DS701" s="121"/>
      <c r="DT701" s="240"/>
      <c r="DU701" s="240"/>
      <c r="DV701" s="240"/>
      <c r="DW701" s="240"/>
      <c r="DX701" s="240"/>
      <c r="DY701" s="240"/>
      <c r="DZ701" s="240"/>
      <c r="EA701" s="240"/>
      <c r="EB701" s="237">
        <f t="shared" si="80"/>
        <v>0</v>
      </c>
      <c r="EC701" s="237">
        <f t="shared" si="81"/>
        <v>0</v>
      </c>
      <c r="ED701" s="237">
        <f t="shared" si="82"/>
        <v>0</v>
      </c>
      <c r="EE701" s="237">
        <f t="shared" si="83"/>
        <v>0</v>
      </c>
      <c r="EF701" s="121"/>
      <c r="EG701" s="238">
        <f t="shared" si="84"/>
        <v>0</v>
      </c>
      <c r="EH701" s="121"/>
      <c r="EI701" s="237">
        <f t="shared" si="85"/>
        <v>0</v>
      </c>
      <c r="EJ701" s="121"/>
      <c r="EK701" s="237">
        <f t="shared" si="86"/>
        <v>0</v>
      </c>
      <c r="EL701" s="237"/>
      <c r="EM701" s="5"/>
      <c r="EN701" s="5"/>
      <c r="EO701" s="5"/>
      <c r="EP701" s="5"/>
      <c r="EQ701" s="237">
        <f t="shared" si="87"/>
        <v>0</v>
      </c>
      <c r="ER701" s="239">
        <v>23300</v>
      </c>
      <c r="ES701" s="5">
        <v>7.5</v>
      </c>
    </row>
    <row r="702" spans="1:149" x14ac:dyDescent="0.3">
      <c r="A702" s="124"/>
      <c r="B702" s="121"/>
      <c r="C702" s="121"/>
      <c r="D702" s="121"/>
      <c r="E702" s="121"/>
      <c r="F702" s="121"/>
      <c r="G702" s="121"/>
      <c r="H702" s="121"/>
      <c r="I702" s="121"/>
      <c r="J702" s="121"/>
      <c r="K702" s="121"/>
      <c r="L702" s="121"/>
      <c r="M702" s="121"/>
      <c r="N702" s="121"/>
      <c r="O702" s="235"/>
      <c r="P702" s="121"/>
      <c r="Q702" s="121"/>
      <c r="R702" s="121"/>
      <c r="S702" s="121"/>
      <c r="T702" s="121"/>
      <c r="U702" s="121"/>
      <c r="V702" s="121"/>
      <c r="W702" s="121"/>
      <c r="X702" s="117"/>
      <c r="Y702" s="117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21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  <c r="DK702" s="121"/>
      <c r="DL702" s="121"/>
      <c r="DM702" s="121"/>
      <c r="DN702" s="121"/>
      <c r="DO702" s="121"/>
      <c r="DP702" s="121"/>
      <c r="DQ702" s="121"/>
      <c r="DR702" s="121"/>
      <c r="DS702" s="121"/>
      <c r="DT702" s="240"/>
      <c r="DU702" s="240"/>
      <c r="DV702" s="240"/>
      <c r="DW702" s="240"/>
      <c r="DX702" s="240"/>
      <c r="DY702" s="240"/>
      <c r="DZ702" s="240"/>
      <c r="EA702" s="240"/>
      <c r="EB702" s="237">
        <f t="shared" si="80"/>
        <v>0</v>
      </c>
      <c r="EC702" s="237">
        <f t="shared" si="81"/>
        <v>0</v>
      </c>
      <c r="ED702" s="237">
        <f t="shared" si="82"/>
        <v>0</v>
      </c>
      <c r="EE702" s="237">
        <f t="shared" si="83"/>
        <v>0</v>
      </c>
      <c r="EF702" s="121"/>
      <c r="EG702" s="238">
        <f t="shared" si="84"/>
        <v>0</v>
      </c>
      <c r="EH702" s="121"/>
      <c r="EI702" s="237">
        <f t="shared" si="85"/>
        <v>0</v>
      </c>
      <c r="EJ702" s="121"/>
      <c r="EK702" s="237">
        <f t="shared" si="86"/>
        <v>0</v>
      </c>
      <c r="EL702" s="237"/>
      <c r="EM702" s="5"/>
      <c r="EN702" s="5"/>
      <c r="EO702" s="5"/>
      <c r="EP702" s="5"/>
      <c r="EQ702" s="237">
        <f t="shared" si="87"/>
        <v>0</v>
      </c>
      <c r="ER702" s="239">
        <v>23300</v>
      </c>
      <c r="ES702" s="5">
        <v>7.5</v>
      </c>
    </row>
    <row r="703" spans="1:149" x14ac:dyDescent="0.3">
      <c r="A703" s="124"/>
      <c r="B703" s="121"/>
      <c r="C703" s="121"/>
      <c r="D703" s="121"/>
      <c r="E703" s="121"/>
      <c r="F703" s="121"/>
      <c r="G703" s="121"/>
      <c r="H703" s="121"/>
      <c r="I703" s="121"/>
      <c r="J703" s="121"/>
      <c r="K703" s="121"/>
      <c r="L703" s="121"/>
      <c r="M703" s="121"/>
      <c r="N703" s="121"/>
      <c r="O703" s="235"/>
      <c r="P703" s="121"/>
      <c r="Q703" s="121"/>
      <c r="R703" s="121"/>
      <c r="S703" s="121"/>
      <c r="T703" s="121"/>
      <c r="U703" s="121"/>
      <c r="V703" s="121"/>
      <c r="W703" s="121"/>
      <c r="X703" s="117"/>
      <c r="Y703" s="117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21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  <c r="DK703" s="121"/>
      <c r="DL703" s="121"/>
      <c r="DM703" s="121"/>
      <c r="DN703" s="121"/>
      <c r="DO703" s="121"/>
      <c r="DP703" s="121"/>
      <c r="DQ703" s="121"/>
      <c r="DR703" s="121"/>
      <c r="DS703" s="121"/>
      <c r="DT703" s="240"/>
      <c r="DU703" s="240"/>
      <c r="DV703" s="240"/>
      <c r="DW703" s="240"/>
      <c r="DX703" s="240"/>
      <c r="DY703" s="240"/>
      <c r="DZ703" s="240"/>
      <c r="EA703" s="240"/>
      <c r="EB703" s="237">
        <f t="shared" si="80"/>
        <v>0</v>
      </c>
      <c r="EC703" s="237">
        <f t="shared" si="81"/>
        <v>0</v>
      </c>
      <c r="ED703" s="237">
        <f t="shared" si="82"/>
        <v>0</v>
      </c>
      <c r="EE703" s="237">
        <f t="shared" si="83"/>
        <v>0</v>
      </c>
      <c r="EF703" s="121"/>
      <c r="EG703" s="238">
        <f t="shared" si="84"/>
        <v>0</v>
      </c>
      <c r="EH703" s="121"/>
      <c r="EI703" s="237">
        <f t="shared" si="85"/>
        <v>0</v>
      </c>
      <c r="EJ703" s="121"/>
      <c r="EK703" s="237">
        <f t="shared" si="86"/>
        <v>0</v>
      </c>
      <c r="EL703" s="237"/>
      <c r="EM703" s="5"/>
      <c r="EN703" s="5"/>
      <c r="EO703" s="5"/>
      <c r="EP703" s="5"/>
      <c r="EQ703" s="237">
        <f t="shared" si="87"/>
        <v>0</v>
      </c>
      <c r="ER703" s="239">
        <v>23300</v>
      </c>
      <c r="ES703" s="5">
        <v>7.5</v>
      </c>
    </row>
    <row r="704" spans="1:149" x14ac:dyDescent="0.3">
      <c r="A704" s="124"/>
      <c r="B704" s="121"/>
      <c r="C704" s="121"/>
      <c r="D704" s="121"/>
      <c r="E704" s="121"/>
      <c r="F704" s="121"/>
      <c r="G704" s="121"/>
      <c r="H704" s="121"/>
      <c r="I704" s="121"/>
      <c r="J704" s="121"/>
      <c r="K704" s="121"/>
      <c r="L704" s="121"/>
      <c r="M704" s="121"/>
      <c r="N704" s="121"/>
      <c r="O704" s="235"/>
      <c r="P704" s="121"/>
      <c r="Q704" s="121"/>
      <c r="R704" s="121"/>
      <c r="S704" s="121"/>
      <c r="T704" s="121"/>
      <c r="U704" s="121"/>
      <c r="V704" s="121"/>
      <c r="W704" s="121"/>
      <c r="X704" s="117"/>
      <c r="Y704" s="117"/>
      <c r="Z704" s="121"/>
      <c r="AA704" s="121"/>
      <c r="AB704" s="121"/>
      <c r="AC704" s="121"/>
      <c r="AD704" s="121"/>
      <c r="AE704" s="121"/>
      <c r="AF704" s="121"/>
      <c r="AG704" s="121"/>
      <c r="AH704" s="121"/>
      <c r="AI704" s="121"/>
      <c r="AJ704" s="121"/>
      <c r="AK704" s="121"/>
      <c r="AL704" s="121"/>
      <c r="AM704" s="121"/>
      <c r="AN704" s="121"/>
      <c r="AO704" s="121"/>
      <c r="AP704" s="121"/>
      <c r="AQ704" s="121"/>
      <c r="AR704" s="121"/>
      <c r="AS704" s="121"/>
      <c r="AT704" s="121"/>
      <c r="AU704" s="121"/>
      <c r="AV704" s="121"/>
      <c r="AW704" s="121"/>
      <c r="AX704" s="121"/>
      <c r="AY704" s="121"/>
      <c r="AZ704" s="121"/>
      <c r="BA704" s="121"/>
      <c r="BB704" s="121"/>
      <c r="BC704" s="121"/>
      <c r="BD704" s="121"/>
      <c r="BE704" s="121"/>
      <c r="BF704" s="121"/>
      <c r="BG704" s="121"/>
      <c r="BH704" s="121"/>
      <c r="BI704" s="121"/>
      <c r="BJ704" s="121"/>
      <c r="BK704" s="121"/>
      <c r="BL704" s="121"/>
      <c r="BM704" s="121"/>
      <c r="BN704" s="121"/>
      <c r="BO704" s="121"/>
      <c r="BP704" s="121"/>
      <c r="BQ704" s="121"/>
      <c r="BR704" s="121"/>
      <c r="BS704" s="121"/>
      <c r="BT704" s="121"/>
      <c r="BU704" s="121"/>
      <c r="BV704" s="121"/>
      <c r="BW704" s="121"/>
      <c r="BX704" s="121"/>
      <c r="BY704" s="121"/>
      <c r="BZ704" s="121"/>
      <c r="CA704" s="121"/>
      <c r="CB704" s="121"/>
      <c r="CC704" s="121"/>
      <c r="CD704" s="121"/>
      <c r="CE704" s="121"/>
      <c r="CF704" s="121"/>
      <c r="CG704" s="121"/>
      <c r="CH704" s="121"/>
      <c r="CI704" s="121"/>
      <c r="CJ704" s="121"/>
      <c r="CK704" s="121"/>
      <c r="CL704" s="121"/>
      <c r="CM704" s="121"/>
      <c r="CN704" s="121"/>
      <c r="CO704" s="121"/>
      <c r="CP704" s="121"/>
      <c r="CQ704" s="121"/>
      <c r="CR704" s="121"/>
      <c r="CS704" s="121"/>
      <c r="CT704" s="121"/>
      <c r="CU704" s="121"/>
      <c r="CV704" s="121"/>
      <c r="CW704" s="121"/>
      <c r="CX704" s="121"/>
      <c r="CY704" s="121"/>
      <c r="CZ704" s="121"/>
      <c r="DA704" s="121"/>
      <c r="DB704" s="121"/>
      <c r="DC704" s="121"/>
      <c r="DD704" s="121"/>
      <c r="DE704" s="121"/>
      <c r="DF704" s="121"/>
      <c r="DG704" s="121"/>
      <c r="DH704" s="121"/>
      <c r="DI704" s="121"/>
      <c r="DJ704" s="121"/>
      <c r="DK704" s="121"/>
      <c r="DL704" s="121"/>
      <c r="DM704" s="121"/>
      <c r="DN704" s="121"/>
      <c r="DO704" s="121"/>
      <c r="DP704" s="121"/>
      <c r="DQ704" s="121"/>
      <c r="DR704" s="121"/>
      <c r="DS704" s="121"/>
      <c r="DT704" s="240"/>
      <c r="DU704" s="240"/>
      <c r="DV704" s="240"/>
      <c r="DW704" s="240"/>
      <c r="DX704" s="240"/>
      <c r="DY704" s="240"/>
      <c r="DZ704" s="240"/>
      <c r="EA704" s="240"/>
      <c r="EB704" s="237">
        <f t="shared" si="80"/>
        <v>0</v>
      </c>
      <c r="EC704" s="237">
        <f t="shared" si="81"/>
        <v>0</v>
      </c>
      <c r="ED704" s="237">
        <f t="shared" si="82"/>
        <v>0</v>
      </c>
      <c r="EE704" s="237">
        <f t="shared" si="83"/>
        <v>0</v>
      </c>
      <c r="EF704" s="121"/>
      <c r="EG704" s="238">
        <f t="shared" si="84"/>
        <v>0</v>
      </c>
      <c r="EH704" s="121"/>
      <c r="EI704" s="237">
        <f t="shared" si="85"/>
        <v>0</v>
      </c>
      <c r="EJ704" s="121"/>
      <c r="EK704" s="237">
        <f t="shared" si="86"/>
        <v>0</v>
      </c>
      <c r="EL704" s="237"/>
      <c r="EM704" s="5"/>
      <c r="EN704" s="5"/>
      <c r="EO704" s="5"/>
      <c r="EP704" s="5"/>
      <c r="EQ704" s="237">
        <f t="shared" si="87"/>
        <v>0</v>
      </c>
      <c r="ER704" s="239">
        <v>23300</v>
      </c>
      <c r="ES704" s="5">
        <v>7.5</v>
      </c>
    </row>
    <row r="705" spans="1:149" x14ac:dyDescent="0.3">
      <c r="A705" s="124"/>
      <c r="B705" s="121"/>
      <c r="C705" s="121"/>
      <c r="D705" s="121"/>
      <c r="E705" s="121"/>
      <c r="F705" s="121"/>
      <c r="G705" s="121"/>
      <c r="H705" s="121"/>
      <c r="I705" s="121"/>
      <c r="J705" s="121"/>
      <c r="K705" s="121"/>
      <c r="L705" s="121"/>
      <c r="M705" s="121"/>
      <c r="N705" s="121"/>
      <c r="O705" s="235"/>
      <c r="P705" s="121"/>
      <c r="Q705" s="121"/>
      <c r="R705" s="121"/>
      <c r="S705" s="121"/>
      <c r="T705" s="121"/>
      <c r="U705" s="121"/>
      <c r="V705" s="121"/>
      <c r="W705" s="121"/>
      <c r="X705" s="117"/>
      <c r="Y705" s="117"/>
      <c r="Z705" s="121"/>
      <c r="AA705" s="121"/>
      <c r="AB705" s="121"/>
      <c r="AC705" s="121"/>
      <c r="AD705" s="121"/>
      <c r="AE705" s="121"/>
      <c r="AF705" s="121"/>
      <c r="AG705" s="121"/>
      <c r="AH705" s="121"/>
      <c r="AI705" s="121"/>
      <c r="AJ705" s="121"/>
      <c r="AK705" s="121"/>
      <c r="AL705" s="121"/>
      <c r="AM705" s="121"/>
      <c r="AN705" s="121"/>
      <c r="AO705" s="121"/>
      <c r="AP705" s="121"/>
      <c r="AQ705" s="121"/>
      <c r="AR705" s="121"/>
      <c r="AS705" s="121"/>
      <c r="AT705" s="121"/>
      <c r="AU705" s="121"/>
      <c r="AV705" s="121"/>
      <c r="AW705" s="121"/>
      <c r="AX705" s="121"/>
      <c r="AY705" s="121"/>
      <c r="AZ705" s="121"/>
      <c r="BA705" s="121"/>
      <c r="BB705" s="121"/>
      <c r="BC705" s="121"/>
      <c r="BD705" s="121"/>
      <c r="BE705" s="121"/>
      <c r="BF705" s="121"/>
      <c r="BG705" s="121"/>
      <c r="BH705" s="121"/>
      <c r="BI705" s="121"/>
      <c r="BJ705" s="121"/>
      <c r="BK705" s="121"/>
      <c r="BL705" s="121"/>
      <c r="BM705" s="121"/>
      <c r="BN705" s="121"/>
      <c r="BO705" s="121"/>
      <c r="BP705" s="121"/>
      <c r="BQ705" s="121"/>
      <c r="BR705" s="121"/>
      <c r="BS705" s="121"/>
      <c r="BT705" s="121"/>
      <c r="BU705" s="121"/>
      <c r="BV705" s="121"/>
      <c r="BW705" s="121"/>
      <c r="BX705" s="121"/>
      <c r="BY705" s="121"/>
      <c r="BZ705" s="121"/>
      <c r="CA705" s="121"/>
      <c r="CB705" s="121"/>
      <c r="CC705" s="121"/>
      <c r="CD705" s="121"/>
      <c r="CE705" s="121"/>
      <c r="CF705" s="121"/>
      <c r="CG705" s="121"/>
      <c r="CH705" s="121"/>
      <c r="CI705" s="121"/>
      <c r="CJ705" s="121"/>
      <c r="CK705" s="121"/>
      <c r="CL705" s="121"/>
      <c r="CM705" s="121"/>
      <c r="CN705" s="121"/>
      <c r="CO705" s="121"/>
      <c r="CP705" s="121"/>
      <c r="CQ705" s="121"/>
      <c r="CR705" s="121"/>
      <c r="CS705" s="121"/>
      <c r="CT705" s="121"/>
      <c r="CU705" s="121"/>
      <c r="CV705" s="121"/>
      <c r="CW705" s="121"/>
      <c r="CX705" s="121"/>
      <c r="CY705" s="121"/>
      <c r="CZ705" s="121"/>
      <c r="DA705" s="121"/>
      <c r="DB705" s="121"/>
      <c r="DC705" s="121"/>
      <c r="DD705" s="121"/>
      <c r="DE705" s="121"/>
      <c r="DF705" s="121"/>
      <c r="DG705" s="121"/>
      <c r="DH705" s="121"/>
      <c r="DI705" s="121"/>
      <c r="DJ705" s="121"/>
      <c r="DK705" s="121"/>
      <c r="DL705" s="121"/>
      <c r="DM705" s="121"/>
      <c r="DN705" s="121"/>
      <c r="DO705" s="121"/>
      <c r="DP705" s="121"/>
      <c r="DQ705" s="121"/>
      <c r="DR705" s="121"/>
      <c r="DS705" s="121"/>
      <c r="DT705" s="240"/>
      <c r="DU705" s="240"/>
      <c r="DV705" s="240"/>
      <c r="DW705" s="240"/>
      <c r="DX705" s="240"/>
      <c r="DY705" s="240"/>
      <c r="DZ705" s="240"/>
      <c r="EA705" s="240"/>
      <c r="EB705" s="237">
        <f t="shared" si="80"/>
        <v>0</v>
      </c>
      <c r="EC705" s="237">
        <f t="shared" si="81"/>
        <v>0</v>
      </c>
      <c r="ED705" s="237">
        <f t="shared" si="82"/>
        <v>0</v>
      </c>
      <c r="EE705" s="237">
        <f t="shared" si="83"/>
        <v>0</v>
      </c>
      <c r="EF705" s="121"/>
      <c r="EG705" s="238">
        <f t="shared" si="84"/>
        <v>0</v>
      </c>
      <c r="EH705" s="121"/>
      <c r="EI705" s="237">
        <f t="shared" si="85"/>
        <v>0</v>
      </c>
      <c r="EJ705" s="121"/>
      <c r="EK705" s="237">
        <f t="shared" si="86"/>
        <v>0</v>
      </c>
      <c r="EL705" s="237"/>
      <c r="EM705" s="5"/>
      <c r="EN705" s="5"/>
      <c r="EO705" s="5"/>
      <c r="EP705" s="5"/>
      <c r="EQ705" s="237">
        <f t="shared" si="87"/>
        <v>0</v>
      </c>
      <c r="ER705" s="239">
        <v>23300</v>
      </c>
      <c r="ES705" s="5">
        <v>7.5</v>
      </c>
    </row>
    <row r="706" spans="1:149" x14ac:dyDescent="0.3">
      <c r="A706" s="124"/>
      <c r="B706" s="121"/>
      <c r="C706" s="121"/>
      <c r="D706" s="121"/>
      <c r="E706" s="121"/>
      <c r="F706" s="121"/>
      <c r="G706" s="121"/>
      <c r="H706" s="121"/>
      <c r="I706" s="121"/>
      <c r="J706" s="121"/>
      <c r="K706" s="121"/>
      <c r="L706" s="121"/>
      <c r="M706" s="121"/>
      <c r="N706" s="121"/>
      <c r="O706" s="235"/>
      <c r="P706" s="121"/>
      <c r="Q706" s="121"/>
      <c r="R706" s="121"/>
      <c r="S706" s="121"/>
      <c r="T706" s="121"/>
      <c r="U706" s="121"/>
      <c r="V706" s="121"/>
      <c r="W706" s="121"/>
      <c r="X706" s="117"/>
      <c r="Y706" s="117"/>
      <c r="Z706" s="121"/>
      <c r="AA706" s="121"/>
      <c r="AB706" s="121"/>
      <c r="AC706" s="121"/>
      <c r="AD706" s="121"/>
      <c r="AE706" s="121"/>
      <c r="AF706" s="121"/>
      <c r="AG706" s="121"/>
      <c r="AH706" s="121"/>
      <c r="AI706" s="121"/>
      <c r="AJ706" s="121"/>
      <c r="AK706" s="121"/>
      <c r="AL706" s="121"/>
      <c r="AM706" s="121"/>
      <c r="AN706" s="121"/>
      <c r="AO706" s="121"/>
      <c r="AP706" s="121"/>
      <c r="AQ706" s="121"/>
      <c r="AR706" s="121"/>
      <c r="AS706" s="121"/>
      <c r="AT706" s="121"/>
      <c r="AU706" s="121"/>
      <c r="AV706" s="121"/>
      <c r="AW706" s="121"/>
      <c r="AX706" s="121"/>
      <c r="AY706" s="121"/>
      <c r="AZ706" s="121"/>
      <c r="BA706" s="121"/>
      <c r="BB706" s="121"/>
      <c r="BC706" s="121"/>
      <c r="BD706" s="121"/>
      <c r="BE706" s="121"/>
      <c r="BF706" s="121"/>
      <c r="BG706" s="121"/>
      <c r="BH706" s="121"/>
      <c r="BI706" s="121"/>
      <c r="BJ706" s="121"/>
      <c r="BK706" s="121"/>
      <c r="BL706" s="121"/>
      <c r="BM706" s="121"/>
      <c r="BN706" s="121"/>
      <c r="BO706" s="121"/>
      <c r="BP706" s="121"/>
      <c r="BQ706" s="121"/>
      <c r="BR706" s="121"/>
      <c r="BS706" s="121"/>
      <c r="BT706" s="121"/>
      <c r="BU706" s="121"/>
      <c r="BV706" s="121"/>
      <c r="BW706" s="121"/>
      <c r="BX706" s="121"/>
      <c r="BY706" s="121"/>
      <c r="BZ706" s="121"/>
      <c r="CA706" s="121"/>
      <c r="CB706" s="121"/>
      <c r="CC706" s="121"/>
      <c r="CD706" s="121"/>
      <c r="CE706" s="121"/>
      <c r="CF706" s="121"/>
      <c r="CG706" s="121"/>
      <c r="CH706" s="121"/>
      <c r="CI706" s="121"/>
      <c r="CJ706" s="121"/>
      <c r="CK706" s="121"/>
      <c r="CL706" s="121"/>
      <c r="CM706" s="121"/>
      <c r="CN706" s="121"/>
      <c r="CO706" s="121"/>
      <c r="CP706" s="121"/>
      <c r="CQ706" s="121"/>
      <c r="CR706" s="121"/>
      <c r="CS706" s="121"/>
      <c r="CT706" s="121"/>
      <c r="CU706" s="121"/>
      <c r="CV706" s="121"/>
      <c r="CW706" s="121"/>
      <c r="CX706" s="121"/>
      <c r="CY706" s="121"/>
      <c r="CZ706" s="121"/>
      <c r="DA706" s="121"/>
      <c r="DB706" s="121"/>
      <c r="DC706" s="121"/>
      <c r="DD706" s="121"/>
      <c r="DE706" s="121"/>
      <c r="DF706" s="121"/>
      <c r="DG706" s="121"/>
      <c r="DH706" s="121"/>
      <c r="DI706" s="121"/>
      <c r="DJ706" s="121"/>
      <c r="DK706" s="121"/>
      <c r="DL706" s="121"/>
      <c r="DM706" s="121"/>
      <c r="DN706" s="121"/>
      <c r="DO706" s="121"/>
      <c r="DP706" s="121"/>
      <c r="DQ706" s="121"/>
      <c r="DR706" s="121"/>
      <c r="DS706" s="121"/>
      <c r="DT706" s="240"/>
      <c r="DU706" s="240"/>
      <c r="DV706" s="240"/>
      <c r="DW706" s="240"/>
      <c r="DX706" s="240"/>
      <c r="DY706" s="240"/>
      <c r="DZ706" s="240"/>
      <c r="EA706" s="240"/>
      <c r="EB706" s="237">
        <f t="shared" si="80"/>
        <v>0</v>
      </c>
      <c r="EC706" s="237">
        <f t="shared" si="81"/>
        <v>0</v>
      </c>
      <c r="ED706" s="237">
        <f t="shared" si="82"/>
        <v>0</v>
      </c>
      <c r="EE706" s="237">
        <f t="shared" si="83"/>
        <v>0</v>
      </c>
      <c r="EF706" s="121"/>
      <c r="EG706" s="238">
        <f t="shared" si="84"/>
        <v>0</v>
      </c>
      <c r="EH706" s="121"/>
      <c r="EI706" s="237">
        <f t="shared" si="85"/>
        <v>0</v>
      </c>
      <c r="EJ706" s="121"/>
      <c r="EK706" s="237">
        <f t="shared" si="86"/>
        <v>0</v>
      </c>
      <c r="EL706" s="237"/>
      <c r="EM706" s="5"/>
      <c r="EN706" s="5"/>
      <c r="EO706" s="5"/>
      <c r="EP706" s="5"/>
      <c r="EQ706" s="237">
        <f t="shared" si="87"/>
        <v>0</v>
      </c>
      <c r="ER706" s="239">
        <v>23300</v>
      </c>
      <c r="ES706" s="5">
        <v>7.5</v>
      </c>
    </row>
    <row r="707" spans="1:149" x14ac:dyDescent="0.3">
      <c r="A707" s="124"/>
      <c r="B707" s="121"/>
      <c r="C707" s="121"/>
      <c r="D707" s="121"/>
      <c r="E707" s="121"/>
      <c r="F707" s="121"/>
      <c r="G707" s="121"/>
      <c r="H707" s="121"/>
      <c r="I707" s="121"/>
      <c r="J707" s="121"/>
      <c r="K707" s="121"/>
      <c r="L707" s="121"/>
      <c r="M707" s="121"/>
      <c r="N707" s="121"/>
      <c r="O707" s="235"/>
      <c r="P707" s="121"/>
      <c r="Q707" s="121"/>
      <c r="R707" s="121"/>
      <c r="S707" s="121"/>
      <c r="T707" s="121"/>
      <c r="U707" s="121"/>
      <c r="V707" s="121"/>
      <c r="W707" s="121"/>
      <c r="X707" s="117"/>
      <c r="Y707" s="117"/>
      <c r="Z707" s="121"/>
      <c r="AA707" s="121"/>
      <c r="AB707" s="121"/>
      <c r="AC707" s="121"/>
      <c r="AD707" s="121"/>
      <c r="AE707" s="121"/>
      <c r="AF707" s="121"/>
      <c r="AG707" s="121"/>
      <c r="AH707" s="121"/>
      <c r="AI707" s="121"/>
      <c r="AJ707" s="121"/>
      <c r="AK707" s="121"/>
      <c r="AL707" s="121"/>
      <c r="AM707" s="121"/>
      <c r="AN707" s="121"/>
      <c r="AO707" s="121"/>
      <c r="AP707" s="121"/>
      <c r="AQ707" s="121"/>
      <c r="AR707" s="121"/>
      <c r="AS707" s="121"/>
      <c r="AT707" s="121"/>
      <c r="AU707" s="121"/>
      <c r="AV707" s="121"/>
      <c r="AW707" s="121"/>
      <c r="AX707" s="121"/>
      <c r="AY707" s="121"/>
      <c r="AZ707" s="121"/>
      <c r="BA707" s="121"/>
      <c r="BB707" s="121"/>
      <c r="BC707" s="121"/>
      <c r="BD707" s="121"/>
      <c r="BE707" s="121"/>
      <c r="BF707" s="121"/>
      <c r="BG707" s="121"/>
      <c r="BH707" s="121"/>
      <c r="BI707" s="121"/>
      <c r="BJ707" s="121"/>
      <c r="BK707" s="121"/>
      <c r="BL707" s="121"/>
      <c r="BM707" s="121"/>
      <c r="BN707" s="121"/>
      <c r="BO707" s="121"/>
      <c r="BP707" s="121"/>
      <c r="BQ707" s="121"/>
      <c r="BR707" s="121"/>
      <c r="BS707" s="121"/>
      <c r="BT707" s="121"/>
      <c r="BU707" s="121"/>
      <c r="BV707" s="121"/>
      <c r="BW707" s="121"/>
      <c r="BX707" s="121"/>
      <c r="BY707" s="121"/>
      <c r="BZ707" s="121"/>
      <c r="CA707" s="121"/>
      <c r="CB707" s="121"/>
      <c r="CC707" s="121"/>
      <c r="CD707" s="121"/>
      <c r="CE707" s="121"/>
      <c r="CF707" s="121"/>
      <c r="CG707" s="121"/>
      <c r="CH707" s="121"/>
      <c r="CI707" s="121"/>
      <c r="CJ707" s="121"/>
      <c r="CK707" s="121"/>
      <c r="CL707" s="121"/>
      <c r="CM707" s="121"/>
      <c r="CN707" s="121"/>
      <c r="CO707" s="121"/>
      <c r="CP707" s="121"/>
      <c r="CQ707" s="121"/>
      <c r="CR707" s="121"/>
      <c r="CS707" s="121"/>
      <c r="CT707" s="121"/>
      <c r="CU707" s="121"/>
      <c r="CV707" s="121"/>
      <c r="CW707" s="121"/>
      <c r="CX707" s="121"/>
      <c r="CY707" s="121"/>
      <c r="CZ707" s="121"/>
      <c r="DA707" s="121"/>
      <c r="DB707" s="121"/>
      <c r="DC707" s="121"/>
      <c r="DD707" s="121"/>
      <c r="DE707" s="121"/>
      <c r="DF707" s="121"/>
      <c r="DG707" s="121"/>
      <c r="DH707" s="121"/>
      <c r="DI707" s="121"/>
      <c r="DJ707" s="121"/>
      <c r="DK707" s="121"/>
      <c r="DL707" s="121"/>
      <c r="DM707" s="121"/>
      <c r="DN707" s="121"/>
      <c r="DO707" s="121"/>
      <c r="DP707" s="121"/>
      <c r="DQ707" s="121"/>
      <c r="DR707" s="121"/>
      <c r="DS707" s="121"/>
      <c r="DT707" s="240"/>
      <c r="DU707" s="240"/>
      <c r="DV707" s="240"/>
      <c r="DW707" s="240"/>
      <c r="DX707" s="240"/>
      <c r="DY707" s="240"/>
      <c r="DZ707" s="240"/>
      <c r="EA707" s="240"/>
      <c r="EB707" s="237">
        <f t="shared" si="80"/>
        <v>0</v>
      </c>
      <c r="EC707" s="237">
        <f t="shared" si="81"/>
        <v>0</v>
      </c>
      <c r="ED707" s="237">
        <f t="shared" si="82"/>
        <v>0</v>
      </c>
      <c r="EE707" s="237">
        <f t="shared" si="83"/>
        <v>0</v>
      </c>
      <c r="EF707" s="121"/>
      <c r="EG707" s="238">
        <f t="shared" si="84"/>
        <v>0</v>
      </c>
      <c r="EH707" s="121"/>
      <c r="EI707" s="237">
        <f t="shared" si="85"/>
        <v>0</v>
      </c>
      <c r="EJ707" s="121"/>
      <c r="EK707" s="237">
        <f t="shared" si="86"/>
        <v>0</v>
      </c>
      <c r="EL707" s="237"/>
      <c r="EM707" s="5"/>
      <c r="EN707" s="5"/>
      <c r="EO707" s="5"/>
      <c r="EP707" s="5"/>
      <c r="EQ707" s="237">
        <f t="shared" si="87"/>
        <v>0</v>
      </c>
      <c r="ER707" s="239">
        <v>23300</v>
      </c>
      <c r="ES707" s="5">
        <v>7.5</v>
      </c>
    </row>
    <row r="708" spans="1:149" x14ac:dyDescent="0.3">
      <c r="A708" s="124"/>
      <c r="B708" s="121"/>
      <c r="C708" s="121"/>
      <c r="D708" s="121"/>
      <c r="E708" s="121"/>
      <c r="F708" s="121"/>
      <c r="G708" s="121"/>
      <c r="H708" s="121"/>
      <c r="I708" s="121"/>
      <c r="J708" s="121"/>
      <c r="K708" s="121"/>
      <c r="L708" s="121"/>
      <c r="M708" s="121"/>
      <c r="N708" s="121"/>
      <c r="O708" s="235"/>
      <c r="P708" s="121"/>
      <c r="Q708" s="121"/>
      <c r="R708" s="121"/>
      <c r="S708" s="121"/>
      <c r="T708" s="121"/>
      <c r="U708" s="121"/>
      <c r="V708" s="121"/>
      <c r="W708" s="121"/>
      <c r="X708" s="117"/>
      <c r="Y708" s="117"/>
      <c r="Z708" s="121"/>
      <c r="AA708" s="121"/>
      <c r="AB708" s="121"/>
      <c r="AC708" s="121"/>
      <c r="AD708" s="121"/>
      <c r="AE708" s="121"/>
      <c r="AF708" s="121"/>
      <c r="AG708" s="121"/>
      <c r="AH708" s="121"/>
      <c r="AI708" s="121"/>
      <c r="AJ708" s="121"/>
      <c r="AK708" s="121"/>
      <c r="AL708" s="121"/>
      <c r="AM708" s="121"/>
      <c r="AN708" s="121"/>
      <c r="AO708" s="121"/>
      <c r="AP708" s="121"/>
      <c r="AQ708" s="121"/>
      <c r="AR708" s="121"/>
      <c r="AS708" s="121"/>
      <c r="AT708" s="121"/>
      <c r="AU708" s="121"/>
      <c r="AV708" s="121"/>
      <c r="AW708" s="121"/>
      <c r="AX708" s="121"/>
      <c r="AY708" s="121"/>
      <c r="AZ708" s="121"/>
      <c r="BA708" s="121"/>
      <c r="BB708" s="121"/>
      <c r="BC708" s="121"/>
      <c r="BD708" s="121"/>
      <c r="BE708" s="121"/>
      <c r="BF708" s="121"/>
      <c r="BG708" s="121"/>
      <c r="BH708" s="121"/>
      <c r="BI708" s="121"/>
      <c r="BJ708" s="121"/>
      <c r="BK708" s="121"/>
      <c r="BL708" s="121"/>
      <c r="BM708" s="121"/>
      <c r="BN708" s="121"/>
      <c r="BO708" s="121"/>
      <c r="BP708" s="121"/>
      <c r="BQ708" s="121"/>
      <c r="BR708" s="121"/>
      <c r="BS708" s="121"/>
      <c r="BT708" s="121"/>
      <c r="BU708" s="121"/>
      <c r="BV708" s="121"/>
      <c r="BW708" s="121"/>
      <c r="BX708" s="121"/>
      <c r="BY708" s="121"/>
      <c r="BZ708" s="121"/>
      <c r="CA708" s="121"/>
      <c r="CB708" s="121"/>
      <c r="CC708" s="121"/>
      <c r="CD708" s="121"/>
      <c r="CE708" s="121"/>
      <c r="CF708" s="121"/>
      <c r="CG708" s="121"/>
      <c r="CH708" s="121"/>
      <c r="CI708" s="121"/>
      <c r="CJ708" s="121"/>
      <c r="CK708" s="121"/>
      <c r="CL708" s="121"/>
      <c r="CM708" s="121"/>
      <c r="CN708" s="121"/>
      <c r="CO708" s="121"/>
      <c r="CP708" s="121"/>
      <c r="CQ708" s="121"/>
      <c r="CR708" s="121"/>
      <c r="CS708" s="121"/>
      <c r="CT708" s="121"/>
      <c r="CU708" s="121"/>
      <c r="CV708" s="121"/>
      <c r="CW708" s="121"/>
      <c r="CX708" s="121"/>
      <c r="CY708" s="121"/>
      <c r="CZ708" s="121"/>
      <c r="DA708" s="121"/>
      <c r="DB708" s="121"/>
      <c r="DC708" s="121"/>
      <c r="DD708" s="121"/>
      <c r="DE708" s="121"/>
      <c r="DF708" s="121"/>
      <c r="DG708" s="121"/>
      <c r="DH708" s="121"/>
      <c r="DI708" s="121"/>
      <c r="DJ708" s="121"/>
      <c r="DK708" s="121"/>
      <c r="DL708" s="121"/>
      <c r="DM708" s="121"/>
      <c r="DN708" s="121"/>
      <c r="DO708" s="121"/>
      <c r="DP708" s="121"/>
      <c r="DQ708" s="121"/>
      <c r="DR708" s="121"/>
      <c r="DS708" s="121"/>
      <c r="DT708" s="240"/>
      <c r="DU708" s="240"/>
      <c r="DV708" s="240"/>
      <c r="DW708" s="240"/>
      <c r="DX708" s="240"/>
      <c r="DY708" s="240"/>
      <c r="DZ708" s="240"/>
      <c r="EA708" s="240"/>
      <c r="EB708" s="237">
        <f t="shared" si="80"/>
        <v>0</v>
      </c>
      <c r="EC708" s="237">
        <f t="shared" si="81"/>
        <v>0</v>
      </c>
      <c r="ED708" s="237">
        <f t="shared" si="82"/>
        <v>0</v>
      </c>
      <c r="EE708" s="237">
        <f t="shared" si="83"/>
        <v>0</v>
      </c>
      <c r="EF708" s="121"/>
      <c r="EG708" s="238">
        <f t="shared" si="84"/>
        <v>0</v>
      </c>
      <c r="EH708" s="121"/>
      <c r="EI708" s="237">
        <f t="shared" si="85"/>
        <v>0</v>
      </c>
      <c r="EJ708" s="121"/>
      <c r="EK708" s="237">
        <f t="shared" si="86"/>
        <v>0</v>
      </c>
      <c r="EL708" s="237"/>
      <c r="EM708" s="5"/>
      <c r="EN708" s="5"/>
      <c r="EO708" s="5"/>
      <c r="EP708" s="5"/>
      <c r="EQ708" s="237">
        <f t="shared" si="87"/>
        <v>0</v>
      </c>
      <c r="ER708" s="239">
        <v>23300</v>
      </c>
      <c r="ES708" s="5">
        <v>7.5</v>
      </c>
    </row>
    <row r="709" spans="1:149" x14ac:dyDescent="0.3">
      <c r="A709" s="124"/>
      <c r="B709" s="121"/>
      <c r="C709" s="121"/>
      <c r="D709" s="121"/>
      <c r="E709" s="121"/>
      <c r="F709" s="121"/>
      <c r="G709" s="121"/>
      <c r="H709" s="121"/>
      <c r="I709" s="121"/>
      <c r="J709" s="121"/>
      <c r="K709" s="121"/>
      <c r="L709" s="121"/>
      <c r="M709" s="121"/>
      <c r="N709" s="121"/>
      <c r="O709" s="235"/>
      <c r="P709" s="121"/>
      <c r="Q709" s="121"/>
      <c r="R709" s="121"/>
      <c r="S709" s="121"/>
      <c r="T709" s="121"/>
      <c r="U709" s="121"/>
      <c r="V709" s="121"/>
      <c r="W709" s="121"/>
      <c r="X709" s="117"/>
      <c r="Y709" s="117"/>
      <c r="Z709" s="121"/>
      <c r="AA709" s="121"/>
      <c r="AB709" s="121"/>
      <c r="AC709" s="121"/>
      <c r="AD709" s="121"/>
      <c r="AE709" s="121"/>
      <c r="AF709" s="121"/>
      <c r="AG709" s="121"/>
      <c r="AH709" s="121"/>
      <c r="AI709" s="121"/>
      <c r="AJ709" s="121"/>
      <c r="AK709" s="121"/>
      <c r="AL709" s="121"/>
      <c r="AM709" s="121"/>
      <c r="AN709" s="121"/>
      <c r="AO709" s="121"/>
      <c r="AP709" s="121"/>
      <c r="AQ709" s="121"/>
      <c r="AR709" s="121"/>
      <c r="AS709" s="121"/>
      <c r="AT709" s="121"/>
      <c r="AU709" s="121"/>
      <c r="AV709" s="121"/>
      <c r="AW709" s="121"/>
      <c r="AX709" s="121"/>
      <c r="AY709" s="121"/>
      <c r="AZ709" s="121"/>
      <c r="BA709" s="121"/>
      <c r="BB709" s="121"/>
      <c r="BC709" s="121"/>
      <c r="BD709" s="121"/>
      <c r="BE709" s="121"/>
      <c r="BF709" s="121"/>
      <c r="BG709" s="121"/>
      <c r="BH709" s="121"/>
      <c r="BI709" s="121"/>
      <c r="BJ709" s="121"/>
      <c r="BK709" s="121"/>
      <c r="BL709" s="121"/>
      <c r="BM709" s="121"/>
      <c r="BN709" s="121"/>
      <c r="BO709" s="121"/>
      <c r="BP709" s="121"/>
      <c r="BQ709" s="121"/>
      <c r="BR709" s="121"/>
      <c r="BS709" s="121"/>
      <c r="BT709" s="121"/>
      <c r="BU709" s="121"/>
      <c r="BV709" s="121"/>
      <c r="BW709" s="121"/>
      <c r="BX709" s="121"/>
      <c r="BY709" s="121"/>
      <c r="BZ709" s="121"/>
      <c r="CA709" s="121"/>
      <c r="CB709" s="121"/>
      <c r="CC709" s="121"/>
      <c r="CD709" s="121"/>
      <c r="CE709" s="121"/>
      <c r="CF709" s="121"/>
      <c r="CG709" s="121"/>
      <c r="CH709" s="121"/>
      <c r="CI709" s="121"/>
      <c r="CJ709" s="121"/>
      <c r="CK709" s="121"/>
      <c r="CL709" s="121"/>
      <c r="CM709" s="121"/>
      <c r="CN709" s="121"/>
      <c r="CO709" s="121"/>
      <c r="CP709" s="121"/>
      <c r="CQ709" s="121"/>
      <c r="CR709" s="121"/>
      <c r="CS709" s="121"/>
      <c r="CT709" s="121"/>
      <c r="CU709" s="121"/>
      <c r="CV709" s="121"/>
      <c r="CW709" s="121"/>
      <c r="CX709" s="121"/>
      <c r="CY709" s="121"/>
      <c r="CZ709" s="121"/>
      <c r="DA709" s="121"/>
      <c r="DB709" s="121"/>
      <c r="DC709" s="121"/>
      <c r="DD709" s="121"/>
      <c r="DE709" s="121"/>
      <c r="DF709" s="121"/>
      <c r="DG709" s="121"/>
      <c r="DH709" s="121"/>
      <c r="DI709" s="121"/>
      <c r="DJ709" s="121"/>
      <c r="DK709" s="121"/>
      <c r="DL709" s="121"/>
      <c r="DM709" s="121"/>
      <c r="DN709" s="121"/>
      <c r="DO709" s="121"/>
      <c r="DP709" s="121"/>
      <c r="DQ709" s="121"/>
      <c r="DR709" s="121"/>
      <c r="DS709" s="121"/>
      <c r="DT709" s="240"/>
      <c r="DU709" s="240"/>
      <c r="DV709" s="240"/>
      <c r="DW709" s="240"/>
      <c r="DX709" s="240"/>
      <c r="DY709" s="240"/>
      <c r="DZ709" s="240"/>
      <c r="EA709" s="240"/>
      <c r="EB709" s="237">
        <f t="shared" si="80"/>
        <v>0</v>
      </c>
      <c r="EC709" s="237">
        <f t="shared" si="81"/>
        <v>0</v>
      </c>
      <c r="ED709" s="237">
        <f t="shared" si="82"/>
        <v>0</v>
      </c>
      <c r="EE709" s="237">
        <f t="shared" si="83"/>
        <v>0</v>
      </c>
      <c r="EF709" s="121"/>
      <c r="EG709" s="238">
        <f t="shared" si="84"/>
        <v>0</v>
      </c>
      <c r="EH709" s="121"/>
      <c r="EI709" s="237">
        <f t="shared" si="85"/>
        <v>0</v>
      </c>
      <c r="EJ709" s="121"/>
      <c r="EK709" s="237">
        <f t="shared" si="86"/>
        <v>0</v>
      </c>
      <c r="EL709" s="237"/>
      <c r="EM709" s="5"/>
      <c r="EN709" s="5"/>
      <c r="EO709" s="5"/>
      <c r="EP709" s="5"/>
      <c r="EQ709" s="237">
        <f t="shared" si="87"/>
        <v>0</v>
      </c>
      <c r="ER709" s="239">
        <v>23300</v>
      </c>
      <c r="ES709" s="5">
        <v>7.5</v>
      </c>
    </row>
    <row r="710" spans="1:149" x14ac:dyDescent="0.3">
      <c r="A710" s="124"/>
      <c r="B710" s="121"/>
      <c r="C710" s="121"/>
      <c r="D710" s="121"/>
      <c r="E710" s="121"/>
      <c r="F710" s="121"/>
      <c r="G710" s="121"/>
      <c r="H710" s="121"/>
      <c r="I710" s="121"/>
      <c r="J710" s="121"/>
      <c r="K710" s="121"/>
      <c r="L710" s="121"/>
      <c r="M710" s="121"/>
      <c r="N710" s="121"/>
      <c r="O710" s="235"/>
      <c r="P710" s="121"/>
      <c r="Q710" s="121"/>
      <c r="R710" s="121"/>
      <c r="S710" s="121"/>
      <c r="T710" s="121"/>
      <c r="U710" s="121"/>
      <c r="V710" s="121"/>
      <c r="W710" s="121"/>
      <c r="X710" s="117"/>
      <c r="Y710" s="117"/>
      <c r="Z710" s="121"/>
      <c r="AA710" s="121"/>
      <c r="AB710" s="121"/>
      <c r="AC710" s="121"/>
      <c r="AD710" s="121"/>
      <c r="AE710" s="121"/>
      <c r="AF710" s="121"/>
      <c r="AG710" s="121"/>
      <c r="AH710" s="121"/>
      <c r="AI710" s="121"/>
      <c r="AJ710" s="121"/>
      <c r="AK710" s="121"/>
      <c r="AL710" s="121"/>
      <c r="AM710" s="121"/>
      <c r="AN710" s="121"/>
      <c r="AO710" s="121"/>
      <c r="AP710" s="121"/>
      <c r="AQ710" s="121"/>
      <c r="AR710" s="121"/>
      <c r="AS710" s="121"/>
      <c r="AT710" s="121"/>
      <c r="AU710" s="121"/>
      <c r="AV710" s="121"/>
      <c r="AW710" s="121"/>
      <c r="AX710" s="121"/>
      <c r="AY710" s="121"/>
      <c r="AZ710" s="121"/>
      <c r="BA710" s="121"/>
      <c r="BB710" s="121"/>
      <c r="BC710" s="121"/>
      <c r="BD710" s="121"/>
      <c r="BE710" s="121"/>
      <c r="BF710" s="121"/>
      <c r="BG710" s="121"/>
      <c r="BH710" s="121"/>
      <c r="BI710" s="121"/>
      <c r="BJ710" s="121"/>
      <c r="BK710" s="121"/>
      <c r="BL710" s="121"/>
      <c r="BM710" s="121"/>
      <c r="BN710" s="121"/>
      <c r="BO710" s="121"/>
      <c r="BP710" s="121"/>
      <c r="BQ710" s="121"/>
      <c r="BR710" s="121"/>
      <c r="BS710" s="121"/>
      <c r="BT710" s="121"/>
      <c r="BU710" s="121"/>
      <c r="BV710" s="121"/>
      <c r="BW710" s="121"/>
      <c r="BX710" s="121"/>
      <c r="BY710" s="121"/>
      <c r="BZ710" s="121"/>
      <c r="CA710" s="121"/>
      <c r="CB710" s="121"/>
      <c r="CC710" s="121"/>
      <c r="CD710" s="121"/>
      <c r="CE710" s="121"/>
      <c r="CF710" s="121"/>
      <c r="CG710" s="121"/>
      <c r="CH710" s="121"/>
      <c r="CI710" s="121"/>
      <c r="CJ710" s="121"/>
      <c r="CK710" s="121"/>
      <c r="CL710" s="121"/>
      <c r="CM710" s="121"/>
      <c r="CN710" s="121"/>
      <c r="CO710" s="121"/>
      <c r="CP710" s="121"/>
      <c r="CQ710" s="121"/>
      <c r="CR710" s="121"/>
      <c r="CS710" s="121"/>
      <c r="CT710" s="121"/>
      <c r="CU710" s="121"/>
      <c r="CV710" s="121"/>
      <c r="CW710" s="121"/>
      <c r="CX710" s="121"/>
      <c r="CY710" s="121"/>
      <c r="CZ710" s="121"/>
      <c r="DA710" s="121"/>
      <c r="DB710" s="121"/>
      <c r="DC710" s="121"/>
      <c r="DD710" s="121"/>
      <c r="DE710" s="121"/>
      <c r="DF710" s="121"/>
      <c r="DG710" s="121"/>
      <c r="DH710" s="121"/>
      <c r="DI710" s="121"/>
      <c r="DJ710" s="121"/>
      <c r="DK710" s="121"/>
      <c r="DL710" s="121"/>
      <c r="DM710" s="121"/>
      <c r="DN710" s="121"/>
      <c r="DO710" s="121"/>
      <c r="DP710" s="121"/>
      <c r="DQ710" s="121"/>
      <c r="DR710" s="121"/>
      <c r="DS710" s="121"/>
      <c r="DT710" s="240"/>
      <c r="DU710" s="240"/>
      <c r="DV710" s="240"/>
      <c r="DW710" s="240"/>
      <c r="DX710" s="240"/>
      <c r="DY710" s="240"/>
      <c r="DZ710" s="240"/>
      <c r="EA710" s="240"/>
      <c r="EB710" s="237">
        <f t="shared" ref="EB710:EB773" si="88">AB710+AC710*K710+AD710*K710+((AF710+AG710+AH710+AJ710+AK710)*K710+AE710+AI710+AL710*K710+AM710*K710)+AP710+AQ710*L710+AR710*L710+((AT710+AU710+AV710+AX710+AY710)*L710+AS710+AW710+AZ710*L710+BA710*L710)+IF(AND(M710&gt;0,MAX(M710,N710/1000)&lt;1),BD710+1*(BE710+BF710)+(1*(BH710+BI710+BJ710+BL710+BM710)+BG710+BK710+BN710+BO710),IF(AND(M710&gt;0,MAX(M710,N710/1000)&gt;1),BD710+MAX(M710,N710/1000)*(BE710+BF710)+(MAX(M710,N710/1000)*(BH710+BI710+BJ710+BL710+BM710)+BG710+BK710+BN710+BO710),IF(AND(K710="",L710="",M710=""),BD710+N710*(BE710+BF710)+((BH710+BI710+BJ710+BL710+BM710)*N710+BG710+BK710+BN710+BO710),0)))</f>
        <v>0</v>
      </c>
      <c r="EC710" s="237">
        <f t="shared" ref="EC710:EC773" si="89">BR710+BS710*K710+BT710*K710+((BV710+BW710+BX710+BZ710+CA710)*K710+BU710+BY710+CB710*K710+CC710*K710)+CJ710+CK710*L710+CL710*L710+((CN710+CO710+CP710+CR710+CS710)*L710+CM710+CQ710+CT710*L710+CU710*L710)+IF(AND(M710&gt;0,MAX(M710,N710/1000)&lt;1),DB710+1*(DC710+DD710)+(1*(DF710+DG710+DH710+DJ710+DK710)+DE710+DI710+DL710+DM710),IF(AND(M710&gt;0,MAX(M710,N710/1000)&gt;1),DB710+MAX(M710,N710/1000)*(DC710+DD710)+(MAX(M710,N710/1000)*(DF710+DG710+DH710+DJ710+DK710)+DE710+DI710+DL710+DM710),IF(AND(K710="",L710="",M710=""),DB710+N710*(DC710+DD710)+((DF710+DG710+DH710+DJ710+DK710)*N710+DE710+DI710+DL710+DM710),0)))</f>
        <v>0</v>
      </c>
      <c r="ED710" s="237">
        <f t="shared" ref="ED710:ED773" si="90">AN710*K710*(1-AO710%)+BB710*L710*(1-BC710%)+BP710*IF(AND(M710&gt;0,M710&lt;1),1,IF(M710&gt;1,MAX(M710,N710/1000),N710))*(1-BQ710%)</f>
        <v>0</v>
      </c>
      <c r="EE710" s="237">
        <f t="shared" ref="EE710:EE773" si="91">(CD710+CE710*K710)*(1-CF710%)+(CG710+CH710*K710)*(1-CI710%)+(CV710+CW710*L710)*(1-CX710%)+(CY710+CZ710*L710)*(1-DA710%)+(DN710+DO710*IF(AND(M710&gt;0,M710&lt;1),1,IF(M710&gt;1,MAX(M710,N710/1000),N710)))*(1-DP710%)+(DQ710+DR710*IF(AND(M710&gt;0,M710&lt;1),1,IF(M710&gt;1,MAX(M710,N710/1000),N710)))*(1-DS710%)</f>
        <v>0</v>
      </c>
      <c r="EF710" s="121"/>
      <c r="EG710" s="238">
        <f t="shared" ref="EG710:EG773" si="92">((BR710+BS710*K710+BT710*K710)+(CJ710+CK710*L710*+CL710*L710)+IF(AND(M710&gt;0,MAX(M710,N710/1000)&lt;1),DB710+DC710+DD710,IF(AND(M710&gt;0,MAX(M710,N710/1000)&gt;1),DB710+DC710*M710+DD710*M710,IF(AND(M710&gt;0,MAX(M710,N710/1000)&gt;1),DB710+MAX(M710,N710/1000)*DC710+MAX(M710,N710/1000)*DD710+IF(AND(K710="",L710="",M710=""),DB710+DC710*N710+DD710*N710,0)))))*EF710/365*ES710%</f>
        <v>0</v>
      </c>
      <c r="EH710" s="121"/>
      <c r="EI710" s="237">
        <f t="shared" ref="EI710:EI773" si="93">(((BV710+BW710+BX710+BZ710+CA710)*K710+BU710+BY710)*1.08+CJ710+CK710*L710+CL710*L710+((CN710+CO710+CP710+CR710+CS710)*L710+CM710+CQ710)*1.08+IF(AND(M710&gt;0,MAX(M710,N710/1000)&lt;1),DB710+1*(DC710+DD710)+(1*(DF710+DG710+DH710+DJ710+DK710)+DE710+DI710)*1.08,IF(AND(M710&gt;0,MAX(M710,N710/1000)&gt;1),DB710+MAX(M710,N710/1000)*(DC710+DD710)+(MAX(M710,N710/1000)*(DF710+DG710+DH710+DJ710+DK710)+DE710+DI710)*1.08,IF(AND(K710="",L710="",M710=""),DB710+N710*(DC710+DD710)+((DF710+DG710+DH710+DJ710+DK710)*N710+DE710+DI710)*1.08,0))))*EH710/365*ES710%</f>
        <v>0</v>
      </c>
      <c r="EJ710" s="121"/>
      <c r="EK710" s="237">
        <f t="shared" ref="EK710:EK773" si="94">((CB710*K710+CC710*K710)*1.1+(CT710*L710+CU710*L710)*1.1+(DL710+DM710)*1.1)*EJ710/365*ES710%</f>
        <v>0</v>
      </c>
      <c r="EL710" s="237"/>
      <c r="EM710" s="5"/>
      <c r="EN710" s="5"/>
      <c r="EO710" s="5"/>
      <c r="EP710" s="5"/>
      <c r="EQ710" s="237">
        <f t="shared" ref="EQ710:EQ773" si="95">EC710-EB710-EG710-EI710-EK710-(AN710*K710+BB710*L710+BP710*IF(AND(M710&gt;0,M710&lt;1),1,IF(M710&gt;1,MAX(M710,N710/1000),N710))+CD710+CE710*K710+CV710+CW710*L710+DN710+DO710*IF(AND(M710&gt;0,M710&lt;1),1,IF(M710&gt;1,MAX(M710,N710/1000),N710))+CG710+CH710*K710+CY710+CZ710*L710+DQ710+DR710*IF(AND(M710&gt;0,M710&lt;1),1,IF(M710&gt;1,MAX(M710,N710/1000),N710)))-EL710-EM710*EN710/365*ES710%-EO710*EP710/365*ES710%</f>
        <v>0</v>
      </c>
      <c r="ER710" s="239">
        <v>23300</v>
      </c>
      <c r="ES710" s="5">
        <v>7.5</v>
      </c>
    </row>
    <row r="711" spans="1:149" x14ac:dyDescent="0.3">
      <c r="A711" s="124"/>
      <c r="B711" s="121"/>
      <c r="C711" s="121"/>
      <c r="D711" s="121"/>
      <c r="E711" s="121"/>
      <c r="F711" s="121"/>
      <c r="G711" s="121"/>
      <c r="H711" s="121"/>
      <c r="I711" s="121"/>
      <c r="J711" s="121"/>
      <c r="K711" s="121"/>
      <c r="L711" s="121"/>
      <c r="M711" s="121"/>
      <c r="N711" s="121"/>
      <c r="O711" s="235"/>
      <c r="P711" s="121"/>
      <c r="Q711" s="121"/>
      <c r="R711" s="121"/>
      <c r="S711" s="121"/>
      <c r="T711" s="121"/>
      <c r="U711" s="121"/>
      <c r="V711" s="121"/>
      <c r="W711" s="121"/>
      <c r="X711" s="117"/>
      <c r="Y711" s="117"/>
      <c r="Z711" s="121"/>
      <c r="AA711" s="121"/>
      <c r="AB711" s="121"/>
      <c r="AC711" s="121"/>
      <c r="AD711" s="121"/>
      <c r="AE711" s="121"/>
      <c r="AF711" s="121"/>
      <c r="AG711" s="121"/>
      <c r="AH711" s="121"/>
      <c r="AI711" s="121"/>
      <c r="AJ711" s="121"/>
      <c r="AK711" s="121"/>
      <c r="AL711" s="121"/>
      <c r="AM711" s="121"/>
      <c r="AN711" s="121"/>
      <c r="AO711" s="121"/>
      <c r="AP711" s="121"/>
      <c r="AQ711" s="121"/>
      <c r="AR711" s="121"/>
      <c r="AS711" s="121"/>
      <c r="AT711" s="121"/>
      <c r="AU711" s="121"/>
      <c r="AV711" s="121"/>
      <c r="AW711" s="121"/>
      <c r="AX711" s="121"/>
      <c r="AY711" s="121"/>
      <c r="AZ711" s="121"/>
      <c r="BA711" s="121"/>
      <c r="BB711" s="121"/>
      <c r="BC711" s="121"/>
      <c r="BD711" s="121"/>
      <c r="BE711" s="121"/>
      <c r="BF711" s="121"/>
      <c r="BG711" s="121"/>
      <c r="BH711" s="121"/>
      <c r="BI711" s="121"/>
      <c r="BJ711" s="121"/>
      <c r="BK711" s="121"/>
      <c r="BL711" s="121"/>
      <c r="BM711" s="121"/>
      <c r="BN711" s="121"/>
      <c r="BO711" s="121"/>
      <c r="BP711" s="121"/>
      <c r="BQ711" s="121"/>
      <c r="BR711" s="121"/>
      <c r="BS711" s="121"/>
      <c r="BT711" s="121"/>
      <c r="BU711" s="121"/>
      <c r="BV711" s="121"/>
      <c r="BW711" s="121"/>
      <c r="BX711" s="121"/>
      <c r="BY711" s="121"/>
      <c r="BZ711" s="121"/>
      <c r="CA711" s="121"/>
      <c r="CB711" s="121"/>
      <c r="CC711" s="121"/>
      <c r="CD711" s="121"/>
      <c r="CE711" s="121"/>
      <c r="CF711" s="121"/>
      <c r="CG711" s="121"/>
      <c r="CH711" s="121"/>
      <c r="CI711" s="121"/>
      <c r="CJ711" s="121"/>
      <c r="CK711" s="121"/>
      <c r="CL711" s="121"/>
      <c r="CM711" s="121"/>
      <c r="CN711" s="121"/>
      <c r="CO711" s="121"/>
      <c r="CP711" s="121"/>
      <c r="CQ711" s="121"/>
      <c r="CR711" s="121"/>
      <c r="CS711" s="121"/>
      <c r="CT711" s="121"/>
      <c r="CU711" s="121"/>
      <c r="CV711" s="121"/>
      <c r="CW711" s="121"/>
      <c r="CX711" s="121"/>
      <c r="CY711" s="121"/>
      <c r="CZ711" s="121"/>
      <c r="DA711" s="121"/>
      <c r="DB711" s="121"/>
      <c r="DC711" s="121"/>
      <c r="DD711" s="121"/>
      <c r="DE711" s="121"/>
      <c r="DF711" s="121"/>
      <c r="DG711" s="121"/>
      <c r="DH711" s="121"/>
      <c r="DI711" s="121"/>
      <c r="DJ711" s="121"/>
      <c r="DK711" s="121"/>
      <c r="DL711" s="121"/>
      <c r="DM711" s="121"/>
      <c r="DN711" s="121"/>
      <c r="DO711" s="121"/>
      <c r="DP711" s="121"/>
      <c r="DQ711" s="121"/>
      <c r="DR711" s="121"/>
      <c r="DS711" s="121"/>
      <c r="DT711" s="240"/>
      <c r="DU711" s="240"/>
      <c r="DV711" s="240"/>
      <c r="DW711" s="240"/>
      <c r="DX711" s="240"/>
      <c r="DY711" s="240"/>
      <c r="DZ711" s="240"/>
      <c r="EA711" s="240"/>
      <c r="EB711" s="237">
        <f t="shared" si="88"/>
        <v>0</v>
      </c>
      <c r="EC711" s="237">
        <f t="shared" si="89"/>
        <v>0</v>
      </c>
      <c r="ED711" s="237">
        <f t="shared" si="90"/>
        <v>0</v>
      </c>
      <c r="EE711" s="237">
        <f t="shared" si="91"/>
        <v>0</v>
      </c>
      <c r="EF711" s="121"/>
      <c r="EG711" s="238">
        <f t="shared" si="92"/>
        <v>0</v>
      </c>
      <c r="EH711" s="121"/>
      <c r="EI711" s="237">
        <f t="shared" si="93"/>
        <v>0</v>
      </c>
      <c r="EJ711" s="121"/>
      <c r="EK711" s="237">
        <f t="shared" si="94"/>
        <v>0</v>
      </c>
      <c r="EL711" s="237"/>
      <c r="EM711" s="5"/>
      <c r="EN711" s="5"/>
      <c r="EO711" s="5"/>
      <c r="EP711" s="5"/>
      <c r="EQ711" s="237">
        <f t="shared" si="95"/>
        <v>0</v>
      </c>
      <c r="ER711" s="239">
        <v>23300</v>
      </c>
      <c r="ES711" s="5">
        <v>7.5</v>
      </c>
    </row>
    <row r="712" spans="1:149" x14ac:dyDescent="0.3">
      <c r="A712" s="124"/>
      <c r="B712" s="121"/>
      <c r="C712" s="121"/>
      <c r="D712" s="121"/>
      <c r="E712" s="121"/>
      <c r="F712" s="121"/>
      <c r="G712" s="121"/>
      <c r="H712" s="121"/>
      <c r="I712" s="121"/>
      <c r="J712" s="121"/>
      <c r="K712" s="121"/>
      <c r="L712" s="121"/>
      <c r="M712" s="121"/>
      <c r="N712" s="121"/>
      <c r="O712" s="235"/>
      <c r="P712" s="121"/>
      <c r="Q712" s="121"/>
      <c r="R712" s="121"/>
      <c r="S712" s="121"/>
      <c r="T712" s="121"/>
      <c r="U712" s="121"/>
      <c r="V712" s="121"/>
      <c r="W712" s="121"/>
      <c r="X712" s="117"/>
      <c r="Y712" s="117"/>
      <c r="Z712" s="121"/>
      <c r="AA712" s="121"/>
      <c r="AB712" s="121"/>
      <c r="AC712" s="121"/>
      <c r="AD712" s="121"/>
      <c r="AE712" s="121"/>
      <c r="AF712" s="121"/>
      <c r="AG712" s="121"/>
      <c r="AH712" s="121"/>
      <c r="AI712" s="121"/>
      <c r="AJ712" s="121"/>
      <c r="AK712" s="121"/>
      <c r="AL712" s="121"/>
      <c r="AM712" s="121"/>
      <c r="AN712" s="121"/>
      <c r="AO712" s="121"/>
      <c r="AP712" s="121"/>
      <c r="AQ712" s="121"/>
      <c r="AR712" s="121"/>
      <c r="AS712" s="121"/>
      <c r="AT712" s="121"/>
      <c r="AU712" s="121"/>
      <c r="AV712" s="121"/>
      <c r="AW712" s="121"/>
      <c r="AX712" s="121"/>
      <c r="AY712" s="121"/>
      <c r="AZ712" s="121"/>
      <c r="BA712" s="121"/>
      <c r="BB712" s="121"/>
      <c r="BC712" s="121"/>
      <c r="BD712" s="121"/>
      <c r="BE712" s="121"/>
      <c r="BF712" s="121"/>
      <c r="BG712" s="121"/>
      <c r="BH712" s="121"/>
      <c r="BI712" s="121"/>
      <c r="BJ712" s="121"/>
      <c r="BK712" s="121"/>
      <c r="BL712" s="121"/>
      <c r="BM712" s="121"/>
      <c r="BN712" s="121"/>
      <c r="BO712" s="121"/>
      <c r="BP712" s="121"/>
      <c r="BQ712" s="121"/>
      <c r="BR712" s="121"/>
      <c r="BS712" s="121"/>
      <c r="BT712" s="121"/>
      <c r="BU712" s="121"/>
      <c r="BV712" s="121"/>
      <c r="BW712" s="121"/>
      <c r="BX712" s="121"/>
      <c r="BY712" s="121"/>
      <c r="BZ712" s="121"/>
      <c r="CA712" s="121"/>
      <c r="CB712" s="121"/>
      <c r="CC712" s="121"/>
      <c r="CD712" s="121"/>
      <c r="CE712" s="121"/>
      <c r="CF712" s="121"/>
      <c r="CG712" s="121"/>
      <c r="CH712" s="121"/>
      <c r="CI712" s="121"/>
      <c r="CJ712" s="121"/>
      <c r="CK712" s="121"/>
      <c r="CL712" s="121"/>
      <c r="CM712" s="121"/>
      <c r="CN712" s="121"/>
      <c r="CO712" s="121"/>
      <c r="CP712" s="121"/>
      <c r="CQ712" s="121"/>
      <c r="CR712" s="121"/>
      <c r="CS712" s="121"/>
      <c r="CT712" s="121"/>
      <c r="CU712" s="121"/>
      <c r="CV712" s="121"/>
      <c r="CW712" s="121"/>
      <c r="CX712" s="121"/>
      <c r="CY712" s="121"/>
      <c r="CZ712" s="121"/>
      <c r="DA712" s="121"/>
      <c r="DB712" s="121"/>
      <c r="DC712" s="121"/>
      <c r="DD712" s="121"/>
      <c r="DE712" s="121"/>
      <c r="DF712" s="121"/>
      <c r="DG712" s="121"/>
      <c r="DH712" s="121"/>
      <c r="DI712" s="121"/>
      <c r="DJ712" s="121"/>
      <c r="DK712" s="121"/>
      <c r="DL712" s="121"/>
      <c r="DM712" s="121"/>
      <c r="DN712" s="121"/>
      <c r="DO712" s="121"/>
      <c r="DP712" s="121"/>
      <c r="DQ712" s="121"/>
      <c r="DR712" s="121"/>
      <c r="DS712" s="121"/>
      <c r="DT712" s="240"/>
      <c r="DU712" s="240"/>
      <c r="DV712" s="240"/>
      <c r="DW712" s="240"/>
      <c r="DX712" s="240"/>
      <c r="DY712" s="240"/>
      <c r="DZ712" s="240"/>
      <c r="EA712" s="240"/>
      <c r="EB712" s="237">
        <f t="shared" si="88"/>
        <v>0</v>
      </c>
      <c r="EC712" s="237">
        <f t="shared" si="89"/>
        <v>0</v>
      </c>
      <c r="ED712" s="237">
        <f t="shared" si="90"/>
        <v>0</v>
      </c>
      <c r="EE712" s="237">
        <f t="shared" si="91"/>
        <v>0</v>
      </c>
      <c r="EF712" s="121"/>
      <c r="EG712" s="238">
        <f t="shared" si="92"/>
        <v>0</v>
      </c>
      <c r="EH712" s="121"/>
      <c r="EI712" s="237">
        <f t="shared" si="93"/>
        <v>0</v>
      </c>
      <c r="EJ712" s="121"/>
      <c r="EK712" s="237">
        <f t="shared" si="94"/>
        <v>0</v>
      </c>
      <c r="EL712" s="237"/>
      <c r="EM712" s="5"/>
      <c r="EN712" s="5"/>
      <c r="EO712" s="5"/>
      <c r="EP712" s="5"/>
      <c r="EQ712" s="237">
        <f t="shared" si="95"/>
        <v>0</v>
      </c>
      <c r="ER712" s="239">
        <v>23300</v>
      </c>
      <c r="ES712" s="5">
        <v>7.5</v>
      </c>
    </row>
    <row r="713" spans="1:149" x14ac:dyDescent="0.3">
      <c r="A713" s="124"/>
      <c r="B713" s="121"/>
      <c r="C713" s="121"/>
      <c r="D713" s="121"/>
      <c r="E713" s="121"/>
      <c r="F713" s="121"/>
      <c r="G713" s="121"/>
      <c r="H713" s="121"/>
      <c r="I713" s="121"/>
      <c r="J713" s="121"/>
      <c r="K713" s="121"/>
      <c r="L713" s="121"/>
      <c r="M713" s="121"/>
      <c r="N713" s="121"/>
      <c r="O713" s="235"/>
      <c r="P713" s="121"/>
      <c r="Q713" s="121"/>
      <c r="R713" s="121"/>
      <c r="S713" s="121"/>
      <c r="T713" s="121"/>
      <c r="U713" s="121"/>
      <c r="V713" s="121"/>
      <c r="W713" s="121"/>
      <c r="X713" s="117"/>
      <c r="Y713" s="117"/>
      <c r="Z713" s="121"/>
      <c r="AA713" s="121"/>
      <c r="AB713" s="121"/>
      <c r="AC713" s="121"/>
      <c r="AD713" s="121"/>
      <c r="AE713" s="121"/>
      <c r="AF713" s="121"/>
      <c r="AG713" s="121"/>
      <c r="AH713" s="121"/>
      <c r="AI713" s="121"/>
      <c r="AJ713" s="121"/>
      <c r="AK713" s="121"/>
      <c r="AL713" s="121"/>
      <c r="AM713" s="121"/>
      <c r="AN713" s="121"/>
      <c r="AO713" s="121"/>
      <c r="AP713" s="121"/>
      <c r="AQ713" s="121"/>
      <c r="AR713" s="121"/>
      <c r="AS713" s="121"/>
      <c r="AT713" s="121"/>
      <c r="AU713" s="121"/>
      <c r="AV713" s="121"/>
      <c r="AW713" s="121"/>
      <c r="AX713" s="121"/>
      <c r="AY713" s="121"/>
      <c r="AZ713" s="121"/>
      <c r="BA713" s="121"/>
      <c r="BB713" s="121"/>
      <c r="BC713" s="121"/>
      <c r="BD713" s="121"/>
      <c r="BE713" s="121"/>
      <c r="BF713" s="121"/>
      <c r="BG713" s="121"/>
      <c r="BH713" s="121"/>
      <c r="BI713" s="121"/>
      <c r="BJ713" s="121"/>
      <c r="BK713" s="121"/>
      <c r="BL713" s="121"/>
      <c r="BM713" s="121"/>
      <c r="BN713" s="121"/>
      <c r="BO713" s="121"/>
      <c r="BP713" s="121"/>
      <c r="BQ713" s="121"/>
      <c r="BR713" s="121"/>
      <c r="BS713" s="121"/>
      <c r="BT713" s="121"/>
      <c r="BU713" s="121"/>
      <c r="BV713" s="121"/>
      <c r="BW713" s="121"/>
      <c r="BX713" s="121"/>
      <c r="BY713" s="121"/>
      <c r="BZ713" s="121"/>
      <c r="CA713" s="121"/>
      <c r="CB713" s="121"/>
      <c r="CC713" s="121"/>
      <c r="CD713" s="121"/>
      <c r="CE713" s="121"/>
      <c r="CF713" s="121"/>
      <c r="CG713" s="121"/>
      <c r="CH713" s="121"/>
      <c r="CI713" s="121"/>
      <c r="CJ713" s="121"/>
      <c r="CK713" s="121"/>
      <c r="CL713" s="121"/>
      <c r="CM713" s="121"/>
      <c r="CN713" s="121"/>
      <c r="CO713" s="121"/>
      <c r="CP713" s="121"/>
      <c r="CQ713" s="121"/>
      <c r="CR713" s="121"/>
      <c r="CS713" s="121"/>
      <c r="CT713" s="121"/>
      <c r="CU713" s="121"/>
      <c r="CV713" s="121"/>
      <c r="CW713" s="121"/>
      <c r="CX713" s="121"/>
      <c r="CY713" s="121"/>
      <c r="CZ713" s="121"/>
      <c r="DA713" s="121"/>
      <c r="DB713" s="121"/>
      <c r="DC713" s="121"/>
      <c r="DD713" s="121"/>
      <c r="DE713" s="121"/>
      <c r="DF713" s="121"/>
      <c r="DG713" s="121"/>
      <c r="DH713" s="121"/>
      <c r="DI713" s="121"/>
      <c r="DJ713" s="121"/>
      <c r="DK713" s="121"/>
      <c r="DL713" s="121"/>
      <c r="DM713" s="121"/>
      <c r="DN713" s="121"/>
      <c r="DO713" s="121"/>
      <c r="DP713" s="121"/>
      <c r="DQ713" s="121"/>
      <c r="DR713" s="121"/>
      <c r="DS713" s="121"/>
      <c r="DT713" s="240"/>
      <c r="DU713" s="240"/>
      <c r="DV713" s="240"/>
      <c r="DW713" s="240"/>
      <c r="DX713" s="240"/>
      <c r="DY713" s="240"/>
      <c r="DZ713" s="240"/>
      <c r="EA713" s="240"/>
      <c r="EB713" s="237">
        <f t="shared" si="88"/>
        <v>0</v>
      </c>
      <c r="EC713" s="237">
        <f t="shared" si="89"/>
        <v>0</v>
      </c>
      <c r="ED713" s="237">
        <f t="shared" si="90"/>
        <v>0</v>
      </c>
      <c r="EE713" s="237">
        <f t="shared" si="91"/>
        <v>0</v>
      </c>
      <c r="EF713" s="121"/>
      <c r="EG713" s="238">
        <f t="shared" si="92"/>
        <v>0</v>
      </c>
      <c r="EH713" s="121"/>
      <c r="EI713" s="237">
        <f t="shared" si="93"/>
        <v>0</v>
      </c>
      <c r="EJ713" s="121"/>
      <c r="EK713" s="237">
        <f t="shared" si="94"/>
        <v>0</v>
      </c>
      <c r="EL713" s="237"/>
      <c r="EM713" s="5"/>
      <c r="EN713" s="5"/>
      <c r="EO713" s="5"/>
      <c r="EP713" s="5"/>
      <c r="EQ713" s="237">
        <f t="shared" si="95"/>
        <v>0</v>
      </c>
      <c r="ER713" s="239">
        <v>23300</v>
      </c>
      <c r="ES713" s="5">
        <v>7.5</v>
      </c>
    </row>
    <row r="714" spans="1:149" x14ac:dyDescent="0.3">
      <c r="A714" s="124"/>
      <c r="B714" s="121"/>
      <c r="C714" s="121"/>
      <c r="D714" s="121"/>
      <c r="E714" s="121"/>
      <c r="F714" s="121"/>
      <c r="G714" s="121"/>
      <c r="H714" s="121"/>
      <c r="I714" s="121"/>
      <c r="J714" s="121"/>
      <c r="K714" s="121"/>
      <c r="L714" s="121"/>
      <c r="M714" s="121"/>
      <c r="N714" s="121"/>
      <c r="O714" s="235"/>
      <c r="P714" s="121"/>
      <c r="Q714" s="121"/>
      <c r="R714" s="121"/>
      <c r="S714" s="121"/>
      <c r="T714" s="121"/>
      <c r="U714" s="121"/>
      <c r="V714" s="121"/>
      <c r="W714" s="121"/>
      <c r="X714" s="117"/>
      <c r="Y714" s="117"/>
      <c r="Z714" s="121"/>
      <c r="AA714" s="121"/>
      <c r="AB714" s="121"/>
      <c r="AC714" s="121"/>
      <c r="AD714" s="121"/>
      <c r="AE714" s="121"/>
      <c r="AF714" s="121"/>
      <c r="AG714" s="121"/>
      <c r="AH714" s="121"/>
      <c r="AI714" s="121"/>
      <c r="AJ714" s="121"/>
      <c r="AK714" s="121"/>
      <c r="AL714" s="121"/>
      <c r="AM714" s="121"/>
      <c r="AN714" s="121"/>
      <c r="AO714" s="121"/>
      <c r="AP714" s="121"/>
      <c r="AQ714" s="121"/>
      <c r="AR714" s="121"/>
      <c r="AS714" s="121"/>
      <c r="AT714" s="121"/>
      <c r="AU714" s="121"/>
      <c r="AV714" s="121"/>
      <c r="AW714" s="121"/>
      <c r="AX714" s="121"/>
      <c r="AY714" s="121"/>
      <c r="AZ714" s="121"/>
      <c r="BA714" s="121"/>
      <c r="BB714" s="121"/>
      <c r="BC714" s="121"/>
      <c r="BD714" s="121"/>
      <c r="BE714" s="121"/>
      <c r="BF714" s="121"/>
      <c r="BG714" s="121"/>
      <c r="BH714" s="121"/>
      <c r="BI714" s="121"/>
      <c r="BJ714" s="121"/>
      <c r="BK714" s="121"/>
      <c r="BL714" s="121"/>
      <c r="BM714" s="121"/>
      <c r="BN714" s="121"/>
      <c r="BO714" s="121"/>
      <c r="BP714" s="121"/>
      <c r="BQ714" s="121"/>
      <c r="BR714" s="121"/>
      <c r="BS714" s="121"/>
      <c r="BT714" s="121"/>
      <c r="BU714" s="121"/>
      <c r="BV714" s="121"/>
      <c r="BW714" s="121"/>
      <c r="BX714" s="121"/>
      <c r="BY714" s="121"/>
      <c r="BZ714" s="121"/>
      <c r="CA714" s="121"/>
      <c r="CB714" s="121"/>
      <c r="CC714" s="121"/>
      <c r="CD714" s="121"/>
      <c r="CE714" s="121"/>
      <c r="CF714" s="121"/>
      <c r="CG714" s="121"/>
      <c r="CH714" s="121"/>
      <c r="CI714" s="121"/>
      <c r="CJ714" s="121"/>
      <c r="CK714" s="121"/>
      <c r="CL714" s="121"/>
      <c r="CM714" s="121"/>
      <c r="CN714" s="121"/>
      <c r="CO714" s="121"/>
      <c r="CP714" s="121"/>
      <c r="CQ714" s="121"/>
      <c r="CR714" s="121"/>
      <c r="CS714" s="121"/>
      <c r="CT714" s="121"/>
      <c r="CU714" s="121"/>
      <c r="CV714" s="121"/>
      <c r="CW714" s="121"/>
      <c r="CX714" s="121"/>
      <c r="CY714" s="121"/>
      <c r="CZ714" s="121"/>
      <c r="DA714" s="121"/>
      <c r="DB714" s="121"/>
      <c r="DC714" s="121"/>
      <c r="DD714" s="121"/>
      <c r="DE714" s="121"/>
      <c r="DF714" s="121"/>
      <c r="DG714" s="121"/>
      <c r="DH714" s="121"/>
      <c r="DI714" s="121"/>
      <c r="DJ714" s="121"/>
      <c r="DK714" s="121"/>
      <c r="DL714" s="121"/>
      <c r="DM714" s="121"/>
      <c r="DN714" s="121"/>
      <c r="DO714" s="121"/>
      <c r="DP714" s="121"/>
      <c r="DQ714" s="121"/>
      <c r="DR714" s="121"/>
      <c r="DS714" s="121"/>
      <c r="DT714" s="240"/>
      <c r="DU714" s="240"/>
      <c r="DV714" s="240"/>
      <c r="DW714" s="240"/>
      <c r="DX714" s="240"/>
      <c r="DY714" s="240"/>
      <c r="DZ714" s="240"/>
      <c r="EA714" s="240"/>
      <c r="EB714" s="237">
        <f t="shared" si="88"/>
        <v>0</v>
      </c>
      <c r="EC714" s="237">
        <f t="shared" si="89"/>
        <v>0</v>
      </c>
      <c r="ED714" s="237">
        <f t="shared" si="90"/>
        <v>0</v>
      </c>
      <c r="EE714" s="237">
        <f t="shared" si="91"/>
        <v>0</v>
      </c>
      <c r="EF714" s="121"/>
      <c r="EG714" s="238">
        <f t="shared" si="92"/>
        <v>0</v>
      </c>
      <c r="EH714" s="121"/>
      <c r="EI714" s="237">
        <f t="shared" si="93"/>
        <v>0</v>
      </c>
      <c r="EJ714" s="121"/>
      <c r="EK714" s="237">
        <f t="shared" si="94"/>
        <v>0</v>
      </c>
      <c r="EL714" s="237"/>
      <c r="EM714" s="5"/>
      <c r="EN714" s="5"/>
      <c r="EO714" s="5"/>
      <c r="EP714" s="5"/>
      <c r="EQ714" s="237">
        <f t="shared" si="95"/>
        <v>0</v>
      </c>
      <c r="ER714" s="239">
        <v>23300</v>
      </c>
      <c r="ES714" s="5">
        <v>7.5</v>
      </c>
    </row>
    <row r="715" spans="1:149" x14ac:dyDescent="0.3">
      <c r="A715" s="124"/>
      <c r="B715" s="121"/>
      <c r="C715" s="121"/>
      <c r="D715" s="121"/>
      <c r="E715" s="121"/>
      <c r="F715" s="121"/>
      <c r="G715" s="121"/>
      <c r="H715" s="121"/>
      <c r="I715" s="121"/>
      <c r="J715" s="121"/>
      <c r="K715" s="121"/>
      <c r="L715" s="121"/>
      <c r="M715" s="121"/>
      <c r="N715" s="121"/>
      <c r="O715" s="235"/>
      <c r="P715" s="121"/>
      <c r="Q715" s="121"/>
      <c r="R715" s="121"/>
      <c r="S715" s="121"/>
      <c r="T715" s="121"/>
      <c r="U715" s="121"/>
      <c r="V715" s="121"/>
      <c r="W715" s="121"/>
      <c r="X715" s="117"/>
      <c r="Y715" s="117"/>
      <c r="Z715" s="121"/>
      <c r="AA715" s="121"/>
      <c r="AB715" s="121"/>
      <c r="AC715" s="121"/>
      <c r="AD715" s="121"/>
      <c r="AE715" s="121"/>
      <c r="AF715" s="121"/>
      <c r="AG715" s="121"/>
      <c r="AH715" s="121"/>
      <c r="AI715" s="121"/>
      <c r="AJ715" s="121"/>
      <c r="AK715" s="121"/>
      <c r="AL715" s="121"/>
      <c r="AM715" s="121"/>
      <c r="AN715" s="121"/>
      <c r="AO715" s="121"/>
      <c r="AP715" s="121"/>
      <c r="AQ715" s="121"/>
      <c r="AR715" s="121"/>
      <c r="AS715" s="121"/>
      <c r="AT715" s="121"/>
      <c r="AU715" s="121"/>
      <c r="AV715" s="121"/>
      <c r="AW715" s="121"/>
      <c r="AX715" s="121"/>
      <c r="AY715" s="121"/>
      <c r="AZ715" s="121"/>
      <c r="BA715" s="121"/>
      <c r="BB715" s="121"/>
      <c r="BC715" s="121"/>
      <c r="BD715" s="121"/>
      <c r="BE715" s="121"/>
      <c r="BF715" s="121"/>
      <c r="BG715" s="121"/>
      <c r="BH715" s="121"/>
      <c r="BI715" s="121"/>
      <c r="BJ715" s="121"/>
      <c r="BK715" s="121"/>
      <c r="BL715" s="121"/>
      <c r="BM715" s="121"/>
      <c r="BN715" s="121"/>
      <c r="BO715" s="121"/>
      <c r="BP715" s="121"/>
      <c r="BQ715" s="121"/>
      <c r="BR715" s="121"/>
      <c r="BS715" s="121"/>
      <c r="BT715" s="121"/>
      <c r="BU715" s="121"/>
      <c r="BV715" s="121"/>
      <c r="BW715" s="121"/>
      <c r="BX715" s="121"/>
      <c r="BY715" s="121"/>
      <c r="BZ715" s="121"/>
      <c r="CA715" s="121"/>
      <c r="CB715" s="121"/>
      <c r="CC715" s="121"/>
      <c r="CD715" s="121"/>
      <c r="CE715" s="121"/>
      <c r="CF715" s="121"/>
      <c r="CG715" s="121"/>
      <c r="CH715" s="121"/>
      <c r="CI715" s="121"/>
      <c r="CJ715" s="121"/>
      <c r="CK715" s="121"/>
      <c r="CL715" s="121"/>
      <c r="CM715" s="121"/>
      <c r="CN715" s="121"/>
      <c r="CO715" s="121"/>
      <c r="CP715" s="121"/>
      <c r="CQ715" s="121"/>
      <c r="CR715" s="121"/>
      <c r="CS715" s="121"/>
      <c r="CT715" s="121"/>
      <c r="CU715" s="121"/>
      <c r="CV715" s="121"/>
      <c r="CW715" s="121"/>
      <c r="CX715" s="121"/>
      <c r="CY715" s="121"/>
      <c r="CZ715" s="121"/>
      <c r="DA715" s="121"/>
      <c r="DB715" s="121"/>
      <c r="DC715" s="121"/>
      <c r="DD715" s="121"/>
      <c r="DE715" s="121"/>
      <c r="DF715" s="121"/>
      <c r="DG715" s="121"/>
      <c r="DH715" s="121"/>
      <c r="DI715" s="121"/>
      <c r="DJ715" s="121"/>
      <c r="DK715" s="121"/>
      <c r="DL715" s="121"/>
      <c r="DM715" s="121"/>
      <c r="DN715" s="121"/>
      <c r="DO715" s="121"/>
      <c r="DP715" s="121"/>
      <c r="DQ715" s="121"/>
      <c r="DR715" s="121"/>
      <c r="DS715" s="121"/>
      <c r="DT715" s="240"/>
      <c r="DU715" s="240"/>
      <c r="DV715" s="240"/>
      <c r="DW715" s="240"/>
      <c r="DX715" s="240"/>
      <c r="DY715" s="240"/>
      <c r="DZ715" s="240"/>
      <c r="EA715" s="240"/>
      <c r="EB715" s="237">
        <f t="shared" si="88"/>
        <v>0</v>
      </c>
      <c r="EC715" s="237">
        <f t="shared" si="89"/>
        <v>0</v>
      </c>
      <c r="ED715" s="237">
        <f t="shared" si="90"/>
        <v>0</v>
      </c>
      <c r="EE715" s="237">
        <f t="shared" si="91"/>
        <v>0</v>
      </c>
      <c r="EF715" s="121"/>
      <c r="EG715" s="238">
        <f t="shared" si="92"/>
        <v>0</v>
      </c>
      <c r="EH715" s="121"/>
      <c r="EI715" s="237">
        <f t="shared" si="93"/>
        <v>0</v>
      </c>
      <c r="EJ715" s="121"/>
      <c r="EK715" s="237">
        <f t="shared" si="94"/>
        <v>0</v>
      </c>
      <c r="EL715" s="237"/>
      <c r="EM715" s="5"/>
      <c r="EN715" s="5"/>
      <c r="EO715" s="5"/>
      <c r="EP715" s="5"/>
      <c r="EQ715" s="237">
        <f t="shared" si="95"/>
        <v>0</v>
      </c>
      <c r="ER715" s="239">
        <v>23300</v>
      </c>
      <c r="ES715" s="5">
        <v>7.5</v>
      </c>
    </row>
    <row r="716" spans="1:149" x14ac:dyDescent="0.3">
      <c r="A716" s="124"/>
      <c r="B716" s="121"/>
      <c r="C716" s="121"/>
      <c r="D716" s="121"/>
      <c r="E716" s="121"/>
      <c r="F716" s="121"/>
      <c r="G716" s="121"/>
      <c r="H716" s="121"/>
      <c r="I716" s="121"/>
      <c r="J716" s="121"/>
      <c r="K716" s="121"/>
      <c r="L716" s="121"/>
      <c r="M716" s="121"/>
      <c r="N716" s="121"/>
      <c r="O716" s="235"/>
      <c r="P716" s="121"/>
      <c r="Q716" s="121"/>
      <c r="R716" s="121"/>
      <c r="S716" s="121"/>
      <c r="T716" s="121"/>
      <c r="U716" s="121"/>
      <c r="V716" s="121"/>
      <c r="W716" s="121"/>
      <c r="X716" s="117"/>
      <c r="Y716" s="117"/>
      <c r="Z716" s="121"/>
      <c r="AA716" s="121"/>
      <c r="AB716" s="121"/>
      <c r="AC716" s="121"/>
      <c r="AD716" s="121"/>
      <c r="AE716" s="121"/>
      <c r="AF716" s="121"/>
      <c r="AG716" s="121"/>
      <c r="AH716" s="121"/>
      <c r="AI716" s="121"/>
      <c r="AJ716" s="121"/>
      <c r="AK716" s="121"/>
      <c r="AL716" s="121"/>
      <c r="AM716" s="121"/>
      <c r="AN716" s="121"/>
      <c r="AO716" s="121"/>
      <c r="AP716" s="121"/>
      <c r="AQ716" s="121"/>
      <c r="AR716" s="121"/>
      <c r="AS716" s="121"/>
      <c r="AT716" s="121"/>
      <c r="AU716" s="121"/>
      <c r="AV716" s="121"/>
      <c r="AW716" s="121"/>
      <c r="AX716" s="121"/>
      <c r="AY716" s="121"/>
      <c r="AZ716" s="121"/>
      <c r="BA716" s="121"/>
      <c r="BB716" s="121"/>
      <c r="BC716" s="121"/>
      <c r="BD716" s="121"/>
      <c r="BE716" s="121"/>
      <c r="BF716" s="121"/>
      <c r="BG716" s="121"/>
      <c r="BH716" s="121"/>
      <c r="BI716" s="121"/>
      <c r="BJ716" s="121"/>
      <c r="BK716" s="121"/>
      <c r="BL716" s="121"/>
      <c r="BM716" s="121"/>
      <c r="BN716" s="121"/>
      <c r="BO716" s="121"/>
      <c r="BP716" s="121"/>
      <c r="BQ716" s="121"/>
      <c r="BR716" s="121"/>
      <c r="BS716" s="121"/>
      <c r="BT716" s="121"/>
      <c r="BU716" s="121"/>
      <c r="BV716" s="121"/>
      <c r="BW716" s="121"/>
      <c r="BX716" s="121"/>
      <c r="BY716" s="121"/>
      <c r="BZ716" s="121"/>
      <c r="CA716" s="121"/>
      <c r="CB716" s="121"/>
      <c r="CC716" s="121"/>
      <c r="CD716" s="121"/>
      <c r="CE716" s="121"/>
      <c r="CF716" s="121"/>
      <c r="CG716" s="121"/>
      <c r="CH716" s="121"/>
      <c r="CI716" s="121"/>
      <c r="CJ716" s="121"/>
      <c r="CK716" s="121"/>
      <c r="CL716" s="121"/>
      <c r="CM716" s="121"/>
      <c r="CN716" s="121"/>
      <c r="CO716" s="121"/>
      <c r="CP716" s="121"/>
      <c r="CQ716" s="121"/>
      <c r="CR716" s="121"/>
      <c r="CS716" s="121"/>
      <c r="CT716" s="121"/>
      <c r="CU716" s="121"/>
      <c r="CV716" s="121"/>
      <c r="CW716" s="121"/>
      <c r="CX716" s="121"/>
      <c r="CY716" s="121"/>
      <c r="CZ716" s="121"/>
      <c r="DA716" s="121"/>
      <c r="DB716" s="121"/>
      <c r="DC716" s="121"/>
      <c r="DD716" s="121"/>
      <c r="DE716" s="121"/>
      <c r="DF716" s="121"/>
      <c r="DG716" s="121"/>
      <c r="DH716" s="121"/>
      <c r="DI716" s="121"/>
      <c r="DJ716" s="121"/>
      <c r="DK716" s="121"/>
      <c r="DL716" s="121"/>
      <c r="DM716" s="121"/>
      <c r="DN716" s="121"/>
      <c r="DO716" s="121"/>
      <c r="DP716" s="121"/>
      <c r="DQ716" s="121"/>
      <c r="DR716" s="121"/>
      <c r="DS716" s="121"/>
      <c r="DT716" s="240"/>
      <c r="DU716" s="240"/>
      <c r="DV716" s="240"/>
      <c r="DW716" s="240"/>
      <c r="DX716" s="240"/>
      <c r="DY716" s="240"/>
      <c r="DZ716" s="240"/>
      <c r="EA716" s="240"/>
      <c r="EB716" s="237">
        <f t="shared" si="88"/>
        <v>0</v>
      </c>
      <c r="EC716" s="237">
        <f t="shared" si="89"/>
        <v>0</v>
      </c>
      <c r="ED716" s="237">
        <f t="shared" si="90"/>
        <v>0</v>
      </c>
      <c r="EE716" s="237">
        <f t="shared" si="91"/>
        <v>0</v>
      </c>
      <c r="EF716" s="121"/>
      <c r="EG716" s="238">
        <f t="shared" si="92"/>
        <v>0</v>
      </c>
      <c r="EH716" s="121"/>
      <c r="EI716" s="237">
        <f t="shared" si="93"/>
        <v>0</v>
      </c>
      <c r="EJ716" s="121"/>
      <c r="EK716" s="237">
        <f t="shared" si="94"/>
        <v>0</v>
      </c>
      <c r="EL716" s="237"/>
      <c r="EM716" s="5"/>
      <c r="EN716" s="5"/>
      <c r="EO716" s="5"/>
      <c r="EP716" s="5"/>
      <c r="EQ716" s="237">
        <f t="shared" si="95"/>
        <v>0</v>
      </c>
      <c r="ER716" s="239">
        <v>23300</v>
      </c>
      <c r="ES716" s="5">
        <v>7.5</v>
      </c>
    </row>
    <row r="717" spans="1:149" x14ac:dyDescent="0.3">
      <c r="A717" s="124"/>
      <c r="B717" s="121"/>
      <c r="C717" s="121"/>
      <c r="D717" s="121"/>
      <c r="E717" s="121"/>
      <c r="F717" s="121"/>
      <c r="G717" s="121"/>
      <c r="H717" s="121"/>
      <c r="I717" s="121"/>
      <c r="J717" s="121"/>
      <c r="K717" s="121"/>
      <c r="L717" s="121"/>
      <c r="M717" s="121"/>
      <c r="N717" s="121"/>
      <c r="O717" s="235"/>
      <c r="P717" s="121"/>
      <c r="Q717" s="121"/>
      <c r="R717" s="121"/>
      <c r="S717" s="121"/>
      <c r="T717" s="121"/>
      <c r="U717" s="121"/>
      <c r="V717" s="121"/>
      <c r="W717" s="121"/>
      <c r="X717" s="117"/>
      <c r="Y717" s="117"/>
      <c r="Z717" s="121"/>
      <c r="AA717" s="121"/>
      <c r="AB717" s="121"/>
      <c r="AC717" s="121"/>
      <c r="AD717" s="121"/>
      <c r="AE717" s="121"/>
      <c r="AF717" s="121"/>
      <c r="AG717" s="121"/>
      <c r="AH717" s="121"/>
      <c r="AI717" s="121"/>
      <c r="AJ717" s="121"/>
      <c r="AK717" s="121"/>
      <c r="AL717" s="121"/>
      <c r="AM717" s="121"/>
      <c r="AN717" s="121"/>
      <c r="AO717" s="121"/>
      <c r="AP717" s="121"/>
      <c r="AQ717" s="121"/>
      <c r="AR717" s="121"/>
      <c r="AS717" s="121"/>
      <c r="AT717" s="121"/>
      <c r="AU717" s="121"/>
      <c r="AV717" s="121"/>
      <c r="AW717" s="121"/>
      <c r="AX717" s="121"/>
      <c r="AY717" s="121"/>
      <c r="AZ717" s="121"/>
      <c r="BA717" s="121"/>
      <c r="BB717" s="121"/>
      <c r="BC717" s="121"/>
      <c r="BD717" s="121"/>
      <c r="BE717" s="121"/>
      <c r="BF717" s="121"/>
      <c r="BG717" s="121"/>
      <c r="BH717" s="121"/>
      <c r="BI717" s="121"/>
      <c r="BJ717" s="121"/>
      <c r="BK717" s="121"/>
      <c r="BL717" s="121"/>
      <c r="BM717" s="121"/>
      <c r="BN717" s="121"/>
      <c r="BO717" s="121"/>
      <c r="BP717" s="121"/>
      <c r="BQ717" s="121"/>
      <c r="BR717" s="121"/>
      <c r="BS717" s="121"/>
      <c r="BT717" s="121"/>
      <c r="BU717" s="121"/>
      <c r="BV717" s="121"/>
      <c r="BW717" s="121"/>
      <c r="BX717" s="121"/>
      <c r="BY717" s="121"/>
      <c r="BZ717" s="121"/>
      <c r="CA717" s="121"/>
      <c r="CB717" s="121"/>
      <c r="CC717" s="121"/>
      <c r="CD717" s="121"/>
      <c r="CE717" s="121"/>
      <c r="CF717" s="121"/>
      <c r="CG717" s="121"/>
      <c r="CH717" s="121"/>
      <c r="CI717" s="121"/>
      <c r="CJ717" s="121"/>
      <c r="CK717" s="121"/>
      <c r="CL717" s="121"/>
      <c r="CM717" s="121"/>
      <c r="CN717" s="121"/>
      <c r="CO717" s="121"/>
      <c r="CP717" s="121"/>
      <c r="CQ717" s="121"/>
      <c r="CR717" s="121"/>
      <c r="CS717" s="121"/>
      <c r="CT717" s="121"/>
      <c r="CU717" s="121"/>
      <c r="CV717" s="121"/>
      <c r="CW717" s="121"/>
      <c r="CX717" s="121"/>
      <c r="CY717" s="121"/>
      <c r="CZ717" s="121"/>
      <c r="DA717" s="121"/>
      <c r="DB717" s="121"/>
      <c r="DC717" s="121"/>
      <c r="DD717" s="121"/>
      <c r="DE717" s="121"/>
      <c r="DF717" s="121"/>
      <c r="DG717" s="121"/>
      <c r="DH717" s="121"/>
      <c r="DI717" s="121"/>
      <c r="DJ717" s="121"/>
      <c r="DK717" s="121"/>
      <c r="DL717" s="121"/>
      <c r="DM717" s="121"/>
      <c r="DN717" s="121"/>
      <c r="DO717" s="121"/>
      <c r="DP717" s="121"/>
      <c r="DQ717" s="121"/>
      <c r="DR717" s="121"/>
      <c r="DS717" s="121"/>
      <c r="DT717" s="240"/>
      <c r="DU717" s="240"/>
      <c r="DV717" s="240"/>
      <c r="DW717" s="240"/>
      <c r="DX717" s="240"/>
      <c r="DY717" s="240"/>
      <c r="DZ717" s="240"/>
      <c r="EA717" s="240"/>
      <c r="EB717" s="237">
        <f t="shared" si="88"/>
        <v>0</v>
      </c>
      <c r="EC717" s="237">
        <f t="shared" si="89"/>
        <v>0</v>
      </c>
      <c r="ED717" s="237">
        <f t="shared" si="90"/>
        <v>0</v>
      </c>
      <c r="EE717" s="237">
        <f t="shared" si="91"/>
        <v>0</v>
      </c>
      <c r="EF717" s="121"/>
      <c r="EG717" s="238">
        <f t="shared" si="92"/>
        <v>0</v>
      </c>
      <c r="EH717" s="121"/>
      <c r="EI717" s="237">
        <f t="shared" si="93"/>
        <v>0</v>
      </c>
      <c r="EJ717" s="121"/>
      <c r="EK717" s="237">
        <f t="shared" si="94"/>
        <v>0</v>
      </c>
      <c r="EL717" s="237"/>
      <c r="EM717" s="5"/>
      <c r="EN717" s="5"/>
      <c r="EO717" s="5"/>
      <c r="EP717" s="5"/>
      <c r="EQ717" s="237">
        <f t="shared" si="95"/>
        <v>0</v>
      </c>
      <c r="ER717" s="239">
        <v>23300</v>
      </c>
      <c r="ES717" s="5">
        <v>7.5</v>
      </c>
    </row>
    <row r="718" spans="1:149" x14ac:dyDescent="0.3">
      <c r="A718" s="124"/>
      <c r="B718" s="121"/>
      <c r="C718" s="121"/>
      <c r="D718" s="121"/>
      <c r="E718" s="121"/>
      <c r="F718" s="121"/>
      <c r="G718" s="121"/>
      <c r="H718" s="121"/>
      <c r="I718" s="121"/>
      <c r="J718" s="121"/>
      <c r="K718" s="121"/>
      <c r="L718" s="121"/>
      <c r="M718" s="121"/>
      <c r="N718" s="121"/>
      <c r="O718" s="235"/>
      <c r="P718" s="121"/>
      <c r="Q718" s="121"/>
      <c r="R718" s="121"/>
      <c r="S718" s="121"/>
      <c r="T718" s="121"/>
      <c r="U718" s="121"/>
      <c r="V718" s="121"/>
      <c r="W718" s="121"/>
      <c r="X718" s="117"/>
      <c r="Y718" s="117"/>
      <c r="Z718" s="121"/>
      <c r="AA718" s="121"/>
      <c r="AB718" s="121"/>
      <c r="AC718" s="121"/>
      <c r="AD718" s="121"/>
      <c r="AE718" s="121"/>
      <c r="AF718" s="121"/>
      <c r="AG718" s="121"/>
      <c r="AH718" s="121"/>
      <c r="AI718" s="121"/>
      <c r="AJ718" s="121"/>
      <c r="AK718" s="121"/>
      <c r="AL718" s="121"/>
      <c r="AM718" s="121"/>
      <c r="AN718" s="121"/>
      <c r="AO718" s="121"/>
      <c r="AP718" s="121"/>
      <c r="AQ718" s="121"/>
      <c r="AR718" s="121"/>
      <c r="AS718" s="121"/>
      <c r="AT718" s="121"/>
      <c r="AU718" s="121"/>
      <c r="AV718" s="121"/>
      <c r="AW718" s="121"/>
      <c r="AX718" s="121"/>
      <c r="AY718" s="121"/>
      <c r="AZ718" s="121"/>
      <c r="BA718" s="121"/>
      <c r="BB718" s="121"/>
      <c r="BC718" s="121"/>
      <c r="BD718" s="121"/>
      <c r="BE718" s="121"/>
      <c r="BF718" s="121"/>
      <c r="BG718" s="121"/>
      <c r="BH718" s="121"/>
      <c r="BI718" s="121"/>
      <c r="BJ718" s="121"/>
      <c r="BK718" s="121"/>
      <c r="BL718" s="121"/>
      <c r="BM718" s="121"/>
      <c r="BN718" s="121"/>
      <c r="BO718" s="121"/>
      <c r="BP718" s="121"/>
      <c r="BQ718" s="121"/>
      <c r="BR718" s="121"/>
      <c r="BS718" s="121"/>
      <c r="BT718" s="121"/>
      <c r="BU718" s="121"/>
      <c r="BV718" s="121"/>
      <c r="BW718" s="121"/>
      <c r="BX718" s="121"/>
      <c r="BY718" s="121"/>
      <c r="BZ718" s="121"/>
      <c r="CA718" s="121"/>
      <c r="CB718" s="121"/>
      <c r="CC718" s="121"/>
      <c r="CD718" s="121"/>
      <c r="CE718" s="121"/>
      <c r="CF718" s="121"/>
      <c r="CG718" s="121"/>
      <c r="CH718" s="121"/>
      <c r="CI718" s="121"/>
      <c r="CJ718" s="121"/>
      <c r="CK718" s="121"/>
      <c r="CL718" s="121"/>
      <c r="CM718" s="121"/>
      <c r="CN718" s="121"/>
      <c r="CO718" s="121"/>
      <c r="CP718" s="121"/>
      <c r="CQ718" s="121"/>
      <c r="CR718" s="121"/>
      <c r="CS718" s="121"/>
      <c r="CT718" s="121"/>
      <c r="CU718" s="121"/>
      <c r="CV718" s="121"/>
      <c r="CW718" s="121"/>
      <c r="CX718" s="121"/>
      <c r="CY718" s="121"/>
      <c r="CZ718" s="121"/>
      <c r="DA718" s="121"/>
      <c r="DB718" s="121"/>
      <c r="DC718" s="121"/>
      <c r="DD718" s="121"/>
      <c r="DE718" s="121"/>
      <c r="DF718" s="121"/>
      <c r="DG718" s="121"/>
      <c r="DH718" s="121"/>
      <c r="DI718" s="121"/>
      <c r="DJ718" s="121"/>
      <c r="DK718" s="121"/>
      <c r="DL718" s="121"/>
      <c r="DM718" s="121"/>
      <c r="DN718" s="121"/>
      <c r="DO718" s="121"/>
      <c r="DP718" s="121"/>
      <c r="DQ718" s="121"/>
      <c r="DR718" s="121"/>
      <c r="DS718" s="121"/>
      <c r="DT718" s="240"/>
      <c r="DU718" s="240"/>
      <c r="DV718" s="240"/>
      <c r="DW718" s="240"/>
      <c r="DX718" s="240"/>
      <c r="DY718" s="240"/>
      <c r="DZ718" s="240"/>
      <c r="EA718" s="240"/>
      <c r="EB718" s="237">
        <f t="shared" si="88"/>
        <v>0</v>
      </c>
      <c r="EC718" s="237">
        <f t="shared" si="89"/>
        <v>0</v>
      </c>
      <c r="ED718" s="237">
        <f t="shared" si="90"/>
        <v>0</v>
      </c>
      <c r="EE718" s="237">
        <f t="shared" si="91"/>
        <v>0</v>
      </c>
      <c r="EF718" s="121"/>
      <c r="EG718" s="238">
        <f t="shared" si="92"/>
        <v>0</v>
      </c>
      <c r="EH718" s="121"/>
      <c r="EI718" s="237">
        <f t="shared" si="93"/>
        <v>0</v>
      </c>
      <c r="EJ718" s="121"/>
      <c r="EK718" s="237">
        <f t="shared" si="94"/>
        <v>0</v>
      </c>
      <c r="EL718" s="237"/>
      <c r="EM718" s="5"/>
      <c r="EN718" s="5"/>
      <c r="EO718" s="5"/>
      <c r="EP718" s="5"/>
      <c r="EQ718" s="237">
        <f t="shared" si="95"/>
        <v>0</v>
      </c>
      <c r="ER718" s="239">
        <v>23300</v>
      </c>
      <c r="ES718" s="5">
        <v>7.5</v>
      </c>
    </row>
    <row r="719" spans="1:149" x14ac:dyDescent="0.3">
      <c r="A719" s="124"/>
      <c r="B719" s="121"/>
      <c r="C719" s="121"/>
      <c r="D719" s="121"/>
      <c r="E719" s="121"/>
      <c r="F719" s="121"/>
      <c r="G719" s="121"/>
      <c r="H719" s="121"/>
      <c r="I719" s="121"/>
      <c r="J719" s="121"/>
      <c r="K719" s="121"/>
      <c r="L719" s="121"/>
      <c r="M719" s="121"/>
      <c r="N719" s="121"/>
      <c r="O719" s="235"/>
      <c r="P719" s="121"/>
      <c r="Q719" s="121"/>
      <c r="R719" s="121"/>
      <c r="S719" s="121"/>
      <c r="T719" s="121"/>
      <c r="U719" s="121"/>
      <c r="V719" s="121"/>
      <c r="W719" s="121"/>
      <c r="X719" s="117"/>
      <c r="Y719" s="117"/>
      <c r="Z719" s="121"/>
      <c r="AA719" s="121"/>
      <c r="AB719" s="121"/>
      <c r="AC719" s="121"/>
      <c r="AD719" s="121"/>
      <c r="AE719" s="121"/>
      <c r="AF719" s="121"/>
      <c r="AG719" s="121"/>
      <c r="AH719" s="121"/>
      <c r="AI719" s="121"/>
      <c r="AJ719" s="121"/>
      <c r="AK719" s="121"/>
      <c r="AL719" s="121"/>
      <c r="AM719" s="121"/>
      <c r="AN719" s="121"/>
      <c r="AO719" s="121"/>
      <c r="AP719" s="121"/>
      <c r="AQ719" s="121"/>
      <c r="AR719" s="121"/>
      <c r="AS719" s="121"/>
      <c r="AT719" s="121"/>
      <c r="AU719" s="121"/>
      <c r="AV719" s="121"/>
      <c r="AW719" s="121"/>
      <c r="AX719" s="121"/>
      <c r="AY719" s="121"/>
      <c r="AZ719" s="121"/>
      <c r="BA719" s="121"/>
      <c r="BB719" s="121"/>
      <c r="BC719" s="121"/>
      <c r="BD719" s="121"/>
      <c r="BE719" s="121"/>
      <c r="BF719" s="121"/>
      <c r="BG719" s="121"/>
      <c r="BH719" s="121"/>
      <c r="BI719" s="121"/>
      <c r="BJ719" s="121"/>
      <c r="BK719" s="121"/>
      <c r="BL719" s="121"/>
      <c r="BM719" s="121"/>
      <c r="BN719" s="121"/>
      <c r="BO719" s="121"/>
      <c r="BP719" s="121"/>
      <c r="BQ719" s="121"/>
      <c r="BR719" s="121"/>
      <c r="BS719" s="121"/>
      <c r="BT719" s="121"/>
      <c r="BU719" s="121"/>
      <c r="BV719" s="121"/>
      <c r="BW719" s="121"/>
      <c r="BX719" s="121"/>
      <c r="BY719" s="121"/>
      <c r="BZ719" s="121"/>
      <c r="CA719" s="121"/>
      <c r="CB719" s="121"/>
      <c r="CC719" s="121"/>
      <c r="CD719" s="121"/>
      <c r="CE719" s="121"/>
      <c r="CF719" s="121"/>
      <c r="CG719" s="121"/>
      <c r="CH719" s="121"/>
      <c r="CI719" s="121"/>
      <c r="CJ719" s="121"/>
      <c r="CK719" s="121"/>
      <c r="CL719" s="121"/>
      <c r="CM719" s="121"/>
      <c r="CN719" s="121"/>
      <c r="CO719" s="121"/>
      <c r="CP719" s="121"/>
      <c r="CQ719" s="121"/>
      <c r="CR719" s="121"/>
      <c r="CS719" s="121"/>
      <c r="CT719" s="121"/>
      <c r="CU719" s="121"/>
      <c r="CV719" s="121"/>
      <c r="CW719" s="121"/>
      <c r="CX719" s="121"/>
      <c r="CY719" s="121"/>
      <c r="CZ719" s="121"/>
      <c r="DA719" s="121"/>
      <c r="DB719" s="121"/>
      <c r="DC719" s="121"/>
      <c r="DD719" s="121"/>
      <c r="DE719" s="121"/>
      <c r="DF719" s="121"/>
      <c r="DG719" s="121"/>
      <c r="DH719" s="121"/>
      <c r="DI719" s="121"/>
      <c r="DJ719" s="121"/>
      <c r="DK719" s="121"/>
      <c r="DL719" s="121"/>
      <c r="DM719" s="121"/>
      <c r="DN719" s="121"/>
      <c r="DO719" s="121"/>
      <c r="DP719" s="121"/>
      <c r="DQ719" s="121"/>
      <c r="DR719" s="121"/>
      <c r="DS719" s="121"/>
      <c r="DT719" s="240"/>
      <c r="DU719" s="240"/>
      <c r="DV719" s="240"/>
      <c r="DW719" s="240"/>
      <c r="DX719" s="240"/>
      <c r="DY719" s="240"/>
      <c r="DZ719" s="240"/>
      <c r="EA719" s="240"/>
      <c r="EB719" s="237">
        <f t="shared" si="88"/>
        <v>0</v>
      </c>
      <c r="EC719" s="237">
        <f t="shared" si="89"/>
        <v>0</v>
      </c>
      <c r="ED719" s="237">
        <f t="shared" si="90"/>
        <v>0</v>
      </c>
      <c r="EE719" s="237">
        <f t="shared" si="91"/>
        <v>0</v>
      </c>
      <c r="EF719" s="121"/>
      <c r="EG719" s="238">
        <f t="shared" si="92"/>
        <v>0</v>
      </c>
      <c r="EH719" s="121"/>
      <c r="EI719" s="237">
        <f t="shared" si="93"/>
        <v>0</v>
      </c>
      <c r="EJ719" s="121"/>
      <c r="EK719" s="237">
        <f t="shared" si="94"/>
        <v>0</v>
      </c>
      <c r="EL719" s="237"/>
      <c r="EM719" s="5"/>
      <c r="EN719" s="5"/>
      <c r="EO719" s="5"/>
      <c r="EP719" s="5"/>
      <c r="EQ719" s="237">
        <f t="shared" si="95"/>
        <v>0</v>
      </c>
      <c r="ER719" s="239">
        <v>23300</v>
      </c>
      <c r="ES719" s="5">
        <v>7.5</v>
      </c>
    </row>
    <row r="720" spans="1:149" x14ac:dyDescent="0.3">
      <c r="A720" s="124"/>
      <c r="B720" s="121"/>
      <c r="C720" s="121"/>
      <c r="D720" s="121"/>
      <c r="E720" s="121"/>
      <c r="F720" s="121"/>
      <c r="G720" s="121"/>
      <c r="H720" s="121"/>
      <c r="I720" s="121"/>
      <c r="J720" s="121"/>
      <c r="K720" s="121"/>
      <c r="L720" s="121"/>
      <c r="M720" s="121"/>
      <c r="N720" s="121"/>
      <c r="O720" s="235"/>
      <c r="P720" s="121"/>
      <c r="Q720" s="121"/>
      <c r="R720" s="121"/>
      <c r="S720" s="121"/>
      <c r="T720" s="121"/>
      <c r="U720" s="121"/>
      <c r="V720" s="121"/>
      <c r="W720" s="121"/>
      <c r="X720" s="117"/>
      <c r="Y720" s="117"/>
      <c r="Z720" s="121"/>
      <c r="AA720" s="121"/>
      <c r="AB720" s="121"/>
      <c r="AC720" s="121"/>
      <c r="AD720" s="121"/>
      <c r="AE720" s="121"/>
      <c r="AF720" s="121"/>
      <c r="AG720" s="121"/>
      <c r="AH720" s="121"/>
      <c r="AI720" s="121"/>
      <c r="AJ720" s="121"/>
      <c r="AK720" s="121"/>
      <c r="AL720" s="121"/>
      <c r="AM720" s="121"/>
      <c r="AN720" s="121"/>
      <c r="AO720" s="121"/>
      <c r="AP720" s="121"/>
      <c r="AQ720" s="121"/>
      <c r="AR720" s="121"/>
      <c r="AS720" s="121"/>
      <c r="AT720" s="121"/>
      <c r="AU720" s="121"/>
      <c r="AV720" s="121"/>
      <c r="AW720" s="121"/>
      <c r="AX720" s="121"/>
      <c r="AY720" s="121"/>
      <c r="AZ720" s="121"/>
      <c r="BA720" s="121"/>
      <c r="BB720" s="121"/>
      <c r="BC720" s="121"/>
      <c r="BD720" s="121"/>
      <c r="BE720" s="121"/>
      <c r="BF720" s="121"/>
      <c r="BG720" s="121"/>
      <c r="BH720" s="121"/>
      <c r="BI720" s="121"/>
      <c r="BJ720" s="121"/>
      <c r="BK720" s="121"/>
      <c r="BL720" s="121"/>
      <c r="BM720" s="121"/>
      <c r="BN720" s="121"/>
      <c r="BO720" s="121"/>
      <c r="BP720" s="121"/>
      <c r="BQ720" s="121"/>
      <c r="BR720" s="121"/>
      <c r="BS720" s="121"/>
      <c r="BT720" s="121"/>
      <c r="BU720" s="121"/>
      <c r="BV720" s="121"/>
      <c r="BW720" s="121"/>
      <c r="BX720" s="121"/>
      <c r="BY720" s="121"/>
      <c r="BZ720" s="121"/>
      <c r="CA720" s="121"/>
      <c r="CB720" s="121"/>
      <c r="CC720" s="121"/>
      <c r="CD720" s="121"/>
      <c r="CE720" s="121"/>
      <c r="CF720" s="121"/>
      <c r="CG720" s="121"/>
      <c r="CH720" s="121"/>
      <c r="CI720" s="121"/>
      <c r="CJ720" s="121"/>
      <c r="CK720" s="121"/>
      <c r="CL720" s="121"/>
      <c r="CM720" s="121"/>
      <c r="CN720" s="121"/>
      <c r="CO720" s="121"/>
      <c r="CP720" s="121"/>
      <c r="CQ720" s="121"/>
      <c r="CR720" s="121"/>
      <c r="CS720" s="121"/>
      <c r="CT720" s="121"/>
      <c r="CU720" s="121"/>
      <c r="CV720" s="121"/>
      <c r="CW720" s="121"/>
      <c r="CX720" s="121"/>
      <c r="CY720" s="121"/>
      <c r="CZ720" s="121"/>
      <c r="DA720" s="121"/>
      <c r="DB720" s="121"/>
      <c r="DC720" s="121"/>
      <c r="DD720" s="121"/>
      <c r="DE720" s="121"/>
      <c r="DF720" s="121"/>
      <c r="DG720" s="121"/>
      <c r="DH720" s="121"/>
      <c r="DI720" s="121"/>
      <c r="DJ720" s="121"/>
      <c r="DK720" s="121"/>
      <c r="DL720" s="121"/>
      <c r="DM720" s="121"/>
      <c r="DN720" s="121"/>
      <c r="DO720" s="121"/>
      <c r="DP720" s="121"/>
      <c r="DQ720" s="121"/>
      <c r="DR720" s="121"/>
      <c r="DS720" s="121"/>
      <c r="DT720" s="240"/>
      <c r="DU720" s="240"/>
      <c r="DV720" s="240"/>
      <c r="DW720" s="240"/>
      <c r="DX720" s="240"/>
      <c r="DY720" s="240"/>
      <c r="DZ720" s="240"/>
      <c r="EA720" s="240"/>
      <c r="EB720" s="237">
        <f t="shared" si="88"/>
        <v>0</v>
      </c>
      <c r="EC720" s="237">
        <f t="shared" si="89"/>
        <v>0</v>
      </c>
      <c r="ED720" s="237">
        <f t="shared" si="90"/>
        <v>0</v>
      </c>
      <c r="EE720" s="237">
        <f t="shared" si="91"/>
        <v>0</v>
      </c>
      <c r="EF720" s="121"/>
      <c r="EG720" s="238">
        <f t="shared" si="92"/>
        <v>0</v>
      </c>
      <c r="EH720" s="121"/>
      <c r="EI720" s="237">
        <f t="shared" si="93"/>
        <v>0</v>
      </c>
      <c r="EJ720" s="121"/>
      <c r="EK720" s="237">
        <f t="shared" si="94"/>
        <v>0</v>
      </c>
      <c r="EL720" s="237"/>
      <c r="EM720" s="5"/>
      <c r="EN720" s="5"/>
      <c r="EO720" s="5"/>
      <c r="EP720" s="5"/>
      <c r="EQ720" s="237">
        <f t="shared" si="95"/>
        <v>0</v>
      </c>
      <c r="ER720" s="239">
        <v>23300</v>
      </c>
      <c r="ES720" s="5">
        <v>7.5</v>
      </c>
    </row>
    <row r="721" spans="1:149" x14ac:dyDescent="0.3">
      <c r="A721" s="124"/>
      <c r="B721" s="121"/>
      <c r="C721" s="121"/>
      <c r="D721" s="121"/>
      <c r="E721" s="121"/>
      <c r="F721" s="121"/>
      <c r="G721" s="121"/>
      <c r="H721" s="121"/>
      <c r="I721" s="121"/>
      <c r="J721" s="121"/>
      <c r="K721" s="121"/>
      <c r="L721" s="121"/>
      <c r="M721" s="121"/>
      <c r="N721" s="121"/>
      <c r="O721" s="235"/>
      <c r="P721" s="121"/>
      <c r="Q721" s="121"/>
      <c r="R721" s="121"/>
      <c r="S721" s="121"/>
      <c r="T721" s="121"/>
      <c r="U721" s="121"/>
      <c r="V721" s="121"/>
      <c r="W721" s="121"/>
      <c r="X721" s="117"/>
      <c r="Y721" s="117"/>
      <c r="Z721" s="121"/>
      <c r="AA721" s="121"/>
      <c r="AB721" s="121"/>
      <c r="AC721" s="121"/>
      <c r="AD721" s="121"/>
      <c r="AE721" s="121"/>
      <c r="AF721" s="121"/>
      <c r="AG721" s="121"/>
      <c r="AH721" s="121"/>
      <c r="AI721" s="121"/>
      <c r="AJ721" s="121"/>
      <c r="AK721" s="121"/>
      <c r="AL721" s="121"/>
      <c r="AM721" s="121"/>
      <c r="AN721" s="121"/>
      <c r="AO721" s="121"/>
      <c r="AP721" s="121"/>
      <c r="AQ721" s="121"/>
      <c r="AR721" s="121"/>
      <c r="AS721" s="121"/>
      <c r="AT721" s="121"/>
      <c r="AU721" s="121"/>
      <c r="AV721" s="121"/>
      <c r="AW721" s="121"/>
      <c r="AX721" s="121"/>
      <c r="AY721" s="121"/>
      <c r="AZ721" s="121"/>
      <c r="BA721" s="121"/>
      <c r="BB721" s="121"/>
      <c r="BC721" s="121"/>
      <c r="BD721" s="121"/>
      <c r="BE721" s="121"/>
      <c r="BF721" s="121"/>
      <c r="BG721" s="121"/>
      <c r="BH721" s="121"/>
      <c r="BI721" s="121"/>
      <c r="BJ721" s="121"/>
      <c r="BK721" s="121"/>
      <c r="BL721" s="121"/>
      <c r="BM721" s="121"/>
      <c r="BN721" s="121"/>
      <c r="BO721" s="121"/>
      <c r="BP721" s="121"/>
      <c r="BQ721" s="121"/>
      <c r="BR721" s="121"/>
      <c r="BS721" s="121"/>
      <c r="BT721" s="121"/>
      <c r="BU721" s="121"/>
      <c r="BV721" s="121"/>
      <c r="BW721" s="121"/>
      <c r="BX721" s="121"/>
      <c r="BY721" s="121"/>
      <c r="BZ721" s="121"/>
      <c r="CA721" s="121"/>
      <c r="CB721" s="121"/>
      <c r="CC721" s="121"/>
      <c r="CD721" s="121"/>
      <c r="CE721" s="121"/>
      <c r="CF721" s="121"/>
      <c r="CG721" s="121"/>
      <c r="CH721" s="121"/>
      <c r="CI721" s="121"/>
      <c r="CJ721" s="121"/>
      <c r="CK721" s="121"/>
      <c r="CL721" s="121"/>
      <c r="CM721" s="121"/>
      <c r="CN721" s="121"/>
      <c r="CO721" s="121"/>
      <c r="CP721" s="121"/>
      <c r="CQ721" s="121"/>
      <c r="CR721" s="121"/>
      <c r="CS721" s="121"/>
      <c r="CT721" s="121"/>
      <c r="CU721" s="121"/>
      <c r="CV721" s="121"/>
      <c r="CW721" s="121"/>
      <c r="CX721" s="121"/>
      <c r="CY721" s="121"/>
      <c r="CZ721" s="121"/>
      <c r="DA721" s="121"/>
      <c r="DB721" s="121"/>
      <c r="DC721" s="121"/>
      <c r="DD721" s="121"/>
      <c r="DE721" s="121"/>
      <c r="DF721" s="121"/>
      <c r="DG721" s="121"/>
      <c r="DH721" s="121"/>
      <c r="DI721" s="121"/>
      <c r="DJ721" s="121"/>
      <c r="DK721" s="121"/>
      <c r="DL721" s="121"/>
      <c r="DM721" s="121"/>
      <c r="DN721" s="121"/>
      <c r="DO721" s="121"/>
      <c r="DP721" s="121"/>
      <c r="DQ721" s="121"/>
      <c r="DR721" s="121"/>
      <c r="DS721" s="121"/>
      <c r="DT721" s="240"/>
      <c r="DU721" s="240"/>
      <c r="DV721" s="240"/>
      <c r="DW721" s="240"/>
      <c r="DX721" s="240"/>
      <c r="DY721" s="240"/>
      <c r="DZ721" s="240"/>
      <c r="EA721" s="240"/>
      <c r="EB721" s="237">
        <f t="shared" si="88"/>
        <v>0</v>
      </c>
      <c r="EC721" s="237">
        <f t="shared" si="89"/>
        <v>0</v>
      </c>
      <c r="ED721" s="237">
        <f t="shared" si="90"/>
        <v>0</v>
      </c>
      <c r="EE721" s="237">
        <f t="shared" si="91"/>
        <v>0</v>
      </c>
      <c r="EF721" s="121"/>
      <c r="EG721" s="238">
        <f t="shared" si="92"/>
        <v>0</v>
      </c>
      <c r="EH721" s="121"/>
      <c r="EI721" s="237">
        <f t="shared" si="93"/>
        <v>0</v>
      </c>
      <c r="EJ721" s="121"/>
      <c r="EK721" s="237">
        <f t="shared" si="94"/>
        <v>0</v>
      </c>
      <c r="EL721" s="237"/>
      <c r="EM721" s="5"/>
      <c r="EN721" s="5"/>
      <c r="EO721" s="5"/>
      <c r="EP721" s="5"/>
      <c r="EQ721" s="237">
        <f t="shared" si="95"/>
        <v>0</v>
      </c>
      <c r="ER721" s="239">
        <v>23300</v>
      </c>
      <c r="ES721" s="5">
        <v>7.5</v>
      </c>
    </row>
    <row r="722" spans="1:149" x14ac:dyDescent="0.3">
      <c r="A722" s="124"/>
      <c r="B722" s="121"/>
      <c r="C722" s="121"/>
      <c r="D722" s="121"/>
      <c r="E722" s="121"/>
      <c r="F722" s="121"/>
      <c r="G722" s="121"/>
      <c r="H722" s="121"/>
      <c r="I722" s="121"/>
      <c r="J722" s="121"/>
      <c r="K722" s="121"/>
      <c r="L722" s="121"/>
      <c r="M722" s="121"/>
      <c r="N722" s="121"/>
      <c r="O722" s="235"/>
      <c r="P722" s="121"/>
      <c r="Q722" s="121"/>
      <c r="R722" s="121"/>
      <c r="S722" s="121"/>
      <c r="T722" s="121"/>
      <c r="U722" s="121"/>
      <c r="V722" s="121"/>
      <c r="W722" s="121"/>
      <c r="X722" s="117"/>
      <c r="Y722" s="117"/>
      <c r="Z722" s="121"/>
      <c r="AA722" s="121"/>
      <c r="AB722" s="121"/>
      <c r="AC722" s="121"/>
      <c r="AD722" s="121"/>
      <c r="AE722" s="121"/>
      <c r="AF722" s="121"/>
      <c r="AG722" s="121"/>
      <c r="AH722" s="121"/>
      <c r="AI722" s="121"/>
      <c r="AJ722" s="121"/>
      <c r="AK722" s="121"/>
      <c r="AL722" s="121"/>
      <c r="AM722" s="121"/>
      <c r="AN722" s="121"/>
      <c r="AO722" s="121"/>
      <c r="AP722" s="121"/>
      <c r="AQ722" s="121"/>
      <c r="AR722" s="121"/>
      <c r="AS722" s="121"/>
      <c r="AT722" s="121"/>
      <c r="AU722" s="121"/>
      <c r="AV722" s="121"/>
      <c r="AW722" s="121"/>
      <c r="AX722" s="121"/>
      <c r="AY722" s="121"/>
      <c r="AZ722" s="121"/>
      <c r="BA722" s="121"/>
      <c r="BB722" s="121"/>
      <c r="BC722" s="121"/>
      <c r="BD722" s="121"/>
      <c r="BE722" s="121"/>
      <c r="BF722" s="121"/>
      <c r="BG722" s="121"/>
      <c r="BH722" s="121"/>
      <c r="BI722" s="121"/>
      <c r="BJ722" s="121"/>
      <c r="BK722" s="121"/>
      <c r="BL722" s="121"/>
      <c r="BM722" s="121"/>
      <c r="BN722" s="121"/>
      <c r="BO722" s="121"/>
      <c r="BP722" s="121"/>
      <c r="BQ722" s="121"/>
      <c r="BR722" s="121"/>
      <c r="BS722" s="121"/>
      <c r="BT722" s="121"/>
      <c r="BU722" s="121"/>
      <c r="BV722" s="121"/>
      <c r="BW722" s="121"/>
      <c r="BX722" s="121"/>
      <c r="BY722" s="121"/>
      <c r="BZ722" s="121"/>
      <c r="CA722" s="121"/>
      <c r="CB722" s="121"/>
      <c r="CC722" s="121"/>
      <c r="CD722" s="121"/>
      <c r="CE722" s="121"/>
      <c r="CF722" s="121"/>
      <c r="CG722" s="121"/>
      <c r="CH722" s="121"/>
      <c r="CI722" s="121"/>
      <c r="CJ722" s="121"/>
      <c r="CK722" s="121"/>
      <c r="CL722" s="121"/>
      <c r="CM722" s="121"/>
      <c r="CN722" s="121"/>
      <c r="CO722" s="121"/>
      <c r="CP722" s="121"/>
      <c r="CQ722" s="121"/>
      <c r="CR722" s="121"/>
      <c r="CS722" s="121"/>
      <c r="CT722" s="121"/>
      <c r="CU722" s="121"/>
      <c r="CV722" s="121"/>
      <c r="CW722" s="121"/>
      <c r="CX722" s="121"/>
      <c r="CY722" s="121"/>
      <c r="CZ722" s="121"/>
      <c r="DA722" s="121"/>
      <c r="DB722" s="121"/>
      <c r="DC722" s="121"/>
      <c r="DD722" s="121"/>
      <c r="DE722" s="121"/>
      <c r="DF722" s="121"/>
      <c r="DG722" s="121"/>
      <c r="DH722" s="121"/>
      <c r="DI722" s="121"/>
      <c r="DJ722" s="121"/>
      <c r="DK722" s="121"/>
      <c r="DL722" s="121"/>
      <c r="DM722" s="121"/>
      <c r="DN722" s="121"/>
      <c r="DO722" s="121"/>
      <c r="DP722" s="121"/>
      <c r="DQ722" s="121"/>
      <c r="DR722" s="121"/>
      <c r="DS722" s="121"/>
      <c r="DT722" s="240"/>
      <c r="DU722" s="240"/>
      <c r="DV722" s="240"/>
      <c r="DW722" s="240"/>
      <c r="DX722" s="240"/>
      <c r="DY722" s="240"/>
      <c r="DZ722" s="240"/>
      <c r="EA722" s="240"/>
      <c r="EB722" s="237">
        <f t="shared" si="88"/>
        <v>0</v>
      </c>
      <c r="EC722" s="237">
        <f t="shared" si="89"/>
        <v>0</v>
      </c>
      <c r="ED722" s="237">
        <f t="shared" si="90"/>
        <v>0</v>
      </c>
      <c r="EE722" s="237">
        <f t="shared" si="91"/>
        <v>0</v>
      </c>
      <c r="EF722" s="121"/>
      <c r="EG722" s="238">
        <f t="shared" si="92"/>
        <v>0</v>
      </c>
      <c r="EH722" s="121"/>
      <c r="EI722" s="237">
        <f t="shared" si="93"/>
        <v>0</v>
      </c>
      <c r="EJ722" s="121"/>
      <c r="EK722" s="237">
        <f t="shared" si="94"/>
        <v>0</v>
      </c>
      <c r="EL722" s="237"/>
      <c r="EM722" s="5"/>
      <c r="EN722" s="5"/>
      <c r="EO722" s="5"/>
      <c r="EP722" s="5"/>
      <c r="EQ722" s="237">
        <f t="shared" si="95"/>
        <v>0</v>
      </c>
      <c r="ER722" s="239">
        <v>23300</v>
      </c>
      <c r="ES722" s="5">
        <v>7.5</v>
      </c>
    </row>
    <row r="723" spans="1:149" x14ac:dyDescent="0.3">
      <c r="A723" s="124"/>
      <c r="B723" s="121"/>
      <c r="C723" s="121"/>
      <c r="D723" s="121"/>
      <c r="E723" s="121"/>
      <c r="F723" s="121"/>
      <c r="G723" s="121"/>
      <c r="H723" s="121"/>
      <c r="I723" s="121"/>
      <c r="J723" s="121"/>
      <c r="K723" s="121"/>
      <c r="L723" s="121"/>
      <c r="M723" s="121"/>
      <c r="N723" s="121"/>
      <c r="O723" s="235"/>
      <c r="P723" s="121"/>
      <c r="Q723" s="121"/>
      <c r="R723" s="121"/>
      <c r="S723" s="121"/>
      <c r="T723" s="121"/>
      <c r="U723" s="121"/>
      <c r="V723" s="121"/>
      <c r="W723" s="121"/>
      <c r="X723" s="117"/>
      <c r="Y723" s="117"/>
      <c r="Z723" s="121"/>
      <c r="AA723" s="121"/>
      <c r="AB723" s="121"/>
      <c r="AC723" s="121"/>
      <c r="AD723" s="121"/>
      <c r="AE723" s="121"/>
      <c r="AF723" s="121"/>
      <c r="AG723" s="121"/>
      <c r="AH723" s="121"/>
      <c r="AI723" s="121"/>
      <c r="AJ723" s="121"/>
      <c r="AK723" s="121"/>
      <c r="AL723" s="121"/>
      <c r="AM723" s="121"/>
      <c r="AN723" s="121"/>
      <c r="AO723" s="121"/>
      <c r="AP723" s="121"/>
      <c r="AQ723" s="121"/>
      <c r="AR723" s="121"/>
      <c r="AS723" s="121"/>
      <c r="AT723" s="121"/>
      <c r="AU723" s="121"/>
      <c r="AV723" s="121"/>
      <c r="AW723" s="121"/>
      <c r="AX723" s="121"/>
      <c r="AY723" s="121"/>
      <c r="AZ723" s="121"/>
      <c r="BA723" s="121"/>
      <c r="BB723" s="121"/>
      <c r="BC723" s="121"/>
      <c r="BD723" s="121"/>
      <c r="BE723" s="121"/>
      <c r="BF723" s="121"/>
      <c r="BG723" s="121"/>
      <c r="BH723" s="121"/>
      <c r="BI723" s="121"/>
      <c r="BJ723" s="121"/>
      <c r="BK723" s="121"/>
      <c r="BL723" s="121"/>
      <c r="BM723" s="121"/>
      <c r="BN723" s="121"/>
      <c r="BO723" s="121"/>
      <c r="BP723" s="121"/>
      <c r="BQ723" s="121"/>
      <c r="BR723" s="121"/>
      <c r="BS723" s="121"/>
      <c r="BT723" s="121"/>
      <c r="BU723" s="121"/>
      <c r="BV723" s="121"/>
      <c r="BW723" s="121"/>
      <c r="BX723" s="121"/>
      <c r="BY723" s="121"/>
      <c r="BZ723" s="121"/>
      <c r="CA723" s="121"/>
      <c r="CB723" s="121"/>
      <c r="CC723" s="121"/>
      <c r="CD723" s="121"/>
      <c r="CE723" s="121"/>
      <c r="CF723" s="121"/>
      <c r="CG723" s="121"/>
      <c r="CH723" s="121"/>
      <c r="CI723" s="121"/>
      <c r="CJ723" s="121"/>
      <c r="CK723" s="121"/>
      <c r="CL723" s="121"/>
      <c r="CM723" s="121"/>
      <c r="CN723" s="121"/>
      <c r="CO723" s="121"/>
      <c r="CP723" s="121"/>
      <c r="CQ723" s="121"/>
      <c r="CR723" s="121"/>
      <c r="CS723" s="121"/>
      <c r="CT723" s="121"/>
      <c r="CU723" s="121"/>
      <c r="CV723" s="121"/>
      <c r="CW723" s="121"/>
      <c r="CX723" s="121"/>
      <c r="CY723" s="121"/>
      <c r="CZ723" s="121"/>
      <c r="DA723" s="121"/>
      <c r="DB723" s="121"/>
      <c r="DC723" s="121"/>
      <c r="DD723" s="121"/>
      <c r="DE723" s="121"/>
      <c r="DF723" s="121"/>
      <c r="DG723" s="121"/>
      <c r="DH723" s="121"/>
      <c r="DI723" s="121"/>
      <c r="DJ723" s="121"/>
      <c r="DK723" s="121"/>
      <c r="DL723" s="121"/>
      <c r="DM723" s="121"/>
      <c r="DN723" s="121"/>
      <c r="DO723" s="121"/>
      <c r="DP723" s="121"/>
      <c r="DQ723" s="121"/>
      <c r="DR723" s="121"/>
      <c r="DS723" s="121"/>
      <c r="DT723" s="240"/>
      <c r="DU723" s="240"/>
      <c r="DV723" s="240"/>
      <c r="DW723" s="240"/>
      <c r="DX723" s="240"/>
      <c r="DY723" s="240"/>
      <c r="DZ723" s="240"/>
      <c r="EA723" s="240"/>
      <c r="EB723" s="237">
        <f t="shared" si="88"/>
        <v>0</v>
      </c>
      <c r="EC723" s="237">
        <f t="shared" si="89"/>
        <v>0</v>
      </c>
      <c r="ED723" s="237">
        <f t="shared" si="90"/>
        <v>0</v>
      </c>
      <c r="EE723" s="237">
        <f t="shared" si="91"/>
        <v>0</v>
      </c>
      <c r="EF723" s="121"/>
      <c r="EG723" s="238">
        <f t="shared" si="92"/>
        <v>0</v>
      </c>
      <c r="EH723" s="121"/>
      <c r="EI723" s="237">
        <f t="shared" si="93"/>
        <v>0</v>
      </c>
      <c r="EJ723" s="121"/>
      <c r="EK723" s="237">
        <f t="shared" si="94"/>
        <v>0</v>
      </c>
      <c r="EL723" s="237"/>
      <c r="EM723" s="5"/>
      <c r="EN723" s="5"/>
      <c r="EO723" s="5"/>
      <c r="EP723" s="5"/>
      <c r="EQ723" s="237">
        <f t="shared" si="95"/>
        <v>0</v>
      </c>
      <c r="ER723" s="239">
        <v>23300</v>
      </c>
      <c r="ES723" s="5">
        <v>7.5</v>
      </c>
    </row>
    <row r="724" spans="1:149" x14ac:dyDescent="0.3">
      <c r="A724" s="124"/>
      <c r="B724" s="121"/>
      <c r="C724" s="121"/>
      <c r="D724" s="121"/>
      <c r="E724" s="121"/>
      <c r="F724" s="121"/>
      <c r="G724" s="121"/>
      <c r="H724" s="121"/>
      <c r="I724" s="121"/>
      <c r="J724" s="121"/>
      <c r="K724" s="121"/>
      <c r="L724" s="121"/>
      <c r="M724" s="121"/>
      <c r="N724" s="121"/>
      <c r="O724" s="235"/>
      <c r="P724" s="121"/>
      <c r="Q724" s="121"/>
      <c r="R724" s="121"/>
      <c r="S724" s="121"/>
      <c r="T724" s="121"/>
      <c r="U724" s="121"/>
      <c r="V724" s="121"/>
      <c r="W724" s="121"/>
      <c r="X724" s="117"/>
      <c r="Y724" s="117"/>
      <c r="Z724" s="121"/>
      <c r="AA724" s="121"/>
      <c r="AB724" s="121"/>
      <c r="AC724" s="121"/>
      <c r="AD724" s="121"/>
      <c r="AE724" s="121"/>
      <c r="AF724" s="121"/>
      <c r="AG724" s="121"/>
      <c r="AH724" s="121"/>
      <c r="AI724" s="121"/>
      <c r="AJ724" s="121"/>
      <c r="AK724" s="121"/>
      <c r="AL724" s="121"/>
      <c r="AM724" s="121"/>
      <c r="AN724" s="121"/>
      <c r="AO724" s="121"/>
      <c r="AP724" s="121"/>
      <c r="AQ724" s="121"/>
      <c r="AR724" s="121"/>
      <c r="AS724" s="121"/>
      <c r="AT724" s="121"/>
      <c r="AU724" s="121"/>
      <c r="AV724" s="121"/>
      <c r="AW724" s="121"/>
      <c r="AX724" s="121"/>
      <c r="AY724" s="121"/>
      <c r="AZ724" s="121"/>
      <c r="BA724" s="121"/>
      <c r="BB724" s="121"/>
      <c r="BC724" s="121"/>
      <c r="BD724" s="121"/>
      <c r="BE724" s="121"/>
      <c r="BF724" s="121"/>
      <c r="BG724" s="121"/>
      <c r="BH724" s="121"/>
      <c r="BI724" s="121"/>
      <c r="BJ724" s="121"/>
      <c r="BK724" s="121"/>
      <c r="BL724" s="121"/>
      <c r="BM724" s="121"/>
      <c r="BN724" s="121"/>
      <c r="BO724" s="121"/>
      <c r="BP724" s="121"/>
      <c r="BQ724" s="121"/>
      <c r="BR724" s="121"/>
      <c r="BS724" s="121"/>
      <c r="BT724" s="121"/>
      <c r="BU724" s="121"/>
      <c r="BV724" s="121"/>
      <c r="BW724" s="121"/>
      <c r="BX724" s="121"/>
      <c r="BY724" s="121"/>
      <c r="BZ724" s="121"/>
      <c r="CA724" s="121"/>
      <c r="CB724" s="121"/>
      <c r="CC724" s="121"/>
      <c r="CD724" s="121"/>
      <c r="CE724" s="121"/>
      <c r="CF724" s="121"/>
      <c r="CG724" s="121"/>
      <c r="CH724" s="121"/>
      <c r="CI724" s="121"/>
      <c r="CJ724" s="121"/>
      <c r="CK724" s="121"/>
      <c r="CL724" s="121"/>
      <c r="CM724" s="121"/>
      <c r="CN724" s="121"/>
      <c r="CO724" s="121"/>
      <c r="CP724" s="121"/>
      <c r="CQ724" s="121"/>
      <c r="CR724" s="121"/>
      <c r="CS724" s="121"/>
      <c r="CT724" s="121"/>
      <c r="CU724" s="121"/>
      <c r="CV724" s="121"/>
      <c r="CW724" s="121"/>
      <c r="CX724" s="121"/>
      <c r="CY724" s="121"/>
      <c r="CZ724" s="121"/>
      <c r="DA724" s="121"/>
      <c r="DB724" s="121"/>
      <c r="DC724" s="121"/>
      <c r="DD724" s="121"/>
      <c r="DE724" s="121"/>
      <c r="DF724" s="121"/>
      <c r="DG724" s="121"/>
      <c r="DH724" s="121"/>
      <c r="DI724" s="121"/>
      <c r="DJ724" s="121"/>
      <c r="DK724" s="121"/>
      <c r="DL724" s="121"/>
      <c r="DM724" s="121"/>
      <c r="DN724" s="121"/>
      <c r="DO724" s="121"/>
      <c r="DP724" s="121"/>
      <c r="DQ724" s="121"/>
      <c r="DR724" s="121"/>
      <c r="DS724" s="121"/>
      <c r="DT724" s="240"/>
      <c r="DU724" s="240"/>
      <c r="DV724" s="240"/>
      <c r="DW724" s="240"/>
      <c r="DX724" s="240"/>
      <c r="DY724" s="240"/>
      <c r="DZ724" s="240"/>
      <c r="EA724" s="240"/>
      <c r="EB724" s="237">
        <f t="shared" si="88"/>
        <v>0</v>
      </c>
      <c r="EC724" s="237">
        <f t="shared" si="89"/>
        <v>0</v>
      </c>
      <c r="ED724" s="237">
        <f t="shared" si="90"/>
        <v>0</v>
      </c>
      <c r="EE724" s="237">
        <f t="shared" si="91"/>
        <v>0</v>
      </c>
      <c r="EF724" s="121"/>
      <c r="EG724" s="238">
        <f t="shared" si="92"/>
        <v>0</v>
      </c>
      <c r="EH724" s="121"/>
      <c r="EI724" s="237">
        <f t="shared" si="93"/>
        <v>0</v>
      </c>
      <c r="EJ724" s="121"/>
      <c r="EK724" s="237">
        <f t="shared" si="94"/>
        <v>0</v>
      </c>
      <c r="EL724" s="237"/>
      <c r="EM724" s="5"/>
      <c r="EN724" s="5"/>
      <c r="EO724" s="5"/>
      <c r="EP724" s="5"/>
      <c r="EQ724" s="237">
        <f t="shared" si="95"/>
        <v>0</v>
      </c>
      <c r="ER724" s="239">
        <v>23300</v>
      </c>
      <c r="ES724" s="5">
        <v>7.5</v>
      </c>
    </row>
    <row r="725" spans="1:149" x14ac:dyDescent="0.3">
      <c r="A725" s="124"/>
      <c r="B725" s="121"/>
      <c r="C725" s="121"/>
      <c r="D725" s="121"/>
      <c r="E725" s="121"/>
      <c r="F725" s="121"/>
      <c r="G725" s="121"/>
      <c r="H725" s="121"/>
      <c r="I725" s="121"/>
      <c r="J725" s="121"/>
      <c r="K725" s="121"/>
      <c r="L725" s="121"/>
      <c r="M725" s="121"/>
      <c r="N725" s="121"/>
      <c r="O725" s="235"/>
      <c r="P725" s="121"/>
      <c r="Q725" s="121"/>
      <c r="R725" s="121"/>
      <c r="S725" s="121"/>
      <c r="T725" s="121"/>
      <c r="U725" s="121"/>
      <c r="V725" s="121"/>
      <c r="W725" s="121"/>
      <c r="X725" s="117"/>
      <c r="Y725" s="117"/>
      <c r="Z725" s="121"/>
      <c r="AA725" s="121"/>
      <c r="AB725" s="121"/>
      <c r="AC725" s="121"/>
      <c r="AD725" s="121"/>
      <c r="AE725" s="121"/>
      <c r="AF725" s="121"/>
      <c r="AG725" s="121"/>
      <c r="AH725" s="121"/>
      <c r="AI725" s="121"/>
      <c r="AJ725" s="121"/>
      <c r="AK725" s="121"/>
      <c r="AL725" s="121"/>
      <c r="AM725" s="121"/>
      <c r="AN725" s="121"/>
      <c r="AO725" s="121"/>
      <c r="AP725" s="121"/>
      <c r="AQ725" s="121"/>
      <c r="AR725" s="121"/>
      <c r="AS725" s="121"/>
      <c r="AT725" s="121"/>
      <c r="AU725" s="121"/>
      <c r="AV725" s="121"/>
      <c r="AW725" s="121"/>
      <c r="AX725" s="121"/>
      <c r="AY725" s="121"/>
      <c r="AZ725" s="121"/>
      <c r="BA725" s="121"/>
      <c r="BB725" s="121"/>
      <c r="BC725" s="121"/>
      <c r="BD725" s="121"/>
      <c r="BE725" s="121"/>
      <c r="BF725" s="121"/>
      <c r="BG725" s="121"/>
      <c r="BH725" s="121"/>
      <c r="BI725" s="121"/>
      <c r="BJ725" s="121"/>
      <c r="BK725" s="121"/>
      <c r="BL725" s="121"/>
      <c r="BM725" s="121"/>
      <c r="BN725" s="121"/>
      <c r="BO725" s="121"/>
      <c r="BP725" s="121"/>
      <c r="BQ725" s="121"/>
      <c r="BR725" s="121"/>
      <c r="BS725" s="121"/>
      <c r="BT725" s="121"/>
      <c r="BU725" s="121"/>
      <c r="BV725" s="121"/>
      <c r="BW725" s="121"/>
      <c r="BX725" s="121"/>
      <c r="BY725" s="121"/>
      <c r="BZ725" s="121"/>
      <c r="CA725" s="121"/>
      <c r="CB725" s="121"/>
      <c r="CC725" s="121"/>
      <c r="CD725" s="121"/>
      <c r="CE725" s="121"/>
      <c r="CF725" s="121"/>
      <c r="CG725" s="121"/>
      <c r="CH725" s="121"/>
      <c r="CI725" s="121"/>
      <c r="CJ725" s="121"/>
      <c r="CK725" s="121"/>
      <c r="CL725" s="121"/>
      <c r="CM725" s="121"/>
      <c r="CN725" s="121"/>
      <c r="CO725" s="121"/>
      <c r="CP725" s="121"/>
      <c r="CQ725" s="121"/>
      <c r="CR725" s="121"/>
      <c r="CS725" s="121"/>
      <c r="CT725" s="121"/>
      <c r="CU725" s="121"/>
      <c r="CV725" s="121"/>
      <c r="CW725" s="121"/>
      <c r="CX725" s="121"/>
      <c r="CY725" s="121"/>
      <c r="CZ725" s="121"/>
      <c r="DA725" s="121"/>
      <c r="DB725" s="121"/>
      <c r="DC725" s="121"/>
      <c r="DD725" s="121"/>
      <c r="DE725" s="121"/>
      <c r="DF725" s="121"/>
      <c r="DG725" s="121"/>
      <c r="DH725" s="121"/>
      <c r="DI725" s="121"/>
      <c r="DJ725" s="121"/>
      <c r="DK725" s="121"/>
      <c r="DL725" s="121"/>
      <c r="DM725" s="121"/>
      <c r="DN725" s="121"/>
      <c r="DO725" s="121"/>
      <c r="DP725" s="121"/>
      <c r="DQ725" s="121"/>
      <c r="DR725" s="121"/>
      <c r="DS725" s="121"/>
      <c r="DT725" s="240"/>
      <c r="DU725" s="240"/>
      <c r="DV725" s="240"/>
      <c r="DW725" s="240"/>
      <c r="DX725" s="240"/>
      <c r="DY725" s="240"/>
      <c r="DZ725" s="240"/>
      <c r="EA725" s="240"/>
      <c r="EB725" s="237">
        <f t="shared" si="88"/>
        <v>0</v>
      </c>
      <c r="EC725" s="237">
        <f t="shared" si="89"/>
        <v>0</v>
      </c>
      <c r="ED725" s="237">
        <f t="shared" si="90"/>
        <v>0</v>
      </c>
      <c r="EE725" s="237">
        <f t="shared" si="91"/>
        <v>0</v>
      </c>
      <c r="EF725" s="121"/>
      <c r="EG725" s="238">
        <f t="shared" si="92"/>
        <v>0</v>
      </c>
      <c r="EH725" s="121"/>
      <c r="EI725" s="237">
        <f t="shared" si="93"/>
        <v>0</v>
      </c>
      <c r="EJ725" s="121"/>
      <c r="EK725" s="237">
        <f t="shared" si="94"/>
        <v>0</v>
      </c>
      <c r="EL725" s="237"/>
      <c r="EM725" s="5"/>
      <c r="EN725" s="5"/>
      <c r="EO725" s="5"/>
      <c r="EP725" s="5"/>
      <c r="EQ725" s="237">
        <f t="shared" si="95"/>
        <v>0</v>
      </c>
      <c r="ER725" s="239">
        <v>23300</v>
      </c>
      <c r="ES725" s="5">
        <v>7.5</v>
      </c>
    </row>
    <row r="726" spans="1:149" x14ac:dyDescent="0.3">
      <c r="A726" s="124"/>
      <c r="B726" s="121"/>
      <c r="C726" s="121"/>
      <c r="D726" s="121"/>
      <c r="E726" s="121"/>
      <c r="F726" s="121"/>
      <c r="G726" s="121"/>
      <c r="H726" s="121"/>
      <c r="I726" s="121"/>
      <c r="J726" s="121"/>
      <c r="K726" s="121"/>
      <c r="L726" s="121"/>
      <c r="M726" s="121"/>
      <c r="N726" s="121"/>
      <c r="O726" s="235"/>
      <c r="P726" s="121"/>
      <c r="Q726" s="121"/>
      <c r="R726" s="121"/>
      <c r="S726" s="121"/>
      <c r="T726" s="121"/>
      <c r="U726" s="121"/>
      <c r="V726" s="121"/>
      <c r="W726" s="121"/>
      <c r="X726" s="117"/>
      <c r="Y726" s="117"/>
      <c r="Z726" s="121"/>
      <c r="AA726" s="121"/>
      <c r="AB726" s="121"/>
      <c r="AC726" s="121"/>
      <c r="AD726" s="121"/>
      <c r="AE726" s="121"/>
      <c r="AF726" s="121"/>
      <c r="AG726" s="121"/>
      <c r="AH726" s="121"/>
      <c r="AI726" s="121"/>
      <c r="AJ726" s="121"/>
      <c r="AK726" s="121"/>
      <c r="AL726" s="121"/>
      <c r="AM726" s="121"/>
      <c r="AN726" s="121"/>
      <c r="AO726" s="121"/>
      <c r="AP726" s="121"/>
      <c r="AQ726" s="121"/>
      <c r="AR726" s="121"/>
      <c r="AS726" s="121"/>
      <c r="AT726" s="121"/>
      <c r="AU726" s="121"/>
      <c r="AV726" s="121"/>
      <c r="AW726" s="121"/>
      <c r="AX726" s="121"/>
      <c r="AY726" s="121"/>
      <c r="AZ726" s="121"/>
      <c r="BA726" s="121"/>
      <c r="BB726" s="121"/>
      <c r="BC726" s="121"/>
      <c r="BD726" s="121"/>
      <c r="BE726" s="121"/>
      <c r="BF726" s="121"/>
      <c r="BG726" s="121"/>
      <c r="BH726" s="121"/>
      <c r="BI726" s="121"/>
      <c r="BJ726" s="121"/>
      <c r="BK726" s="121"/>
      <c r="BL726" s="121"/>
      <c r="BM726" s="121"/>
      <c r="BN726" s="121"/>
      <c r="BO726" s="121"/>
      <c r="BP726" s="121"/>
      <c r="BQ726" s="121"/>
      <c r="BR726" s="121"/>
      <c r="BS726" s="121"/>
      <c r="BT726" s="121"/>
      <c r="BU726" s="121"/>
      <c r="BV726" s="121"/>
      <c r="BW726" s="121"/>
      <c r="BX726" s="121"/>
      <c r="BY726" s="121"/>
      <c r="BZ726" s="121"/>
      <c r="CA726" s="121"/>
      <c r="CB726" s="121"/>
      <c r="CC726" s="121"/>
      <c r="CD726" s="121"/>
      <c r="CE726" s="121"/>
      <c r="CF726" s="121"/>
      <c r="CG726" s="121"/>
      <c r="CH726" s="121"/>
      <c r="CI726" s="121"/>
      <c r="CJ726" s="121"/>
      <c r="CK726" s="121"/>
      <c r="CL726" s="121"/>
      <c r="CM726" s="121"/>
      <c r="CN726" s="121"/>
      <c r="CO726" s="121"/>
      <c r="CP726" s="121"/>
      <c r="CQ726" s="121"/>
      <c r="CR726" s="121"/>
      <c r="CS726" s="121"/>
      <c r="CT726" s="121"/>
      <c r="CU726" s="121"/>
      <c r="CV726" s="121"/>
      <c r="CW726" s="121"/>
      <c r="CX726" s="121"/>
      <c r="CY726" s="121"/>
      <c r="CZ726" s="121"/>
      <c r="DA726" s="121"/>
      <c r="DB726" s="121"/>
      <c r="DC726" s="121"/>
      <c r="DD726" s="121"/>
      <c r="DE726" s="121"/>
      <c r="DF726" s="121"/>
      <c r="DG726" s="121"/>
      <c r="DH726" s="121"/>
      <c r="DI726" s="121"/>
      <c r="DJ726" s="121"/>
      <c r="DK726" s="121"/>
      <c r="DL726" s="121"/>
      <c r="DM726" s="121"/>
      <c r="DN726" s="121"/>
      <c r="DO726" s="121"/>
      <c r="DP726" s="121"/>
      <c r="DQ726" s="121"/>
      <c r="DR726" s="121"/>
      <c r="DS726" s="121"/>
      <c r="DT726" s="240"/>
      <c r="DU726" s="240"/>
      <c r="DV726" s="240"/>
      <c r="DW726" s="240"/>
      <c r="DX726" s="240"/>
      <c r="DY726" s="240"/>
      <c r="DZ726" s="240"/>
      <c r="EA726" s="240"/>
      <c r="EB726" s="237">
        <f t="shared" si="88"/>
        <v>0</v>
      </c>
      <c r="EC726" s="237">
        <f t="shared" si="89"/>
        <v>0</v>
      </c>
      <c r="ED726" s="237">
        <f t="shared" si="90"/>
        <v>0</v>
      </c>
      <c r="EE726" s="237">
        <f t="shared" si="91"/>
        <v>0</v>
      </c>
      <c r="EF726" s="121"/>
      <c r="EG726" s="238">
        <f t="shared" si="92"/>
        <v>0</v>
      </c>
      <c r="EH726" s="121"/>
      <c r="EI726" s="237">
        <f t="shared" si="93"/>
        <v>0</v>
      </c>
      <c r="EJ726" s="121"/>
      <c r="EK726" s="237">
        <f t="shared" si="94"/>
        <v>0</v>
      </c>
      <c r="EL726" s="237"/>
      <c r="EM726" s="5"/>
      <c r="EN726" s="5"/>
      <c r="EO726" s="5"/>
      <c r="EP726" s="5"/>
      <c r="EQ726" s="237">
        <f t="shared" si="95"/>
        <v>0</v>
      </c>
      <c r="ER726" s="239">
        <v>23300</v>
      </c>
      <c r="ES726" s="5">
        <v>7.5</v>
      </c>
    </row>
    <row r="727" spans="1:149" x14ac:dyDescent="0.3">
      <c r="A727" s="124"/>
      <c r="B727" s="121"/>
      <c r="C727" s="121"/>
      <c r="D727" s="121"/>
      <c r="E727" s="121"/>
      <c r="F727" s="121"/>
      <c r="G727" s="121"/>
      <c r="H727" s="121"/>
      <c r="I727" s="121"/>
      <c r="J727" s="121"/>
      <c r="K727" s="121"/>
      <c r="L727" s="121"/>
      <c r="M727" s="121"/>
      <c r="N727" s="121"/>
      <c r="O727" s="235"/>
      <c r="P727" s="121"/>
      <c r="Q727" s="121"/>
      <c r="R727" s="121"/>
      <c r="S727" s="121"/>
      <c r="T727" s="121"/>
      <c r="U727" s="121"/>
      <c r="V727" s="121"/>
      <c r="W727" s="121"/>
      <c r="X727" s="117"/>
      <c r="Y727" s="117"/>
      <c r="Z727" s="121"/>
      <c r="AA727" s="121"/>
      <c r="AB727" s="121"/>
      <c r="AC727" s="121"/>
      <c r="AD727" s="121"/>
      <c r="AE727" s="121"/>
      <c r="AF727" s="121"/>
      <c r="AG727" s="121"/>
      <c r="AH727" s="121"/>
      <c r="AI727" s="121"/>
      <c r="AJ727" s="121"/>
      <c r="AK727" s="121"/>
      <c r="AL727" s="121"/>
      <c r="AM727" s="121"/>
      <c r="AN727" s="121"/>
      <c r="AO727" s="121"/>
      <c r="AP727" s="121"/>
      <c r="AQ727" s="121"/>
      <c r="AR727" s="121"/>
      <c r="AS727" s="121"/>
      <c r="AT727" s="121"/>
      <c r="AU727" s="121"/>
      <c r="AV727" s="121"/>
      <c r="AW727" s="121"/>
      <c r="AX727" s="121"/>
      <c r="AY727" s="121"/>
      <c r="AZ727" s="121"/>
      <c r="BA727" s="121"/>
      <c r="BB727" s="121"/>
      <c r="BC727" s="121"/>
      <c r="BD727" s="121"/>
      <c r="BE727" s="121"/>
      <c r="BF727" s="121"/>
      <c r="BG727" s="121"/>
      <c r="BH727" s="121"/>
      <c r="BI727" s="121"/>
      <c r="BJ727" s="121"/>
      <c r="BK727" s="121"/>
      <c r="BL727" s="121"/>
      <c r="BM727" s="121"/>
      <c r="BN727" s="121"/>
      <c r="BO727" s="121"/>
      <c r="BP727" s="121"/>
      <c r="BQ727" s="121"/>
      <c r="BR727" s="121"/>
      <c r="BS727" s="121"/>
      <c r="BT727" s="121"/>
      <c r="BU727" s="121"/>
      <c r="BV727" s="121"/>
      <c r="BW727" s="121"/>
      <c r="BX727" s="121"/>
      <c r="BY727" s="121"/>
      <c r="BZ727" s="121"/>
      <c r="CA727" s="121"/>
      <c r="CB727" s="121"/>
      <c r="CC727" s="121"/>
      <c r="CD727" s="121"/>
      <c r="CE727" s="121"/>
      <c r="CF727" s="121"/>
      <c r="CG727" s="121"/>
      <c r="CH727" s="121"/>
      <c r="CI727" s="121"/>
      <c r="CJ727" s="121"/>
      <c r="CK727" s="121"/>
      <c r="CL727" s="121"/>
      <c r="CM727" s="121"/>
      <c r="CN727" s="121"/>
      <c r="CO727" s="121"/>
      <c r="CP727" s="121"/>
      <c r="CQ727" s="121"/>
      <c r="CR727" s="121"/>
      <c r="CS727" s="121"/>
      <c r="CT727" s="121"/>
      <c r="CU727" s="121"/>
      <c r="CV727" s="121"/>
      <c r="CW727" s="121"/>
      <c r="CX727" s="121"/>
      <c r="CY727" s="121"/>
      <c r="CZ727" s="121"/>
      <c r="DA727" s="121"/>
      <c r="DB727" s="121"/>
      <c r="DC727" s="121"/>
      <c r="DD727" s="121"/>
      <c r="DE727" s="121"/>
      <c r="DF727" s="121"/>
      <c r="DG727" s="121"/>
      <c r="DH727" s="121"/>
      <c r="DI727" s="121"/>
      <c r="DJ727" s="121"/>
      <c r="DK727" s="121"/>
      <c r="DL727" s="121"/>
      <c r="DM727" s="121"/>
      <c r="DN727" s="121"/>
      <c r="DO727" s="121"/>
      <c r="DP727" s="121"/>
      <c r="DQ727" s="121"/>
      <c r="DR727" s="121"/>
      <c r="DS727" s="121"/>
      <c r="DT727" s="240"/>
      <c r="DU727" s="240"/>
      <c r="DV727" s="240"/>
      <c r="DW727" s="240"/>
      <c r="DX727" s="240"/>
      <c r="DY727" s="240"/>
      <c r="DZ727" s="240"/>
      <c r="EA727" s="240"/>
      <c r="EB727" s="237">
        <f t="shared" si="88"/>
        <v>0</v>
      </c>
      <c r="EC727" s="237">
        <f t="shared" si="89"/>
        <v>0</v>
      </c>
      <c r="ED727" s="237">
        <f t="shared" si="90"/>
        <v>0</v>
      </c>
      <c r="EE727" s="237">
        <f t="shared" si="91"/>
        <v>0</v>
      </c>
      <c r="EF727" s="121"/>
      <c r="EG727" s="238">
        <f t="shared" si="92"/>
        <v>0</v>
      </c>
      <c r="EH727" s="121"/>
      <c r="EI727" s="237">
        <f t="shared" si="93"/>
        <v>0</v>
      </c>
      <c r="EJ727" s="121"/>
      <c r="EK727" s="237">
        <f t="shared" si="94"/>
        <v>0</v>
      </c>
      <c r="EL727" s="237"/>
      <c r="EM727" s="5"/>
      <c r="EN727" s="5"/>
      <c r="EO727" s="5"/>
      <c r="EP727" s="5"/>
      <c r="EQ727" s="237">
        <f t="shared" si="95"/>
        <v>0</v>
      </c>
      <c r="ER727" s="239">
        <v>23300</v>
      </c>
      <c r="ES727" s="5">
        <v>7.5</v>
      </c>
    </row>
    <row r="728" spans="1:149" x14ac:dyDescent="0.3">
      <c r="A728" s="124"/>
      <c r="B728" s="121"/>
      <c r="C728" s="121"/>
      <c r="D728" s="121"/>
      <c r="E728" s="121"/>
      <c r="F728" s="121"/>
      <c r="G728" s="121"/>
      <c r="H728" s="121"/>
      <c r="I728" s="121"/>
      <c r="J728" s="121"/>
      <c r="K728" s="121"/>
      <c r="L728" s="121"/>
      <c r="M728" s="121"/>
      <c r="N728" s="121"/>
      <c r="O728" s="235"/>
      <c r="P728" s="121"/>
      <c r="Q728" s="121"/>
      <c r="R728" s="121"/>
      <c r="S728" s="121"/>
      <c r="T728" s="121"/>
      <c r="U728" s="121"/>
      <c r="V728" s="121"/>
      <c r="W728" s="121"/>
      <c r="X728" s="117"/>
      <c r="Y728" s="117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/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121"/>
      <c r="BJ728" s="121"/>
      <c r="BK728" s="121"/>
      <c r="BL728" s="121"/>
      <c r="BM728" s="121"/>
      <c r="BN728" s="121"/>
      <c r="BO728" s="121"/>
      <c r="BP728" s="121"/>
      <c r="BQ728" s="121"/>
      <c r="BR728" s="121"/>
      <c r="BS728" s="121"/>
      <c r="BT728" s="121"/>
      <c r="BU728" s="121"/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/>
      <c r="CP728" s="121"/>
      <c r="CQ728" s="121"/>
      <c r="CR728" s="121"/>
      <c r="CS728" s="121"/>
      <c r="CT728" s="121"/>
      <c r="CU728" s="121"/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/>
      <c r="DF728" s="121"/>
      <c r="DG728" s="121"/>
      <c r="DH728" s="121"/>
      <c r="DI728" s="121"/>
      <c r="DJ728" s="121"/>
      <c r="DK728" s="121"/>
      <c r="DL728" s="121"/>
      <c r="DM728" s="121"/>
      <c r="DN728" s="121"/>
      <c r="DO728" s="121"/>
      <c r="DP728" s="121"/>
      <c r="DQ728" s="121"/>
      <c r="DR728" s="121"/>
      <c r="DS728" s="121"/>
      <c r="DT728" s="240"/>
      <c r="DU728" s="240"/>
      <c r="DV728" s="240"/>
      <c r="DW728" s="240"/>
      <c r="DX728" s="240"/>
      <c r="DY728" s="240"/>
      <c r="DZ728" s="240"/>
      <c r="EA728" s="240"/>
      <c r="EB728" s="237">
        <f t="shared" si="88"/>
        <v>0</v>
      </c>
      <c r="EC728" s="237">
        <f t="shared" si="89"/>
        <v>0</v>
      </c>
      <c r="ED728" s="237">
        <f t="shared" si="90"/>
        <v>0</v>
      </c>
      <c r="EE728" s="237">
        <f t="shared" si="91"/>
        <v>0</v>
      </c>
      <c r="EF728" s="121"/>
      <c r="EG728" s="238">
        <f t="shared" si="92"/>
        <v>0</v>
      </c>
      <c r="EH728" s="121"/>
      <c r="EI728" s="237">
        <f t="shared" si="93"/>
        <v>0</v>
      </c>
      <c r="EJ728" s="121"/>
      <c r="EK728" s="237">
        <f t="shared" si="94"/>
        <v>0</v>
      </c>
      <c r="EL728" s="237"/>
      <c r="EM728" s="5"/>
      <c r="EN728" s="5"/>
      <c r="EO728" s="5"/>
      <c r="EP728" s="5"/>
      <c r="EQ728" s="237">
        <f t="shared" si="95"/>
        <v>0</v>
      </c>
      <c r="ER728" s="239">
        <v>23300</v>
      </c>
      <c r="ES728" s="5">
        <v>7.5</v>
      </c>
    </row>
    <row r="729" spans="1:149" x14ac:dyDescent="0.3">
      <c r="A729" s="124"/>
      <c r="B729" s="121"/>
      <c r="C729" s="121"/>
      <c r="D729" s="121"/>
      <c r="E729" s="121"/>
      <c r="F729" s="121"/>
      <c r="G729" s="121"/>
      <c r="H729" s="121"/>
      <c r="I729" s="121"/>
      <c r="J729" s="121"/>
      <c r="K729" s="121"/>
      <c r="L729" s="121"/>
      <c r="M729" s="121"/>
      <c r="N729" s="121"/>
      <c r="O729" s="235"/>
      <c r="P729" s="121"/>
      <c r="Q729" s="121"/>
      <c r="R729" s="121"/>
      <c r="S729" s="121"/>
      <c r="T729" s="121"/>
      <c r="U729" s="121"/>
      <c r="V729" s="121"/>
      <c r="W729" s="121"/>
      <c r="X729" s="117"/>
      <c r="Y729" s="117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21"/>
      <c r="BJ729" s="121"/>
      <c r="BK729" s="121"/>
      <c r="BL729" s="121"/>
      <c r="BM729" s="121"/>
      <c r="BN729" s="121"/>
      <c r="BO729" s="121"/>
      <c r="BP729" s="121"/>
      <c r="BQ729" s="121"/>
      <c r="BR729" s="121"/>
      <c r="BS729" s="121"/>
      <c r="BT729" s="121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21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  <c r="DK729" s="121"/>
      <c r="DL729" s="121"/>
      <c r="DM729" s="121"/>
      <c r="DN729" s="121"/>
      <c r="DO729" s="121"/>
      <c r="DP729" s="121"/>
      <c r="DQ729" s="121"/>
      <c r="DR729" s="121"/>
      <c r="DS729" s="121"/>
      <c r="DT729" s="240"/>
      <c r="DU729" s="240"/>
      <c r="DV729" s="240"/>
      <c r="DW729" s="240"/>
      <c r="DX729" s="240"/>
      <c r="DY729" s="240"/>
      <c r="DZ729" s="240"/>
      <c r="EA729" s="240"/>
      <c r="EB729" s="237">
        <f t="shared" si="88"/>
        <v>0</v>
      </c>
      <c r="EC729" s="237">
        <f t="shared" si="89"/>
        <v>0</v>
      </c>
      <c r="ED729" s="237">
        <f t="shared" si="90"/>
        <v>0</v>
      </c>
      <c r="EE729" s="237">
        <f t="shared" si="91"/>
        <v>0</v>
      </c>
      <c r="EF729" s="121"/>
      <c r="EG729" s="238">
        <f t="shared" si="92"/>
        <v>0</v>
      </c>
      <c r="EH729" s="121"/>
      <c r="EI729" s="237">
        <f t="shared" si="93"/>
        <v>0</v>
      </c>
      <c r="EJ729" s="121"/>
      <c r="EK729" s="237">
        <f t="shared" si="94"/>
        <v>0</v>
      </c>
      <c r="EL729" s="237"/>
      <c r="EM729" s="5"/>
      <c r="EN729" s="5"/>
      <c r="EO729" s="5"/>
      <c r="EP729" s="5"/>
      <c r="EQ729" s="237">
        <f t="shared" si="95"/>
        <v>0</v>
      </c>
      <c r="ER729" s="239">
        <v>23300</v>
      </c>
      <c r="ES729" s="5">
        <v>7.5</v>
      </c>
    </row>
    <row r="730" spans="1:149" x14ac:dyDescent="0.3">
      <c r="A730" s="124"/>
      <c r="B730" s="121"/>
      <c r="C730" s="121"/>
      <c r="D730" s="121"/>
      <c r="E730" s="121"/>
      <c r="F730" s="121"/>
      <c r="G730" s="121"/>
      <c r="H730" s="121"/>
      <c r="I730" s="121"/>
      <c r="J730" s="121"/>
      <c r="K730" s="121"/>
      <c r="L730" s="121"/>
      <c r="M730" s="121"/>
      <c r="N730" s="121"/>
      <c r="O730" s="235"/>
      <c r="P730" s="121"/>
      <c r="Q730" s="121"/>
      <c r="R730" s="121"/>
      <c r="S730" s="121"/>
      <c r="T730" s="121"/>
      <c r="U730" s="121"/>
      <c r="V730" s="121"/>
      <c r="W730" s="121"/>
      <c r="X730" s="117"/>
      <c r="Y730" s="117"/>
      <c r="Z730" s="121"/>
      <c r="AA730" s="121"/>
      <c r="AB730" s="121"/>
      <c r="AC730" s="121"/>
      <c r="AD730" s="121"/>
      <c r="AE730" s="121"/>
      <c r="AF730" s="121"/>
      <c r="AG730" s="121"/>
      <c r="AH730" s="121"/>
      <c r="AI730" s="121"/>
      <c r="AJ730" s="121"/>
      <c r="AK730" s="121"/>
      <c r="AL730" s="121"/>
      <c r="AM730" s="121"/>
      <c r="AN730" s="121"/>
      <c r="AO730" s="121"/>
      <c r="AP730" s="121"/>
      <c r="AQ730" s="121"/>
      <c r="AR730" s="121"/>
      <c r="AS730" s="121"/>
      <c r="AT730" s="121"/>
      <c r="AU730" s="121"/>
      <c r="AV730" s="121"/>
      <c r="AW730" s="121"/>
      <c r="AX730" s="121"/>
      <c r="AY730" s="121"/>
      <c r="AZ730" s="121"/>
      <c r="BA730" s="121"/>
      <c r="BB730" s="121"/>
      <c r="BC730" s="121"/>
      <c r="BD730" s="121"/>
      <c r="BE730" s="121"/>
      <c r="BF730" s="121"/>
      <c r="BG730" s="121"/>
      <c r="BH730" s="121"/>
      <c r="BI730" s="121"/>
      <c r="BJ730" s="121"/>
      <c r="BK730" s="121"/>
      <c r="BL730" s="121"/>
      <c r="BM730" s="121"/>
      <c r="BN730" s="121"/>
      <c r="BO730" s="121"/>
      <c r="BP730" s="121"/>
      <c r="BQ730" s="121"/>
      <c r="BR730" s="121"/>
      <c r="BS730" s="121"/>
      <c r="BT730" s="121"/>
      <c r="BU730" s="121"/>
      <c r="BV730" s="121"/>
      <c r="BW730" s="121"/>
      <c r="BX730" s="121"/>
      <c r="BY730" s="121"/>
      <c r="BZ730" s="121"/>
      <c r="CA730" s="121"/>
      <c r="CB730" s="121"/>
      <c r="CC730" s="121"/>
      <c r="CD730" s="121"/>
      <c r="CE730" s="121"/>
      <c r="CF730" s="121"/>
      <c r="CG730" s="121"/>
      <c r="CH730" s="121"/>
      <c r="CI730" s="121"/>
      <c r="CJ730" s="121"/>
      <c r="CK730" s="121"/>
      <c r="CL730" s="121"/>
      <c r="CM730" s="121"/>
      <c r="CN730" s="121"/>
      <c r="CO730" s="121"/>
      <c r="CP730" s="121"/>
      <c r="CQ730" s="121"/>
      <c r="CR730" s="121"/>
      <c r="CS730" s="121"/>
      <c r="CT730" s="121"/>
      <c r="CU730" s="121"/>
      <c r="CV730" s="121"/>
      <c r="CW730" s="121"/>
      <c r="CX730" s="121"/>
      <c r="CY730" s="121"/>
      <c r="CZ730" s="121"/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  <c r="DK730" s="121"/>
      <c r="DL730" s="121"/>
      <c r="DM730" s="121"/>
      <c r="DN730" s="121"/>
      <c r="DO730" s="121"/>
      <c r="DP730" s="121"/>
      <c r="DQ730" s="121"/>
      <c r="DR730" s="121"/>
      <c r="DS730" s="121"/>
      <c r="DT730" s="240"/>
      <c r="DU730" s="240"/>
      <c r="DV730" s="240"/>
      <c r="DW730" s="240"/>
      <c r="DX730" s="240"/>
      <c r="DY730" s="240"/>
      <c r="DZ730" s="240"/>
      <c r="EA730" s="240"/>
      <c r="EB730" s="237">
        <f t="shared" si="88"/>
        <v>0</v>
      </c>
      <c r="EC730" s="237">
        <f t="shared" si="89"/>
        <v>0</v>
      </c>
      <c r="ED730" s="237">
        <f t="shared" si="90"/>
        <v>0</v>
      </c>
      <c r="EE730" s="237">
        <f t="shared" si="91"/>
        <v>0</v>
      </c>
      <c r="EF730" s="121"/>
      <c r="EG730" s="238">
        <f t="shared" si="92"/>
        <v>0</v>
      </c>
      <c r="EH730" s="121"/>
      <c r="EI730" s="237">
        <f t="shared" si="93"/>
        <v>0</v>
      </c>
      <c r="EJ730" s="121"/>
      <c r="EK730" s="237">
        <f t="shared" si="94"/>
        <v>0</v>
      </c>
      <c r="EL730" s="237"/>
      <c r="EM730" s="5"/>
      <c r="EN730" s="5"/>
      <c r="EO730" s="5"/>
      <c r="EP730" s="5"/>
      <c r="EQ730" s="237">
        <f t="shared" si="95"/>
        <v>0</v>
      </c>
      <c r="ER730" s="239">
        <v>23300</v>
      </c>
      <c r="ES730" s="5">
        <v>7.5</v>
      </c>
    </row>
    <row r="731" spans="1:149" x14ac:dyDescent="0.3">
      <c r="A731" s="124"/>
      <c r="B731" s="121"/>
      <c r="C731" s="121"/>
      <c r="D731" s="121"/>
      <c r="E731" s="121"/>
      <c r="F731" s="121"/>
      <c r="G731" s="121"/>
      <c r="H731" s="121"/>
      <c r="I731" s="121"/>
      <c r="J731" s="121"/>
      <c r="K731" s="121"/>
      <c r="L731" s="121"/>
      <c r="M731" s="121"/>
      <c r="N731" s="121"/>
      <c r="O731" s="235"/>
      <c r="P731" s="121"/>
      <c r="Q731" s="121"/>
      <c r="R731" s="121"/>
      <c r="S731" s="121"/>
      <c r="T731" s="121"/>
      <c r="U731" s="121"/>
      <c r="V731" s="121"/>
      <c r="W731" s="121"/>
      <c r="X731" s="117"/>
      <c r="Y731" s="117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1"/>
      <c r="AL731" s="121"/>
      <c r="AM731" s="121"/>
      <c r="AN731" s="121"/>
      <c r="AO731" s="121"/>
      <c r="AP731" s="121"/>
      <c r="AQ731" s="121"/>
      <c r="AR731" s="121"/>
      <c r="AS731" s="121"/>
      <c r="AT731" s="121"/>
      <c r="AU731" s="121"/>
      <c r="AV731" s="121"/>
      <c r="AW731" s="121"/>
      <c r="AX731" s="121"/>
      <c r="AY731" s="121"/>
      <c r="AZ731" s="121"/>
      <c r="BA731" s="121"/>
      <c r="BB731" s="121"/>
      <c r="BC731" s="121"/>
      <c r="BD731" s="121"/>
      <c r="BE731" s="121"/>
      <c r="BF731" s="121"/>
      <c r="BG731" s="121"/>
      <c r="BH731" s="121"/>
      <c r="BI731" s="121"/>
      <c r="BJ731" s="121"/>
      <c r="BK731" s="121"/>
      <c r="BL731" s="121"/>
      <c r="BM731" s="121"/>
      <c r="BN731" s="121"/>
      <c r="BO731" s="121"/>
      <c r="BP731" s="121"/>
      <c r="BQ731" s="121"/>
      <c r="BR731" s="121"/>
      <c r="BS731" s="121"/>
      <c r="BT731" s="12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21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  <c r="DK731" s="121"/>
      <c r="DL731" s="121"/>
      <c r="DM731" s="121"/>
      <c r="DN731" s="121"/>
      <c r="DO731" s="121"/>
      <c r="DP731" s="121"/>
      <c r="DQ731" s="121"/>
      <c r="DR731" s="121"/>
      <c r="DS731" s="121"/>
      <c r="DT731" s="240"/>
      <c r="DU731" s="240"/>
      <c r="DV731" s="240"/>
      <c r="DW731" s="240"/>
      <c r="DX731" s="240"/>
      <c r="DY731" s="240"/>
      <c r="DZ731" s="240"/>
      <c r="EA731" s="240"/>
      <c r="EB731" s="237">
        <f t="shared" si="88"/>
        <v>0</v>
      </c>
      <c r="EC731" s="237">
        <f t="shared" si="89"/>
        <v>0</v>
      </c>
      <c r="ED731" s="237">
        <f t="shared" si="90"/>
        <v>0</v>
      </c>
      <c r="EE731" s="237">
        <f t="shared" si="91"/>
        <v>0</v>
      </c>
      <c r="EF731" s="121"/>
      <c r="EG731" s="238">
        <f t="shared" si="92"/>
        <v>0</v>
      </c>
      <c r="EH731" s="121"/>
      <c r="EI731" s="237">
        <f t="shared" si="93"/>
        <v>0</v>
      </c>
      <c r="EJ731" s="121"/>
      <c r="EK731" s="237">
        <f t="shared" si="94"/>
        <v>0</v>
      </c>
      <c r="EL731" s="237"/>
      <c r="EM731" s="5"/>
      <c r="EN731" s="5"/>
      <c r="EO731" s="5"/>
      <c r="EP731" s="5"/>
      <c r="EQ731" s="237">
        <f t="shared" si="95"/>
        <v>0</v>
      </c>
      <c r="ER731" s="239">
        <v>23300</v>
      </c>
      <c r="ES731" s="5">
        <v>7.5</v>
      </c>
    </row>
    <row r="732" spans="1:149" x14ac:dyDescent="0.3">
      <c r="A732" s="124"/>
      <c r="B732" s="121"/>
      <c r="C732" s="121"/>
      <c r="D732" s="121"/>
      <c r="E732" s="121"/>
      <c r="F732" s="121"/>
      <c r="G732" s="121"/>
      <c r="H732" s="121"/>
      <c r="I732" s="121"/>
      <c r="J732" s="121"/>
      <c r="K732" s="121"/>
      <c r="L732" s="121"/>
      <c r="M732" s="121"/>
      <c r="N732" s="121"/>
      <c r="O732" s="235"/>
      <c r="P732" s="121"/>
      <c r="Q732" s="121"/>
      <c r="R732" s="121"/>
      <c r="S732" s="121"/>
      <c r="T732" s="121"/>
      <c r="U732" s="121"/>
      <c r="V732" s="121"/>
      <c r="W732" s="121"/>
      <c r="X732" s="117"/>
      <c r="Y732" s="117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21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  <c r="DK732" s="121"/>
      <c r="DL732" s="121"/>
      <c r="DM732" s="121"/>
      <c r="DN732" s="121"/>
      <c r="DO732" s="121"/>
      <c r="DP732" s="121"/>
      <c r="DQ732" s="121"/>
      <c r="DR732" s="121"/>
      <c r="DS732" s="121"/>
      <c r="DT732" s="240"/>
      <c r="DU732" s="240"/>
      <c r="DV732" s="240"/>
      <c r="DW732" s="240"/>
      <c r="DX732" s="240"/>
      <c r="DY732" s="240"/>
      <c r="DZ732" s="240"/>
      <c r="EA732" s="240"/>
      <c r="EB732" s="237">
        <f t="shared" si="88"/>
        <v>0</v>
      </c>
      <c r="EC732" s="237">
        <f t="shared" si="89"/>
        <v>0</v>
      </c>
      <c r="ED732" s="237">
        <f t="shared" si="90"/>
        <v>0</v>
      </c>
      <c r="EE732" s="237">
        <f t="shared" si="91"/>
        <v>0</v>
      </c>
      <c r="EF732" s="121"/>
      <c r="EG732" s="238">
        <f t="shared" si="92"/>
        <v>0</v>
      </c>
      <c r="EH732" s="121"/>
      <c r="EI732" s="237">
        <f t="shared" si="93"/>
        <v>0</v>
      </c>
      <c r="EJ732" s="121"/>
      <c r="EK732" s="237">
        <f t="shared" si="94"/>
        <v>0</v>
      </c>
      <c r="EL732" s="237"/>
      <c r="EM732" s="5"/>
      <c r="EN732" s="5"/>
      <c r="EO732" s="5"/>
      <c r="EP732" s="5"/>
      <c r="EQ732" s="237">
        <f t="shared" si="95"/>
        <v>0</v>
      </c>
      <c r="ER732" s="239">
        <v>23300</v>
      </c>
      <c r="ES732" s="5">
        <v>7.5</v>
      </c>
    </row>
    <row r="733" spans="1:149" x14ac:dyDescent="0.3">
      <c r="A733" s="124"/>
      <c r="B733" s="121"/>
      <c r="C733" s="121"/>
      <c r="D733" s="121"/>
      <c r="E733" s="121"/>
      <c r="F733" s="121"/>
      <c r="G733" s="121"/>
      <c r="H733" s="121"/>
      <c r="I733" s="121"/>
      <c r="J733" s="121"/>
      <c r="K733" s="121"/>
      <c r="L733" s="121"/>
      <c r="M733" s="121"/>
      <c r="N733" s="121"/>
      <c r="O733" s="235"/>
      <c r="P733" s="121"/>
      <c r="Q733" s="121"/>
      <c r="R733" s="121"/>
      <c r="S733" s="121"/>
      <c r="T733" s="121"/>
      <c r="U733" s="121"/>
      <c r="V733" s="121"/>
      <c r="W733" s="121"/>
      <c r="X733" s="117"/>
      <c r="Y733" s="117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21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  <c r="DK733" s="121"/>
      <c r="DL733" s="121"/>
      <c r="DM733" s="121"/>
      <c r="DN733" s="121"/>
      <c r="DO733" s="121"/>
      <c r="DP733" s="121"/>
      <c r="DQ733" s="121"/>
      <c r="DR733" s="121"/>
      <c r="DS733" s="121"/>
      <c r="DT733" s="240"/>
      <c r="DU733" s="240"/>
      <c r="DV733" s="240"/>
      <c r="DW733" s="240"/>
      <c r="DX733" s="240"/>
      <c r="DY733" s="240"/>
      <c r="DZ733" s="240"/>
      <c r="EA733" s="240"/>
      <c r="EB733" s="237">
        <f t="shared" si="88"/>
        <v>0</v>
      </c>
      <c r="EC733" s="237">
        <f t="shared" si="89"/>
        <v>0</v>
      </c>
      <c r="ED733" s="237">
        <f t="shared" si="90"/>
        <v>0</v>
      </c>
      <c r="EE733" s="237">
        <f t="shared" si="91"/>
        <v>0</v>
      </c>
      <c r="EF733" s="121"/>
      <c r="EG733" s="238">
        <f t="shared" si="92"/>
        <v>0</v>
      </c>
      <c r="EH733" s="121"/>
      <c r="EI733" s="237">
        <f t="shared" si="93"/>
        <v>0</v>
      </c>
      <c r="EJ733" s="121"/>
      <c r="EK733" s="237">
        <f t="shared" si="94"/>
        <v>0</v>
      </c>
      <c r="EL733" s="237"/>
      <c r="EM733" s="5"/>
      <c r="EN733" s="5"/>
      <c r="EO733" s="5"/>
      <c r="EP733" s="5"/>
      <c r="EQ733" s="237">
        <f t="shared" si="95"/>
        <v>0</v>
      </c>
      <c r="ER733" s="239">
        <v>23300</v>
      </c>
      <c r="ES733" s="5">
        <v>7.5</v>
      </c>
    </row>
    <row r="734" spans="1:149" x14ac:dyDescent="0.3">
      <c r="A734" s="124"/>
      <c r="B734" s="121"/>
      <c r="C734" s="121"/>
      <c r="D734" s="121"/>
      <c r="E734" s="121"/>
      <c r="F734" s="121"/>
      <c r="G734" s="121"/>
      <c r="H734" s="121"/>
      <c r="I734" s="121"/>
      <c r="J734" s="121"/>
      <c r="K734" s="121"/>
      <c r="L734" s="121"/>
      <c r="M734" s="121"/>
      <c r="N734" s="121"/>
      <c r="O734" s="235"/>
      <c r="P734" s="121"/>
      <c r="Q734" s="121"/>
      <c r="R734" s="121"/>
      <c r="S734" s="121"/>
      <c r="T734" s="121"/>
      <c r="U734" s="121"/>
      <c r="V734" s="121"/>
      <c r="W734" s="121"/>
      <c r="X734" s="117"/>
      <c r="Y734" s="117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21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  <c r="DK734" s="121"/>
      <c r="DL734" s="121"/>
      <c r="DM734" s="121"/>
      <c r="DN734" s="121"/>
      <c r="DO734" s="121"/>
      <c r="DP734" s="121"/>
      <c r="DQ734" s="121"/>
      <c r="DR734" s="121"/>
      <c r="DS734" s="121"/>
      <c r="DT734" s="240"/>
      <c r="DU734" s="240"/>
      <c r="DV734" s="240"/>
      <c r="DW734" s="240"/>
      <c r="DX734" s="240"/>
      <c r="DY734" s="240"/>
      <c r="DZ734" s="240"/>
      <c r="EA734" s="240"/>
      <c r="EB734" s="237">
        <f t="shared" si="88"/>
        <v>0</v>
      </c>
      <c r="EC734" s="237">
        <f t="shared" si="89"/>
        <v>0</v>
      </c>
      <c r="ED734" s="237">
        <f t="shared" si="90"/>
        <v>0</v>
      </c>
      <c r="EE734" s="237">
        <f t="shared" si="91"/>
        <v>0</v>
      </c>
      <c r="EF734" s="121"/>
      <c r="EG734" s="238">
        <f t="shared" si="92"/>
        <v>0</v>
      </c>
      <c r="EH734" s="121"/>
      <c r="EI734" s="237">
        <f t="shared" si="93"/>
        <v>0</v>
      </c>
      <c r="EJ734" s="121"/>
      <c r="EK734" s="237">
        <f t="shared" si="94"/>
        <v>0</v>
      </c>
      <c r="EL734" s="237"/>
      <c r="EM734" s="5"/>
      <c r="EN734" s="5"/>
      <c r="EO734" s="5"/>
      <c r="EP734" s="5"/>
      <c r="EQ734" s="237">
        <f t="shared" si="95"/>
        <v>0</v>
      </c>
      <c r="ER734" s="239">
        <v>23300</v>
      </c>
      <c r="ES734" s="5">
        <v>7.5</v>
      </c>
    </row>
    <row r="735" spans="1:149" x14ac:dyDescent="0.3">
      <c r="A735" s="124"/>
      <c r="B735" s="121"/>
      <c r="C735" s="121"/>
      <c r="D735" s="121"/>
      <c r="E735" s="121"/>
      <c r="F735" s="121"/>
      <c r="G735" s="121"/>
      <c r="H735" s="121"/>
      <c r="I735" s="121"/>
      <c r="J735" s="121"/>
      <c r="K735" s="121"/>
      <c r="L735" s="121"/>
      <c r="M735" s="121"/>
      <c r="N735" s="121"/>
      <c r="O735" s="235"/>
      <c r="P735" s="121"/>
      <c r="Q735" s="121"/>
      <c r="R735" s="121"/>
      <c r="S735" s="121"/>
      <c r="T735" s="121"/>
      <c r="U735" s="121"/>
      <c r="V735" s="121"/>
      <c r="W735" s="121"/>
      <c r="X735" s="117"/>
      <c r="Y735" s="117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21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  <c r="DK735" s="121"/>
      <c r="DL735" s="121"/>
      <c r="DM735" s="121"/>
      <c r="DN735" s="121"/>
      <c r="DO735" s="121"/>
      <c r="DP735" s="121"/>
      <c r="DQ735" s="121"/>
      <c r="DR735" s="121"/>
      <c r="DS735" s="121"/>
      <c r="DT735" s="240"/>
      <c r="DU735" s="240"/>
      <c r="DV735" s="240"/>
      <c r="DW735" s="240"/>
      <c r="DX735" s="240"/>
      <c r="DY735" s="240"/>
      <c r="DZ735" s="240"/>
      <c r="EA735" s="240"/>
      <c r="EB735" s="237">
        <f t="shared" si="88"/>
        <v>0</v>
      </c>
      <c r="EC735" s="237">
        <f t="shared" si="89"/>
        <v>0</v>
      </c>
      <c r="ED735" s="237">
        <f t="shared" si="90"/>
        <v>0</v>
      </c>
      <c r="EE735" s="237">
        <f t="shared" si="91"/>
        <v>0</v>
      </c>
      <c r="EF735" s="121"/>
      <c r="EG735" s="238">
        <f t="shared" si="92"/>
        <v>0</v>
      </c>
      <c r="EH735" s="121"/>
      <c r="EI735" s="237">
        <f t="shared" si="93"/>
        <v>0</v>
      </c>
      <c r="EJ735" s="121"/>
      <c r="EK735" s="237">
        <f t="shared" si="94"/>
        <v>0</v>
      </c>
      <c r="EL735" s="237"/>
      <c r="EM735" s="5"/>
      <c r="EN735" s="5"/>
      <c r="EO735" s="5"/>
      <c r="EP735" s="5"/>
      <c r="EQ735" s="237">
        <f t="shared" si="95"/>
        <v>0</v>
      </c>
      <c r="ER735" s="239">
        <v>23300</v>
      </c>
      <c r="ES735" s="5">
        <v>7.5</v>
      </c>
    </row>
    <row r="736" spans="1:149" x14ac:dyDescent="0.3">
      <c r="A736" s="124"/>
      <c r="B736" s="121"/>
      <c r="C736" s="121"/>
      <c r="D736" s="121"/>
      <c r="E736" s="121"/>
      <c r="F736" s="121"/>
      <c r="G736" s="121"/>
      <c r="H736" s="121"/>
      <c r="I736" s="121"/>
      <c r="J736" s="121"/>
      <c r="K736" s="121"/>
      <c r="L736" s="121"/>
      <c r="M736" s="121"/>
      <c r="N736" s="121"/>
      <c r="O736" s="235"/>
      <c r="P736" s="121"/>
      <c r="Q736" s="121"/>
      <c r="R736" s="121"/>
      <c r="S736" s="121"/>
      <c r="T736" s="121"/>
      <c r="U736" s="121"/>
      <c r="V736" s="121"/>
      <c r="W736" s="121"/>
      <c r="X736" s="117"/>
      <c r="Y736" s="117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21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  <c r="DK736" s="121"/>
      <c r="DL736" s="121"/>
      <c r="DM736" s="121"/>
      <c r="DN736" s="121"/>
      <c r="DO736" s="121"/>
      <c r="DP736" s="121"/>
      <c r="DQ736" s="121"/>
      <c r="DR736" s="121"/>
      <c r="DS736" s="121"/>
      <c r="DT736" s="240"/>
      <c r="DU736" s="240"/>
      <c r="DV736" s="240"/>
      <c r="DW736" s="240"/>
      <c r="DX736" s="240"/>
      <c r="DY736" s="240"/>
      <c r="DZ736" s="240"/>
      <c r="EA736" s="240"/>
      <c r="EB736" s="237">
        <f t="shared" si="88"/>
        <v>0</v>
      </c>
      <c r="EC736" s="237">
        <f t="shared" si="89"/>
        <v>0</v>
      </c>
      <c r="ED736" s="237">
        <f t="shared" si="90"/>
        <v>0</v>
      </c>
      <c r="EE736" s="237">
        <f t="shared" si="91"/>
        <v>0</v>
      </c>
      <c r="EF736" s="121"/>
      <c r="EG736" s="238">
        <f t="shared" si="92"/>
        <v>0</v>
      </c>
      <c r="EH736" s="121"/>
      <c r="EI736" s="237">
        <f t="shared" si="93"/>
        <v>0</v>
      </c>
      <c r="EJ736" s="121"/>
      <c r="EK736" s="237">
        <f t="shared" si="94"/>
        <v>0</v>
      </c>
      <c r="EL736" s="237"/>
      <c r="EM736" s="5"/>
      <c r="EN736" s="5"/>
      <c r="EO736" s="5"/>
      <c r="EP736" s="5"/>
      <c r="EQ736" s="237">
        <f t="shared" si="95"/>
        <v>0</v>
      </c>
      <c r="ER736" s="239">
        <v>23300</v>
      </c>
      <c r="ES736" s="5">
        <v>7.5</v>
      </c>
    </row>
    <row r="737" spans="1:149" x14ac:dyDescent="0.3">
      <c r="A737" s="124"/>
      <c r="B737" s="121"/>
      <c r="C737" s="121"/>
      <c r="D737" s="121"/>
      <c r="E737" s="121"/>
      <c r="F737" s="121"/>
      <c r="G737" s="121"/>
      <c r="H737" s="121"/>
      <c r="I737" s="121"/>
      <c r="J737" s="121"/>
      <c r="K737" s="121"/>
      <c r="L737" s="121"/>
      <c r="M737" s="121"/>
      <c r="N737" s="121"/>
      <c r="O737" s="235"/>
      <c r="P737" s="121"/>
      <c r="Q737" s="121"/>
      <c r="R737" s="121"/>
      <c r="S737" s="121"/>
      <c r="T737" s="121"/>
      <c r="U737" s="121"/>
      <c r="V737" s="121"/>
      <c r="W737" s="121"/>
      <c r="X737" s="117"/>
      <c r="Y737" s="117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21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  <c r="DK737" s="121"/>
      <c r="DL737" s="121"/>
      <c r="DM737" s="121"/>
      <c r="DN737" s="121"/>
      <c r="DO737" s="121"/>
      <c r="DP737" s="121"/>
      <c r="DQ737" s="121"/>
      <c r="DR737" s="121"/>
      <c r="DS737" s="121"/>
      <c r="DT737" s="240"/>
      <c r="DU737" s="240"/>
      <c r="DV737" s="240"/>
      <c r="DW737" s="240"/>
      <c r="DX737" s="240"/>
      <c r="DY737" s="240"/>
      <c r="DZ737" s="240"/>
      <c r="EA737" s="240"/>
      <c r="EB737" s="237">
        <f t="shared" si="88"/>
        <v>0</v>
      </c>
      <c r="EC737" s="237">
        <f t="shared" si="89"/>
        <v>0</v>
      </c>
      <c r="ED737" s="237">
        <f t="shared" si="90"/>
        <v>0</v>
      </c>
      <c r="EE737" s="237">
        <f t="shared" si="91"/>
        <v>0</v>
      </c>
      <c r="EF737" s="121"/>
      <c r="EG737" s="238">
        <f t="shared" si="92"/>
        <v>0</v>
      </c>
      <c r="EH737" s="121"/>
      <c r="EI737" s="237">
        <f t="shared" si="93"/>
        <v>0</v>
      </c>
      <c r="EJ737" s="121"/>
      <c r="EK737" s="237">
        <f t="shared" si="94"/>
        <v>0</v>
      </c>
      <c r="EL737" s="237"/>
      <c r="EM737" s="5"/>
      <c r="EN737" s="5"/>
      <c r="EO737" s="5"/>
      <c r="EP737" s="5"/>
      <c r="EQ737" s="237">
        <f t="shared" si="95"/>
        <v>0</v>
      </c>
      <c r="ER737" s="239">
        <v>23300</v>
      </c>
      <c r="ES737" s="5">
        <v>7.5</v>
      </c>
    </row>
    <row r="738" spans="1:149" x14ac:dyDescent="0.3">
      <c r="A738" s="124"/>
      <c r="B738" s="121"/>
      <c r="C738" s="121"/>
      <c r="D738" s="121"/>
      <c r="E738" s="121"/>
      <c r="F738" s="121"/>
      <c r="G738" s="121"/>
      <c r="H738" s="121"/>
      <c r="I738" s="121"/>
      <c r="J738" s="121"/>
      <c r="K738" s="121"/>
      <c r="L738" s="121"/>
      <c r="M738" s="121"/>
      <c r="N738" s="121"/>
      <c r="O738" s="235"/>
      <c r="P738" s="121"/>
      <c r="Q738" s="121"/>
      <c r="R738" s="121"/>
      <c r="S738" s="121"/>
      <c r="T738" s="121"/>
      <c r="U738" s="121"/>
      <c r="V738" s="121"/>
      <c r="W738" s="121"/>
      <c r="X738" s="117"/>
      <c r="Y738" s="117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21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  <c r="DK738" s="121"/>
      <c r="DL738" s="121"/>
      <c r="DM738" s="121"/>
      <c r="DN738" s="121"/>
      <c r="DO738" s="121"/>
      <c r="DP738" s="121"/>
      <c r="DQ738" s="121"/>
      <c r="DR738" s="121"/>
      <c r="DS738" s="121"/>
      <c r="DT738" s="240"/>
      <c r="DU738" s="240"/>
      <c r="DV738" s="240"/>
      <c r="DW738" s="240"/>
      <c r="DX738" s="240"/>
      <c r="DY738" s="240"/>
      <c r="DZ738" s="240"/>
      <c r="EA738" s="240"/>
      <c r="EB738" s="237">
        <f t="shared" si="88"/>
        <v>0</v>
      </c>
      <c r="EC738" s="237">
        <f t="shared" si="89"/>
        <v>0</v>
      </c>
      <c r="ED738" s="237">
        <f t="shared" si="90"/>
        <v>0</v>
      </c>
      <c r="EE738" s="237">
        <f t="shared" si="91"/>
        <v>0</v>
      </c>
      <c r="EF738" s="121"/>
      <c r="EG738" s="238">
        <f t="shared" si="92"/>
        <v>0</v>
      </c>
      <c r="EH738" s="121"/>
      <c r="EI738" s="237">
        <f t="shared" si="93"/>
        <v>0</v>
      </c>
      <c r="EJ738" s="121"/>
      <c r="EK738" s="237">
        <f t="shared" si="94"/>
        <v>0</v>
      </c>
      <c r="EL738" s="237"/>
      <c r="EM738" s="5"/>
      <c r="EN738" s="5"/>
      <c r="EO738" s="5"/>
      <c r="EP738" s="5"/>
      <c r="EQ738" s="237">
        <f t="shared" si="95"/>
        <v>0</v>
      </c>
      <c r="ER738" s="239">
        <v>23300</v>
      </c>
      <c r="ES738" s="5">
        <v>7.5</v>
      </c>
    </row>
    <row r="739" spans="1:149" x14ac:dyDescent="0.3">
      <c r="A739" s="124"/>
      <c r="B739" s="121"/>
      <c r="C739" s="121"/>
      <c r="D739" s="121"/>
      <c r="E739" s="121"/>
      <c r="F739" s="121"/>
      <c r="G739" s="121"/>
      <c r="H739" s="121"/>
      <c r="I739" s="121"/>
      <c r="J739" s="121"/>
      <c r="K739" s="121"/>
      <c r="L739" s="121"/>
      <c r="M739" s="121"/>
      <c r="N739" s="121"/>
      <c r="O739" s="235"/>
      <c r="P739" s="121"/>
      <c r="Q739" s="121"/>
      <c r="R739" s="121"/>
      <c r="S739" s="121"/>
      <c r="T739" s="121"/>
      <c r="U739" s="121"/>
      <c r="V739" s="121"/>
      <c r="W739" s="121"/>
      <c r="X739" s="117"/>
      <c r="Y739" s="117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21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  <c r="DK739" s="121"/>
      <c r="DL739" s="121"/>
      <c r="DM739" s="121"/>
      <c r="DN739" s="121"/>
      <c r="DO739" s="121"/>
      <c r="DP739" s="121"/>
      <c r="DQ739" s="121"/>
      <c r="DR739" s="121"/>
      <c r="DS739" s="121"/>
      <c r="DT739" s="240"/>
      <c r="DU739" s="240"/>
      <c r="DV739" s="240"/>
      <c r="DW739" s="240"/>
      <c r="DX739" s="240"/>
      <c r="DY739" s="240"/>
      <c r="DZ739" s="240"/>
      <c r="EA739" s="240"/>
      <c r="EB739" s="237">
        <f t="shared" si="88"/>
        <v>0</v>
      </c>
      <c r="EC739" s="237">
        <f t="shared" si="89"/>
        <v>0</v>
      </c>
      <c r="ED739" s="237">
        <f t="shared" si="90"/>
        <v>0</v>
      </c>
      <c r="EE739" s="237">
        <f t="shared" si="91"/>
        <v>0</v>
      </c>
      <c r="EF739" s="121"/>
      <c r="EG739" s="238">
        <f t="shared" si="92"/>
        <v>0</v>
      </c>
      <c r="EH739" s="121"/>
      <c r="EI739" s="237">
        <f t="shared" si="93"/>
        <v>0</v>
      </c>
      <c r="EJ739" s="121"/>
      <c r="EK739" s="237">
        <f t="shared" si="94"/>
        <v>0</v>
      </c>
      <c r="EL739" s="237"/>
      <c r="EM739" s="5"/>
      <c r="EN739" s="5"/>
      <c r="EO739" s="5"/>
      <c r="EP739" s="5"/>
      <c r="EQ739" s="237">
        <f t="shared" si="95"/>
        <v>0</v>
      </c>
      <c r="ER739" s="239">
        <v>23300</v>
      </c>
      <c r="ES739" s="5">
        <v>7.5</v>
      </c>
    </row>
    <row r="740" spans="1:149" x14ac:dyDescent="0.3">
      <c r="A740" s="124"/>
      <c r="B740" s="121"/>
      <c r="C740" s="121"/>
      <c r="D740" s="121"/>
      <c r="E740" s="121"/>
      <c r="F740" s="121"/>
      <c r="G740" s="121"/>
      <c r="H740" s="121"/>
      <c r="I740" s="121"/>
      <c r="J740" s="121"/>
      <c r="K740" s="121"/>
      <c r="L740" s="121"/>
      <c r="M740" s="121"/>
      <c r="N740" s="121"/>
      <c r="O740" s="235"/>
      <c r="P740" s="121"/>
      <c r="Q740" s="121"/>
      <c r="R740" s="121"/>
      <c r="S740" s="121"/>
      <c r="T740" s="121"/>
      <c r="U740" s="121"/>
      <c r="V740" s="121"/>
      <c r="W740" s="121"/>
      <c r="X740" s="117"/>
      <c r="Y740" s="117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21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  <c r="DK740" s="121"/>
      <c r="DL740" s="121"/>
      <c r="DM740" s="121"/>
      <c r="DN740" s="121"/>
      <c r="DO740" s="121"/>
      <c r="DP740" s="121"/>
      <c r="DQ740" s="121"/>
      <c r="DR740" s="121"/>
      <c r="DS740" s="121"/>
      <c r="DT740" s="240"/>
      <c r="DU740" s="240"/>
      <c r="DV740" s="240"/>
      <c r="DW740" s="240"/>
      <c r="DX740" s="240"/>
      <c r="DY740" s="240"/>
      <c r="DZ740" s="240"/>
      <c r="EA740" s="240"/>
      <c r="EB740" s="237">
        <f t="shared" si="88"/>
        <v>0</v>
      </c>
      <c r="EC740" s="237">
        <f t="shared" si="89"/>
        <v>0</v>
      </c>
      <c r="ED740" s="237">
        <f t="shared" si="90"/>
        <v>0</v>
      </c>
      <c r="EE740" s="237">
        <f t="shared" si="91"/>
        <v>0</v>
      </c>
      <c r="EF740" s="121"/>
      <c r="EG740" s="238">
        <f t="shared" si="92"/>
        <v>0</v>
      </c>
      <c r="EH740" s="121"/>
      <c r="EI740" s="237">
        <f t="shared" si="93"/>
        <v>0</v>
      </c>
      <c r="EJ740" s="121"/>
      <c r="EK740" s="237">
        <f t="shared" si="94"/>
        <v>0</v>
      </c>
      <c r="EL740" s="237"/>
      <c r="EM740" s="5"/>
      <c r="EN740" s="5"/>
      <c r="EO740" s="5"/>
      <c r="EP740" s="5"/>
      <c r="EQ740" s="237">
        <f t="shared" si="95"/>
        <v>0</v>
      </c>
      <c r="ER740" s="239">
        <v>23300</v>
      </c>
      <c r="ES740" s="5">
        <v>7.5</v>
      </c>
    </row>
    <row r="741" spans="1:149" x14ac:dyDescent="0.3">
      <c r="A741" s="124"/>
      <c r="B741" s="121"/>
      <c r="C741" s="121"/>
      <c r="D741" s="121"/>
      <c r="E741" s="121"/>
      <c r="F741" s="121"/>
      <c r="G741" s="121"/>
      <c r="H741" s="121"/>
      <c r="I741" s="121"/>
      <c r="J741" s="121"/>
      <c r="K741" s="121"/>
      <c r="L741" s="121"/>
      <c r="M741" s="121"/>
      <c r="N741" s="121"/>
      <c r="O741" s="235"/>
      <c r="P741" s="121"/>
      <c r="Q741" s="121"/>
      <c r="R741" s="121"/>
      <c r="S741" s="121"/>
      <c r="T741" s="121"/>
      <c r="U741" s="121"/>
      <c r="V741" s="121"/>
      <c r="W741" s="121"/>
      <c r="X741" s="117"/>
      <c r="Y741" s="117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21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  <c r="DK741" s="121"/>
      <c r="DL741" s="121"/>
      <c r="DM741" s="121"/>
      <c r="DN741" s="121"/>
      <c r="DO741" s="121"/>
      <c r="DP741" s="121"/>
      <c r="DQ741" s="121"/>
      <c r="DR741" s="121"/>
      <c r="DS741" s="121"/>
      <c r="DT741" s="240"/>
      <c r="DU741" s="240"/>
      <c r="DV741" s="240"/>
      <c r="DW741" s="240"/>
      <c r="DX741" s="240"/>
      <c r="DY741" s="240"/>
      <c r="DZ741" s="240"/>
      <c r="EA741" s="240"/>
      <c r="EB741" s="237">
        <f t="shared" si="88"/>
        <v>0</v>
      </c>
      <c r="EC741" s="237">
        <f t="shared" si="89"/>
        <v>0</v>
      </c>
      <c r="ED741" s="237">
        <f t="shared" si="90"/>
        <v>0</v>
      </c>
      <c r="EE741" s="237">
        <f t="shared" si="91"/>
        <v>0</v>
      </c>
      <c r="EF741" s="121"/>
      <c r="EG741" s="238">
        <f t="shared" si="92"/>
        <v>0</v>
      </c>
      <c r="EH741" s="121"/>
      <c r="EI741" s="237">
        <f t="shared" si="93"/>
        <v>0</v>
      </c>
      <c r="EJ741" s="121"/>
      <c r="EK741" s="237">
        <f t="shared" si="94"/>
        <v>0</v>
      </c>
      <c r="EL741" s="237"/>
      <c r="EM741" s="5"/>
      <c r="EN741" s="5"/>
      <c r="EO741" s="5"/>
      <c r="EP741" s="5"/>
      <c r="EQ741" s="237">
        <f t="shared" si="95"/>
        <v>0</v>
      </c>
      <c r="ER741" s="239">
        <v>23300</v>
      </c>
      <c r="ES741" s="5">
        <v>7.5</v>
      </c>
    </row>
    <row r="742" spans="1:149" x14ac:dyDescent="0.3">
      <c r="A742" s="124"/>
      <c r="B742" s="121"/>
      <c r="C742" s="121"/>
      <c r="D742" s="121"/>
      <c r="E742" s="121"/>
      <c r="F742" s="121"/>
      <c r="G742" s="121"/>
      <c r="H742" s="121"/>
      <c r="I742" s="121"/>
      <c r="J742" s="121"/>
      <c r="K742" s="121"/>
      <c r="L742" s="121"/>
      <c r="M742" s="121"/>
      <c r="N742" s="121"/>
      <c r="O742" s="235"/>
      <c r="P742" s="121"/>
      <c r="Q742" s="121"/>
      <c r="R742" s="121"/>
      <c r="S742" s="121"/>
      <c r="T742" s="121"/>
      <c r="U742" s="121"/>
      <c r="V742" s="121"/>
      <c r="W742" s="121"/>
      <c r="X742" s="117"/>
      <c r="Y742" s="117"/>
      <c r="Z742" s="121"/>
      <c r="AA742" s="121"/>
      <c r="AB742" s="121"/>
      <c r="AC742" s="121"/>
      <c r="AD742" s="121"/>
      <c r="AE742" s="121"/>
      <c r="AF742" s="121"/>
      <c r="AG742" s="121"/>
      <c r="AH742" s="121"/>
      <c r="AI742" s="121"/>
      <c r="AJ742" s="121"/>
      <c r="AK742" s="121"/>
      <c r="AL742" s="121"/>
      <c r="AM742" s="121"/>
      <c r="AN742" s="121"/>
      <c r="AO742" s="121"/>
      <c r="AP742" s="121"/>
      <c r="AQ742" s="121"/>
      <c r="AR742" s="121"/>
      <c r="AS742" s="121"/>
      <c r="AT742" s="121"/>
      <c r="AU742" s="121"/>
      <c r="AV742" s="121"/>
      <c r="AW742" s="121"/>
      <c r="AX742" s="121"/>
      <c r="AY742" s="121"/>
      <c r="AZ742" s="121"/>
      <c r="BA742" s="121"/>
      <c r="BB742" s="121"/>
      <c r="BC742" s="121"/>
      <c r="BD742" s="121"/>
      <c r="BE742" s="121"/>
      <c r="BF742" s="121"/>
      <c r="BG742" s="121"/>
      <c r="BH742" s="121"/>
      <c r="BI742" s="121"/>
      <c r="BJ742" s="121"/>
      <c r="BK742" s="121"/>
      <c r="BL742" s="121"/>
      <c r="BM742" s="121"/>
      <c r="BN742" s="121"/>
      <c r="BO742" s="121"/>
      <c r="BP742" s="121"/>
      <c r="BQ742" s="121"/>
      <c r="BR742" s="121"/>
      <c r="BS742" s="121"/>
      <c r="BT742" s="121"/>
      <c r="BU742" s="121"/>
      <c r="BV742" s="121"/>
      <c r="BW742" s="121"/>
      <c r="BX742" s="121"/>
      <c r="BY742" s="121"/>
      <c r="BZ742" s="121"/>
      <c r="CA742" s="121"/>
      <c r="CB742" s="121"/>
      <c r="CC742" s="121"/>
      <c r="CD742" s="121"/>
      <c r="CE742" s="121"/>
      <c r="CF742" s="121"/>
      <c r="CG742" s="121"/>
      <c r="CH742" s="121"/>
      <c r="CI742" s="121"/>
      <c r="CJ742" s="121"/>
      <c r="CK742" s="121"/>
      <c r="CL742" s="121"/>
      <c r="CM742" s="121"/>
      <c r="CN742" s="121"/>
      <c r="CO742" s="121"/>
      <c r="CP742" s="121"/>
      <c r="CQ742" s="121"/>
      <c r="CR742" s="121"/>
      <c r="CS742" s="121"/>
      <c r="CT742" s="121"/>
      <c r="CU742" s="121"/>
      <c r="CV742" s="121"/>
      <c r="CW742" s="121"/>
      <c r="CX742" s="121"/>
      <c r="CY742" s="121"/>
      <c r="CZ742" s="121"/>
      <c r="DA742" s="121"/>
      <c r="DB742" s="121"/>
      <c r="DC742" s="121"/>
      <c r="DD742" s="121"/>
      <c r="DE742" s="121"/>
      <c r="DF742" s="121"/>
      <c r="DG742" s="121"/>
      <c r="DH742" s="121"/>
      <c r="DI742" s="121"/>
      <c r="DJ742" s="121"/>
      <c r="DK742" s="121"/>
      <c r="DL742" s="121"/>
      <c r="DM742" s="121"/>
      <c r="DN742" s="121"/>
      <c r="DO742" s="121"/>
      <c r="DP742" s="121"/>
      <c r="DQ742" s="121"/>
      <c r="DR742" s="121"/>
      <c r="DS742" s="121"/>
      <c r="DT742" s="240"/>
      <c r="DU742" s="240"/>
      <c r="DV742" s="240"/>
      <c r="DW742" s="240"/>
      <c r="DX742" s="240"/>
      <c r="DY742" s="240"/>
      <c r="DZ742" s="240"/>
      <c r="EA742" s="240"/>
      <c r="EB742" s="237">
        <f t="shared" si="88"/>
        <v>0</v>
      </c>
      <c r="EC742" s="237">
        <f t="shared" si="89"/>
        <v>0</v>
      </c>
      <c r="ED742" s="237">
        <f t="shared" si="90"/>
        <v>0</v>
      </c>
      <c r="EE742" s="237">
        <f t="shared" si="91"/>
        <v>0</v>
      </c>
      <c r="EF742" s="121"/>
      <c r="EG742" s="238">
        <f t="shared" si="92"/>
        <v>0</v>
      </c>
      <c r="EH742" s="121"/>
      <c r="EI742" s="237">
        <f t="shared" si="93"/>
        <v>0</v>
      </c>
      <c r="EJ742" s="121"/>
      <c r="EK742" s="237">
        <f t="shared" si="94"/>
        <v>0</v>
      </c>
      <c r="EL742" s="237"/>
      <c r="EM742" s="5"/>
      <c r="EN742" s="5"/>
      <c r="EO742" s="5"/>
      <c r="EP742" s="5"/>
      <c r="EQ742" s="237">
        <f t="shared" si="95"/>
        <v>0</v>
      </c>
      <c r="ER742" s="239">
        <v>23300</v>
      </c>
      <c r="ES742" s="5">
        <v>7.5</v>
      </c>
    </row>
    <row r="743" spans="1:149" x14ac:dyDescent="0.3">
      <c r="A743" s="124"/>
      <c r="B743" s="121"/>
      <c r="C743" s="121"/>
      <c r="D743" s="121"/>
      <c r="E743" s="121"/>
      <c r="F743" s="121"/>
      <c r="G743" s="121"/>
      <c r="H743" s="121"/>
      <c r="I743" s="121"/>
      <c r="J743" s="121"/>
      <c r="K743" s="121"/>
      <c r="L743" s="121"/>
      <c r="M743" s="121"/>
      <c r="N743" s="121"/>
      <c r="O743" s="235"/>
      <c r="P743" s="121"/>
      <c r="Q743" s="121"/>
      <c r="R743" s="121"/>
      <c r="S743" s="121"/>
      <c r="T743" s="121"/>
      <c r="U743" s="121"/>
      <c r="V743" s="121"/>
      <c r="W743" s="121"/>
      <c r="X743" s="117"/>
      <c r="Y743" s="117"/>
      <c r="Z743" s="121"/>
      <c r="AA743" s="121"/>
      <c r="AB743" s="121"/>
      <c r="AC743" s="121"/>
      <c r="AD743" s="121"/>
      <c r="AE743" s="121"/>
      <c r="AF743" s="121"/>
      <c r="AG743" s="121"/>
      <c r="AH743" s="121"/>
      <c r="AI743" s="121"/>
      <c r="AJ743" s="121"/>
      <c r="AK743" s="121"/>
      <c r="AL743" s="121"/>
      <c r="AM743" s="121"/>
      <c r="AN743" s="121"/>
      <c r="AO743" s="121"/>
      <c r="AP743" s="121"/>
      <c r="AQ743" s="121"/>
      <c r="AR743" s="121"/>
      <c r="AS743" s="121"/>
      <c r="AT743" s="121"/>
      <c r="AU743" s="121"/>
      <c r="AV743" s="121"/>
      <c r="AW743" s="121"/>
      <c r="AX743" s="121"/>
      <c r="AY743" s="121"/>
      <c r="AZ743" s="121"/>
      <c r="BA743" s="121"/>
      <c r="BB743" s="121"/>
      <c r="BC743" s="121"/>
      <c r="BD743" s="121"/>
      <c r="BE743" s="121"/>
      <c r="BF743" s="121"/>
      <c r="BG743" s="121"/>
      <c r="BH743" s="121"/>
      <c r="BI743" s="121"/>
      <c r="BJ743" s="121"/>
      <c r="BK743" s="121"/>
      <c r="BL743" s="121"/>
      <c r="BM743" s="121"/>
      <c r="BN743" s="121"/>
      <c r="BO743" s="121"/>
      <c r="BP743" s="121"/>
      <c r="BQ743" s="121"/>
      <c r="BR743" s="121"/>
      <c r="BS743" s="121"/>
      <c r="BT743" s="121"/>
      <c r="BU743" s="121"/>
      <c r="BV743" s="121"/>
      <c r="BW743" s="121"/>
      <c r="BX743" s="121"/>
      <c r="BY743" s="121"/>
      <c r="BZ743" s="121"/>
      <c r="CA743" s="121"/>
      <c r="CB743" s="121"/>
      <c r="CC743" s="121"/>
      <c r="CD743" s="121"/>
      <c r="CE743" s="121"/>
      <c r="CF743" s="121"/>
      <c r="CG743" s="121"/>
      <c r="CH743" s="121"/>
      <c r="CI743" s="121"/>
      <c r="CJ743" s="121"/>
      <c r="CK743" s="121"/>
      <c r="CL743" s="121"/>
      <c r="CM743" s="121"/>
      <c r="CN743" s="121"/>
      <c r="CO743" s="121"/>
      <c r="CP743" s="121"/>
      <c r="CQ743" s="121"/>
      <c r="CR743" s="121"/>
      <c r="CS743" s="121"/>
      <c r="CT743" s="121"/>
      <c r="CU743" s="121"/>
      <c r="CV743" s="121"/>
      <c r="CW743" s="121"/>
      <c r="CX743" s="121"/>
      <c r="CY743" s="121"/>
      <c r="CZ743" s="121"/>
      <c r="DA743" s="121"/>
      <c r="DB743" s="121"/>
      <c r="DC743" s="121"/>
      <c r="DD743" s="121"/>
      <c r="DE743" s="121"/>
      <c r="DF743" s="121"/>
      <c r="DG743" s="121"/>
      <c r="DH743" s="121"/>
      <c r="DI743" s="121"/>
      <c r="DJ743" s="121"/>
      <c r="DK743" s="121"/>
      <c r="DL743" s="121"/>
      <c r="DM743" s="121"/>
      <c r="DN743" s="121"/>
      <c r="DO743" s="121"/>
      <c r="DP743" s="121"/>
      <c r="DQ743" s="121"/>
      <c r="DR743" s="121"/>
      <c r="DS743" s="121"/>
      <c r="DT743" s="240"/>
      <c r="DU743" s="240"/>
      <c r="DV743" s="240"/>
      <c r="DW743" s="240"/>
      <c r="DX743" s="240"/>
      <c r="DY743" s="240"/>
      <c r="DZ743" s="240"/>
      <c r="EA743" s="240"/>
      <c r="EB743" s="237">
        <f t="shared" si="88"/>
        <v>0</v>
      </c>
      <c r="EC743" s="237">
        <f t="shared" si="89"/>
        <v>0</v>
      </c>
      <c r="ED743" s="237">
        <f t="shared" si="90"/>
        <v>0</v>
      </c>
      <c r="EE743" s="237">
        <f t="shared" si="91"/>
        <v>0</v>
      </c>
      <c r="EF743" s="121"/>
      <c r="EG743" s="238">
        <f t="shared" si="92"/>
        <v>0</v>
      </c>
      <c r="EH743" s="121"/>
      <c r="EI743" s="237">
        <f t="shared" si="93"/>
        <v>0</v>
      </c>
      <c r="EJ743" s="121"/>
      <c r="EK743" s="237">
        <f t="shared" si="94"/>
        <v>0</v>
      </c>
      <c r="EL743" s="237"/>
      <c r="EM743" s="5"/>
      <c r="EN743" s="5"/>
      <c r="EO743" s="5"/>
      <c r="EP743" s="5"/>
      <c r="EQ743" s="237">
        <f t="shared" si="95"/>
        <v>0</v>
      </c>
      <c r="ER743" s="239">
        <v>23300</v>
      </c>
      <c r="ES743" s="5">
        <v>7.5</v>
      </c>
    </row>
    <row r="744" spans="1:149" x14ac:dyDescent="0.3">
      <c r="A744" s="124"/>
      <c r="B744" s="121"/>
      <c r="C744" s="121"/>
      <c r="D744" s="121"/>
      <c r="E744" s="121"/>
      <c r="F744" s="121"/>
      <c r="G744" s="121"/>
      <c r="H744" s="121"/>
      <c r="I744" s="121"/>
      <c r="J744" s="121"/>
      <c r="K744" s="121"/>
      <c r="L744" s="121"/>
      <c r="M744" s="121"/>
      <c r="N744" s="121"/>
      <c r="O744" s="235"/>
      <c r="P744" s="121"/>
      <c r="Q744" s="121"/>
      <c r="R744" s="121"/>
      <c r="S744" s="121"/>
      <c r="T744" s="121"/>
      <c r="U744" s="121"/>
      <c r="V744" s="121"/>
      <c r="W744" s="121"/>
      <c r="X744" s="117"/>
      <c r="Y744" s="117"/>
      <c r="Z744" s="121"/>
      <c r="AA744" s="121"/>
      <c r="AB744" s="121"/>
      <c r="AC744" s="121"/>
      <c r="AD744" s="121"/>
      <c r="AE744" s="121"/>
      <c r="AF744" s="121"/>
      <c r="AG744" s="121"/>
      <c r="AH744" s="121"/>
      <c r="AI744" s="121"/>
      <c r="AJ744" s="121"/>
      <c r="AK744" s="121"/>
      <c r="AL744" s="121"/>
      <c r="AM744" s="121"/>
      <c r="AN744" s="121"/>
      <c r="AO744" s="121"/>
      <c r="AP744" s="121"/>
      <c r="AQ744" s="121"/>
      <c r="AR744" s="121"/>
      <c r="AS744" s="121"/>
      <c r="AT744" s="121"/>
      <c r="AU744" s="121"/>
      <c r="AV744" s="121"/>
      <c r="AW744" s="121"/>
      <c r="AX744" s="121"/>
      <c r="AY744" s="121"/>
      <c r="AZ744" s="121"/>
      <c r="BA744" s="121"/>
      <c r="BB744" s="121"/>
      <c r="BC744" s="121"/>
      <c r="BD744" s="121"/>
      <c r="BE744" s="121"/>
      <c r="BF744" s="121"/>
      <c r="BG744" s="121"/>
      <c r="BH744" s="121"/>
      <c r="BI744" s="121"/>
      <c r="BJ744" s="121"/>
      <c r="BK744" s="121"/>
      <c r="BL744" s="121"/>
      <c r="BM744" s="121"/>
      <c r="BN744" s="121"/>
      <c r="BO744" s="121"/>
      <c r="BP744" s="121"/>
      <c r="BQ744" s="121"/>
      <c r="BR744" s="121"/>
      <c r="BS744" s="121"/>
      <c r="BT744" s="121"/>
      <c r="BU744" s="121"/>
      <c r="BV744" s="121"/>
      <c r="BW744" s="121"/>
      <c r="BX744" s="121"/>
      <c r="BY744" s="121"/>
      <c r="BZ744" s="121"/>
      <c r="CA744" s="121"/>
      <c r="CB744" s="121"/>
      <c r="CC744" s="121"/>
      <c r="CD744" s="121"/>
      <c r="CE744" s="121"/>
      <c r="CF744" s="121"/>
      <c r="CG744" s="121"/>
      <c r="CH744" s="121"/>
      <c r="CI744" s="121"/>
      <c r="CJ744" s="121"/>
      <c r="CK744" s="121"/>
      <c r="CL744" s="121"/>
      <c r="CM744" s="121"/>
      <c r="CN744" s="121"/>
      <c r="CO744" s="121"/>
      <c r="CP744" s="121"/>
      <c r="CQ744" s="121"/>
      <c r="CR744" s="121"/>
      <c r="CS744" s="121"/>
      <c r="CT744" s="121"/>
      <c r="CU744" s="121"/>
      <c r="CV744" s="121"/>
      <c r="CW744" s="121"/>
      <c r="CX744" s="121"/>
      <c r="CY744" s="121"/>
      <c r="CZ744" s="121"/>
      <c r="DA744" s="121"/>
      <c r="DB744" s="121"/>
      <c r="DC744" s="121"/>
      <c r="DD744" s="121"/>
      <c r="DE744" s="121"/>
      <c r="DF744" s="121"/>
      <c r="DG744" s="121"/>
      <c r="DH744" s="121"/>
      <c r="DI744" s="121"/>
      <c r="DJ744" s="121"/>
      <c r="DK744" s="121"/>
      <c r="DL744" s="121"/>
      <c r="DM744" s="121"/>
      <c r="DN744" s="121"/>
      <c r="DO744" s="121"/>
      <c r="DP744" s="121"/>
      <c r="DQ744" s="121"/>
      <c r="DR744" s="121"/>
      <c r="DS744" s="121"/>
      <c r="DT744" s="240"/>
      <c r="DU744" s="240"/>
      <c r="DV744" s="240"/>
      <c r="DW744" s="240"/>
      <c r="DX744" s="240"/>
      <c r="DY744" s="240"/>
      <c r="DZ744" s="240"/>
      <c r="EA744" s="240"/>
      <c r="EB744" s="237">
        <f t="shared" si="88"/>
        <v>0</v>
      </c>
      <c r="EC744" s="237">
        <f t="shared" si="89"/>
        <v>0</v>
      </c>
      <c r="ED744" s="237">
        <f t="shared" si="90"/>
        <v>0</v>
      </c>
      <c r="EE744" s="237">
        <f t="shared" si="91"/>
        <v>0</v>
      </c>
      <c r="EF744" s="121"/>
      <c r="EG744" s="238">
        <f t="shared" si="92"/>
        <v>0</v>
      </c>
      <c r="EH744" s="121"/>
      <c r="EI744" s="237">
        <f t="shared" si="93"/>
        <v>0</v>
      </c>
      <c r="EJ744" s="121"/>
      <c r="EK744" s="237">
        <f t="shared" si="94"/>
        <v>0</v>
      </c>
      <c r="EL744" s="237"/>
      <c r="EM744" s="5"/>
      <c r="EN744" s="5"/>
      <c r="EO744" s="5"/>
      <c r="EP744" s="5"/>
      <c r="EQ744" s="237">
        <f t="shared" si="95"/>
        <v>0</v>
      </c>
      <c r="ER744" s="239">
        <v>23300</v>
      </c>
      <c r="ES744" s="5">
        <v>7.5</v>
      </c>
    </row>
    <row r="745" spans="1:149" x14ac:dyDescent="0.3">
      <c r="A745" s="124"/>
      <c r="B745" s="121"/>
      <c r="C745" s="121"/>
      <c r="D745" s="121"/>
      <c r="E745" s="121"/>
      <c r="F745" s="121"/>
      <c r="G745" s="121"/>
      <c r="H745" s="121"/>
      <c r="I745" s="121"/>
      <c r="J745" s="121"/>
      <c r="K745" s="121"/>
      <c r="L745" s="121"/>
      <c r="M745" s="121"/>
      <c r="N745" s="121"/>
      <c r="O745" s="235"/>
      <c r="P745" s="121"/>
      <c r="Q745" s="121"/>
      <c r="R745" s="121"/>
      <c r="S745" s="121"/>
      <c r="T745" s="121"/>
      <c r="U745" s="121"/>
      <c r="V745" s="121"/>
      <c r="W745" s="121"/>
      <c r="X745" s="117"/>
      <c r="Y745" s="117"/>
      <c r="Z745" s="121"/>
      <c r="AA745" s="121"/>
      <c r="AB745" s="121"/>
      <c r="AC745" s="121"/>
      <c r="AD745" s="121"/>
      <c r="AE745" s="121"/>
      <c r="AF745" s="121"/>
      <c r="AG745" s="121"/>
      <c r="AH745" s="121"/>
      <c r="AI745" s="121"/>
      <c r="AJ745" s="121"/>
      <c r="AK745" s="121"/>
      <c r="AL745" s="121"/>
      <c r="AM745" s="121"/>
      <c r="AN745" s="121"/>
      <c r="AO745" s="121"/>
      <c r="AP745" s="121"/>
      <c r="AQ745" s="121"/>
      <c r="AR745" s="121"/>
      <c r="AS745" s="121"/>
      <c r="AT745" s="121"/>
      <c r="AU745" s="121"/>
      <c r="AV745" s="121"/>
      <c r="AW745" s="121"/>
      <c r="AX745" s="121"/>
      <c r="AY745" s="121"/>
      <c r="AZ745" s="121"/>
      <c r="BA745" s="121"/>
      <c r="BB745" s="121"/>
      <c r="BC745" s="121"/>
      <c r="BD745" s="121"/>
      <c r="BE745" s="121"/>
      <c r="BF745" s="121"/>
      <c r="BG745" s="121"/>
      <c r="BH745" s="121"/>
      <c r="BI745" s="121"/>
      <c r="BJ745" s="121"/>
      <c r="BK745" s="121"/>
      <c r="BL745" s="121"/>
      <c r="BM745" s="121"/>
      <c r="BN745" s="121"/>
      <c r="BO745" s="121"/>
      <c r="BP745" s="121"/>
      <c r="BQ745" s="121"/>
      <c r="BR745" s="121"/>
      <c r="BS745" s="121"/>
      <c r="BT745" s="121"/>
      <c r="BU745" s="121"/>
      <c r="BV745" s="121"/>
      <c r="BW745" s="121"/>
      <c r="BX745" s="121"/>
      <c r="BY745" s="121"/>
      <c r="BZ745" s="121"/>
      <c r="CA745" s="121"/>
      <c r="CB745" s="121"/>
      <c r="CC745" s="121"/>
      <c r="CD745" s="121"/>
      <c r="CE745" s="121"/>
      <c r="CF745" s="121"/>
      <c r="CG745" s="121"/>
      <c r="CH745" s="121"/>
      <c r="CI745" s="121"/>
      <c r="CJ745" s="121"/>
      <c r="CK745" s="121"/>
      <c r="CL745" s="121"/>
      <c r="CM745" s="121"/>
      <c r="CN745" s="121"/>
      <c r="CO745" s="121"/>
      <c r="CP745" s="121"/>
      <c r="CQ745" s="121"/>
      <c r="CR745" s="121"/>
      <c r="CS745" s="121"/>
      <c r="CT745" s="121"/>
      <c r="CU745" s="121"/>
      <c r="CV745" s="121"/>
      <c r="CW745" s="121"/>
      <c r="CX745" s="121"/>
      <c r="CY745" s="121"/>
      <c r="CZ745" s="121"/>
      <c r="DA745" s="121"/>
      <c r="DB745" s="121"/>
      <c r="DC745" s="121"/>
      <c r="DD745" s="121"/>
      <c r="DE745" s="121"/>
      <c r="DF745" s="121"/>
      <c r="DG745" s="121"/>
      <c r="DH745" s="121"/>
      <c r="DI745" s="121"/>
      <c r="DJ745" s="121"/>
      <c r="DK745" s="121"/>
      <c r="DL745" s="121"/>
      <c r="DM745" s="121"/>
      <c r="DN745" s="121"/>
      <c r="DO745" s="121"/>
      <c r="DP745" s="121"/>
      <c r="DQ745" s="121"/>
      <c r="DR745" s="121"/>
      <c r="DS745" s="121"/>
      <c r="DT745" s="240"/>
      <c r="DU745" s="240"/>
      <c r="DV745" s="240"/>
      <c r="DW745" s="240"/>
      <c r="DX745" s="240"/>
      <c r="DY745" s="240"/>
      <c r="DZ745" s="240"/>
      <c r="EA745" s="240"/>
      <c r="EB745" s="237">
        <f t="shared" si="88"/>
        <v>0</v>
      </c>
      <c r="EC745" s="237">
        <f t="shared" si="89"/>
        <v>0</v>
      </c>
      <c r="ED745" s="237">
        <f t="shared" si="90"/>
        <v>0</v>
      </c>
      <c r="EE745" s="237">
        <f t="shared" si="91"/>
        <v>0</v>
      </c>
      <c r="EF745" s="121"/>
      <c r="EG745" s="238">
        <f t="shared" si="92"/>
        <v>0</v>
      </c>
      <c r="EH745" s="121"/>
      <c r="EI745" s="237">
        <f t="shared" si="93"/>
        <v>0</v>
      </c>
      <c r="EJ745" s="121"/>
      <c r="EK745" s="237">
        <f t="shared" si="94"/>
        <v>0</v>
      </c>
      <c r="EL745" s="237"/>
      <c r="EM745" s="5"/>
      <c r="EN745" s="5"/>
      <c r="EO745" s="5"/>
      <c r="EP745" s="5"/>
      <c r="EQ745" s="237">
        <f t="shared" si="95"/>
        <v>0</v>
      </c>
      <c r="ER745" s="239">
        <v>23300</v>
      </c>
      <c r="ES745" s="5">
        <v>7.5</v>
      </c>
    </row>
    <row r="746" spans="1:149" x14ac:dyDescent="0.3">
      <c r="A746" s="124"/>
      <c r="B746" s="121"/>
      <c r="C746" s="121"/>
      <c r="D746" s="121"/>
      <c r="E746" s="121"/>
      <c r="F746" s="121"/>
      <c r="G746" s="121"/>
      <c r="H746" s="121"/>
      <c r="I746" s="121"/>
      <c r="J746" s="121"/>
      <c r="K746" s="121"/>
      <c r="L746" s="121"/>
      <c r="M746" s="121"/>
      <c r="N746" s="121"/>
      <c r="O746" s="235"/>
      <c r="P746" s="121"/>
      <c r="Q746" s="121"/>
      <c r="R746" s="121"/>
      <c r="S746" s="121"/>
      <c r="T746" s="121"/>
      <c r="U746" s="121"/>
      <c r="V746" s="121"/>
      <c r="W746" s="121"/>
      <c r="X746" s="117"/>
      <c r="Y746" s="117"/>
      <c r="Z746" s="121"/>
      <c r="AA746" s="121"/>
      <c r="AB746" s="121"/>
      <c r="AC746" s="121"/>
      <c r="AD746" s="121"/>
      <c r="AE746" s="121"/>
      <c r="AF746" s="121"/>
      <c r="AG746" s="121"/>
      <c r="AH746" s="121"/>
      <c r="AI746" s="121"/>
      <c r="AJ746" s="121"/>
      <c r="AK746" s="121"/>
      <c r="AL746" s="121"/>
      <c r="AM746" s="121"/>
      <c r="AN746" s="121"/>
      <c r="AO746" s="121"/>
      <c r="AP746" s="121"/>
      <c r="AQ746" s="121"/>
      <c r="AR746" s="121"/>
      <c r="AS746" s="121"/>
      <c r="AT746" s="121"/>
      <c r="AU746" s="121"/>
      <c r="AV746" s="121"/>
      <c r="AW746" s="121"/>
      <c r="AX746" s="121"/>
      <c r="AY746" s="121"/>
      <c r="AZ746" s="121"/>
      <c r="BA746" s="121"/>
      <c r="BB746" s="121"/>
      <c r="BC746" s="121"/>
      <c r="BD746" s="121"/>
      <c r="BE746" s="121"/>
      <c r="BF746" s="121"/>
      <c r="BG746" s="121"/>
      <c r="BH746" s="121"/>
      <c r="BI746" s="121"/>
      <c r="BJ746" s="121"/>
      <c r="BK746" s="121"/>
      <c r="BL746" s="121"/>
      <c r="BM746" s="121"/>
      <c r="BN746" s="121"/>
      <c r="BO746" s="121"/>
      <c r="BP746" s="121"/>
      <c r="BQ746" s="121"/>
      <c r="BR746" s="121"/>
      <c r="BS746" s="121"/>
      <c r="BT746" s="121"/>
      <c r="BU746" s="121"/>
      <c r="BV746" s="121"/>
      <c r="BW746" s="121"/>
      <c r="BX746" s="121"/>
      <c r="BY746" s="121"/>
      <c r="BZ746" s="121"/>
      <c r="CA746" s="121"/>
      <c r="CB746" s="121"/>
      <c r="CC746" s="121"/>
      <c r="CD746" s="121"/>
      <c r="CE746" s="121"/>
      <c r="CF746" s="121"/>
      <c r="CG746" s="121"/>
      <c r="CH746" s="121"/>
      <c r="CI746" s="121"/>
      <c r="CJ746" s="121"/>
      <c r="CK746" s="121"/>
      <c r="CL746" s="121"/>
      <c r="CM746" s="121"/>
      <c r="CN746" s="121"/>
      <c r="CO746" s="121"/>
      <c r="CP746" s="121"/>
      <c r="CQ746" s="121"/>
      <c r="CR746" s="121"/>
      <c r="CS746" s="121"/>
      <c r="CT746" s="121"/>
      <c r="CU746" s="121"/>
      <c r="CV746" s="121"/>
      <c r="CW746" s="121"/>
      <c r="CX746" s="121"/>
      <c r="CY746" s="121"/>
      <c r="CZ746" s="121"/>
      <c r="DA746" s="121"/>
      <c r="DB746" s="121"/>
      <c r="DC746" s="121"/>
      <c r="DD746" s="121"/>
      <c r="DE746" s="121"/>
      <c r="DF746" s="121"/>
      <c r="DG746" s="121"/>
      <c r="DH746" s="121"/>
      <c r="DI746" s="121"/>
      <c r="DJ746" s="121"/>
      <c r="DK746" s="121"/>
      <c r="DL746" s="121"/>
      <c r="DM746" s="121"/>
      <c r="DN746" s="121"/>
      <c r="DO746" s="121"/>
      <c r="DP746" s="121"/>
      <c r="DQ746" s="121"/>
      <c r="DR746" s="121"/>
      <c r="DS746" s="121"/>
      <c r="DT746" s="240"/>
      <c r="DU746" s="240"/>
      <c r="DV746" s="240"/>
      <c r="DW746" s="240"/>
      <c r="DX746" s="240"/>
      <c r="DY746" s="240"/>
      <c r="DZ746" s="240"/>
      <c r="EA746" s="240"/>
      <c r="EB746" s="237">
        <f t="shared" si="88"/>
        <v>0</v>
      </c>
      <c r="EC746" s="237">
        <f t="shared" si="89"/>
        <v>0</v>
      </c>
      <c r="ED746" s="237">
        <f t="shared" si="90"/>
        <v>0</v>
      </c>
      <c r="EE746" s="237">
        <f t="shared" si="91"/>
        <v>0</v>
      </c>
      <c r="EF746" s="121"/>
      <c r="EG746" s="238">
        <f t="shared" si="92"/>
        <v>0</v>
      </c>
      <c r="EH746" s="121"/>
      <c r="EI746" s="237">
        <f t="shared" si="93"/>
        <v>0</v>
      </c>
      <c r="EJ746" s="121"/>
      <c r="EK746" s="237">
        <f t="shared" si="94"/>
        <v>0</v>
      </c>
      <c r="EL746" s="237"/>
      <c r="EM746" s="5"/>
      <c r="EN746" s="5"/>
      <c r="EO746" s="5"/>
      <c r="EP746" s="5"/>
      <c r="EQ746" s="237">
        <f t="shared" si="95"/>
        <v>0</v>
      </c>
      <c r="ER746" s="239">
        <v>23300</v>
      </c>
      <c r="ES746" s="5">
        <v>7.5</v>
      </c>
    </row>
    <row r="747" spans="1:149" x14ac:dyDescent="0.3">
      <c r="A747" s="124"/>
      <c r="B747" s="121"/>
      <c r="C747" s="121"/>
      <c r="D747" s="121"/>
      <c r="E747" s="121"/>
      <c r="F747" s="121"/>
      <c r="G747" s="121"/>
      <c r="H747" s="121"/>
      <c r="I747" s="121"/>
      <c r="J747" s="121"/>
      <c r="K747" s="121"/>
      <c r="L747" s="121"/>
      <c r="M747" s="121"/>
      <c r="N747" s="121"/>
      <c r="O747" s="235"/>
      <c r="P747" s="121"/>
      <c r="Q747" s="121"/>
      <c r="R747" s="121"/>
      <c r="S747" s="121"/>
      <c r="T747" s="121"/>
      <c r="U747" s="121"/>
      <c r="V747" s="121"/>
      <c r="W747" s="121"/>
      <c r="X747" s="117"/>
      <c r="Y747" s="117"/>
      <c r="Z747" s="121"/>
      <c r="AA747" s="121"/>
      <c r="AB747" s="121"/>
      <c r="AC747" s="121"/>
      <c r="AD747" s="121"/>
      <c r="AE747" s="121"/>
      <c r="AF747" s="121"/>
      <c r="AG747" s="121"/>
      <c r="AH747" s="121"/>
      <c r="AI747" s="121"/>
      <c r="AJ747" s="121"/>
      <c r="AK747" s="121"/>
      <c r="AL747" s="121"/>
      <c r="AM747" s="121"/>
      <c r="AN747" s="121"/>
      <c r="AO747" s="121"/>
      <c r="AP747" s="121"/>
      <c r="AQ747" s="121"/>
      <c r="AR747" s="121"/>
      <c r="AS747" s="121"/>
      <c r="AT747" s="121"/>
      <c r="AU747" s="121"/>
      <c r="AV747" s="121"/>
      <c r="AW747" s="121"/>
      <c r="AX747" s="121"/>
      <c r="AY747" s="121"/>
      <c r="AZ747" s="121"/>
      <c r="BA747" s="121"/>
      <c r="BB747" s="121"/>
      <c r="BC747" s="121"/>
      <c r="BD747" s="121"/>
      <c r="BE747" s="121"/>
      <c r="BF747" s="121"/>
      <c r="BG747" s="121"/>
      <c r="BH747" s="121"/>
      <c r="BI747" s="121"/>
      <c r="BJ747" s="121"/>
      <c r="BK747" s="121"/>
      <c r="BL747" s="121"/>
      <c r="BM747" s="121"/>
      <c r="BN747" s="121"/>
      <c r="BO747" s="121"/>
      <c r="BP747" s="121"/>
      <c r="BQ747" s="121"/>
      <c r="BR747" s="121"/>
      <c r="BS747" s="121"/>
      <c r="BT747" s="121"/>
      <c r="BU747" s="121"/>
      <c r="BV747" s="121"/>
      <c r="BW747" s="121"/>
      <c r="BX747" s="121"/>
      <c r="BY747" s="121"/>
      <c r="BZ747" s="121"/>
      <c r="CA747" s="121"/>
      <c r="CB747" s="121"/>
      <c r="CC747" s="121"/>
      <c r="CD747" s="121"/>
      <c r="CE747" s="121"/>
      <c r="CF747" s="121"/>
      <c r="CG747" s="121"/>
      <c r="CH747" s="121"/>
      <c r="CI747" s="121"/>
      <c r="CJ747" s="121"/>
      <c r="CK747" s="121"/>
      <c r="CL747" s="121"/>
      <c r="CM747" s="121"/>
      <c r="CN747" s="121"/>
      <c r="CO747" s="121"/>
      <c r="CP747" s="121"/>
      <c r="CQ747" s="121"/>
      <c r="CR747" s="121"/>
      <c r="CS747" s="121"/>
      <c r="CT747" s="121"/>
      <c r="CU747" s="121"/>
      <c r="CV747" s="121"/>
      <c r="CW747" s="121"/>
      <c r="CX747" s="121"/>
      <c r="CY747" s="121"/>
      <c r="CZ747" s="121"/>
      <c r="DA747" s="121"/>
      <c r="DB747" s="121"/>
      <c r="DC747" s="121"/>
      <c r="DD747" s="121"/>
      <c r="DE747" s="121"/>
      <c r="DF747" s="121"/>
      <c r="DG747" s="121"/>
      <c r="DH747" s="121"/>
      <c r="DI747" s="121"/>
      <c r="DJ747" s="121"/>
      <c r="DK747" s="121"/>
      <c r="DL747" s="121"/>
      <c r="DM747" s="121"/>
      <c r="DN747" s="121"/>
      <c r="DO747" s="121"/>
      <c r="DP747" s="121"/>
      <c r="DQ747" s="121"/>
      <c r="DR747" s="121"/>
      <c r="DS747" s="121"/>
      <c r="DT747" s="240"/>
      <c r="DU747" s="240"/>
      <c r="DV747" s="240"/>
      <c r="DW747" s="240"/>
      <c r="DX747" s="240"/>
      <c r="DY747" s="240"/>
      <c r="DZ747" s="240"/>
      <c r="EA747" s="240"/>
      <c r="EB747" s="237">
        <f t="shared" si="88"/>
        <v>0</v>
      </c>
      <c r="EC747" s="237">
        <f t="shared" si="89"/>
        <v>0</v>
      </c>
      <c r="ED747" s="237">
        <f t="shared" si="90"/>
        <v>0</v>
      </c>
      <c r="EE747" s="237">
        <f t="shared" si="91"/>
        <v>0</v>
      </c>
      <c r="EF747" s="121"/>
      <c r="EG747" s="238">
        <f t="shared" si="92"/>
        <v>0</v>
      </c>
      <c r="EH747" s="121"/>
      <c r="EI747" s="237">
        <f t="shared" si="93"/>
        <v>0</v>
      </c>
      <c r="EJ747" s="121"/>
      <c r="EK747" s="237">
        <f t="shared" si="94"/>
        <v>0</v>
      </c>
      <c r="EL747" s="237"/>
      <c r="EM747" s="5"/>
      <c r="EN747" s="5"/>
      <c r="EO747" s="5"/>
      <c r="EP747" s="5"/>
      <c r="EQ747" s="237">
        <f t="shared" si="95"/>
        <v>0</v>
      </c>
      <c r="ER747" s="239">
        <v>23300</v>
      </c>
      <c r="ES747" s="5">
        <v>7.5</v>
      </c>
    </row>
    <row r="748" spans="1:149" x14ac:dyDescent="0.3">
      <c r="A748" s="124"/>
      <c r="B748" s="121"/>
      <c r="C748" s="121"/>
      <c r="D748" s="121"/>
      <c r="E748" s="121"/>
      <c r="F748" s="121"/>
      <c r="G748" s="121"/>
      <c r="H748" s="121"/>
      <c r="I748" s="121"/>
      <c r="J748" s="121"/>
      <c r="K748" s="121"/>
      <c r="L748" s="121"/>
      <c r="M748" s="121"/>
      <c r="N748" s="121"/>
      <c r="O748" s="235"/>
      <c r="P748" s="121"/>
      <c r="Q748" s="121"/>
      <c r="R748" s="121"/>
      <c r="S748" s="121"/>
      <c r="T748" s="121"/>
      <c r="U748" s="121"/>
      <c r="V748" s="121"/>
      <c r="W748" s="121"/>
      <c r="X748" s="117"/>
      <c r="Y748" s="117"/>
      <c r="Z748" s="121"/>
      <c r="AA748" s="121"/>
      <c r="AB748" s="121"/>
      <c r="AC748" s="121"/>
      <c r="AD748" s="121"/>
      <c r="AE748" s="121"/>
      <c r="AF748" s="121"/>
      <c r="AG748" s="121"/>
      <c r="AH748" s="121"/>
      <c r="AI748" s="121"/>
      <c r="AJ748" s="121"/>
      <c r="AK748" s="121"/>
      <c r="AL748" s="121"/>
      <c r="AM748" s="121"/>
      <c r="AN748" s="121"/>
      <c r="AO748" s="121"/>
      <c r="AP748" s="121"/>
      <c r="AQ748" s="121"/>
      <c r="AR748" s="121"/>
      <c r="AS748" s="121"/>
      <c r="AT748" s="121"/>
      <c r="AU748" s="121"/>
      <c r="AV748" s="121"/>
      <c r="AW748" s="121"/>
      <c r="AX748" s="121"/>
      <c r="AY748" s="121"/>
      <c r="AZ748" s="121"/>
      <c r="BA748" s="121"/>
      <c r="BB748" s="121"/>
      <c r="BC748" s="121"/>
      <c r="BD748" s="121"/>
      <c r="BE748" s="121"/>
      <c r="BF748" s="121"/>
      <c r="BG748" s="121"/>
      <c r="BH748" s="121"/>
      <c r="BI748" s="121"/>
      <c r="BJ748" s="121"/>
      <c r="BK748" s="121"/>
      <c r="BL748" s="121"/>
      <c r="BM748" s="121"/>
      <c r="BN748" s="121"/>
      <c r="BO748" s="121"/>
      <c r="BP748" s="121"/>
      <c r="BQ748" s="121"/>
      <c r="BR748" s="121"/>
      <c r="BS748" s="121"/>
      <c r="BT748" s="121"/>
      <c r="BU748" s="121"/>
      <c r="BV748" s="121"/>
      <c r="BW748" s="121"/>
      <c r="BX748" s="121"/>
      <c r="BY748" s="121"/>
      <c r="BZ748" s="121"/>
      <c r="CA748" s="121"/>
      <c r="CB748" s="121"/>
      <c r="CC748" s="121"/>
      <c r="CD748" s="121"/>
      <c r="CE748" s="121"/>
      <c r="CF748" s="121"/>
      <c r="CG748" s="121"/>
      <c r="CH748" s="121"/>
      <c r="CI748" s="121"/>
      <c r="CJ748" s="121"/>
      <c r="CK748" s="121"/>
      <c r="CL748" s="121"/>
      <c r="CM748" s="121"/>
      <c r="CN748" s="121"/>
      <c r="CO748" s="121"/>
      <c r="CP748" s="121"/>
      <c r="CQ748" s="121"/>
      <c r="CR748" s="121"/>
      <c r="CS748" s="121"/>
      <c r="CT748" s="121"/>
      <c r="CU748" s="121"/>
      <c r="CV748" s="121"/>
      <c r="CW748" s="121"/>
      <c r="CX748" s="121"/>
      <c r="CY748" s="121"/>
      <c r="CZ748" s="121"/>
      <c r="DA748" s="121"/>
      <c r="DB748" s="121"/>
      <c r="DC748" s="121"/>
      <c r="DD748" s="121"/>
      <c r="DE748" s="121"/>
      <c r="DF748" s="121"/>
      <c r="DG748" s="121"/>
      <c r="DH748" s="121"/>
      <c r="DI748" s="121"/>
      <c r="DJ748" s="121"/>
      <c r="DK748" s="121"/>
      <c r="DL748" s="121"/>
      <c r="DM748" s="121"/>
      <c r="DN748" s="121"/>
      <c r="DO748" s="121"/>
      <c r="DP748" s="121"/>
      <c r="DQ748" s="121"/>
      <c r="DR748" s="121"/>
      <c r="DS748" s="121"/>
      <c r="DT748" s="240"/>
      <c r="DU748" s="240"/>
      <c r="DV748" s="240"/>
      <c r="DW748" s="240"/>
      <c r="DX748" s="240"/>
      <c r="DY748" s="240"/>
      <c r="DZ748" s="240"/>
      <c r="EA748" s="240"/>
      <c r="EB748" s="237">
        <f t="shared" si="88"/>
        <v>0</v>
      </c>
      <c r="EC748" s="237">
        <f t="shared" si="89"/>
        <v>0</v>
      </c>
      <c r="ED748" s="237">
        <f t="shared" si="90"/>
        <v>0</v>
      </c>
      <c r="EE748" s="237">
        <f t="shared" si="91"/>
        <v>0</v>
      </c>
      <c r="EF748" s="121"/>
      <c r="EG748" s="238">
        <f t="shared" si="92"/>
        <v>0</v>
      </c>
      <c r="EH748" s="121"/>
      <c r="EI748" s="237">
        <f t="shared" si="93"/>
        <v>0</v>
      </c>
      <c r="EJ748" s="121"/>
      <c r="EK748" s="237">
        <f t="shared" si="94"/>
        <v>0</v>
      </c>
      <c r="EL748" s="237"/>
      <c r="EM748" s="5"/>
      <c r="EN748" s="5"/>
      <c r="EO748" s="5"/>
      <c r="EP748" s="5"/>
      <c r="EQ748" s="237">
        <f t="shared" si="95"/>
        <v>0</v>
      </c>
      <c r="ER748" s="239">
        <v>23300</v>
      </c>
      <c r="ES748" s="5">
        <v>7.5</v>
      </c>
    </row>
    <row r="749" spans="1:149" x14ac:dyDescent="0.3">
      <c r="A749" s="124"/>
      <c r="B749" s="121"/>
      <c r="C749" s="121"/>
      <c r="D749" s="121"/>
      <c r="E749" s="121"/>
      <c r="F749" s="121"/>
      <c r="G749" s="121"/>
      <c r="H749" s="121"/>
      <c r="I749" s="121"/>
      <c r="J749" s="121"/>
      <c r="K749" s="121"/>
      <c r="L749" s="121"/>
      <c r="M749" s="121"/>
      <c r="N749" s="121"/>
      <c r="O749" s="235"/>
      <c r="P749" s="121"/>
      <c r="Q749" s="121"/>
      <c r="R749" s="121"/>
      <c r="S749" s="121"/>
      <c r="T749" s="121"/>
      <c r="U749" s="121"/>
      <c r="V749" s="121"/>
      <c r="W749" s="121"/>
      <c r="X749" s="117"/>
      <c r="Y749" s="117"/>
      <c r="Z749" s="121"/>
      <c r="AA749" s="121"/>
      <c r="AB749" s="121"/>
      <c r="AC749" s="121"/>
      <c r="AD749" s="121"/>
      <c r="AE749" s="121"/>
      <c r="AF749" s="121"/>
      <c r="AG749" s="121"/>
      <c r="AH749" s="121"/>
      <c r="AI749" s="121"/>
      <c r="AJ749" s="121"/>
      <c r="AK749" s="121"/>
      <c r="AL749" s="121"/>
      <c r="AM749" s="121"/>
      <c r="AN749" s="121"/>
      <c r="AO749" s="121"/>
      <c r="AP749" s="121"/>
      <c r="AQ749" s="121"/>
      <c r="AR749" s="121"/>
      <c r="AS749" s="121"/>
      <c r="AT749" s="121"/>
      <c r="AU749" s="121"/>
      <c r="AV749" s="121"/>
      <c r="AW749" s="121"/>
      <c r="AX749" s="121"/>
      <c r="AY749" s="121"/>
      <c r="AZ749" s="121"/>
      <c r="BA749" s="121"/>
      <c r="BB749" s="121"/>
      <c r="BC749" s="121"/>
      <c r="BD749" s="121"/>
      <c r="BE749" s="121"/>
      <c r="BF749" s="121"/>
      <c r="BG749" s="121"/>
      <c r="BH749" s="121"/>
      <c r="BI749" s="121"/>
      <c r="BJ749" s="121"/>
      <c r="BK749" s="121"/>
      <c r="BL749" s="121"/>
      <c r="BM749" s="121"/>
      <c r="BN749" s="121"/>
      <c r="BO749" s="121"/>
      <c r="BP749" s="121"/>
      <c r="BQ749" s="121"/>
      <c r="BR749" s="121"/>
      <c r="BS749" s="121"/>
      <c r="BT749" s="121"/>
      <c r="BU749" s="121"/>
      <c r="BV749" s="121"/>
      <c r="BW749" s="121"/>
      <c r="BX749" s="121"/>
      <c r="BY749" s="121"/>
      <c r="BZ749" s="121"/>
      <c r="CA749" s="121"/>
      <c r="CB749" s="121"/>
      <c r="CC749" s="121"/>
      <c r="CD749" s="121"/>
      <c r="CE749" s="121"/>
      <c r="CF749" s="121"/>
      <c r="CG749" s="121"/>
      <c r="CH749" s="121"/>
      <c r="CI749" s="121"/>
      <c r="CJ749" s="121"/>
      <c r="CK749" s="121"/>
      <c r="CL749" s="121"/>
      <c r="CM749" s="121"/>
      <c r="CN749" s="121"/>
      <c r="CO749" s="121"/>
      <c r="CP749" s="121"/>
      <c r="CQ749" s="121"/>
      <c r="CR749" s="121"/>
      <c r="CS749" s="121"/>
      <c r="CT749" s="121"/>
      <c r="CU749" s="121"/>
      <c r="CV749" s="121"/>
      <c r="CW749" s="121"/>
      <c r="CX749" s="121"/>
      <c r="CY749" s="121"/>
      <c r="CZ749" s="121"/>
      <c r="DA749" s="121"/>
      <c r="DB749" s="121"/>
      <c r="DC749" s="121"/>
      <c r="DD749" s="121"/>
      <c r="DE749" s="121"/>
      <c r="DF749" s="121"/>
      <c r="DG749" s="121"/>
      <c r="DH749" s="121"/>
      <c r="DI749" s="121"/>
      <c r="DJ749" s="121"/>
      <c r="DK749" s="121"/>
      <c r="DL749" s="121"/>
      <c r="DM749" s="121"/>
      <c r="DN749" s="121"/>
      <c r="DO749" s="121"/>
      <c r="DP749" s="121"/>
      <c r="DQ749" s="121"/>
      <c r="DR749" s="121"/>
      <c r="DS749" s="121"/>
      <c r="DT749" s="240"/>
      <c r="DU749" s="240"/>
      <c r="DV749" s="240"/>
      <c r="DW749" s="240"/>
      <c r="DX749" s="240"/>
      <c r="DY749" s="240"/>
      <c r="DZ749" s="240"/>
      <c r="EA749" s="240"/>
      <c r="EB749" s="237">
        <f t="shared" si="88"/>
        <v>0</v>
      </c>
      <c r="EC749" s="237">
        <f t="shared" si="89"/>
        <v>0</v>
      </c>
      <c r="ED749" s="237">
        <f t="shared" si="90"/>
        <v>0</v>
      </c>
      <c r="EE749" s="237">
        <f t="shared" si="91"/>
        <v>0</v>
      </c>
      <c r="EF749" s="121"/>
      <c r="EG749" s="238">
        <f t="shared" si="92"/>
        <v>0</v>
      </c>
      <c r="EH749" s="121"/>
      <c r="EI749" s="237">
        <f t="shared" si="93"/>
        <v>0</v>
      </c>
      <c r="EJ749" s="121"/>
      <c r="EK749" s="237">
        <f t="shared" si="94"/>
        <v>0</v>
      </c>
      <c r="EL749" s="237"/>
      <c r="EM749" s="5"/>
      <c r="EN749" s="5"/>
      <c r="EO749" s="5"/>
      <c r="EP749" s="5"/>
      <c r="EQ749" s="237">
        <f t="shared" si="95"/>
        <v>0</v>
      </c>
      <c r="ER749" s="239">
        <v>23300</v>
      </c>
      <c r="ES749" s="5">
        <v>7.5</v>
      </c>
    </row>
    <row r="750" spans="1:149" x14ac:dyDescent="0.3">
      <c r="A750" s="124"/>
      <c r="B750" s="121"/>
      <c r="C750" s="121"/>
      <c r="D750" s="121"/>
      <c r="E750" s="121"/>
      <c r="F750" s="121"/>
      <c r="G750" s="121"/>
      <c r="H750" s="121"/>
      <c r="I750" s="121"/>
      <c r="J750" s="121"/>
      <c r="K750" s="121"/>
      <c r="L750" s="121"/>
      <c r="M750" s="121"/>
      <c r="N750" s="121"/>
      <c r="O750" s="235"/>
      <c r="P750" s="121"/>
      <c r="Q750" s="121"/>
      <c r="R750" s="121"/>
      <c r="S750" s="121"/>
      <c r="T750" s="121"/>
      <c r="U750" s="121"/>
      <c r="V750" s="121"/>
      <c r="W750" s="121"/>
      <c r="X750" s="117"/>
      <c r="Y750" s="117"/>
      <c r="Z750" s="121"/>
      <c r="AA750" s="121"/>
      <c r="AB750" s="121"/>
      <c r="AC750" s="121"/>
      <c r="AD750" s="121"/>
      <c r="AE750" s="121"/>
      <c r="AF750" s="121"/>
      <c r="AG750" s="121"/>
      <c r="AH750" s="121"/>
      <c r="AI750" s="121"/>
      <c r="AJ750" s="121"/>
      <c r="AK750" s="121"/>
      <c r="AL750" s="121"/>
      <c r="AM750" s="121"/>
      <c r="AN750" s="121"/>
      <c r="AO750" s="121"/>
      <c r="AP750" s="121"/>
      <c r="AQ750" s="121"/>
      <c r="AR750" s="121"/>
      <c r="AS750" s="121"/>
      <c r="AT750" s="121"/>
      <c r="AU750" s="121"/>
      <c r="AV750" s="121"/>
      <c r="AW750" s="121"/>
      <c r="AX750" s="121"/>
      <c r="AY750" s="121"/>
      <c r="AZ750" s="121"/>
      <c r="BA750" s="121"/>
      <c r="BB750" s="121"/>
      <c r="BC750" s="121"/>
      <c r="BD750" s="121"/>
      <c r="BE750" s="121"/>
      <c r="BF750" s="121"/>
      <c r="BG750" s="121"/>
      <c r="BH750" s="121"/>
      <c r="BI750" s="121"/>
      <c r="BJ750" s="121"/>
      <c r="BK750" s="121"/>
      <c r="BL750" s="121"/>
      <c r="BM750" s="121"/>
      <c r="BN750" s="121"/>
      <c r="BO750" s="121"/>
      <c r="BP750" s="121"/>
      <c r="BQ750" s="121"/>
      <c r="BR750" s="121"/>
      <c r="BS750" s="121"/>
      <c r="BT750" s="121"/>
      <c r="BU750" s="121"/>
      <c r="BV750" s="121"/>
      <c r="BW750" s="121"/>
      <c r="BX750" s="121"/>
      <c r="BY750" s="121"/>
      <c r="BZ750" s="121"/>
      <c r="CA750" s="121"/>
      <c r="CB750" s="121"/>
      <c r="CC750" s="121"/>
      <c r="CD750" s="121"/>
      <c r="CE750" s="121"/>
      <c r="CF750" s="121"/>
      <c r="CG750" s="121"/>
      <c r="CH750" s="121"/>
      <c r="CI750" s="121"/>
      <c r="CJ750" s="121"/>
      <c r="CK750" s="121"/>
      <c r="CL750" s="121"/>
      <c r="CM750" s="121"/>
      <c r="CN750" s="121"/>
      <c r="CO750" s="121"/>
      <c r="CP750" s="121"/>
      <c r="CQ750" s="121"/>
      <c r="CR750" s="121"/>
      <c r="CS750" s="121"/>
      <c r="CT750" s="121"/>
      <c r="CU750" s="121"/>
      <c r="CV750" s="121"/>
      <c r="CW750" s="121"/>
      <c r="CX750" s="121"/>
      <c r="CY750" s="121"/>
      <c r="CZ750" s="121"/>
      <c r="DA750" s="121"/>
      <c r="DB750" s="121"/>
      <c r="DC750" s="121"/>
      <c r="DD750" s="121"/>
      <c r="DE750" s="121"/>
      <c r="DF750" s="121"/>
      <c r="DG750" s="121"/>
      <c r="DH750" s="121"/>
      <c r="DI750" s="121"/>
      <c r="DJ750" s="121"/>
      <c r="DK750" s="121"/>
      <c r="DL750" s="121"/>
      <c r="DM750" s="121"/>
      <c r="DN750" s="121"/>
      <c r="DO750" s="121"/>
      <c r="DP750" s="121"/>
      <c r="DQ750" s="121"/>
      <c r="DR750" s="121"/>
      <c r="DS750" s="121"/>
      <c r="DT750" s="240"/>
      <c r="DU750" s="240"/>
      <c r="DV750" s="240"/>
      <c r="DW750" s="240"/>
      <c r="DX750" s="240"/>
      <c r="DY750" s="240"/>
      <c r="DZ750" s="240"/>
      <c r="EA750" s="240"/>
      <c r="EB750" s="237">
        <f t="shared" si="88"/>
        <v>0</v>
      </c>
      <c r="EC750" s="237">
        <f t="shared" si="89"/>
        <v>0</v>
      </c>
      <c r="ED750" s="237">
        <f t="shared" si="90"/>
        <v>0</v>
      </c>
      <c r="EE750" s="237">
        <f t="shared" si="91"/>
        <v>0</v>
      </c>
      <c r="EF750" s="121"/>
      <c r="EG750" s="238">
        <f t="shared" si="92"/>
        <v>0</v>
      </c>
      <c r="EH750" s="121"/>
      <c r="EI750" s="237">
        <f t="shared" si="93"/>
        <v>0</v>
      </c>
      <c r="EJ750" s="121"/>
      <c r="EK750" s="237">
        <f t="shared" si="94"/>
        <v>0</v>
      </c>
      <c r="EL750" s="237"/>
      <c r="EM750" s="5"/>
      <c r="EN750" s="5"/>
      <c r="EO750" s="5"/>
      <c r="EP750" s="5"/>
      <c r="EQ750" s="237">
        <f t="shared" si="95"/>
        <v>0</v>
      </c>
      <c r="ER750" s="239">
        <v>23300</v>
      </c>
      <c r="ES750" s="5">
        <v>7.5</v>
      </c>
    </row>
    <row r="751" spans="1:149" x14ac:dyDescent="0.3">
      <c r="A751" s="124"/>
      <c r="B751" s="121"/>
      <c r="C751" s="121"/>
      <c r="D751" s="121"/>
      <c r="E751" s="121"/>
      <c r="F751" s="121"/>
      <c r="G751" s="121"/>
      <c r="H751" s="121"/>
      <c r="I751" s="121"/>
      <c r="J751" s="121"/>
      <c r="K751" s="121"/>
      <c r="L751" s="121"/>
      <c r="M751" s="121"/>
      <c r="N751" s="121"/>
      <c r="O751" s="235"/>
      <c r="P751" s="121"/>
      <c r="Q751" s="121"/>
      <c r="R751" s="121"/>
      <c r="S751" s="121"/>
      <c r="T751" s="121"/>
      <c r="U751" s="121"/>
      <c r="V751" s="121"/>
      <c r="W751" s="121"/>
      <c r="X751" s="117"/>
      <c r="Y751" s="117"/>
      <c r="Z751" s="121"/>
      <c r="AA751" s="121"/>
      <c r="AB751" s="121"/>
      <c r="AC751" s="121"/>
      <c r="AD751" s="121"/>
      <c r="AE751" s="121"/>
      <c r="AF751" s="121"/>
      <c r="AG751" s="121"/>
      <c r="AH751" s="121"/>
      <c r="AI751" s="121"/>
      <c r="AJ751" s="121"/>
      <c r="AK751" s="121"/>
      <c r="AL751" s="121"/>
      <c r="AM751" s="121"/>
      <c r="AN751" s="121"/>
      <c r="AO751" s="121"/>
      <c r="AP751" s="121"/>
      <c r="AQ751" s="121"/>
      <c r="AR751" s="121"/>
      <c r="AS751" s="121"/>
      <c r="AT751" s="121"/>
      <c r="AU751" s="121"/>
      <c r="AV751" s="121"/>
      <c r="AW751" s="121"/>
      <c r="AX751" s="121"/>
      <c r="AY751" s="121"/>
      <c r="AZ751" s="121"/>
      <c r="BA751" s="121"/>
      <c r="BB751" s="121"/>
      <c r="BC751" s="121"/>
      <c r="BD751" s="121"/>
      <c r="BE751" s="121"/>
      <c r="BF751" s="121"/>
      <c r="BG751" s="121"/>
      <c r="BH751" s="121"/>
      <c r="BI751" s="121"/>
      <c r="BJ751" s="121"/>
      <c r="BK751" s="121"/>
      <c r="BL751" s="121"/>
      <c r="BM751" s="121"/>
      <c r="BN751" s="121"/>
      <c r="BO751" s="121"/>
      <c r="BP751" s="121"/>
      <c r="BQ751" s="121"/>
      <c r="BR751" s="121"/>
      <c r="BS751" s="121"/>
      <c r="BT751" s="121"/>
      <c r="BU751" s="121"/>
      <c r="BV751" s="121"/>
      <c r="BW751" s="121"/>
      <c r="BX751" s="121"/>
      <c r="BY751" s="121"/>
      <c r="BZ751" s="121"/>
      <c r="CA751" s="121"/>
      <c r="CB751" s="121"/>
      <c r="CC751" s="121"/>
      <c r="CD751" s="121"/>
      <c r="CE751" s="121"/>
      <c r="CF751" s="121"/>
      <c r="CG751" s="121"/>
      <c r="CH751" s="121"/>
      <c r="CI751" s="121"/>
      <c r="CJ751" s="121"/>
      <c r="CK751" s="121"/>
      <c r="CL751" s="121"/>
      <c r="CM751" s="121"/>
      <c r="CN751" s="121"/>
      <c r="CO751" s="121"/>
      <c r="CP751" s="121"/>
      <c r="CQ751" s="121"/>
      <c r="CR751" s="121"/>
      <c r="CS751" s="121"/>
      <c r="CT751" s="121"/>
      <c r="CU751" s="121"/>
      <c r="CV751" s="121"/>
      <c r="CW751" s="121"/>
      <c r="CX751" s="121"/>
      <c r="CY751" s="121"/>
      <c r="CZ751" s="121"/>
      <c r="DA751" s="121"/>
      <c r="DB751" s="121"/>
      <c r="DC751" s="121"/>
      <c r="DD751" s="121"/>
      <c r="DE751" s="121"/>
      <c r="DF751" s="121"/>
      <c r="DG751" s="121"/>
      <c r="DH751" s="121"/>
      <c r="DI751" s="121"/>
      <c r="DJ751" s="121"/>
      <c r="DK751" s="121"/>
      <c r="DL751" s="121"/>
      <c r="DM751" s="121"/>
      <c r="DN751" s="121"/>
      <c r="DO751" s="121"/>
      <c r="DP751" s="121"/>
      <c r="DQ751" s="121"/>
      <c r="DR751" s="121"/>
      <c r="DS751" s="121"/>
      <c r="DT751" s="240"/>
      <c r="DU751" s="240"/>
      <c r="DV751" s="240"/>
      <c r="DW751" s="240"/>
      <c r="DX751" s="240"/>
      <c r="DY751" s="240"/>
      <c r="DZ751" s="240"/>
      <c r="EA751" s="240"/>
      <c r="EB751" s="237">
        <f t="shared" si="88"/>
        <v>0</v>
      </c>
      <c r="EC751" s="237">
        <f t="shared" si="89"/>
        <v>0</v>
      </c>
      <c r="ED751" s="237">
        <f t="shared" si="90"/>
        <v>0</v>
      </c>
      <c r="EE751" s="237">
        <f t="shared" si="91"/>
        <v>0</v>
      </c>
      <c r="EF751" s="121"/>
      <c r="EG751" s="238">
        <f t="shared" si="92"/>
        <v>0</v>
      </c>
      <c r="EH751" s="121"/>
      <c r="EI751" s="237">
        <f t="shared" si="93"/>
        <v>0</v>
      </c>
      <c r="EJ751" s="121"/>
      <c r="EK751" s="237">
        <f t="shared" si="94"/>
        <v>0</v>
      </c>
      <c r="EL751" s="237"/>
      <c r="EM751" s="5"/>
      <c r="EN751" s="5"/>
      <c r="EO751" s="5"/>
      <c r="EP751" s="5"/>
      <c r="EQ751" s="237">
        <f t="shared" si="95"/>
        <v>0</v>
      </c>
      <c r="ER751" s="239">
        <v>23300</v>
      </c>
      <c r="ES751" s="5">
        <v>7.5</v>
      </c>
    </row>
    <row r="752" spans="1:149" x14ac:dyDescent="0.3">
      <c r="A752" s="124"/>
      <c r="B752" s="121"/>
      <c r="C752" s="121"/>
      <c r="D752" s="121"/>
      <c r="E752" s="121"/>
      <c r="F752" s="121"/>
      <c r="G752" s="121"/>
      <c r="H752" s="121"/>
      <c r="I752" s="121"/>
      <c r="J752" s="121"/>
      <c r="K752" s="121"/>
      <c r="L752" s="121"/>
      <c r="M752" s="121"/>
      <c r="N752" s="121"/>
      <c r="O752" s="235"/>
      <c r="P752" s="121"/>
      <c r="Q752" s="121"/>
      <c r="R752" s="121"/>
      <c r="S752" s="121"/>
      <c r="T752" s="121"/>
      <c r="U752" s="121"/>
      <c r="V752" s="121"/>
      <c r="W752" s="121"/>
      <c r="X752" s="117"/>
      <c r="Y752" s="117"/>
      <c r="Z752" s="121"/>
      <c r="AA752" s="121"/>
      <c r="AB752" s="121"/>
      <c r="AC752" s="121"/>
      <c r="AD752" s="121"/>
      <c r="AE752" s="121"/>
      <c r="AF752" s="121"/>
      <c r="AG752" s="121"/>
      <c r="AH752" s="121"/>
      <c r="AI752" s="121"/>
      <c r="AJ752" s="121"/>
      <c r="AK752" s="121"/>
      <c r="AL752" s="121"/>
      <c r="AM752" s="121"/>
      <c r="AN752" s="121"/>
      <c r="AO752" s="121"/>
      <c r="AP752" s="121"/>
      <c r="AQ752" s="121"/>
      <c r="AR752" s="121"/>
      <c r="AS752" s="121"/>
      <c r="AT752" s="121"/>
      <c r="AU752" s="121"/>
      <c r="AV752" s="121"/>
      <c r="AW752" s="121"/>
      <c r="AX752" s="121"/>
      <c r="AY752" s="121"/>
      <c r="AZ752" s="121"/>
      <c r="BA752" s="121"/>
      <c r="BB752" s="121"/>
      <c r="BC752" s="121"/>
      <c r="BD752" s="121"/>
      <c r="BE752" s="121"/>
      <c r="BF752" s="121"/>
      <c r="BG752" s="121"/>
      <c r="BH752" s="121"/>
      <c r="BI752" s="121"/>
      <c r="BJ752" s="121"/>
      <c r="BK752" s="121"/>
      <c r="BL752" s="121"/>
      <c r="BM752" s="121"/>
      <c r="BN752" s="121"/>
      <c r="BO752" s="121"/>
      <c r="BP752" s="121"/>
      <c r="BQ752" s="121"/>
      <c r="BR752" s="121"/>
      <c r="BS752" s="121"/>
      <c r="BT752" s="121"/>
      <c r="BU752" s="121"/>
      <c r="BV752" s="121"/>
      <c r="BW752" s="121"/>
      <c r="BX752" s="121"/>
      <c r="BY752" s="121"/>
      <c r="BZ752" s="121"/>
      <c r="CA752" s="121"/>
      <c r="CB752" s="121"/>
      <c r="CC752" s="121"/>
      <c r="CD752" s="121"/>
      <c r="CE752" s="121"/>
      <c r="CF752" s="121"/>
      <c r="CG752" s="121"/>
      <c r="CH752" s="121"/>
      <c r="CI752" s="121"/>
      <c r="CJ752" s="121"/>
      <c r="CK752" s="121"/>
      <c r="CL752" s="121"/>
      <c r="CM752" s="121"/>
      <c r="CN752" s="121"/>
      <c r="CO752" s="121"/>
      <c r="CP752" s="121"/>
      <c r="CQ752" s="121"/>
      <c r="CR752" s="121"/>
      <c r="CS752" s="121"/>
      <c r="CT752" s="121"/>
      <c r="CU752" s="121"/>
      <c r="CV752" s="121"/>
      <c r="CW752" s="121"/>
      <c r="CX752" s="121"/>
      <c r="CY752" s="121"/>
      <c r="CZ752" s="121"/>
      <c r="DA752" s="121"/>
      <c r="DB752" s="121"/>
      <c r="DC752" s="121"/>
      <c r="DD752" s="121"/>
      <c r="DE752" s="121"/>
      <c r="DF752" s="121"/>
      <c r="DG752" s="121"/>
      <c r="DH752" s="121"/>
      <c r="DI752" s="121"/>
      <c r="DJ752" s="121"/>
      <c r="DK752" s="121"/>
      <c r="DL752" s="121"/>
      <c r="DM752" s="121"/>
      <c r="DN752" s="121"/>
      <c r="DO752" s="121"/>
      <c r="DP752" s="121"/>
      <c r="DQ752" s="121"/>
      <c r="DR752" s="121"/>
      <c r="DS752" s="121"/>
      <c r="DT752" s="240"/>
      <c r="DU752" s="240"/>
      <c r="DV752" s="240"/>
      <c r="DW752" s="240"/>
      <c r="DX752" s="240"/>
      <c r="DY752" s="240"/>
      <c r="DZ752" s="240"/>
      <c r="EA752" s="240"/>
      <c r="EB752" s="237">
        <f t="shared" si="88"/>
        <v>0</v>
      </c>
      <c r="EC752" s="237">
        <f t="shared" si="89"/>
        <v>0</v>
      </c>
      <c r="ED752" s="237">
        <f t="shared" si="90"/>
        <v>0</v>
      </c>
      <c r="EE752" s="237">
        <f t="shared" si="91"/>
        <v>0</v>
      </c>
      <c r="EF752" s="121"/>
      <c r="EG752" s="238">
        <f t="shared" si="92"/>
        <v>0</v>
      </c>
      <c r="EH752" s="121"/>
      <c r="EI752" s="237">
        <f t="shared" si="93"/>
        <v>0</v>
      </c>
      <c r="EJ752" s="121"/>
      <c r="EK752" s="237">
        <f t="shared" si="94"/>
        <v>0</v>
      </c>
      <c r="EL752" s="237"/>
      <c r="EM752" s="5"/>
      <c r="EN752" s="5"/>
      <c r="EO752" s="5"/>
      <c r="EP752" s="5"/>
      <c r="EQ752" s="237">
        <f t="shared" si="95"/>
        <v>0</v>
      </c>
      <c r="ER752" s="239">
        <v>23300</v>
      </c>
      <c r="ES752" s="5">
        <v>7.5</v>
      </c>
    </row>
    <row r="753" spans="1:149" x14ac:dyDescent="0.3">
      <c r="A753" s="124"/>
      <c r="B753" s="121"/>
      <c r="C753" s="121"/>
      <c r="D753" s="121"/>
      <c r="E753" s="121"/>
      <c r="F753" s="121"/>
      <c r="G753" s="121"/>
      <c r="H753" s="121"/>
      <c r="I753" s="121"/>
      <c r="J753" s="121"/>
      <c r="K753" s="121"/>
      <c r="L753" s="121"/>
      <c r="M753" s="121"/>
      <c r="N753" s="121"/>
      <c r="O753" s="235"/>
      <c r="P753" s="121"/>
      <c r="Q753" s="121"/>
      <c r="R753" s="121"/>
      <c r="S753" s="121"/>
      <c r="T753" s="121"/>
      <c r="U753" s="121"/>
      <c r="V753" s="121"/>
      <c r="W753" s="121"/>
      <c r="X753" s="117"/>
      <c r="Y753" s="117"/>
      <c r="Z753" s="121"/>
      <c r="AA753" s="121"/>
      <c r="AB753" s="121"/>
      <c r="AC753" s="121"/>
      <c r="AD753" s="121"/>
      <c r="AE753" s="121"/>
      <c r="AF753" s="121"/>
      <c r="AG753" s="121"/>
      <c r="AH753" s="121"/>
      <c r="AI753" s="121"/>
      <c r="AJ753" s="121"/>
      <c r="AK753" s="121"/>
      <c r="AL753" s="121"/>
      <c r="AM753" s="121"/>
      <c r="AN753" s="121"/>
      <c r="AO753" s="121"/>
      <c r="AP753" s="121"/>
      <c r="AQ753" s="121"/>
      <c r="AR753" s="121"/>
      <c r="AS753" s="121"/>
      <c r="AT753" s="121"/>
      <c r="AU753" s="121"/>
      <c r="AV753" s="121"/>
      <c r="AW753" s="121"/>
      <c r="AX753" s="121"/>
      <c r="AY753" s="121"/>
      <c r="AZ753" s="121"/>
      <c r="BA753" s="121"/>
      <c r="BB753" s="121"/>
      <c r="BC753" s="121"/>
      <c r="BD753" s="121"/>
      <c r="BE753" s="121"/>
      <c r="BF753" s="121"/>
      <c r="BG753" s="121"/>
      <c r="BH753" s="121"/>
      <c r="BI753" s="121"/>
      <c r="BJ753" s="121"/>
      <c r="BK753" s="121"/>
      <c r="BL753" s="121"/>
      <c r="BM753" s="121"/>
      <c r="BN753" s="121"/>
      <c r="BO753" s="121"/>
      <c r="BP753" s="121"/>
      <c r="BQ753" s="121"/>
      <c r="BR753" s="121"/>
      <c r="BS753" s="121"/>
      <c r="BT753" s="121"/>
      <c r="BU753" s="121"/>
      <c r="BV753" s="121"/>
      <c r="BW753" s="121"/>
      <c r="BX753" s="121"/>
      <c r="BY753" s="121"/>
      <c r="BZ753" s="121"/>
      <c r="CA753" s="121"/>
      <c r="CB753" s="121"/>
      <c r="CC753" s="121"/>
      <c r="CD753" s="121"/>
      <c r="CE753" s="121"/>
      <c r="CF753" s="121"/>
      <c r="CG753" s="121"/>
      <c r="CH753" s="121"/>
      <c r="CI753" s="121"/>
      <c r="CJ753" s="121"/>
      <c r="CK753" s="121"/>
      <c r="CL753" s="121"/>
      <c r="CM753" s="121"/>
      <c r="CN753" s="121"/>
      <c r="CO753" s="121"/>
      <c r="CP753" s="121"/>
      <c r="CQ753" s="121"/>
      <c r="CR753" s="121"/>
      <c r="CS753" s="121"/>
      <c r="CT753" s="121"/>
      <c r="CU753" s="121"/>
      <c r="CV753" s="121"/>
      <c r="CW753" s="121"/>
      <c r="CX753" s="121"/>
      <c r="CY753" s="121"/>
      <c r="CZ753" s="121"/>
      <c r="DA753" s="121"/>
      <c r="DB753" s="121"/>
      <c r="DC753" s="121"/>
      <c r="DD753" s="121"/>
      <c r="DE753" s="121"/>
      <c r="DF753" s="121"/>
      <c r="DG753" s="121"/>
      <c r="DH753" s="121"/>
      <c r="DI753" s="121"/>
      <c r="DJ753" s="121"/>
      <c r="DK753" s="121"/>
      <c r="DL753" s="121"/>
      <c r="DM753" s="121"/>
      <c r="DN753" s="121"/>
      <c r="DO753" s="121"/>
      <c r="DP753" s="121"/>
      <c r="DQ753" s="121"/>
      <c r="DR753" s="121"/>
      <c r="DS753" s="121"/>
      <c r="DT753" s="240"/>
      <c r="DU753" s="240"/>
      <c r="DV753" s="240"/>
      <c r="DW753" s="240"/>
      <c r="DX753" s="240"/>
      <c r="DY753" s="240"/>
      <c r="DZ753" s="240"/>
      <c r="EA753" s="240"/>
      <c r="EB753" s="237">
        <f t="shared" si="88"/>
        <v>0</v>
      </c>
      <c r="EC753" s="237">
        <f t="shared" si="89"/>
        <v>0</v>
      </c>
      <c r="ED753" s="237">
        <f t="shared" si="90"/>
        <v>0</v>
      </c>
      <c r="EE753" s="237">
        <f t="shared" si="91"/>
        <v>0</v>
      </c>
      <c r="EF753" s="121"/>
      <c r="EG753" s="238">
        <f t="shared" si="92"/>
        <v>0</v>
      </c>
      <c r="EH753" s="121"/>
      <c r="EI753" s="237">
        <f t="shared" si="93"/>
        <v>0</v>
      </c>
      <c r="EJ753" s="121"/>
      <c r="EK753" s="237">
        <f t="shared" si="94"/>
        <v>0</v>
      </c>
      <c r="EL753" s="237"/>
      <c r="EM753" s="5"/>
      <c r="EN753" s="5"/>
      <c r="EO753" s="5"/>
      <c r="EP753" s="5"/>
      <c r="EQ753" s="237">
        <f t="shared" si="95"/>
        <v>0</v>
      </c>
      <c r="ER753" s="239">
        <v>23300</v>
      </c>
      <c r="ES753" s="5">
        <v>7.5</v>
      </c>
    </row>
    <row r="754" spans="1:149" x14ac:dyDescent="0.3">
      <c r="A754" s="124"/>
      <c r="B754" s="121"/>
      <c r="C754" s="121"/>
      <c r="D754" s="121"/>
      <c r="E754" s="121"/>
      <c r="F754" s="121"/>
      <c r="G754" s="121"/>
      <c r="H754" s="121"/>
      <c r="I754" s="121"/>
      <c r="J754" s="121"/>
      <c r="K754" s="121"/>
      <c r="L754" s="121"/>
      <c r="M754" s="121"/>
      <c r="N754" s="121"/>
      <c r="O754" s="235"/>
      <c r="P754" s="121"/>
      <c r="Q754" s="121"/>
      <c r="R754" s="121"/>
      <c r="S754" s="121"/>
      <c r="T754" s="121"/>
      <c r="U754" s="121"/>
      <c r="V754" s="121"/>
      <c r="W754" s="121"/>
      <c r="X754" s="117"/>
      <c r="Y754" s="117"/>
      <c r="Z754" s="121"/>
      <c r="AA754" s="121"/>
      <c r="AB754" s="121"/>
      <c r="AC754" s="121"/>
      <c r="AD754" s="121"/>
      <c r="AE754" s="121"/>
      <c r="AF754" s="121"/>
      <c r="AG754" s="121"/>
      <c r="AH754" s="121"/>
      <c r="AI754" s="121"/>
      <c r="AJ754" s="121"/>
      <c r="AK754" s="121"/>
      <c r="AL754" s="121"/>
      <c r="AM754" s="121"/>
      <c r="AN754" s="121"/>
      <c r="AO754" s="121"/>
      <c r="AP754" s="121"/>
      <c r="AQ754" s="121"/>
      <c r="AR754" s="121"/>
      <c r="AS754" s="121"/>
      <c r="AT754" s="121"/>
      <c r="AU754" s="121"/>
      <c r="AV754" s="121"/>
      <c r="AW754" s="121"/>
      <c r="AX754" s="121"/>
      <c r="AY754" s="121"/>
      <c r="AZ754" s="121"/>
      <c r="BA754" s="121"/>
      <c r="BB754" s="121"/>
      <c r="BC754" s="121"/>
      <c r="BD754" s="121"/>
      <c r="BE754" s="121"/>
      <c r="BF754" s="121"/>
      <c r="BG754" s="121"/>
      <c r="BH754" s="121"/>
      <c r="BI754" s="121"/>
      <c r="BJ754" s="121"/>
      <c r="BK754" s="121"/>
      <c r="BL754" s="121"/>
      <c r="BM754" s="121"/>
      <c r="BN754" s="121"/>
      <c r="BO754" s="121"/>
      <c r="BP754" s="121"/>
      <c r="BQ754" s="121"/>
      <c r="BR754" s="121"/>
      <c r="BS754" s="121"/>
      <c r="BT754" s="121"/>
      <c r="BU754" s="121"/>
      <c r="BV754" s="121"/>
      <c r="BW754" s="121"/>
      <c r="BX754" s="121"/>
      <c r="BY754" s="121"/>
      <c r="BZ754" s="121"/>
      <c r="CA754" s="121"/>
      <c r="CB754" s="121"/>
      <c r="CC754" s="121"/>
      <c r="CD754" s="121"/>
      <c r="CE754" s="121"/>
      <c r="CF754" s="121"/>
      <c r="CG754" s="121"/>
      <c r="CH754" s="121"/>
      <c r="CI754" s="121"/>
      <c r="CJ754" s="121"/>
      <c r="CK754" s="121"/>
      <c r="CL754" s="121"/>
      <c r="CM754" s="121"/>
      <c r="CN754" s="121"/>
      <c r="CO754" s="121"/>
      <c r="CP754" s="121"/>
      <c r="CQ754" s="121"/>
      <c r="CR754" s="121"/>
      <c r="CS754" s="121"/>
      <c r="CT754" s="121"/>
      <c r="CU754" s="121"/>
      <c r="CV754" s="121"/>
      <c r="CW754" s="121"/>
      <c r="CX754" s="121"/>
      <c r="CY754" s="121"/>
      <c r="CZ754" s="121"/>
      <c r="DA754" s="121"/>
      <c r="DB754" s="121"/>
      <c r="DC754" s="121"/>
      <c r="DD754" s="121"/>
      <c r="DE754" s="121"/>
      <c r="DF754" s="121"/>
      <c r="DG754" s="121"/>
      <c r="DH754" s="121"/>
      <c r="DI754" s="121"/>
      <c r="DJ754" s="121"/>
      <c r="DK754" s="121"/>
      <c r="DL754" s="121"/>
      <c r="DM754" s="121"/>
      <c r="DN754" s="121"/>
      <c r="DO754" s="121"/>
      <c r="DP754" s="121"/>
      <c r="DQ754" s="121"/>
      <c r="DR754" s="121"/>
      <c r="DS754" s="121"/>
      <c r="DT754" s="240"/>
      <c r="DU754" s="240"/>
      <c r="DV754" s="240"/>
      <c r="DW754" s="240"/>
      <c r="DX754" s="240"/>
      <c r="DY754" s="240"/>
      <c r="DZ754" s="240"/>
      <c r="EA754" s="240"/>
      <c r="EB754" s="237">
        <f t="shared" si="88"/>
        <v>0</v>
      </c>
      <c r="EC754" s="237">
        <f t="shared" si="89"/>
        <v>0</v>
      </c>
      <c r="ED754" s="237">
        <f t="shared" si="90"/>
        <v>0</v>
      </c>
      <c r="EE754" s="237">
        <f t="shared" si="91"/>
        <v>0</v>
      </c>
      <c r="EF754" s="121"/>
      <c r="EG754" s="238">
        <f t="shared" si="92"/>
        <v>0</v>
      </c>
      <c r="EH754" s="121"/>
      <c r="EI754" s="237">
        <f t="shared" si="93"/>
        <v>0</v>
      </c>
      <c r="EJ754" s="121"/>
      <c r="EK754" s="237">
        <f t="shared" si="94"/>
        <v>0</v>
      </c>
      <c r="EL754" s="237"/>
      <c r="EM754" s="5"/>
      <c r="EN754" s="5"/>
      <c r="EO754" s="5"/>
      <c r="EP754" s="5"/>
      <c r="EQ754" s="237">
        <f t="shared" si="95"/>
        <v>0</v>
      </c>
      <c r="ER754" s="239">
        <v>23300</v>
      </c>
      <c r="ES754" s="5">
        <v>7.5</v>
      </c>
    </row>
    <row r="755" spans="1:149" x14ac:dyDescent="0.3">
      <c r="A755" s="124"/>
      <c r="B755" s="121"/>
      <c r="C755" s="121"/>
      <c r="D755" s="121"/>
      <c r="E755" s="121"/>
      <c r="F755" s="121"/>
      <c r="G755" s="121"/>
      <c r="H755" s="121"/>
      <c r="I755" s="121"/>
      <c r="J755" s="121"/>
      <c r="K755" s="121"/>
      <c r="L755" s="121"/>
      <c r="M755" s="121"/>
      <c r="N755" s="121"/>
      <c r="O755" s="235"/>
      <c r="P755" s="121"/>
      <c r="Q755" s="121"/>
      <c r="R755" s="121"/>
      <c r="S755" s="121"/>
      <c r="T755" s="121"/>
      <c r="U755" s="121"/>
      <c r="V755" s="121"/>
      <c r="W755" s="121"/>
      <c r="X755" s="117"/>
      <c r="Y755" s="117"/>
      <c r="Z755" s="121"/>
      <c r="AA755" s="121"/>
      <c r="AB755" s="121"/>
      <c r="AC755" s="121"/>
      <c r="AD755" s="121"/>
      <c r="AE755" s="121"/>
      <c r="AF755" s="121"/>
      <c r="AG755" s="121"/>
      <c r="AH755" s="121"/>
      <c r="AI755" s="121"/>
      <c r="AJ755" s="121"/>
      <c r="AK755" s="121"/>
      <c r="AL755" s="121"/>
      <c r="AM755" s="121"/>
      <c r="AN755" s="121"/>
      <c r="AO755" s="121"/>
      <c r="AP755" s="121"/>
      <c r="AQ755" s="121"/>
      <c r="AR755" s="121"/>
      <c r="AS755" s="121"/>
      <c r="AT755" s="121"/>
      <c r="AU755" s="121"/>
      <c r="AV755" s="121"/>
      <c r="AW755" s="121"/>
      <c r="AX755" s="121"/>
      <c r="AY755" s="121"/>
      <c r="AZ755" s="121"/>
      <c r="BA755" s="121"/>
      <c r="BB755" s="121"/>
      <c r="BC755" s="121"/>
      <c r="BD755" s="121"/>
      <c r="BE755" s="121"/>
      <c r="BF755" s="121"/>
      <c r="BG755" s="121"/>
      <c r="BH755" s="121"/>
      <c r="BI755" s="121"/>
      <c r="BJ755" s="121"/>
      <c r="BK755" s="121"/>
      <c r="BL755" s="121"/>
      <c r="BM755" s="121"/>
      <c r="BN755" s="121"/>
      <c r="BO755" s="121"/>
      <c r="BP755" s="121"/>
      <c r="BQ755" s="121"/>
      <c r="BR755" s="121"/>
      <c r="BS755" s="121"/>
      <c r="BT755" s="121"/>
      <c r="BU755" s="121"/>
      <c r="BV755" s="121"/>
      <c r="BW755" s="121"/>
      <c r="BX755" s="121"/>
      <c r="BY755" s="121"/>
      <c r="BZ755" s="121"/>
      <c r="CA755" s="121"/>
      <c r="CB755" s="121"/>
      <c r="CC755" s="121"/>
      <c r="CD755" s="121"/>
      <c r="CE755" s="121"/>
      <c r="CF755" s="121"/>
      <c r="CG755" s="121"/>
      <c r="CH755" s="121"/>
      <c r="CI755" s="121"/>
      <c r="CJ755" s="121"/>
      <c r="CK755" s="121"/>
      <c r="CL755" s="121"/>
      <c r="CM755" s="121"/>
      <c r="CN755" s="121"/>
      <c r="CO755" s="121"/>
      <c r="CP755" s="121"/>
      <c r="CQ755" s="121"/>
      <c r="CR755" s="121"/>
      <c r="CS755" s="121"/>
      <c r="CT755" s="121"/>
      <c r="CU755" s="121"/>
      <c r="CV755" s="121"/>
      <c r="CW755" s="121"/>
      <c r="CX755" s="121"/>
      <c r="CY755" s="121"/>
      <c r="CZ755" s="121"/>
      <c r="DA755" s="121"/>
      <c r="DB755" s="121"/>
      <c r="DC755" s="121"/>
      <c r="DD755" s="121"/>
      <c r="DE755" s="121"/>
      <c r="DF755" s="121"/>
      <c r="DG755" s="121"/>
      <c r="DH755" s="121"/>
      <c r="DI755" s="121"/>
      <c r="DJ755" s="121"/>
      <c r="DK755" s="121"/>
      <c r="DL755" s="121"/>
      <c r="DM755" s="121"/>
      <c r="DN755" s="121"/>
      <c r="DO755" s="121"/>
      <c r="DP755" s="121"/>
      <c r="DQ755" s="121"/>
      <c r="DR755" s="121"/>
      <c r="DS755" s="121"/>
      <c r="DT755" s="240"/>
      <c r="DU755" s="240"/>
      <c r="DV755" s="240"/>
      <c r="DW755" s="240"/>
      <c r="DX755" s="240"/>
      <c r="DY755" s="240"/>
      <c r="DZ755" s="240"/>
      <c r="EA755" s="240"/>
      <c r="EB755" s="237">
        <f t="shared" si="88"/>
        <v>0</v>
      </c>
      <c r="EC755" s="237">
        <f t="shared" si="89"/>
        <v>0</v>
      </c>
      <c r="ED755" s="237">
        <f t="shared" si="90"/>
        <v>0</v>
      </c>
      <c r="EE755" s="237">
        <f t="shared" si="91"/>
        <v>0</v>
      </c>
      <c r="EF755" s="121"/>
      <c r="EG755" s="238">
        <f t="shared" si="92"/>
        <v>0</v>
      </c>
      <c r="EH755" s="121"/>
      <c r="EI755" s="237">
        <f t="shared" si="93"/>
        <v>0</v>
      </c>
      <c r="EJ755" s="121"/>
      <c r="EK755" s="237">
        <f t="shared" si="94"/>
        <v>0</v>
      </c>
      <c r="EL755" s="237"/>
      <c r="EM755" s="5"/>
      <c r="EN755" s="5"/>
      <c r="EO755" s="5"/>
      <c r="EP755" s="5"/>
      <c r="EQ755" s="237">
        <f t="shared" si="95"/>
        <v>0</v>
      </c>
      <c r="ER755" s="239">
        <v>23300</v>
      </c>
      <c r="ES755" s="5">
        <v>7.5</v>
      </c>
    </row>
    <row r="756" spans="1:149" x14ac:dyDescent="0.3">
      <c r="A756" s="124"/>
      <c r="B756" s="121"/>
      <c r="C756" s="121"/>
      <c r="D756" s="121"/>
      <c r="E756" s="121"/>
      <c r="F756" s="121"/>
      <c r="G756" s="121"/>
      <c r="H756" s="121"/>
      <c r="I756" s="121"/>
      <c r="J756" s="121"/>
      <c r="K756" s="121"/>
      <c r="L756" s="121"/>
      <c r="M756" s="121"/>
      <c r="N756" s="121"/>
      <c r="O756" s="235"/>
      <c r="P756" s="121"/>
      <c r="Q756" s="121"/>
      <c r="R756" s="121"/>
      <c r="S756" s="121"/>
      <c r="T756" s="121"/>
      <c r="U756" s="121"/>
      <c r="V756" s="121"/>
      <c r="W756" s="121"/>
      <c r="X756" s="117"/>
      <c r="Y756" s="117"/>
      <c r="Z756" s="121"/>
      <c r="AA756" s="121"/>
      <c r="AB756" s="121"/>
      <c r="AC756" s="121"/>
      <c r="AD756" s="121"/>
      <c r="AE756" s="121"/>
      <c r="AF756" s="121"/>
      <c r="AG756" s="121"/>
      <c r="AH756" s="121"/>
      <c r="AI756" s="121"/>
      <c r="AJ756" s="121"/>
      <c r="AK756" s="121"/>
      <c r="AL756" s="121"/>
      <c r="AM756" s="121"/>
      <c r="AN756" s="121"/>
      <c r="AO756" s="121"/>
      <c r="AP756" s="121"/>
      <c r="AQ756" s="121"/>
      <c r="AR756" s="121"/>
      <c r="AS756" s="121"/>
      <c r="AT756" s="121"/>
      <c r="AU756" s="121"/>
      <c r="AV756" s="121"/>
      <c r="AW756" s="121"/>
      <c r="AX756" s="121"/>
      <c r="AY756" s="121"/>
      <c r="AZ756" s="121"/>
      <c r="BA756" s="121"/>
      <c r="BB756" s="121"/>
      <c r="BC756" s="121"/>
      <c r="BD756" s="121"/>
      <c r="BE756" s="121"/>
      <c r="BF756" s="121"/>
      <c r="BG756" s="121"/>
      <c r="BH756" s="121"/>
      <c r="BI756" s="121"/>
      <c r="BJ756" s="121"/>
      <c r="BK756" s="121"/>
      <c r="BL756" s="121"/>
      <c r="BM756" s="121"/>
      <c r="BN756" s="121"/>
      <c r="BO756" s="121"/>
      <c r="BP756" s="121"/>
      <c r="BQ756" s="121"/>
      <c r="BR756" s="121"/>
      <c r="BS756" s="121"/>
      <c r="BT756" s="121"/>
      <c r="BU756" s="121"/>
      <c r="BV756" s="121"/>
      <c r="BW756" s="121"/>
      <c r="BX756" s="121"/>
      <c r="BY756" s="121"/>
      <c r="BZ756" s="121"/>
      <c r="CA756" s="121"/>
      <c r="CB756" s="121"/>
      <c r="CC756" s="121"/>
      <c r="CD756" s="121"/>
      <c r="CE756" s="121"/>
      <c r="CF756" s="121"/>
      <c r="CG756" s="121"/>
      <c r="CH756" s="121"/>
      <c r="CI756" s="121"/>
      <c r="CJ756" s="121"/>
      <c r="CK756" s="121"/>
      <c r="CL756" s="121"/>
      <c r="CM756" s="121"/>
      <c r="CN756" s="121"/>
      <c r="CO756" s="121"/>
      <c r="CP756" s="121"/>
      <c r="CQ756" s="121"/>
      <c r="CR756" s="121"/>
      <c r="CS756" s="121"/>
      <c r="CT756" s="121"/>
      <c r="CU756" s="121"/>
      <c r="CV756" s="121"/>
      <c r="CW756" s="121"/>
      <c r="CX756" s="121"/>
      <c r="CY756" s="121"/>
      <c r="CZ756" s="121"/>
      <c r="DA756" s="121"/>
      <c r="DB756" s="121"/>
      <c r="DC756" s="121"/>
      <c r="DD756" s="121"/>
      <c r="DE756" s="121"/>
      <c r="DF756" s="121"/>
      <c r="DG756" s="121"/>
      <c r="DH756" s="121"/>
      <c r="DI756" s="121"/>
      <c r="DJ756" s="121"/>
      <c r="DK756" s="121"/>
      <c r="DL756" s="121"/>
      <c r="DM756" s="121"/>
      <c r="DN756" s="121"/>
      <c r="DO756" s="121"/>
      <c r="DP756" s="121"/>
      <c r="DQ756" s="121"/>
      <c r="DR756" s="121"/>
      <c r="DS756" s="121"/>
      <c r="DT756" s="240"/>
      <c r="DU756" s="240"/>
      <c r="DV756" s="240"/>
      <c r="DW756" s="240"/>
      <c r="DX756" s="240"/>
      <c r="DY756" s="240"/>
      <c r="DZ756" s="240"/>
      <c r="EA756" s="240"/>
      <c r="EB756" s="237">
        <f t="shared" si="88"/>
        <v>0</v>
      </c>
      <c r="EC756" s="237">
        <f t="shared" si="89"/>
        <v>0</v>
      </c>
      <c r="ED756" s="237">
        <f t="shared" si="90"/>
        <v>0</v>
      </c>
      <c r="EE756" s="237">
        <f t="shared" si="91"/>
        <v>0</v>
      </c>
      <c r="EF756" s="121"/>
      <c r="EG756" s="238">
        <f t="shared" si="92"/>
        <v>0</v>
      </c>
      <c r="EH756" s="121"/>
      <c r="EI756" s="237">
        <f t="shared" si="93"/>
        <v>0</v>
      </c>
      <c r="EJ756" s="121"/>
      <c r="EK756" s="237">
        <f t="shared" si="94"/>
        <v>0</v>
      </c>
      <c r="EL756" s="237"/>
      <c r="EM756" s="5"/>
      <c r="EN756" s="5"/>
      <c r="EO756" s="5"/>
      <c r="EP756" s="5"/>
      <c r="EQ756" s="237">
        <f t="shared" si="95"/>
        <v>0</v>
      </c>
      <c r="ER756" s="239">
        <v>23300</v>
      </c>
      <c r="ES756" s="5">
        <v>7.5</v>
      </c>
    </row>
    <row r="757" spans="1:149" x14ac:dyDescent="0.3">
      <c r="A757" s="124"/>
      <c r="B757" s="121"/>
      <c r="C757" s="121"/>
      <c r="D757" s="121"/>
      <c r="E757" s="121"/>
      <c r="F757" s="121"/>
      <c r="G757" s="121"/>
      <c r="H757" s="121"/>
      <c r="I757" s="121"/>
      <c r="J757" s="121"/>
      <c r="K757" s="121"/>
      <c r="L757" s="121"/>
      <c r="M757" s="121"/>
      <c r="N757" s="121"/>
      <c r="O757" s="235"/>
      <c r="P757" s="121"/>
      <c r="Q757" s="121"/>
      <c r="R757" s="121"/>
      <c r="S757" s="121"/>
      <c r="T757" s="121"/>
      <c r="U757" s="121"/>
      <c r="V757" s="121"/>
      <c r="W757" s="121"/>
      <c r="X757" s="117"/>
      <c r="Y757" s="117"/>
      <c r="Z757" s="121"/>
      <c r="AA757" s="121"/>
      <c r="AB757" s="121"/>
      <c r="AC757" s="121"/>
      <c r="AD757" s="121"/>
      <c r="AE757" s="121"/>
      <c r="AF757" s="121"/>
      <c r="AG757" s="121"/>
      <c r="AH757" s="121"/>
      <c r="AI757" s="121"/>
      <c r="AJ757" s="121"/>
      <c r="AK757" s="121"/>
      <c r="AL757" s="121"/>
      <c r="AM757" s="121"/>
      <c r="AN757" s="121"/>
      <c r="AO757" s="121"/>
      <c r="AP757" s="121"/>
      <c r="AQ757" s="121"/>
      <c r="AR757" s="121"/>
      <c r="AS757" s="121"/>
      <c r="AT757" s="121"/>
      <c r="AU757" s="121"/>
      <c r="AV757" s="121"/>
      <c r="AW757" s="121"/>
      <c r="AX757" s="121"/>
      <c r="AY757" s="121"/>
      <c r="AZ757" s="121"/>
      <c r="BA757" s="121"/>
      <c r="BB757" s="121"/>
      <c r="BC757" s="121"/>
      <c r="BD757" s="121"/>
      <c r="BE757" s="121"/>
      <c r="BF757" s="121"/>
      <c r="BG757" s="121"/>
      <c r="BH757" s="121"/>
      <c r="BI757" s="121"/>
      <c r="BJ757" s="121"/>
      <c r="BK757" s="121"/>
      <c r="BL757" s="121"/>
      <c r="BM757" s="121"/>
      <c r="BN757" s="121"/>
      <c r="BO757" s="121"/>
      <c r="BP757" s="121"/>
      <c r="BQ757" s="121"/>
      <c r="BR757" s="121"/>
      <c r="BS757" s="121"/>
      <c r="BT757" s="121"/>
      <c r="BU757" s="121"/>
      <c r="BV757" s="121"/>
      <c r="BW757" s="121"/>
      <c r="BX757" s="121"/>
      <c r="BY757" s="121"/>
      <c r="BZ757" s="121"/>
      <c r="CA757" s="121"/>
      <c r="CB757" s="121"/>
      <c r="CC757" s="121"/>
      <c r="CD757" s="121"/>
      <c r="CE757" s="121"/>
      <c r="CF757" s="121"/>
      <c r="CG757" s="121"/>
      <c r="CH757" s="121"/>
      <c r="CI757" s="121"/>
      <c r="CJ757" s="121"/>
      <c r="CK757" s="121"/>
      <c r="CL757" s="121"/>
      <c r="CM757" s="121"/>
      <c r="CN757" s="121"/>
      <c r="CO757" s="121"/>
      <c r="CP757" s="121"/>
      <c r="CQ757" s="121"/>
      <c r="CR757" s="121"/>
      <c r="CS757" s="121"/>
      <c r="CT757" s="121"/>
      <c r="CU757" s="121"/>
      <c r="CV757" s="121"/>
      <c r="CW757" s="121"/>
      <c r="CX757" s="121"/>
      <c r="CY757" s="121"/>
      <c r="CZ757" s="121"/>
      <c r="DA757" s="121"/>
      <c r="DB757" s="121"/>
      <c r="DC757" s="121"/>
      <c r="DD757" s="121"/>
      <c r="DE757" s="121"/>
      <c r="DF757" s="121"/>
      <c r="DG757" s="121"/>
      <c r="DH757" s="121"/>
      <c r="DI757" s="121"/>
      <c r="DJ757" s="121"/>
      <c r="DK757" s="121"/>
      <c r="DL757" s="121"/>
      <c r="DM757" s="121"/>
      <c r="DN757" s="121"/>
      <c r="DO757" s="121"/>
      <c r="DP757" s="121"/>
      <c r="DQ757" s="121"/>
      <c r="DR757" s="121"/>
      <c r="DS757" s="121"/>
      <c r="DT757" s="240"/>
      <c r="DU757" s="240"/>
      <c r="DV757" s="240"/>
      <c r="DW757" s="240"/>
      <c r="DX757" s="240"/>
      <c r="DY757" s="240"/>
      <c r="DZ757" s="240"/>
      <c r="EA757" s="240"/>
      <c r="EB757" s="237">
        <f t="shared" si="88"/>
        <v>0</v>
      </c>
      <c r="EC757" s="237">
        <f t="shared" si="89"/>
        <v>0</v>
      </c>
      <c r="ED757" s="237">
        <f t="shared" si="90"/>
        <v>0</v>
      </c>
      <c r="EE757" s="237">
        <f t="shared" si="91"/>
        <v>0</v>
      </c>
      <c r="EF757" s="121"/>
      <c r="EG757" s="238">
        <f t="shared" si="92"/>
        <v>0</v>
      </c>
      <c r="EH757" s="121"/>
      <c r="EI757" s="237">
        <f t="shared" si="93"/>
        <v>0</v>
      </c>
      <c r="EJ757" s="121"/>
      <c r="EK757" s="237">
        <f t="shared" si="94"/>
        <v>0</v>
      </c>
      <c r="EL757" s="237"/>
      <c r="EM757" s="5"/>
      <c r="EN757" s="5"/>
      <c r="EO757" s="5"/>
      <c r="EP757" s="5"/>
      <c r="EQ757" s="237">
        <f t="shared" si="95"/>
        <v>0</v>
      </c>
      <c r="ER757" s="239">
        <v>23300</v>
      </c>
      <c r="ES757" s="5">
        <v>7.5</v>
      </c>
    </row>
    <row r="758" spans="1:149" x14ac:dyDescent="0.3">
      <c r="A758" s="124"/>
      <c r="B758" s="121"/>
      <c r="C758" s="121"/>
      <c r="D758" s="121"/>
      <c r="E758" s="121"/>
      <c r="F758" s="121"/>
      <c r="G758" s="121"/>
      <c r="H758" s="121"/>
      <c r="I758" s="121"/>
      <c r="J758" s="121"/>
      <c r="K758" s="121"/>
      <c r="L758" s="121"/>
      <c r="M758" s="121"/>
      <c r="N758" s="121"/>
      <c r="O758" s="235"/>
      <c r="P758" s="121"/>
      <c r="Q758" s="121"/>
      <c r="R758" s="121"/>
      <c r="S758" s="121"/>
      <c r="T758" s="121"/>
      <c r="U758" s="121"/>
      <c r="V758" s="121"/>
      <c r="W758" s="121"/>
      <c r="X758" s="117"/>
      <c r="Y758" s="117"/>
      <c r="Z758" s="121"/>
      <c r="AA758" s="121"/>
      <c r="AB758" s="121"/>
      <c r="AC758" s="121"/>
      <c r="AD758" s="121"/>
      <c r="AE758" s="121"/>
      <c r="AF758" s="121"/>
      <c r="AG758" s="121"/>
      <c r="AH758" s="121"/>
      <c r="AI758" s="121"/>
      <c r="AJ758" s="121"/>
      <c r="AK758" s="121"/>
      <c r="AL758" s="121"/>
      <c r="AM758" s="121"/>
      <c r="AN758" s="121"/>
      <c r="AO758" s="121"/>
      <c r="AP758" s="121"/>
      <c r="AQ758" s="121"/>
      <c r="AR758" s="121"/>
      <c r="AS758" s="121"/>
      <c r="AT758" s="121"/>
      <c r="AU758" s="121"/>
      <c r="AV758" s="121"/>
      <c r="AW758" s="121"/>
      <c r="AX758" s="121"/>
      <c r="AY758" s="121"/>
      <c r="AZ758" s="121"/>
      <c r="BA758" s="121"/>
      <c r="BB758" s="121"/>
      <c r="BC758" s="121"/>
      <c r="BD758" s="121"/>
      <c r="BE758" s="121"/>
      <c r="BF758" s="121"/>
      <c r="BG758" s="121"/>
      <c r="BH758" s="121"/>
      <c r="BI758" s="121"/>
      <c r="BJ758" s="121"/>
      <c r="BK758" s="121"/>
      <c r="BL758" s="121"/>
      <c r="BM758" s="121"/>
      <c r="BN758" s="121"/>
      <c r="BO758" s="121"/>
      <c r="BP758" s="121"/>
      <c r="BQ758" s="121"/>
      <c r="BR758" s="121"/>
      <c r="BS758" s="121"/>
      <c r="BT758" s="121"/>
      <c r="BU758" s="121"/>
      <c r="BV758" s="121"/>
      <c r="BW758" s="121"/>
      <c r="BX758" s="121"/>
      <c r="BY758" s="121"/>
      <c r="BZ758" s="121"/>
      <c r="CA758" s="121"/>
      <c r="CB758" s="121"/>
      <c r="CC758" s="121"/>
      <c r="CD758" s="121"/>
      <c r="CE758" s="121"/>
      <c r="CF758" s="121"/>
      <c r="CG758" s="121"/>
      <c r="CH758" s="121"/>
      <c r="CI758" s="121"/>
      <c r="CJ758" s="121"/>
      <c r="CK758" s="121"/>
      <c r="CL758" s="121"/>
      <c r="CM758" s="121"/>
      <c r="CN758" s="121"/>
      <c r="CO758" s="121"/>
      <c r="CP758" s="121"/>
      <c r="CQ758" s="121"/>
      <c r="CR758" s="121"/>
      <c r="CS758" s="121"/>
      <c r="CT758" s="121"/>
      <c r="CU758" s="121"/>
      <c r="CV758" s="121"/>
      <c r="CW758" s="121"/>
      <c r="CX758" s="121"/>
      <c r="CY758" s="121"/>
      <c r="CZ758" s="121"/>
      <c r="DA758" s="121"/>
      <c r="DB758" s="121"/>
      <c r="DC758" s="121"/>
      <c r="DD758" s="121"/>
      <c r="DE758" s="121"/>
      <c r="DF758" s="121"/>
      <c r="DG758" s="121"/>
      <c r="DH758" s="121"/>
      <c r="DI758" s="121"/>
      <c r="DJ758" s="121"/>
      <c r="DK758" s="121"/>
      <c r="DL758" s="121"/>
      <c r="DM758" s="121"/>
      <c r="DN758" s="121"/>
      <c r="DO758" s="121"/>
      <c r="DP758" s="121"/>
      <c r="DQ758" s="121"/>
      <c r="DR758" s="121"/>
      <c r="DS758" s="121"/>
      <c r="DT758" s="240"/>
      <c r="DU758" s="240"/>
      <c r="DV758" s="240"/>
      <c r="DW758" s="240"/>
      <c r="DX758" s="240"/>
      <c r="DY758" s="240"/>
      <c r="DZ758" s="240"/>
      <c r="EA758" s="240"/>
      <c r="EB758" s="237">
        <f t="shared" si="88"/>
        <v>0</v>
      </c>
      <c r="EC758" s="237">
        <f t="shared" si="89"/>
        <v>0</v>
      </c>
      <c r="ED758" s="237">
        <f t="shared" si="90"/>
        <v>0</v>
      </c>
      <c r="EE758" s="237">
        <f t="shared" si="91"/>
        <v>0</v>
      </c>
      <c r="EF758" s="121"/>
      <c r="EG758" s="238">
        <f t="shared" si="92"/>
        <v>0</v>
      </c>
      <c r="EH758" s="121"/>
      <c r="EI758" s="237">
        <f t="shared" si="93"/>
        <v>0</v>
      </c>
      <c r="EJ758" s="121"/>
      <c r="EK758" s="237">
        <f t="shared" si="94"/>
        <v>0</v>
      </c>
      <c r="EL758" s="237"/>
      <c r="EM758" s="5"/>
      <c r="EN758" s="5"/>
      <c r="EO758" s="5"/>
      <c r="EP758" s="5"/>
      <c r="EQ758" s="237">
        <f t="shared" si="95"/>
        <v>0</v>
      </c>
      <c r="ER758" s="239">
        <v>23300</v>
      </c>
      <c r="ES758" s="5">
        <v>7.5</v>
      </c>
    </row>
    <row r="759" spans="1:149" x14ac:dyDescent="0.3">
      <c r="A759" s="124"/>
      <c r="B759" s="121"/>
      <c r="C759" s="121"/>
      <c r="D759" s="121"/>
      <c r="E759" s="121"/>
      <c r="F759" s="121"/>
      <c r="G759" s="121"/>
      <c r="H759" s="121"/>
      <c r="I759" s="121"/>
      <c r="J759" s="121"/>
      <c r="K759" s="121"/>
      <c r="L759" s="121"/>
      <c r="M759" s="121"/>
      <c r="N759" s="121"/>
      <c r="O759" s="235"/>
      <c r="P759" s="121"/>
      <c r="Q759" s="121"/>
      <c r="R759" s="121"/>
      <c r="S759" s="121"/>
      <c r="T759" s="121"/>
      <c r="U759" s="121"/>
      <c r="V759" s="121"/>
      <c r="W759" s="121"/>
      <c r="X759" s="117"/>
      <c r="Y759" s="117"/>
      <c r="Z759" s="121"/>
      <c r="AA759" s="121"/>
      <c r="AB759" s="121"/>
      <c r="AC759" s="121"/>
      <c r="AD759" s="121"/>
      <c r="AE759" s="121"/>
      <c r="AF759" s="121"/>
      <c r="AG759" s="121"/>
      <c r="AH759" s="121"/>
      <c r="AI759" s="121"/>
      <c r="AJ759" s="121"/>
      <c r="AK759" s="121"/>
      <c r="AL759" s="121"/>
      <c r="AM759" s="121"/>
      <c r="AN759" s="121"/>
      <c r="AO759" s="121"/>
      <c r="AP759" s="121"/>
      <c r="AQ759" s="121"/>
      <c r="AR759" s="121"/>
      <c r="AS759" s="121"/>
      <c r="AT759" s="121"/>
      <c r="AU759" s="121"/>
      <c r="AV759" s="121"/>
      <c r="AW759" s="121"/>
      <c r="AX759" s="121"/>
      <c r="AY759" s="121"/>
      <c r="AZ759" s="121"/>
      <c r="BA759" s="121"/>
      <c r="BB759" s="121"/>
      <c r="BC759" s="121"/>
      <c r="BD759" s="121"/>
      <c r="BE759" s="121"/>
      <c r="BF759" s="121"/>
      <c r="BG759" s="121"/>
      <c r="BH759" s="121"/>
      <c r="BI759" s="121"/>
      <c r="BJ759" s="121"/>
      <c r="BK759" s="121"/>
      <c r="BL759" s="121"/>
      <c r="BM759" s="121"/>
      <c r="BN759" s="121"/>
      <c r="BO759" s="121"/>
      <c r="BP759" s="121"/>
      <c r="BQ759" s="121"/>
      <c r="BR759" s="121"/>
      <c r="BS759" s="121"/>
      <c r="BT759" s="121"/>
      <c r="BU759" s="121"/>
      <c r="BV759" s="121"/>
      <c r="BW759" s="121"/>
      <c r="BX759" s="121"/>
      <c r="BY759" s="121"/>
      <c r="BZ759" s="121"/>
      <c r="CA759" s="121"/>
      <c r="CB759" s="121"/>
      <c r="CC759" s="121"/>
      <c r="CD759" s="121"/>
      <c r="CE759" s="121"/>
      <c r="CF759" s="121"/>
      <c r="CG759" s="121"/>
      <c r="CH759" s="121"/>
      <c r="CI759" s="121"/>
      <c r="CJ759" s="121"/>
      <c r="CK759" s="121"/>
      <c r="CL759" s="121"/>
      <c r="CM759" s="121"/>
      <c r="CN759" s="121"/>
      <c r="CO759" s="121"/>
      <c r="CP759" s="121"/>
      <c r="CQ759" s="121"/>
      <c r="CR759" s="121"/>
      <c r="CS759" s="121"/>
      <c r="CT759" s="121"/>
      <c r="CU759" s="121"/>
      <c r="CV759" s="121"/>
      <c r="CW759" s="121"/>
      <c r="CX759" s="121"/>
      <c r="CY759" s="121"/>
      <c r="CZ759" s="121"/>
      <c r="DA759" s="121"/>
      <c r="DB759" s="121"/>
      <c r="DC759" s="121"/>
      <c r="DD759" s="121"/>
      <c r="DE759" s="121"/>
      <c r="DF759" s="121"/>
      <c r="DG759" s="121"/>
      <c r="DH759" s="121"/>
      <c r="DI759" s="121"/>
      <c r="DJ759" s="121"/>
      <c r="DK759" s="121"/>
      <c r="DL759" s="121"/>
      <c r="DM759" s="121"/>
      <c r="DN759" s="121"/>
      <c r="DO759" s="121"/>
      <c r="DP759" s="121"/>
      <c r="DQ759" s="121"/>
      <c r="DR759" s="121"/>
      <c r="DS759" s="121"/>
      <c r="DT759" s="240"/>
      <c r="DU759" s="240"/>
      <c r="DV759" s="240"/>
      <c r="DW759" s="240"/>
      <c r="DX759" s="240"/>
      <c r="DY759" s="240"/>
      <c r="DZ759" s="240"/>
      <c r="EA759" s="240"/>
      <c r="EB759" s="237">
        <f t="shared" si="88"/>
        <v>0</v>
      </c>
      <c r="EC759" s="237">
        <f t="shared" si="89"/>
        <v>0</v>
      </c>
      <c r="ED759" s="237">
        <f t="shared" si="90"/>
        <v>0</v>
      </c>
      <c r="EE759" s="237">
        <f t="shared" si="91"/>
        <v>0</v>
      </c>
      <c r="EF759" s="121"/>
      <c r="EG759" s="238">
        <f t="shared" si="92"/>
        <v>0</v>
      </c>
      <c r="EH759" s="121"/>
      <c r="EI759" s="237">
        <f t="shared" si="93"/>
        <v>0</v>
      </c>
      <c r="EJ759" s="121"/>
      <c r="EK759" s="237">
        <f t="shared" si="94"/>
        <v>0</v>
      </c>
      <c r="EL759" s="237"/>
      <c r="EM759" s="5"/>
      <c r="EN759" s="5"/>
      <c r="EO759" s="5"/>
      <c r="EP759" s="5"/>
      <c r="EQ759" s="237">
        <f t="shared" si="95"/>
        <v>0</v>
      </c>
      <c r="ER759" s="239">
        <v>23300</v>
      </c>
      <c r="ES759" s="5">
        <v>7.5</v>
      </c>
    </row>
    <row r="760" spans="1:149" x14ac:dyDescent="0.3">
      <c r="A760" s="124"/>
      <c r="B760" s="121"/>
      <c r="C760" s="121"/>
      <c r="D760" s="121"/>
      <c r="E760" s="121"/>
      <c r="F760" s="121"/>
      <c r="G760" s="121"/>
      <c r="H760" s="121"/>
      <c r="I760" s="121"/>
      <c r="J760" s="121"/>
      <c r="K760" s="121"/>
      <c r="L760" s="121"/>
      <c r="M760" s="121"/>
      <c r="N760" s="121"/>
      <c r="O760" s="235"/>
      <c r="P760" s="121"/>
      <c r="Q760" s="121"/>
      <c r="R760" s="121"/>
      <c r="S760" s="121"/>
      <c r="T760" s="121"/>
      <c r="U760" s="121"/>
      <c r="V760" s="121"/>
      <c r="W760" s="121"/>
      <c r="X760" s="117"/>
      <c r="Y760" s="117"/>
      <c r="Z760" s="121"/>
      <c r="AA760" s="121"/>
      <c r="AB760" s="121"/>
      <c r="AC760" s="121"/>
      <c r="AD760" s="121"/>
      <c r="AE760" s="121"/>
      <c r="AF760" s="121"/>
      <c r="AG760" s="121"/>
      <c r="AH760" s="121"/>
      <c r="AI760" s="121"/>
      <c r="AJ760" s="121"/>
      <c r="AK760" s="121"/>
      <c r="AL760" s="121"/>
      <c r="AM760" s="121"/>
      <c r="AN760" s="121"/>
      <c r="AO760" s="121"/>
      <c r="AP760" s="121"/>
      <c r="AQ760" s="121"/>
      <c r="AR760" s="121"/>
      <c r="AS760" s="121"/>
      <c r="AT760" s="121"/>
      <c r="AU760" s="121"/>
      <c r="AV760" s="121"/>
      <c r="AW760" s="121"/>
      <c r="AX760" s="121"/>
      <c r="AY760" s="121"/>
      <c r="AZ760" s="121"/>
      <c r="BA760" s="121"/>
      <c r="BB760" s="121"/>
      <c r="BC760" s="121"/>
      <c r="BD760" s="121"/>
      <c r="BE760" s="121"/>
      <c r="BF760" s="121"/>
      <c r="BG760" s="121"/>
      <c r="BH760" s="121"/>
      <c r="BI760" s="121"/>
      <c r="BJ760" s="121"/>
      <c r="BK760" s="121"/>
      <c r="BL760" s="121"/>
      <c r="BM760" s="121"/>
      <c r="BN760" s="121"/>
      <c r="BO760" s="121"/>
      <c r="BP760" s="121"/>
      <c r="BQ760" s="121"/>
      <c r="BR760" s="121"/>
      <c r="BS760" s="121"/>
      <c r="BT760" s="121"/>
      <c r="BU760" s="121"/>
      <c r="BV760" s="121"/>
      <c r="BW760" s="121"/>
      <c r="BX760" s="121"/>
      <c r="BY760" s="121"/>
      <c r="BZ760" s="121"/>
      <c r="CA760" s="121"/>
      <c r="CB760" s="121"/>
      <c r="CC760" s="121"/>
      <c r="CD760" s="121"/>
      <c r="CE760" s="121"/>
      <c r="CF760" s="121"/>
      <c r="CG760" s="121"/>
      <c r="CH760" s="121"/>
      <c r="CI760" s="121"/>
      <c r="CJ760" s="121"/>
      <c r="CK760" s="121"/>
      <c r="CL760" s="121"/>
      <c r="CM760" s="121"/>
      <c r="CN760" s="121"/>
      <c r="CO760" s="121"/>
      <c r="CP760" s="121"/>
      <c r="CQ760" s="121"/>
      <c r="CR760" s="121"/>
      <c r="CS760" s="121"/>
      <c r="CT760" s="121"/>
      <c r="CU760" s="121"/>
      <c r="CV760" s="121"/>
      <c r="CW760" s="121"/>
      <c r="CX760" s="121"/>
      <c r="CY760" s="121"/>
      <c r="CZ760" s="121"/>
      <c r="DA760" s="121"/>
      <c r="DB760" s="121"/>
      <c r="DC760" s="121"/>
      <c r="DD760" s="121"/>
      <c r="DE760" s="121"/>
      <c r="DF760" s="121"/>
      <c r="DG760" s="121"/>
      <c r="DH760" s="121"/>
      <c r="DI760" s="121"/>
      <c r="DJ760" s="121"/>
      <c r="DK760" s="121"/>
      <c r="DL760" s="121"/>
      <c r="DM760" s="121"/>
      <c r="DN760" s="121"/>
      <c r="DO760" s="121"/>
      <c r="DP760" s="121"/>
      <c r="DQ760" s="121"/>
      <c r="DR760" s="121"/>
      <c r="DS760" s="121"/>
      <c r="DT760" s="240"/>
      <c r="DU760" s="240"/>
      <c r="DV760" s="240"/>
      <c r="DW760" s="240"/>
      <c r="DX760" s="240"/>
      <c r="DY760" s="240"/>
      <c r="DZ760" s="240"/>
      <c r="EA760" s="240"/>
      <c r="EB760" s="237">
        <f t="shared" si="88"/>
        <v>0</v>
      </c>
      <c r="EC760" s="237">
        <f t="shared" si="89"/>
        <v>0</v>
      </c>
      <c r="ED760" s="237">
        <f t="shared" si="90"/>
        <v>0</v>
      </c>
      <c r="EE760" s="237">
        <f t="shared" si="91"/>
        <v>0</v>
      </c>
      <c r="EF760" s="121"/>
      <c r="EG760" s="238">
        <f t="shared" si="92"/>
        <v>0</v>
      </c>
      <c r="EH760" s="121"/>
      <c r="EI760" s="237">
        <f t="shared" si="93"/>
        <v>0</v>
      </c>
      <c r="EJ760" s="121"/>
      <c r="EK760" s="237">
        <f t="shared" si="94"/>
        <v>0</v>
      </c>
      <c r="EL760" s="237"/>
      <c r="EM760" s="5"/>
      <c r="EN760" s="5"/>
      <c r="EO760" s="5"/>
      <c r="EP760" s="5"/>
      <c r="EQ760" s="237">
        <f t="shared" si="95"/>
        <v>0</v>
      </c>
      <c r="ER760" s="239">
        <v>23300</v>
      </c>
      <c r="ES760" s="5">
        <v>7.5</v>
      </c>
    </row>
    <row r="761" spans="1:149" x14ac:dyDescent="0.3">
      <c r="A761" s="124"/>
      <c r="B761" s="121"/>
      <c r="C761" s="121"/>
      <c r="D761" s="121"/>
      <c r="E761" s="121"/>
      <c r="F761" s="121"/>
      <c r="G761" s="121"/>
      <c r="H761" s="121"/>
      <c r="I761" s="121"/>
      <c r="J761" s="121"/>
      <c r="K761" s="121"/>
      <c r="L761" s="121"/>
      <c r="M761" s="121"/>
      <c r="N761" s="121"/>
      <c r="O761" s="235"/>
      <c r="P761" s="121"/>
      <c r="Q761" s="121"/>
      <c r="R761" s="121"/>
      <c r="S761" s="121"/>
      <c r="T761" s="121"/>
      <c r="U761" s="121"/>
      <c r="V761" s="121"/>
      <c r="W761" s="121"/>
      <c r="X761" s="117"/>
      <c r="Y761" s="117"/>
      <c r="Z761" s="121"/>
      <c r="AA761" s="121"/>
      <c r="AB761" s="121"/>
      <c r="AC761" s="121"/>
      <c r="AD761" s="121"/>
      <c r="AE761" s="121"/>
      <c r="AF761" s="121"/>
      <c r="AG761" s="121"/>
      <c r="AH761" s="121"/>
      <c r="AI761" s="121"/>
      <c r="AJ761" s="121"/>
      <c r="AK761" s="121"/>
      <c r="AL761" s="121"/>
      <c r="AM761" s="121"/>
      <c r="AN761" s="121"/>
      <c r="AO761" s="121"/>
      <c r="AP761" s="121"/>
      <c r="AQ761" s="121"/>
      <c r="AR761" s="121"/>
      <c r="AS761" s="121"/>
      <c r="AT761" s="121"/>
      <c r="AU761" s="121"/>
      <c r="AV761" s="121"/>
      <c r="AW761" s="121"/>
      <c r="AX761" s="121"/>
      <c r="AY761" s="121"/>
      <c r="AZ761" s="121"/>
      <c r="BA761" s="121"/>
      <c r="BB761" s="121"/>
      <c r="BC761" s="121"/>
      <c r="BD761" s="121"/>
      <c r="BE761" s="121"/>
      <c r="BF761" s="121"/>
      <c r="BG761" s="121"/>
      <c r="BH761" s="121"/>
      <c r="BI761" s="121"/>
      <c r="BJ761" s="121"/>
      <c r="BK761" s="121"/>
      <c r="BL761" s="121"/>
      <c r="BM761" s="121"/>
      <c r="BN761" s="121"/>
      <c r="BO761" s="121"/>
      <c r="BP761" s="121"/>
      <c r="BQ761" s="121"/>
      <c r="BR761" s="121"/>
      <c r="BS761" s="121"/>
      <c r="BT761" s="121"/>
      <c r="BU761" s="121"/>
      <c r="BV761" s="121"/>
      <c r="BW761" s="121"/>
      <c r="BX761" s="121"/>
      <c r="BY761" s="121"/>
      <c r="BZ761" s="121"/>
      <c r="CA761" s="121"/>
      <c r="CB761" s="121"/>
      <c r="CC761" s="121"/>
      <c r="CD761" s="121"/>
      <c r="CE761" s="121"/>
      <c r="CF761" s="121"/>
      <c r="CG761" s="121"/>
      <c r="CH761" s="121"/>
      <c r="CI761" s="121"/>
      <c r="CJ761" s="121"/>
      <c r="CK761" s="121"/>
      <c r="CL761" s="121"/>
      <c r="CM761" s="121"/>
      <c r="CN761" s="121"/>
      <c r="CO761" s="121"/>
      <c r="CP761" s="121"/>
      <c r="CQ761" s="121"/>
      <c r="CR761" s="121"/>
      <c r="CS761" s="121"/>
      <c r="CT761" s="121"/>
      <c r="CU761" s="121"/>
      <c r="CV761" s="121"/>
      <c r="CW761" s="121"/>
      <c r="CX761" s="121"/>
      <c r="CY761" s="121"/>
      <c r="CZ761" s="121"/>
      <c r="DA761" s="121"/>
      <c r="DB761" s="121"/>
      <c r="DC761" s="121"/>
      <c r="DD761" s="121"/>
      <c r="DE761" s="121"/>
      <c r="DF761" s="121"/>
      <c r="DG761" s="121"/>
      <c r="DH761" s="121"/>
      <c r="DI761" s="121"/>
      <c r="DJ761" s="121"/>
      <c r="DK761" s="121"/>
      <c r="DL761" s="121"/>
      <c r="DM761" s="121"/>
      <c r="DN761" s="121"/>
      <c r="DO761" s="121"/>
      <c r="DP761" s="121"/>
      <c r="DQ761" s="121"/>
      <c r="DR761" s="121"/>
      <c r="DS761" s="121"/>
      <c r="DT761" s="240"/>
      <c r="DU761" s="240"/>
      <c r="DV761" s="240"/>
      <c r="DW761" s="240"/>
      <c r="DX761" s="240"/>
      <c r="DY761" s="240"/>
      <c r="DZ761" s="240"/>
      <c r="EA761" s="240"/>
      <c r="EB761" s="237">
        <f t="shared" si="88"/>
        <v>0</v>
      </c>
      <c r="EC761" s="237">
        <f t="shared" si="89"/>
        <v>0</v>
      </c>
      <c r="ED761" s="237">
        <f t="shared" si="90"/>
        <v>0</v>
      </c>
      <c r="EE761" s="237">
        <f t="shared" si="91"/>
        <v>0</v>
      </c>
      <c r="EF761" s="121"/>
      <c r="EG761" s="238">
        <f t="shared" si="92"/>
        <v>0</v>
      </c>
      <c r="EH761" s="121"/>
      <c r="EI761" s="237">
        <f t="shared" si="93"/>
        <v>0</v>
      </c>
      <c r="EJ761" s="121"/>
      <c r="EK761" s="237">
        <f t="shared" si="94"/>
        <v>0</v>
      </c>
      <c r="EL761" s="237"/>
      <c r="EM761" s="5"/>
      <c r="EN761" s="5"/>
      <c r="EO761" s="5"/>
      <c r="EP761" s="5"/>
      <c r="EQ761" s="237">
        <f t="shared" si="95"/>
        <v>0</v>
      </c>
      <c r="ER761" s="239">
        <v>23300</v>
      </c>
      <c r="ES761" s="5">
        <v>7.5</v>
      </c>
    </row>
    <row r="762" spans="1:149" x14ac:dyDescent="0.3">
      <c r="A762" s="124"/>
      <c r="B762" s="121"/>
      <c r="C762" s="121"/>
      <c r="D762" s="121"/>
      <c r="E762" s="121"/>
      <c r="F762" s="121"/>
      <c r="G762" s="121"/>
      <c r="H762" s="121"/>
      <c r="I762" s="121"/>
      <c r="J762" s="121"/>
      <c r="K762" s="121"/>
      <c r="L762" s="121"/>
      <c r="M762" s="121"/>
      <c r="N762" s="121"/>
      <c r="O762" s="235"/>
      <c r="P762" s="121"/>
      <c r="Q762" s="121"/>
      <c r="R762" s="121"/>
      <c r="S762" s="121"/>
      <c r="T762" s="121"/>
      <c r="U762" s="121"/>
      <c r="V762" s="121"/>
      <c r="W762" s="121"/>
      <c r="X762" s="117"/>
      <c r="Y762" s="117"/>
      <c r="Z762" s="121"/>
      <c r="AA762" s="121"/>
      <c r="AB762" s="121"/>
      <c r="AC762" s="121"/>
      <c r="AD762" s="121"/>
      <c r="AE762" s="121"/>
      <c r="AF762" s="121"/>
      <c r="AG762" s="121"/>
      <c r="AH762" s="121"/>
      <c r="AI762" s="121"/>
      <c r="AJ762" s="121"/>
      <c r="AK762" s="121"/>
      <c r="AL762" s="121"/>
      <c r="AM762" s="121"/>
      <c r="AN762" s="121"/>
      <c r="AO762" s="121"/>
      <c r="AP762" s="121"/>
      <c r="AQ762" s="121"/>
      <c r="AR762" s="121"/>
      <c r="AS762" s="121"/>
      <c r="AT762" s="121"/>
      <c r="AU762" s="121"/>
      <c r="AV762" s="121"/>
      <c r="AW762" s="121"/>
      <c r="AX762" s="121"/>
      <c r="AY762" s="121"/>
      <c r="AZ762" s="121"/>
      <c r="BA762" s="121"/>
      <c r="BB762" s="121"/>
      <c r="BC762" s="121"/>
      <c r="BD762" s="121"/>
      <c r="BE762" s="121"/>
      <c r="BF762" s="121"/>
      <c r="BG762" s="121"/>
      <c r="BH762" s="121"/>
      <c r="BI762" s="121"/>
      <c r="BJ762" s="121"/>
      <c r="BK762" s="121"/>
      <c r="BL762" s="121"/>
      <c r="BM762" s="121"/>
      <c r="BN762" s="121"/>
      <c r="BO762" s="121"/>
      <c r="BP762" s="121"/>
      <c r="BQ762" s="121"/>
      <c r="BR762" s="121"/>
      <c r="BS762" s="121"/>
      <c r="BT762" s="121"/>
      <c r="BU762" s="121"/>
      <c r="BV762" s="121"/>
      <c r="BW762" s="121"/>
      <c r="BX762" s="121"/>
      <c r="BY762" s="121"/>
      <c r="BZ762" s="121"/>
      <c r="CA762" s="121"/>
      <c r="CB762" s="121"/>
      <c r="CC762" s="121"/>
      <c r="CD762" s="121"/>
      <c r="CE762" s="121"/>
      <c r="CF762" s="121"/>
      <c r="CG762" s="121"/>
      <c r="CH762" s="121"/>
      <c r="CI762" s="121"/>
      <c r="CJ762" s="121"/>
      <c r="CK762" s="121"/>
      <c r="CL762" s="121"/>
      <c r="CM762" s="121"/>
      <c r="CN762" s="121"/>
      <c r="CO762" s="121"/>
      <c r="CP762" s="121"/>
      <c r="CQ762" s="121"/>
      <c r="CR762" s="121"/>
      <c r="CS762" s="121"/>
      <c r="CT762" s="121"/>
      <c r="CU762" s="121"/>
      <c r="CV762" s="121"/>
      <c r="CW762" s="121"/>
      <c r="CX762" s="121"/>
      <c r="CY762" s="121"/>
      <c r="CZ762" s="121"/>
      <c r="DA762" s="121"/>
      <c r="DB762" s="121"/>
      <c r="DC762" s="121"/>
      <c r="DD762" s="121"/>
      <c r="DE762" s="121"/>
      <c r="DF762" s="121"/>
      <c r="DG762" s="121"/>
      <c r="DH762" s="121"/>
      <c r="DI762" s="121"/>
      <c r="DJ762" s="121"/>
      <c r="DK762" s="121"/>
      <c r="DL762" s="121"/>
      <c r="DM762" s="121"/>
      <c r="DN762" s="121"/>
      <c r="DO762" s="121"/>
      <c r="DP762" s="121"/>
      <c r="DQ762" s="121"/>
      <c r="DR762" s="121"/>
      <c r="DS762" s="121"/>
      <c r="DT762" s="240"/>
      <c r="DU762" s="240"/>
      <c r="DV762" s="240"/>
      <c r="DW762" s="240"/>
      <c r="DX762" s="240"/>
      <c r="DY762" s="240"/>
      <c r="DZ762" s="240"/>
      <c r="EA762" s="240"/>
      <c r="EB762" s="237">
        <f t="shared" si="88"/>
        <v>0</v>
      </c>
      <c r="EC762" s="237">
        <f t="shared" si="89"/>
        <v>0</v>
      </c>
      <c r="ED762" s="237">
        <f t="shared" si="90"/>
        <v>0</v>
      </c>
      <c r="EE762" s="237">
        <f t="shared" si="91"/>
        <v>0</v>
      </c>
      <c r="EF762" s="121"/>
      <c r="EG762" s="238">
        <f t="shared" si="92"/>
        <v>0</v>
      </c>
      <c r="EH762" s="121"/>
      <c r="EI762" s="237">
        <f t="shared" si="93"/>
        <v>0</v>
      </c>
      <c r="EJ762" s="121"/>
      <c r="EK762" s="237">
        <f t="shared" si="94"/>
        <v>0</v>
      </c>
      <c r="EL762" s="237"/>
      <c r="EM762" s="5"/>
      <c r="EN762" s="5"/>
      <c r="EO762" s="5"/>
      <c r="EP762" s="5"/>
      <c r="EQ762" s="237">
        <f t="shared" si="95"/>
        <v>0</v>
      </c>
      <c r="ER762" s="239">
        <v>23300</v>
      </c>
      <c r="ES762" s="5">
        <v>7.5</v>
      </c>
    </row>
    <row r="763" spans="1:149" x14ac:dyDescent="0.3">
      <c r="A763" s="124"/>
      <c r="B763" s="121"/>
      <c r="C763" s="121"/>
      <c r="D763" s="121"/>
      <c r="E763" s="121"/>
      <c r="F763" s="121"/>
      <c r="G763" s="121"/>
      <c r="H763" s="121"/>
      <c r="I763" s="121"/>
      <c r="J763" s="121"/>
      <c r="K763" s="121"/>
      <c r="L763" s="121"/>
      <c r="M763" s="121"/>
      <c r="N763" s="121"/>
      <c r="O763" s="235"/>
      <c r="P763" s="121"/>
      <c r="Q763" s="121"/>
      <c r="R763" s="121"/>
      <c r="S763" s="121"/>
      <c r="T763" s="121"/>
      <c r="U763" s="121"/>
      <c r="V763" s="121"/>
      <c r="W763" s="121"/>
      <c r="X763" s="117"/>
      <c r="Y763" s="117"/>
      <c r="Z763" s="121"/>
      <c r="AA763" s="121"/>
      <c r="AB763" s="121"/>
      <c r="AC763" s="121"/>
      <c r="AD763" s="121"/>
      <c r="AE763" s="121"/>
      <c r="AF763" s="121"/>
      <c r="AG763" s="121"/>
      <c r="AH763" s="121"/>
      <c r="AI763" s="121"/>
      <c r="AJ763" s="121"/>
      <c r="AK763" s="121"/>
      <c r="AL763" s="121"/>
      <c r="AM763" s="121"/>
      <c r="AN763" s="121"/>
      <c r="AO763" s="121"/>
      <c r="AP763" s="121"/>
      <c r="AQ763" s="121"/>
      <c r="AR763" s="121"/>
      <c r="AS763" s="121"/>
      <c r="AT763" s="121"/>
      <c r="AU763" s="121"/>
      <c r="AV763" s="121"/>
      <c r="AW763" s="121"/>
      <c r="AX763" s="121"/>
      <c r="AY763" s="121"/>
      <c r="AZ763" s="121"/>
      <c r="BA763" s="121"/>
      <c r="BB763" s="121"/>
      <c r="BC763" s="121"/>
      <c r="BD763" s="121"/>
      <c r="BE763" s="121"/>
      <c r="BF763" s="121"/>
      <c r="BG763" s="121"/>
      <c r="BH763" s="121"/>
      <c r="BI763" s="121"/>
      <c r="BJ763" s="121"/>
      <c r="BK763" s="121"/>
      <c r="BL763" s="121"/>
      <c r="BM763" s="121"/>
      <c r="BN763" s="121"/>
      <c r="BO763" s="121"/>
      <c r="BP763" s="121"/>
      <c r="BQ763" s="121"/>
      <c r="BR763" s="121"/>
      <c r="BS763" s="121"/>
      <c r="BT763" s="121"/>
      <c r="BU763" s="121"/>
      <c r="BV763" s="121"/>
      <c r="BW763" s="121"/>
      <c r="BX763" s="121"/>
      <c r="BY763" s="121"/>
      <c r="BZ763" s="121"/>
      <c r="CA763" s="121"/>
      <c r="CB763" s="121"/>
      <c r="CC763" s="121"/>
      <c r="CD763" s="121"/>
      <c r="CE763" s="121"/>
      <c r="CF763" s="121"/>
      <c r="CG763" s="121"/>
      <c r="CH763" s="121"/>
      <c r="CI763" s="121"/>
      <c r="CJ763" s="121"/>
      <c r="CK763" s="121"/>
      <c r="CL763" s="121"/>
      <c r="CM763" s="121"/>
      <c r="CN763" s="121"/>
      <c r="CO763" s="121"/>
      <c r="CP763" s="121"/>
      <c r="CQ763" s="121"/>
      <c r="CR763" s="121"/>
      <c r="CS763" s="121"/>
      <c r="CT763" s="121"/>
      <c r="CU763" s="121"/>
      <c r="CV763" s="121"/>
      <c r="CW763" s="121"/>
      <c r="CX763" s="121"/>
      <c r="CY763" s="121"/>
      <c r="CZ763" s="121"/>
      <c r="DA763" s="121"/>
      <c r="DB763" s="121"/>
      <c r="DC763" s="121"/>
      <c r="DD763" s="121"/>
      <c r="DE763" s="121"/>
      <c r="DF763" s="121"/>
      <c r="DG763" s="121"/>
      <c r="DH763" s="121"/>
      <c r="DI763" s="121"/>
      <c r="DJ763" s="121"/>
      <c r="DK763" s="121"/>
      <c r="DL763" s="121"/>
      <c r="DM763" s="121"/>
      <c r="DN763" s="121"/>
      <c r="DO763" s="121"/>
      <c r="DP763" s="121"/>
      <c r="DQ763" s="121"/>
      <c r="DR763" s="121"/>
      <c r="DS763" s="121"/>
      <c r="DT763" s="240"/>
      <c r="DU763" s="240"/>
      <c r="DV763" s="240"/>
      <c r="DW763" s="240"/>
      <c r="DX763" s="240"/>
      <c r="DY763" s="240"/>
      <c r="DZ763" s="240"/>
      <c r="EA763" s="240"/>
      <c r="EB763" s="237">
        <f t="shared" si="88"/>
        <v>0</v>
      </c>
      <c r="EC763" s="237">
        <f t="shared" si="89"/>
        <v>0</v>
      </c>
      <c r="ED763" s="237">
        <f t="shared" si="90"/>
        <v>0</v>
      </c>
      <c r="EE763" s="237">
        <f t="shared" si="91"/>
        <v>0</v>
      </c>
      <c r="EF763" s="121"/>
      <c r="EG763" s="238">
        <f t="shared" si="92"/>
        <v>0</v>
      </c>
      <c r="EH763" s="121"/>
      <c r="EI763" s="237">
        <f t="shared" si="93"/>
        <v>0</v>
      </c>
      <c r="EJ763" s="121"/>
      <c r="EK763" s="237">
        <f t="shared" si="94"/>
        <v>0</v>
      </c>
      <c r="EL763" s="237"/>
      <c r="EM763" s="5"/>
      <c r="EN763" s="5"/>
      <c r="EO763" s="5"/>
      <c r="EP763" s="5"/>
      <c r="EQ763" s="237">
        <f t="shared" si="95"/>
        <v>0</v>
      </c>
      <c r="ER763" s="239">
        <v>23300</v>
      </c>
      <c r="ES763" s="5">
        <v>7.5</v>
      </c>
    </row>
    <row r="764" spans="1:149" x14ac:dyDescent="0.3">
      <c r="A764" s="124"/>
      <c r="B764" s="121"/>
      <c r="C764" s="121"/>
      <c r="D764" s="121"/>
      <c r="E764" s="121"/>
      <c r="F764" s="121"/>
      <c r="G764" s="121"/>
      <c r="H764" s="121"/>
      <c r="I764" s="121"/>
      <c r="J764" s="121"/>
      <c r="K764" s="121"/>
      <c r="L764" s="121"/>
      <c r="M764" s="121"/>
      <c r="N764" s="121"/>
      <c r="O764" s="235"/>
      <c r="P764" s="121"/>
      <c r="Q764" s="121"/>
      <c r="R764" s="121"/>
      <c r="S764" s="121"/>
      <c r="T764" s="121"/>
      <c r="U764" s="121"/>
      <c r="V764" s="121"/>
      <c r="W764" s="121"/>
      <c r="X764" s="117"/>
      <c r="Y764" s="117"/>
      <c r="Z764" s="121"/>
      <c r="AA764" s="121"/>
      <c r="AB764" s="121"/>
      <c r="AC764" s="121"/>
      <c r="AD764" s="121"/>
      <c r="AE764" s="121"/>
      <c r="AF764" s="121"/>
      <c r="AG764" s="121"/>
      <c r="AH764" s="121"/>
      <c r="AI764" s="121"/>
      <c r="AJ764" s="121"/>
      <c r="AK764" s="121"/>
      <c r="AL764" s="121"/>
      <c r="AM764" s="121"/>
      <c r="AN764" s="121"/>
      <c r="AO764" s="121"/>
      <c r="AP764" s="121"/>
      <c r="AQ764" s="121"/>
      <c r="AR764" s="121"/>
      <c r="AS764" s="121"/>
      <c r="AT764" s="121"/>
      <c r="AU764" s="121"/>
      <c r="AV764" s="121"/>
      <c r="AW764" s="121"/>
      <c r="AX764" s="121"/>
      <c r="AY764" s="121"/>
      <c r="AZ764" s="121"/>
      <c r="BA764" s="121"/>
      <c r="BB764" s="121"/>
      <c r="BC764" s="121"/>
      <c r="BD764" s="121"/>
      <c r="BE764" s="121"/>
      <c r="BF764" s="121"/>
      <c r="BG764" s="121"/>
      <c r="BH764" s="121"/>
      <c r="BI764" s="121"/>
      <c r="BJ764" s="121"/>
      <c r="BK764" s="121"/>
      <c r="BL764" s="121"/>
      <c r="BM764" s="121"/>
      <c r="BN764" s="121"/>
      <c r="BO764" s="121"/>
      <c r="BP764" s="121"/>
      <c r="BQ764" s="121"/>
      <c r="BR764" s="121"/>
      <c r="BS764" s="121"/>
      <c r="BT764" s="121"/>
      <c r="BU764" s="121"/>
      <c r="BV764" s="121"/>
      <c r="BW764" s="121"/>
      <c r="BX764" s="121"/>
      <c r="BY764" s="121"/>
      <c r="BZ764" s="121"/>
      <c r="CA764" s="121"/>
      <c r="CB764" s="121"/>
      <c r="CC764" s="121"/>
      <c r="CD764" s="121"/>
      <c r="CE764" s="121"/>
      <c r="CF764" s="121"/>
      <c r="CG764" s="121"/>
      <c r="CH764" s="121"/>
      <c r="CI764" s="121"/>
      <c r="CJ764" s="121"/>
      <c r="CK764" s="121"/>
      <c r="CL764" s="121"/>
      <c r="CM764" s="121"/>
      <c r="CN764" s="121"/>
      <c r="CO764" s="121"/>
      <c r="CP764" s="121"/>
      <c r="CQ764" s="121"/>
      <c r="CR764" s="121"/>
      <c r="CS764" s="121"/>
      <c r="CT764" s="121"/>
      <c r="CU764" s="121"/>
      <c r="CV764" s="121"/>
      <c r="CW764" s="121"/>
      <c r="CX764" s="121"/>
      <c r="CY764" s="121"/>
      <c r="CZ764" s="121"/>
      <c r="DA764" s="121"/>
      <c r="DB764" s="121"/>
      <c r="DC764" s="121"/>
      <c r="DD764" s="121"/>
      <c r="DE764" s="121"/>
      <c r="DF764" s="121"/>
      <c r="DG764" s="121"/>
      <c r="DH764" s="121"/>
      <c r="DI764" s="121"/>
      <c r="DJ764" s="121"/>
      <c r="DK764" s="121"/>
      <c r="DL764" s="121"/>
      <c r="DM764" s="121"/>
      <c r="DN764" s="121"/>
      <c r="DO764" s="121"/>
      <c r="DP764" s="121"/>
      <c r="DQ764" s="121"/>
      <c r="DR764" s="121"/>
      <c r="DS764" s="121"/>
      <c r="DT764" s="240"/>
      <c r="DU764" s="240"/>
      <c r="DV764" s="240"/>
      <c r="DW764" s="240"/>
      <c r="DX764" s="240"/>
      <c r="DY764" s="240"/>
      <c r="DZ764" s="240"/>
      <c r="EA764" s="240"/>
      <c r="EB764" s="237">
        <f t="shared" si="88"/>
        <v>0</v>
      </c>
      <c r="EC764" s="237">
        <f t="shared" si="89"/>
        <v>0</v>
      </c>
      <c r="ED764" s="237">
        <f t="shared" si="90"/>
        <v>0</v>
      </c>
      <c r="EE764" s="237">
        <f t="shared" si="91"/>
        <v>0</v>
      </c>
      <c r="EF764" s="121"/>
      <c r="EG764" s="238">
        <f t="shared" si="92"/>
        <v>0</v>
      </c>
      <c r="EH764" s="121"/>
      <c r="EI764" s="237">
        <f t="shared" si="93"/>
        <v>0</v>
      </c>
      <c r="EJ764" s="121"/>
      <c r="EK764" s="237">
        <f t="shared" si="94"/>
        <v>0</v>
      </c>
      <c r="EL764" s="237"/>
      <c r="EM764" s="5"/>
      <c r="EN764" s="5"/>
      <c r="EO764" s="5"/>
      <c r="EP764" s="5"/>
      <c r="EQ764" s="237">
        <f t="shared" si="95"/>
        <v>0</v>
      </c>
      <c r="ER764" s="239">
        <v>23300</v>
      </c>
      <c r="ES764" s="5">
        <v>7.5</v>
      </c>
    </row>
    <row r="765" spans="1:149" x14ac:dyDescent="0.3">
      <c r="A765" s="124"/>
      <c r="B765" s="121"/>
      <c r="C765" s="121"/>
      <c r="D765" s="121"/>
      <c r="E765" s="121"/>
      <c r="F765" s="121"/>
      <c r="G765" s="121"/>
      <c r="H765" s="121"/>
      <c r="I765" s="121"/>
      <c r="J765" s="121"/>
      <c r="K765" s="121"/>
      <c r="L765" s="121"/>
      <c r="M765" s="121"/>
      <c r="N765" s="121"/>
      <c r="O765" s="235"/>
      <c r="P765" s="121"/>
      <c r="Q765" s="121"/>
      <c r="R765" s="121"/>
      <c r="S765" s="121"/>
      <c r="T765" s="121"/>
      <c r="U765" s="121"/>
      <c r="V765" s="121"/>
      <c r="W765" s="121"/>
      <c r="X765" s="117"/>
      <c r="Y765" s="117"/>
      <c r="Z765" s="121"/>
      <c r="AA765" s="121"/>
      <c r="AB765" s="121"/>
      <c r="AC765" s="121"/>
      <c r="AD765" s="121"/>
      <c r="AE765" s="121"/>
      <c r="AF765" s="121"/>
      <c r="AG765" s="121"/>
      <c r="AH765" s="121"/>
      <c r="AI765" s="121"/>
      <c r="AJ765" s="121"/>
      <c r="AK765" s="121"/>
      <c r="AL765" s="121"/>
      <c r="AM765" s="121"/>
      <c r="AN765" s="121"/>
      <c r="AO765" s="121"/>
      <c r="AP765" s="121"/>
      <c r="AQ765" s="121"/>
      <c r="AR765" s="121"/>
      <c r="AS765" s="121"/>
      <c r="AT765" s="121"/>
      <c r="AU765" s="121"/>
      <c r="AV765" s="121"/>
      <c r="AW765" s="121"/>
      <c r="AX765" s="121"/>
      <c r="AY765" s="121"/>
      <c r="AZ765" s="121"/>
      <c r="BA765" s="121"/>
      <c r="BB765" s="121"/>
      <c r="BC765" s="121"/>
      <c r="BD765" s="121"/>
      <c r="BE765" s="121"/>
      <c r="BF765" s="121"/>
      <c r="BG765" s="121"/>
      <c r="BH765" s="121"/>
      <c r="BI765" s="121"/>
      <c r="BJ765" s="121"/>
      <c r="BK765" s="121"/>
      <c r="BL765" s="121"/>
      <c r="BM765" s="121"/>
      <c r="BN765" s="121"/>
      <c r="BO765" s="121"/>
      <c r="BP765" s="121"/>
      <c r="BQ765" s="121"/>
      <c r="BR765" s="121"/>
      <c r="BS765" s="121"/>
      <c r="BT765" s="121"/>
      <c r="BU765" s="121"/>
      <c r="BV765" s="121"/>
      <c r="BW765" s="121"/>
      <c r="BX765" s="121"/>
      <c r="BY765" s="121"/>
      <c r="BZ765" s="121"/>
      <c r="CA765" s="121"/>
      <c r="CB765" s="121"/>
      <c r="CC765" s="121"/>
      <c r="CD765" s="121"/>
      <c r="CE765" s="121"/>
      <c r="CF765" s="121"/>
      <c r="CG765" s="121"/>
      <c r="CH765" s="121"/>
      <c r="CI765" s="121"/>
      <c r="CJ765" s="121"/>
      <c r="CK765" s="121"/>
      <c r="CL765" s="121"/>
      <c r="CM765" s="121"/>
      <c r="CN765" s="121"/>
      <c r="CO765" s="121"/>
      <c r="CP765" s="121"/>
      <c r="CQ765" s="121"/>
      <c r="CR765" s="121"/>
      <c r="CS765" s="121"/>
      <c r="CT765" s="121"/>
      <c r="CU765" s="121"/>
      <c r="CV765" s="121"/>
      <c r="CW765" s="121"/>
      <c r="CX765" s="121"/>
      <c r="CY765" s="121"/>
      <c r="CZ765" s="121"/>
      <c r="DA765" s="121"/>
      <c r="DB765" s="121"/>
      <c r="DC765" s="121"/>
      <c r="DD765" s="121"/>
      <c r="DE765" s="121"/>
      <c r="DF765" s="121"/>
      <c r="DG765" s="121"/>
      <c r="DH765" s="121"/>
      <c r="DI765" s="121"/>
      <c r="DJ765" s="121"/>
      <c r="DK765" s="121"/>
      <c r="DL765" s="121"/>
      <c r="DM765" s="121"/>
      <c r="DN765" s="121"/>
      <c r="DO765" s="121"/>
      <c r="DP765" s="121"/>
      <c r="DQ765" s="121"/>
      <c r="DR765" s="121"/>
      <c r="DS765" s="121"/>
      <c r="DT765" s="240"/>
      <c r="DU765" s="240"/>
      <c r="DV765" s="240"/>
      <c r="DW765" s="240"/>
      <c r="DX765" s="240"/>
      <c r="DY765" s="240"/>
      <c r="DZ765" s="240"/>
      <c r="EA765" s="240"/>
      <c r="EB765" s="237">
        <f t="shared" si="88"/>
        <v>0</v>
      </c>
      <c r="EC765" s="237">
        <f t="shared" si="89"/>
        <v>0</v>
      </c>
      <c r="ED765" s="237">
        <f t="shared" si="90"/>
        <v>0</v>
      </c>
      <c r="EE765" s="237">
        <f t="shared" si="91"/>
        <v>0</v>
      </c>
      <c r="EF765" s="121"/>
      <c r="EG765" s="238">
        <f t="shared" si="92"/>
        <v>0</v>
      </c>
      <c r="EH765" s="121"/>
      <c r="EI765" s="237">
        <f t="shared" si="93"/>
        <v>0</v>
      </c>
      <c r="EJ765" s="121"/>
      <c r="EK765" s="237">
        <f t="shared" si="94"/>
        <v>0</v>
      </c>
      <c r="EL765" s="237"/>
      <c r="EM765" s="5"/>
      <c r="EN765" s="5"/>
      <c r="EO765" s="5"/>
      <c r="EP765" s="5"/>
      <c r="EQ765" s="237">
        <f t="shared" si="95"/>
        <v>0</v>
      </c>
      <c r="ER765" s="239">
        <v>23300</v>
      </c>
      <c r="ES765" s="5">
        <v>7.5</v>
      </c>
    </row>
    <row r="766" spans="1:149" x14ac:dyDescent="0.3">
      <c r="A766" s="124"/>
      <c r="B766" s="121"/>
      <c r="C766" s="121"/>
      <c r="D766" s="121"/>
      <c r="E766" s="121"/>
      <c r="F766" s="121"/>
      <c r="G766" s="121"/>
      <c r="H766" s="121"/>
      <c r="I766" s="121"/>
      <c r="J766" s="121"/>
      <c r="K766" s="121"/>
      <c r="L766" s="121"/>
      <c r="M766" s="121"/>
      <c r="N766" s="121"/>
      <c r="O766" s="235"/>
      <c r="P766" s="121"/>
      <c r="Q766" s="121"/>
      <c r="R766" s="121"/>
      <c r="S766" s="121"/>
      <c r="T766" s="121"/>
      <c r="U766" s="121"/>
      <c r="V766" s="121"/>
      <c r="W766" s="121"/>
      <c r="X766" s="117"/>
      <c r="Y766" s="117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/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121"/>
      <c r="BJ766" s="121"/>
      <c r="BK766" s="121"/>
      <c r="BL766" s="121"/>
      <c r="BM766" s="121"/>
      <c r="BN766" s="121"/>
      <c r="BO766" s="121"/>
      <c r="BP766" s="121"/>
      <c r="BQ766" s="121"/>
      <c r="BR766" s="121"/>
      <c r="BS766" s="121"/>
      <c r="BT766" s="121"/>
      <c r="BU766" s="121"/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/>
      <c r="CP766" s="121"/>
      <c r="CQ766" s="121"/>
      <c r="CR766" s="121"/>
      <c r="CS766" s="121"/>
      <c r="CT766" s="121"/>
      <c r="CU766" s="121"/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/>
      <c r="DF766" s="121"/>
      <c r="DG766" s="121"/>
      <c r="DH766" s="121"/>
      <c r="DI766" s="121"/>
      <c r="DJ766" s="121"/>
      <c r="DK766" s="121"/>
      <c r="DL766" s="121"/>
      <c r="DM766" s="121"/>
      <c r="DN766" s="121"/>
      <c r="DO766" s="121"/>
      <c r="DP766" s="121"/>
      <c r="DQ766" s="121"/>
      <c r="DR766" s="121"/>
      <c r="DS766" s="121"/>
      <c r="DT766" s="240"/>
      <c r="DU766" s="240"/>
      <c r="DV766" s="240"/>
      <c r="DW766" s="240"/>
      <c r="DX766" s="240"/>
      <c r="DY766" s="240"/>
      <c r="DZ766" s="240"/>
      <c r="EA766" s="240"/>
      <c r="EB766" s="237">
        <f t="shared" si="88"/>
        <v>0</v>
      </c>
      <c r="EC766" s="237">
        <f t="shared" si="89"/>
        <v>0</v>
      </c>
      <c r="ED766" s="237">
        <f t="shared" si="90"/>
        <v>0</v>
      </c>
      <c r="EE766" s="237">
        <f t="shared" si="91"/>
        <v>0</v>
      </c>
      <c r="EF766" s="121"/>
      <c r="EG766" s="238">
        <f t="shared" si="92"/>
        <v>0</v>
      </c>
      <c r="EH766" s="121"/>
      <c r="EI766" s="237">
        <f t="shared" si="93"/>
        <v>0</v>
      </c>
      <c r="EJ766" s="121"/>
      <c r="EK766" s="237">
        <f t="shared" si="94"/>
        <v>0</v>
      </c>
      <c r="EL766" s="237"/>
      <c r="EM766" s="5"/>
      <c r="EN766" s="5"/>
      <c r="EO766" s="5"/>
      <c r="EP766" s="5"/>
      <c r="EQ766" s="237">
        <f t="shared" si="95"/>
        <v>0</v>
      </c>
      <c r="ER766" s="239">
        <v>23300</v>
      </c>
      <c r="ES766" s="5">
        <v>7.5</v>
      </c>
    </row>
    <row r="767" spans="1:149" x14ac:dyDescent="0.3">
      <c r="A767" s="124"/>
      <c r="B767" s="121"/>
      <c r="C767" s="121"/>
      <c r="D767" s="121"/>
      <c r="E767" s="121"/>
      <c r="F767" s="121"/>
      <c r="G767" s="121"/>
      <c r="H767" s="121"/>
      <c r="I767" s="121"/>
      <c r="J767" s="121"/>
      <c r="K767" s="121"/>
      <c r="L767" s="121"/>
      <c r="M767" s="121"/>
      <c r="N767" s="121"/>
      <c r="O767" s="235"/>
      <c r="P767" s="121"/>
      <c r="Q767" s="121"/>
      <c r="R767" s="121"/>
      <c r="S767" s="121"/>
      <c r="T767" s="121"/>
      <c r="U767" s="121"/>
      <c r="V767" s="121"/>
      <c r="W767" s="121"/>
      <c r="X767" s="117"/>
      <c r="Y767" s="117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21"/>
      <c r="BJ767" s="121"/>
      <c r="BK767" s="121"/>
      <c r="BL767" s="121"/>
      <c r="BM767" s="121"/>
      <c r="BN767" s="121"/>
      <c r="BO767" s="121"/>
      <c r="BP767" s="121"/>
      <c r="BQ767" s="121"/>
      <c r="BR767" s="121"/>
      <c r="BS767" s="121"/>
      <c r="BT767" s="121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21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  <c r="DK767" s="121"/>
      <c r="DL767" s="121"/>
      <c r="DM767" s="121"/>
      <c r="DN767" s="121"/>
      <c r="DO767" s="121"/>
      <c r="DP767" s="121"/>
      <c r="DQ767" s="121"/>
      <c r="DR767" s="121"/>
      <c r="DS767" s="121"/>
      <c r="DT767" s="240"/>
      <c r="DU767" s="240"/>
      <c r="DV767" s="240"/>
      <c r="DW767" s="240"/>
      <c r="DX767" s="240"/>
      <c r="DY767" s="240"/>
      <c r="DZ767" s="240"/>
      <c r="EA767" s="240"/>
      <c r="EB767" s="237">
        <f t="shared" si="88"/>
        <v>0</v>
      </c>
      <c r="EC767" s="237">
        <f t="shared" si="89"/>
        <v>0</v>
      </c>
      <c r="ED767" s="237">
        <f t="shared" si="90"/>
        <v>0</v>
      </c>
      <c r="EE767" s="237">
        <f t="shared" si="91"/>
        <v>0</v>
      </c>
      <c r="EF767" s="121"/>
      <c r="EG767" s="238">
        <f t="shared" si="92"/>
        <v>0</v>
      </c>
      <c r="EH767" s="121"/>
      <c r="EI767" s="237">
        <f t="shared" si="93"/>
        <v>0</v>
      </c>
      <c r="EJ767" s="121"/>
      <c r="EK767" s="237">
        <f t="shared" si="94"/>
        <v>0</v>
      </c>
      <c r="EL767" s="237"/>
      <c r="EM767" s="5"/>
      <c r="EN767" s="5"/>
      <c r="EO767" s="5"/>
      <c r="EP767" s="5"/>
      <c r="EQ767" s="237">
        <f t="shared" si="95"/>
        <v>0</v>
      </c>
      <c r="ER767" s="239">
        <v>23300</v>
      </c>
      <c r="ES767" s="5">
        <v>7.5</v>
      </c>
    </row>
    <row r="768" spans="1:149" x14ac:dyDescent="0.3">
      <c r="A768" s="124"/>
      <c r="B768" s="121"/>
      <c r="C768" s="121"/>
      <c r="D768" s="121"/>
      <c r="E768" s="121"/>
      <c r="F768" s="121"/>
      <c r="G768" s="121"/>
      <c r="H768" s="121"/>
      <c r="I768" s="121"/>
      <c r="J768" s="121"/>
      <c r="K768" s="121"/>
      <c r="L768" s="121"/>
      <c r="M768" s="121"/>
      <c r="N768" s="121"/>
      <c r="O768" s="235"/>
      <c r="P768" s="121"/>
      <c r="Q768" s="121"/>
      <c r="R768" s="121"/>
      <c r="S768" s="121"/>
      <c r="T768" s="121"/>
      <c r="U768" s="121"/>
      <c r="V768" s="121"/>
      <c r="W768" s="121"/>
      <c r="X768" s="117"/>
      <c r="Y768" s="117"/>
      <c r="Z768" s="121"/>
      <c r="AA768" s="121"/>
      <c r="AB768" s="121"/>
      <c r="AC768" s="121"/>
      <c r="AD768" s="121"/>
      <c r="AE768" s="121"/>
      <c r="AF768" s="121"/>
      <c r="AG768" s="121"/>
      <c r="AH768" s="121"/>
      <c r="AI768" s="121"/>
      <c r="AJ768" s="121"/>
      <c r="AK768" s="121"/>
      <c r="AL768" s="121"/>
      <c r="AM768" s="121"/>
      <c r="AN768" s="121"/>
      <c r="AO768" s="121"/>
      <c r="AP768" s="121"/>
      <c r="AQ768" s="121"/>
      <c r="AR768" s="121"/>
      <c r="AS768" s="121"/>
      <c r="AT768" s="121"/>
      <c r="AU768" s="121"/>
      <c r="AV768" s="121"/>
      <c r="AW768" s="121"/>
      <c r="AX768" s="121"/>
      <c r="AY768" s="121"/>
      <c r="AZ768" s="121"/>
      <c r="BA768" s="121"/>
      <c r="BB768" s="121"/>
      <c r="BC768" s="121"/>
      <c r="BD768" s="121"/>
      <c r="BE768" s="121"/>
      <c r="BF768" s="121"/>
      <c r="BG768" s="121"/>
      <c r="BH768" s="121"/>
      <c r="BI768" s="121"/>
      <c r="BJ768" s="121"/>
      <c r="BK768" s="121"/>
      <c r="BL768" s="121"/>
      <c r="BM768" s="121"/>
      <c r="BN768" s="121"/>
      <c r="BO768" s="121"/>
      <c r="BP768" s="121"/>
      <c r="BQ768" s="121"/>
      <c r="BR768" s="121"/>
      <c r="BS768" s="121"/>
      <c r="BT768" s="121"/>
      <c r="BU768" s="121"/>
      <c r="BV768" s="121"/>
      <c r="BW768" s="121"/>
      <c r="BX768" s="121"/>
      <c r="BY768" s="121"/>
      <c r="BZ768" s="121"/>
      <c r="CA768" s="121"/>
      <c r="CB768" s="121"/>
      <c r="CC768" s="121"/>
      <c r="CD768" s="121"/>
      <c r="CE768" s="121"/>
      <c r="CF768" s="121"/>
      <c r="CG768" s="121"/>
      <c r="CH768" s="121"/>
      <c r="CI768" s="121"/>
      <c r="CJ768" s="121"/>
      <c r="CK768" s="121"/>
      <c r="CL768" s="121"/>
      <c r="CM768" s="121"/>
      <c r="CN768" s="121"/>
      <c r="CO768" s="121"/>
      <c r="CP768" s="121"/>
      <c r="CQ768" s="121"/>
      <c r="CR768" s="121"/>
      <c r="CS768" s="121"/>
      <c r="CT768" s="121"/>
      <c r="CU768" s="121"/>
      <c r="CV768" s="121"/>
      <c r="CW768" s="121"/>
      <c r="CX768" s="121"/>
      <c r="CY768" s="121"/>
      <c r="CZ768" s="121"/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  <c r="DK768" s="121"/>
      <c r="DL768" s="121"/>
      <c r="DM768" s="121"/>
      <c r="DN768" s="121"/>
      <c r="DO768" s="121"/>
      <c r="DP768" s="121"/>
      <c r="DQ768" s="121"/>
      <c r="DR768" s="121"/>
      <c r="DS768" s="121"/>
      <c r="DT768" s="240"/>
      <c r="DU768" s="240"/>
      <c r="DV768" s="240"/>
      <c r="DW768" s="240"/>
      <c r="DX768" s="240"/>
      <c r="DY768" s="240"/>
      <c r="DZ768" s="240"/>
      <c r="EA768" s="240"/>
      <c r="EB768" s="237">
        <f t="shared" si="88"/>
        <v>0</v>
      </c>
      <c r="EC768" s="237">
        <f t="shared" si="89"/>
        <v>0</v>
      </c>
      <c r="ED768" s="237">
        <f t="shared" si="90"/>
        <v>0</v>
      </c>
      <c r="EE768" s="237">
        <f t="shared" si="91"/>
        <v>0</v>
      </c>
      <c r="EF768" s="121"/>
      <c r="EG768" s="238">
        <f t="shared" si="92"/>
        <v>0</v>
      </c>
      <c r="EH768" s="121"/>
      <c r="EI768" s="237">
        <f t="shared" si="93"/>
        <v>0</v>
      </c>
      <c r="EJ768" s="121"/>
      <c r="EK768" s="237">
        <f t="shared" si="94"/>
        <v>0</v>
      </c>
      <c r="EL768" s="237"/>
      <c r="EM768" s="5"/>
      <c r="EN768" s="5"/>
      <c r="EO768" s="5"/>
      <c r="EP768" s="5"/>
      <c r="EQ768" s="237">
        <f t="shared" si="95"/>
        <v>0</v>
      </c>
      <c r="ER768" s="239">
        <v>23300</v>
      </c>
      <c r="ES768" s="5">
        <v>7.5</v>
      </c>
    </row>
    <row r="769" spans="1:149" x14ac:dyDescent="0.3">
      <c r="A769" s="124"/>
      <c r="B769" s="121"/>
      <c r="C769" s="121"/>
      <c r="D769" s="121"/>
      <c r="E769" s="121"/>
      <c r="F769" s="121"/>
      <c r="G769" s="121"/>
      <c r="H769" s="121"/>
      <c r="I769" s="121"/>
      <c r="J769" s="121"/>
      <c r="K769" s="121"/>
      <c r="L769" s="121"/>
      <c r="M769" s="121"/>
      <c r="N769" s="121"/>
      <c r="O769" s="235"/>
      <c r="P769" s="121"/>
      <c r="Q769" s="121"/>
      <c r="R769" s="121"/>
      <c r="S769" s="121"/>
      <c r="T769" s="121"/>
      <c r="U769" s="121"/>
      <c r="V769" s="121"/>
      <c r="W769" s="121"/>
      <c r="X769" s="117"/>
      <c r="Y769" s="117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1"/>
      <c r="AL769" s="121"/>
      <c r="AM769" s="121"/>
      <c r="AN769" s="121"/>
      <c r="AO769" s="121"/>
      <c r="AP769" s="121"/>
      <c r="AQ769" s="121"/>
      <c r="AR769" s="121"/>
      <c r="AS769" s="121"/>
      <c r="AT769" s="121"/>
      <c r="AU769" s="121"/>
      <c r="AV769" s="121"/>
      <c r="AW769" s="121"/>
      <c r="AX769" s="121"/>
      <c r="AY769" s="121"/>
      <c r="AZ769" s="121"/>
      <c r="BA769" s="121"/>
      <c r="BB769" s="121"/>
      <c r="BC769" s="121"/>
      <c r="BD769" s="121"/>
      <c r="BE769" s="121"/>
      <c r="BF769" s="121"/>
      <c r="BG769" s="121"/>
      <c r="BH769" s="121"/>
      <c r="BI769" s="121"/>
      <c r="BJ769" s="121"/>
      <c r="BK769" s="121"/>
      <c r="BL769" s="121"/>
      <c r="BM769" s="121"/>
      <c r="BN769" s="121"/>
      <c r="BO769" s="121"/>
      <c r="BP769" s="121"/>
      <c r="BQ769" s="121"/>
      <c r="BR769" s="121"/>
      <c r="BS769" s="121"/>
      <c r="BT769" s="121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21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  <c r="DK769" s="121"/>
      <c r="DL769" s="121"/>
      <c r="DM769" s="121"/>
      <c r="DN769" s="121"/>
      <c r="DO769" s="121"/>
      <c r="DP769" s="121"/>
      <c r="DQ769" s="121"/>
      <c r="DR769" s="121"/>
      <c r="DS769" s="121"/>
      <c r="DT769" s="240"/>
      <c r="DU769" s="240"/>
      <c r="DV769" s="240"/>
      <c r="DW769" s="240"/>
      <c r="DX769" s="240"/>
      <c r="DY769" s="240"/>
      <c r="DZ769" s="240"/>
      <c r="EA769" s="240"/>
      <c r="EB769" s="237">
        <f t="shared" si="88"/>
        <v>0</v>
      </c>
      <c r="EC769" s="237">
        <f t="shared" si="89"/>
        <v>0</v>
      </c>
      <c r="ED769" s="237">
        <f t="shared" si="90"/>
        <v>0</v>
      </c>
      <c r="EE769" s="237">
        <f t="shared" si="91"/>
        <v>0</v>
      </c>
      <c r="EF769" s="121"/>
      <c r="EG769" s="238">
        <f t="shared" si="92"/>
        <v>0</v>
      </c>
      <c r="EH769" s="121"/>
      <c r="EI769" s="237">
        <f t="shared" si="93"/>
        <v>0</v>
      </c>
      <c r="EJ769" s="121"/>
      <c r="EK769" s="237">
        <f t="shared" si="94"/>
        <v>0</v>
      </c>
      <c r="EL769" s="237"/>
      <c r="EM769" s="5"/>
      <c r="EN769" s="5"/>
      <c r="EO769" s="5"/>
      <c r="EP769" s="5"/>
      <c r="EQ769" s="237">
        <f t="shared" si="95"/>
        <v>0</v>
      </c>
      <c r="ER769" s="239">
        <v>23300</v>
      </c>
      <c r="ES769" s="5">
        <v>7.5</v>
      </c>
    </row>
    <row r="770" spans="1:149" x14ac:dyDescent="0.3">
      <c r="A770" s="124"/>
      <c r="B770" s="121"/>
      <c r="C770" s="121"/>
      <c r="D770" s="121"/>
      <c r="E770" s="121"/>
      <c r="F770" s="121"/>
      <c r="G770" s="121"/>
      <c r="H770" s="121"/>
      <c r="I770" s="121"/>
      <c r="J770" s="121"/>
      <c r="K770" s="121"/>
      <c r="L770" s="121"/>
      <c r="M770" s="121"/>
      <c r="N770" s="121"/>
      <c r="O770" s="235"/>
      <c r="P770" s="121"/>
      <c r="Q770" s="121"/>
      <c r="R770" s="121"/>
      <c r="S770" s="121"/>
      <c r="T770" s="121"/>
      <c r="U770" s="121"/>
      <c r="V770" s="121"/>
      <c r="W770" s="121"/>
      <c r="X770" s="117"/>
      <c r="Y770" s="117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21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  <c r="DK770" s="121"/>
      <c r="DL770" s="121"/>
      <c r="DM770" s="121"/>
      <c r="DN770" s="121"/>
      <c r="DO770" s="121"/>
      <c r="DP770" s="121"/>
      <c r="DQ770" s="121"/>
      <c r="DR770" s="121"/>
      <c r="DS770" s="121"/>
      <c r="DT770" s="240"/>
      <c r="DU770" s="240"/>
      <c r="DV770" s="240"/>
      <c r="DW770" s="240"/>
      <c r="DX770" s="240"/>
      <c r="DY770" s="240"/>
      <c r="DZ770" s="240"/>
      <c r="EA770" s="240"/>
      <c r="EB770" s="237">
        <f t="shared" si="88"/>
        <v>0</v>
      </c>
      <c r="EC770" s="237">
        <f t="shared" si="89"/>
        <v>0</v>
      </c>
      <c r="ED770" s="237">
        <f t="shared" si="90"/>
        <v>0</v>
      </c>
      <c r="EE770" s="237">
        <f t="shared" si="91"/>
        <v>0</v>
      </c>
      <c r="EF770" s="121"/>
      <c r="EG770" s="238">
        <f t="shared" si="92"/>
        <v>0</v>
      </c>
      <c r="EH770" s="121"/>
      <c r="EI770" s="237">
        <f t="shared" si="93"/>
        <v>0</v>
      </c>
      <c r="EJ770" s="121"/>
      <c r="EK770" s="237">
        <f t="shared" si="94"/>
        <v>0</v>
      </c>
      <c r="EL770" s="237"/>
      <c r="EM770" s="5"/>
      <c r="EN770" s="5"/>
      <c r="EO770" s="5"/>
      <c r="EP770" s="5"/>
      <c r="EQ770" s="237">
        <f t="shared" si="95"/>
        <v>0</v>
      </c>
      <c r="ER770" s="239">
        <v>23300</v>
      </c>
      <c r="ES770" s="5">
        <v>7.5</v>
      </c>
    </row>
    <row r="771" spans="1:149" x14ac:dyDescent="0.3">
      <c r="A771" s="124"/>
      <c r="B771" s="121"/>
      <c r="C771" s="121"/>
      <c r="D771" s="121"/>
      <c r="E771" s="121"/>
      <c r="F771" s="121"/>
      <c r="G771" s="121"/>
      <c r="H771" s="121"/>
      <c r="I771" s="121"/>
      <c r="J771" s="121"/>
      <c r="K771" s="121"/>
      <c r="L771" s="121"/>
      <c r="M771" s="121"/>
      <c r="N771" s="121"/>
      <c r="O771" s="235"/>
      <c r="P771" s="121"/>
      <c r="Q771" s="121"/>
      <c r="R771" s="121"/>
      <c r="S771" s="121"/>
      <c r="T771" s="121"/>
      <c r="U771" s="121"/>
      <c r="V771" s="121"/>
      <c r="W771" s="121"/>
      <c r="X771" s="117"/>
      <c r="Y771" s="117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21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  <c r="DK771" s="121"/>
      <c r="DL771" s="121"/>
      <c r="DM771" s="121"/>
      <c r="DN771" s="121"/>
      <c r="DO771" s="121"/>
      <c r="DP771" s="121"/>
      <c r="DQ771" s="121"/>
      <c r="DR771" s="121"/>
      <c r="DS771" s="121"/>
      <c r="DT771" s="240"/>
      <c r="DU771" s="240"/>
      <c r="DV771" s="240"/>
      <c r="DW771" s="240"/>
      <c r="DX771" s="240"/>
      <c r="DY771" s="240"/>
      <c r="DZ771" s="240"/>
      <c r="EA771" s="240"/>
      <c r="EB771" s="237">
        <f t="shared" si="88"/>
        <v>0</v>
      </c>
      <c r="EC771" s="237">
        <f t="shared" si="89"/>
        <v>0</v>
      </c>
      <c r="ED771" s="237">
        <f t="shared" si="90"/>
        <v>0</v>
      </c>
      <c r="EE771" s="237">
        <f t="shared" si="91"/>
        <v>0</v>
      </c>
      <c r="EF771" s="121"/>
      <c r="EG771" s="238">
        <f t="shared" si="92"/>
        <v>0</v>
      </c>
      <c r="EH771" s="121"/>
      <c r="EI771" s="237">
        <f t="shared" si="93"/>
        <v>0</v>
      </c>
      <c r="EJ771" s="121"/>
      <c r="EK771" s="237">
        <f t="shared" si="94"/>
        <v>0</v>
      </c>
      <c r="EL771" s="237"/>
      <c r="EM771" s="5"/>
      <c r="EN771" s="5"/>
      <c r="EO771" s="5"/>
      <c r="EP771" s="5"/>
      <c r="EQ771" s="237">
        <f t="shared" si="95"/>
        <v>0</v>
      </c>
      <c r="ER771" s="239">
        <v>23300</v>
      </c>
      <c r="ES771" s="5">
        <v>7.5</v>
      </c>
    </row>
    <row r="772" spans="1:149" x14ac:dyDescent="0.3">
      <c r="A772" s="124"/>
      <c r="B772" s="121"/>
      <c r="C772" s="121"/>
      <c r="D772" s="121"/>
      <c r="E772" s="121"/>
      <c r="F772" s="121"/>
      <c r="G772" s="121"/>
      <c r="H772" s="121"/>
      <c r="I772" s="121"/>
      <c r="J772" s="121"/>
      <c r="K772" s="121"/>
      <c r="L772" s="121"/>
      <c r="M772" s="121"/>
      <c r="N772" s="121"/>
      <c r="O772" s="235"/>
      <c r="P772" s="121"/>
      <c r="Q772" s="121"/>
      <c r="R772" s="121"/>
      <c r="S772" s="121"/>
      <c r="T772" s="121"/>
      <c r="U772" s="121"/>
      <c r="V772" s="121"/>
      <c r="W772" s="121"/>
      <c r="X772" s="117"/>
      <c r="Y772" s="117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21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  <c r="DK772" s="121"/>
      <c r="DL772" s="121"/>
      <c r="DM772" s="121"/>
      <c r="DN772" s="121"/>
      <c r="DO772" s="121"/>
      <c r="DP772" s="121"/>
      <c r="DQ772" s="121"/>
      <c r="DR772" s="121"/>
      <c r="DS772" s="121"/>
      <c r="DT772" s="240"/>
      <c r="DU772" s="240"/>
      <c r="DV772" s="240"/>
      <c r="DW772" s="240"/>
      <c r="DX772" s="240"/>
      <c r="DY772" s="240"/>
      <c r="DZ772" s="240"/>
      <c r="EA772" s="240"/>
      <c r="EB772" s="237">
        <f t="shared" si="88"/>
        <v>0</v>
      </c>
      <c r="EC772" s="237">
        <f t="shared" si="89"/>
        <v>0</v>
      </c>
      <c r="ED772" s="237">
        <f t="shared" si="90"/>
        <v>0</v>
      </c>
      <c r="EE772" s="237">
        <f t="shared" si="91"/>
        <v>0</v>
      </c>
      <c r="EF772" s="121"/>
      <c r="EG772" s="238">
        <f t="shared" si="92"/>
        <v>0</v>
      </c>
      <c r="EH772" s="121"/>
      <c r="EI772" s="237">
        <f t="shared" si="93"/>
        <v>0</v>
      </c>
      <c r="EJ772" s="121"/>
      <c r="EK772" s="237">
        <f t="shared" si="94"/>
        <v>0</v>
      </c>
      <c r="EL772" s="237"/>
      <c r="EM772" s="5"/>
      <c r="EN772" s="5"/>
      <c r="EO772" s="5"/>
      <c r="EP772" s="5"/>
      <c r="EQ772" s="237">
        <f t="shared" si="95"/>
        <v>0</v>
      </c>
      <c r="ER772" s="239">
        <v>23300</v>
      </c>
      <c r="ES772" s="5">
        <v>7.5</v>
      </c>
    </row>
    <row r="773" spans="1:149" x14ac:dyDescent="0.3">
      <c r="A773" s="124"/>
      <c r="B773" s="121"/>
      <c r="C773" s="121"/>
      <c r="D773" s="121"/>
      <c r="E773" s="121"/>
      <c r="F773" s="121"/>
      <c r="G773" s="121"/>
      <c r="H773" s="121"/>
      <c r="I773" s="121"/>
      <c r="J773" s="121"/>
      <c r="K773" s="121"/>
      <c r="L773" s="121"/>
      <c r="M773" s="121"/>
      <c r="N773" s="121"/>
      <c r="O773" s="235"/>
      <c r="P773" s="121"/>
      <c r="Q773" s="121"/>
      <c r="R773" s="121"/>
      <c r="S773" s="121"/>
      <c r="T773" s="121"/>
      <c r="U773" s="121"/>
      <c r="V773" s="121"/>
      <c r="W773" s="121"/>
      <c r="X773" s="117"/>
      <c r="Y773" s="117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21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  <c r="DK773" s="121"/>
      <c r="DL773" s="121"/>
      <c r="DM773" s="121"/>
      <c r="DN773" s="121"/>
      <c r="DO773" s="121"/>
      <c r="DP773" s="121"/>
      <c r="DQ773" s="121"/>
      <c r="DR773" s="121"/>
      <c r="DS773" s="121"/>
      <c r="DT773" s="240"/>
      <c r="DU773" s="240"/>
      <c r="DV773" s="240"/>
      <c r="DW773" s="240"/>
      <c r="DX773" s="240"/>
      <c r="DY773" s="240"/>
      <c r="DZ773" s="240"/>
      <c r="EA773" s="240"/>
      <c r="EB773" s="237">
        <f t="shared" si="88"/>
        <v>0</v>
      </c>
      <c r="EC773" s="237">
        <f t="shared" si="89"/>
        <v>0</v>
      </c>
      <c r="ED773" s="237">
        <f t="shared" si="90"/>
        <v>0</v>
      </c>
      <c r="EE773" s="237">
        <f t="shared" si="91"/>
        <v>0</v>
      </c>
      <c r="EF773" s="121"/>
      <c r="EG773" s="238">
        <f t="shared" si="92"/>
        <v>0</v>
      </c>
      <c r="EH773" s="121"/>
      <c r="EI773" s="237">
        <f t="shared" si="93"/>
        <v>0</v>
      </c>
      <c r="EJ773" s="121"/>
      <c r="EK773" s="237">
        <f t="shared" si="94"/>
        <v>0</v>
      </c>
      <c r="EL773" s="237"/>
      <c r="EM773" s="5"/>
      <c r="EN773" s="5"/>
      <c r="EO773" s="5"/>
      <c r="EP773" s="5"/>
      <c r="EQ773" s="237">
        <f t="shared" si="95"/>
        <v>0</v>
      </c>
      <c r="ER773" s="239">
        <v>23300</v>
      </c>
      <c r="ES773" s="5">
        <v>7.5</v>
      </c>
    </row>
    <row r="774" spans="1:149" x14ac:dyDescent="0.3">
      <c r="A774" s="124"/>
      <c r="B774" s="121"/>
      <c r="C774" s="121"/>
      <c r="D774" s="121"/>
      <c r="E774" s="121"/>
      <c r="F774" s="121"/>
      <c r="G774" s="121"/>
      <c r="H774" s="121"/>
      <c r="I774" s="121"/>
      <c r="J774" s="121"/>
      <c r="K774" s="121"/>
      <c r="L774" s="121"/>
      <c r="M774" s="121"/>
      <c r="N774" s="121"/>
      <c r="O774" s="235"/>
      <c r="P774" s="121"/>
      <c r="Q774" s="121"/>
      <c r="R774" s="121"/>
      <c r="S774" s="121"/>
      <c r="T774" s="121"/>
      <c r="U774" s="121"/>
      <c r="V774" s="121"/>
      <c r="W774" s="121"/>
      <c r="X774" s="117"/>
      <c r="Y774" s="117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21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  <c r="DK774" s="121"/>
      <c r="DL774" s="121"/>
      <c r="DM774" s="121"/>
      <c r="DN774" s="121"/>
      <c r="DO774" s="121"/>
      <c r="DP774" s="121"/>
      <c r="DQ774" s="121"/>
      <c r="DR774" s="121"/>
      <c r="DS774" s="121"/>
      <c r="DT774" s="240"/>
      <c r="DU774" s="240"/>
      <c r="DV774" s="240"/>
      <c r="DW774" s="240"/>
      <c r="DX774" s="240"/>
      <c r="DY774" s="240"/>
      <c r="DZ774" s="240"/>
      <c r="EA774" s="240"/>
      <c r="EB774" s="237">
        <f t="shared" ref="EB774:EB837" si="96">AB774+AC774*K774+AD774*K774+((AF774+AG774+AH774+AJ774+AK774)*K774+AE774+AI774+AL774*K774+AM774*K774)+AP774+AQ774*L774+AR774*L774+((AT774+AU774+AV774+AX774+AY774)*L774+AS774+AW774+AZ774*L774+BA774*L774)+IF(AND(M774&gt;0,MAX(M774,N774/1000)&lt;1),BD774+1*(BE774+BF774)+(1*(BH774+BI774+BJ774+BL774+BM774)+BG774+BK774+BN774+BO774),IF(AND(M774&gt;0,MAX(M774,N774/1000)&gt;1),BD774+MAX(M774,N774/1000)*(BE774+BF774)+(MAX(M774,N774/1000)*(BH774+BI774+BJ774+BL774+BM774)+BG774+BK774+BN774+BO774),IF(AND(K774="",L774="",M774=""),BD774+N774*(BE774+BF774)+((BH774+BI774+BJ774+BL774+BM774)*N774+BG774+BK774+BN774+BO774),0)))</f>
        <v>0</v>
      </c>
      <c r="EC774" s="237">
        <f t="shared" ref="EC774:EC837" si="97">BR774+BS774*K774+BT774*K774+((BV774+BW774+BX774+BZ774+CA774)*K774+BU774+BY774+CB774*K774+CC774*K774)+CJ774+CK774*L774+CL774*L774+((CN774+CO774+CP774+CR774+CS774)*L774+CM774+CQ774+CT774*L774+CU774*L774)+IF(AND(M774&gt;0,MAX(M774,N774/1000)&lt;1),DB774+1*(DC774+DD774)+(1*(DF774+DG774+DH774+DJ774+DK774)+DE774+DI774+DL774+DM774),IF(AND(M774&gt;0,MAX(M774,N774/1000)&gt;1),DB774+MAX(M774,N774/1000)*(DC774+DD774)+(MAX(M774,N774/1000)*(DF774+DG774+DH774+DJ774+DK774)+DE774+DI774+DL774+DM774),IF(AND(K774="",L774="",M774=""),DB774+N774*(DC774+DD774)+((DF774+DG774+DH774+DJ774+DK774)*N774+DE774+DI774+DL774+DM774),0)))</f>
        <v>0</v>
      </c>
      <c r="ED774" s="237">
        <f t="shared" ref="ED774:ED837" si="98">AN774*K774*(1-AO774%)+BB774*L774*(1-BC774%)+BP774*IF(AND(M774&gt;0,M774&lt;1),1,IF(M774&gt;1,MAX(M774,N774/1000),N774))*(1-BQ774%)</f>
        <v>0</v>
      </c>
      <c r="EE774" s="237">
        <f t="shared" ref="EE774:EE837" si="99">(CD774+CE774*K774)*(1-CF774%)+(CG774+CH774*K774)*(1-CI774%)+(CV774+CW774*L774)*(1-CX774%)+(CY774+CZ774*L774)*(1-DA774%)+(DN774+DO774*IF(AND(M774&gt;0,M774&lt;1),1,IF(M774&gt;1,MAX(M774,N774/1000),N774)))*(1-DP774%)+(DQ774+DR774*IF(AND(M774&gt;0,M774&lt;1),1,IF(M774&gt;1,MAX(M774,N774/1000),N774)))*(1-DS774%)</f>
        <v>0</v>
      </c>
      <c r="EF774" s="121"/>
      <c r="EG774" s="238">
        <f t="shared" ref="EG774:EG837" si="100">((BR774+BS774*K774+BT774*K774)+(CJ774+CK774*L774*+CL774*L774)+IF(AND(M774&gt;0,MAX(M774,N774/1000)&lt;1),DB774+DC774+DD774,IF(AND(M774&gt;0,MAX(M774,N774/1000)&gt;1),DB774+DC774*M774+DD774*M774,IF(AND(M774&gt;0,MAX(M774,N774/1000)&gt;1),DB774+MAX(M774,N774/1000)*DC774+MAX(M774,N774/1000)*DD774+IF(AND(K774="",L774="",M774=""),DB774+DC774*N774+DD774*N774,0)))))*EF774/365*ES774%</f>
        <v>0</v>
      </c>
      <c r="EH774" s="121"/>
      <c r="EI774" s="237">
        <f t="shared" ref="EI774:EI837" si="101">(((BV774+BW774+BX774+BZ774+CA774)*K774+BU774+BY774)*1.08+CJ774+CK774*L774+CL774*L774+((CN774+CO774+CP774+CR774+CS774)*L774+CM774+CQ774)*1.08+IF(AND(M774&gt;0,MAX(M774,N774/1000)&lt;1),DB774+1*(DC774+DD774)+(1*(DF774+DG774+DH774+DJ774+DK774)+DE774+DI774)*1.08,IF(AND(M774&gt;0,MAX(M774,N774/1000)&gt;1),DB774+MAX(M774,N774/1000)*(DC774+DD774)+(MAX(M774,N774/1000)*(DF774+DG774+DH774+DJ774+DK774)+DE774+DI774)*1.08,IF(AND(K774="",L774="",M774=""),DB774+N774*(DC774+DD774)+((DF774+DG774+DH774+DJ774+DK774)*N774+DE774+DI774)*1.08,0))))*EH774/365*ES774%</f>
        <v>0</v>
      </c>
      <c r="EJ774" s="121"/>
      <c r="EK774" s="237">
        <f t="shared" ref="EK774:EK837" si="102">((CB774*K774+CC774*K774)*1.1+(CT774*L774+CU774*L774)*1.1+(DL774+DM774)*1.1)*EJ774/365*ES774%</f>
        <v>0</v>
      </c>
      <c r="EL774" s="237"/>
      <c r="EM774" s="5"/>
      <c r="EN774" s="5"/>
      <c r="EO774" s="5"/>
      <c r="EP774" s="5"/>
      <c r="EQ774" s="237">
        <f t="shared" ref="EQ774:EQ837" si="103">EC774-EB774-EG774-EI774-EK774-(AN774*K774+BB774*L774+BP774*IF(AND(M774&gt;0,M774&lt;1),1,IF(M774&gt;1,MAX(M774,N774/1000),N774))+CD774+CE774*K774+CV774+CW774*L774+DN774+DO774*IF(AND(M774&gt;0,M774&lt;1),1,IF(M774&gt;1,MAX(M774,N774/1000),N774))+CG774+CH774*K774+CY774+CZ774*L774+DQ774+DR774*IF(AND(M774&gt;0,M774&lt;1),1,IF(M774&gt;1,MAX(M774,N774/1000),N774)))-EL774-EM774*EN774/365*ES774%-EO774*EP774/365*ES774%</f>
        <v>0</v>
      </c>
      <c r="ER774" s="239">
        <v>23300</v>
      </c>
      <c r="ES774" s="5">
        <v>7.5</v>
      </c>
    </row>
    <row r="775" spans="1:149" x14ac:dyDescent="0.3">
      <c r="A775" s="124"/>
      <c r="B775" s="121"/>
      <c r="C775" s="121"/>
      <c r="D775" s="121"/>
      <c r="E775" s="121"/>
      <c r="F775" s="121"/>
      <c r="G775" s="121"/>
      <c r="H775" s="121"/>
      <c r="I775" s="121"/>
      <c r="J775" s="121"/>
      <c r="K775" s="121"/>
      <c r="L775" s="121"/>
      <c r="M775" s="121"/>
      <c r="N775" s="121"/>
      <c r="O775" s="235"/>
      <c r="P775" s="121"/>
      <c r="Q775" s="121"/>
      <c r="R775" s="121"/>
      <c r="S775" s="121"/>
      <c r="T775" s="121"/>
      <c r="U775" s="121"/>
      <c r="V775" s="121"/>
      <c r="W775" s="121"/>
      <c r="X775" s="117"/>
      <c r="Y775" s="117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21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  <c r="DK775" s="121"/>
      <c r="DL775" s="121"/>
      <c r="DM775" s="121"/>
      <c r="DN775" s="121"/>
      <c r="DO775" s="121"/>
      <c r="DP775" s="121"/>
      <c r="DQ775" s="121"/>
      <c r="DR775" s="121"/>
      <c r="DS775" s="121"/>
      <c r="DT775" s="240"/>
      <c r="DU775" s="240"/>
      <c r="DV775" s="240"/>
      <c r="DW775" s="240"/>
      <c r="DX775" s="240"/>
      <c r="DY775" s="240"/>
      <c r="DZ775" s="240"/>
      <c r="EA775" s="240"/>
      <c r="EB775" s="237">
        <f t="shared" si="96"/>
        <v>0</v>
      </c>
      <c r="EC775" s="237">
        <f t="shared" si="97"/>
        <v>0</v>
      </c>
      <c r="ED775" s="237">
        <f t="shared" si="98"/>
        <v>0</v>
      </c>
      <c r="EE775" s="237">
        <f t="shared" si="99"/>
        <v>0</v>
      </c>
      <c r="EF775" s="121"/>
      <c r="EG775" s="238">
        <f t="shared" si="100"/>
        <v>0</v>
      </c>
      <c r="EH775" s="121"/>
      <c r="EI775" s="237">
        <f t="shared" si="101"/>
        <v>0</v>
      </c>
      <c r="EJ775" s="121"/>
      <c r="EK775" s="237">
        <f t="shared" si="102"/>
        <v>0</v>
      </c>
      <c r="EL775" s="237"/>
      <c r="EM775" s="5"/>
      <c r="EN775" s="5"/>
      <c r="EO775" s="5"/>
      <c r="EP775" s="5"/>
      <c r="EQ775" s="237">
        <f t="shared" si="103"/>
        <v>0</v>
      </c>
      <c r="ER775" s="239">
        <v>23300</v>
      </c>
      <c r="ES775" s="5">
        <v>7.5</v>
      </c>
    </row>
    <row r="776" spans="1:149" x14ac:dyDescent="0.3">
      <c r="A776" s="124"/>
      <c r="B776" s="121"/>
      <c r="C776" s="121"/>
      <c r="D776" s="121"/>
      <c r="E776" s="121"/>
      <c r="F776" s="121"/>
      <c r="G776" s="121"/>
      <c r="H776" s="121"/>
      <c r="I776" s="121"/>
      <c r="J776" s="121"/>
      <c r="K776" s="121"/>
      <c r="L776" s="121"/>
      <c r="M776" s="121"/>
      <c r="N776" s="121"/>
      <c r="O776" s="235"/>
      <c r="P776" s="121"/>
      <c r="Q776" s="121"/>
      <c r="R776" s="121"/>
      <c r="S776" s="121"/>
      <c r="T776" s="121"/>
      <c r="U776" s="121"/>
      <c r="V776" s="121"/>
      <c r="W776" s="121"/>
      <c r="X776" s="117"/>
      <c r="Y776" s="117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21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  <c r="DK776" s="121"/>
      <c r="DL776" s="121"/>
      <c r="DM776" s="121"/>
      <c r="DN776" s="121"/>
      <c r="DO776" s="121"/>
      <c r="DP776" s="121"/>
      <c r="DQ776" s="121"/>
      <c r="DR776" s="121"/>
      <c r="DS776" s="121"/>
      <c r="DT776" s="240"/>
      <c r="DU776" s="240"/>
      <c r="DV776" s="240"/>
      <c r="DW776" s="240"/>
      <c r="DX776" s="240"/>
      <c r="DY776" s="240"/>
      <c r="DZ776" s="240"/>
      <c r="EA776" s="240"/>
      <c r="EB776" s="237">
        <f t="shared" si="96"/>
        <v>0</v>
      </c>
      <c r="EC776" s="237">
        <f t="shared" si="97"/>
        <v>0</v>
      </c>
      <c r="ED776" s="237">
        <f t="shared" si="98"/>
        <v>0</v>
      </c>
      <c r="EE776" s="237">
        <f t="shared" si="99"/>
        <v>0</v>
      </c>
      <c r="EF776" s="121"/>
      <c r="EG776" s="238">
        <f t="shared" si="100"/>
        <v>0</v>
      </c>
      <c r="EH776" s="121"/>
      <c r="EI776" s="237">
        <f t="shared" si="101"/>
        <v>0</v>
      </c>
      <c r="EJ776" s="121"/>
      <c r="EK776" s="237">
        <f t="shared" si="102"/>
        <v>0</v>
      </c>
      <c r="EL776" s="237"/>
      <c r="EM776" s="5"/>
      <c r="EN776" s="5"/>
      <c r="EO776" s="5"/>
      <c r="EP776" s="5"/>
      <c r="EQ776" s="237">
        <f t="shared" si="103"/>
        <v>0</v>
      </c>
      <c r="ER776" s="239">
        <v>23300</v>
      </c>
      <c r="ES776" s="5">
        <v>7.5</v>
      </c>
    </row>
    <row r="777" spans="1:149" x14ac:dyDescent="0.3">
      <c r="A777" s="124"/>
      <c r="B777" s="121"/>
      <c r="C777" s="121"/>
      <c r="D777" s="121"/>
      <c r="E777" s="121"/>
      <c r="F777" s="121"/>
      <c r="G777" s="121"/>
      <c r="H777" s="121"/>
      <c r="I777" s="121"/>
      <c r="J777" s="121"/>
      <c r="K777" s="121"/>
      <c r="L777" s="121"/>
      <c r="M777" s="121"/>
      <c r="N777" s="121"/>
      <c r="O777" s="235"/>
      <c r="P777" s="121"/>
      <c r="Q777" s="121"/>
      <c r="R777" s="121"/>
      <c r="S777" s="121"/>
      <c r="T777" s="121"/>
      <c r="U777" s="121"/>
      <c r="V777" s="121"/>
      <c r="W777" s="121"/>
      <c r="X777" s="117"/>
      <c r="Y777" s="117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21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  <c r="DK777" s="121"/>
      <c r="DL777" s="121"/>
      <c r="DM777" s="121"/>
      <c r="DN777" s="121"/>
      <c r="DO777" s="121"/>
      <c r="DP777" s="121"/>
      <c r="DQ777" s="121"/>
      <c r="DR777" s="121"/>
      <c r="DS777" s="121"/>
      <c r="DT777" s="240"/>
      <c r="DU777" s="240"/>
      <c r="DV777" s="240"/>
      <c r="DW777" s="240"/>
      <c r="DX777" s="240"/>
      <c r="DY777" s="240"/>
      <c r="DZ777" s="240"/>
      <c r="EA777" s="240"/>
      <c r="EB777" s="237">
        <f t="shared" si="96"/>
        <v>0</v>
      </c>
      <c r="EC777" s="237">
        <f t="shared" si="97"/>
        <v>0</v>
      </c>
      <c r="ED777" s="237">
        <f t="shared" si="98"/>
        <v>0</v>
      </c>
      <c r="EE777" s="237">
        <f t="shared" si="99"/>
        <v>0</v>
      </c>
      <c r="EF777" s="121"/>
      <c r="EG777" s="238">
        <f t="shared" si="100"/>
        <v>0</v>
      </c>
      <c r="EH777" s="121"/>
      <c r="EI777" s="237">
        <f t="shared" si="101"/>
        <v>0</v>
      </c>
      <c r="EJ777" s="121"/>
      <c r="EK777" s="237">
        <f t="shared" si="102"/>
        <v>0</v>
      </c>
      <c r="EL777" s="237"/>
      <c r="EM777" s="5"/>
      <c r="EN777" s="5"/>
      <c r="EO777" s="5"/>
      <c r="EP777" s="5"/>
      <c r="EQ777" s="237">
        <f t="shared" si="103"/>
        <v>0</v>
      </c>
      <c r="ER777" s="239">
        <v>23300</v>
      </c>
      <c r="ES777" s="5">
        <v>7.5</v>
      </c>
    </row>
    <row r="778" spans="1:149" x14ac:dyDescent="0.3">
      <c r="A778" s="124"/>
      <c r="B778" s="121"/>
      <c r="C778" s="121"/>
      <c r="D778" s="121"/>
      <c r="E778" s="121"/>
      <c r="F778" s="121"/>
      <c r="G778" s="121"/>
      <c r="H778" s="121"/>
      <c r="I778" s="121"/>
      <c r="J778" s="121"/>
      <c r="K778" s="121"/>
      <c r="L778" s="121"/>
      <c r="M778" s="121"/>
      <c r="N778" s="121"/>
      <c r="O778" s="235"/>
      <c r="P778" s="121"/>
      <c r="Q778" s="121"/>
      <c r="R778" s="121"/>
      <c r="S778" s="121"/>
      <c r="T778" s="121"/>
      <c r="U778" s="121"/>
      <c r="V778" s="121"/>
      <c r="W778" s="121"/>
      <c r="X778" s="117"/>
      <c r="Y778" s="117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21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  <c r="DK778" s="121"/>
      <c r="DL778" s="121"/>
      <c r="DM778" s="121"/>
      <c r="DN778" s="121"/>
      <c r="DO778" s="121"/>
      <c r="DP778" s="121"/>
      <c r="DQ778" s="121"/>
      <c r="DR778" s="121"/>
      <c r="DS778" s="121"/>
      <c r="DT778" s="240"/>
      <c r="DU778" s="240"/>
      <c r="DV778" s="240"/>
      <c r="DW778" s="240"/>
      <c r="DX778" s="240"/>
      <c r="DY778" s="240"/>
      <c r="DZ778" s="240"/>
      <c r="EA778" s="240"/>
      <c r="EB778" s="237">
        <f t="shared" si="96"/>
        <v>0</v>
      </c>
      <c r="EC778" s="237">
        <f t="shared" si="97"/>
        <v>0</v>
      </c>
      <c r="ED778" s="237">
        <f t="shared" si="98"/>
        <v>0</v>
      </c>
      <c r="EE778" s="237">
        <f t="shared" si="99"/>
        <v>0</v>
      </c>
      <c r="EF778" s="121"/>
      <c r="EG778" s="238">
        <f t="shared" si="100"/>
        <v>0</v>
      </c>
      <c r="EH778" s="121"/>
      <c r="EI778" s="237">
        <f t="shared" si="101"/>
        <v>0</v>
      </c>
      <c r="EJ778" s="121"/>
      <c r="EK778" s="237">
        <f t="shared" si="102"/>
        <v>0</v>
      </c>
      <c r="EL778" s="237"/>
      <c r="EM778" s="5"/>
      <c r="EN778" s="5"/>
      <c r="EO778" s="5"/>
      <c r="EP778" s="5"/>
      <c r="EQ778" s="237">
        <f t="shared" si="103"/>
        <v>0</v>
      </c>
      <c r="ER778" s="239">
        <v>23300</v>
      </c>
      <c r="ES778" s="5">
        <v>7.5</v>
      </c>
    </row>
    <row r="779" spans="1:149" x14ac:dyDescent="0.3">
      <c r="A779" s="124"/>
      <c r="B779" s="121"/>
      <c r="C779" s="121"/>
      <c r="D779" s="121"/>
      <c r="E779" s="121"/>
      <c r="F779" s="121"/>
      <c r="G779" s="121"/>
      <c r="H779" s="121"/>
      <c r="I779" s="121"/>
      <c r="J779" s="121"/>
      <c r="K779" s="121"/>
      <c r="L779" s="121"/>
      <c r="M779" s="121"/>
      <c r="N779" s="121"/>
      <c r="O779" s="235"/>
      <c r="P779" s="121"/>
      <c r="Q779" s="121"/>
      <c r="R779" s="121"/>
      <c r="S779" s="121"/>
      <c r="T779" s="121"/>
      <c r="U779" s="121"/>
      <c r="V779" s="121"/>
      <c r="W779" s="121"/>
      <c r="X779" s="117"/>
      <c r="Y779" s="117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21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  <c r="DK779" s="121"/>
      <c r="DL779" s="121"/>
      <c r="DM779" s="121"/>
      <c r="DN779" s="121"/>
      <c r="DO779" s="121"/>
      <c r="DP779" s="121"/>
      <c r="DQ779" s="121"/>
      <c r="DR779" s="121"/>
      <c r="DS779" s="121"/>
      <c r="DT779" s="240"/>
      <c r="DU779" s="240"/>
      <c r="DV779" s="240"/>
      <c r="DW779" s="240"/>
      <c r="DX779" s="240"/>
      <c r="DY779" s="240"/>
      <c r="DZ779" s="240"/>
      <c r="EA779" s="240"/>
      <c r="EB779" s="237">
        <f t="shared" si="96"/>
        <v>0</v>
      </c>
      <c r="EC779" s="237">
        <f t="shared" si="97"/>
        <v>0</v>
      </c>
      <c r="ED779" s="237">
        <f t="shared" si="98"/>
        <v>0</v>
      </c>
      <c r="EE779" s="237">
        <f t="shared" si="99"/>
        <v>0</v>
      </c>
      <c r="EF779" s="121"/>
      <c r="EG779" s="238">
        <f t="shared" si="100"/>
        <v>0</v>
      </c>
      <c r="EH779" s="121"/>
      <c r="EI779" s="237">
        <f t="shared" si="101"/>
        <v>0</v>
      </c>
      <c r="EJ779" s="121"/>
      <c r="EK779" s="237">
        <f t="shared" si="102"/>
        <v>0</v>
      </c>
      <c r="EL779" s="237"/>
      <c r="EM779" s="5"/>
      <c r="EN779" s="5"/>
      <c r="EO779" s="5"/>
      <c r="EP779" s="5"/>
      <c r="EQ779" s="237">
        <f t="shared" si="103"/>
        <v>0</v>
      </c>
      <c r="ER779" s="239">
        <v>23300</v>
      </c>
      <c r="ES779" s="5">
        <v>7.5</v>
      </c>
    </row>
    <row r="780" spans="1:149" x14ac:dyDescent="0.3">
      <c r="A780" s="124"/>
      <c r="B780" s="121"/>
      <c r="C780" s="121"/>
      <c r="D780" s="121"/>
      <c r="E780" s="121"/>
      <c r="F780" s="121"/>
      <c r="G780" s="121"/>
      <c r="H780" s="121"/>
      <c r="I780" s="121"/>
      <c r="J780" s="121"/>
      <c r="K780" s="121"/>
      <c r="L780" s="121"/>
      <c r="M780" s="121"/>
      <c r="N780" s="121"/>
      <c r="O780" s="235"/>
      <c r="P780" s="121"/>
      <c r="Q780" s="121"/>
      <c r="R780" s="121"/>
      <c r="S780" s="121"/>
      <c r="T780" s="121"/>
      <c r="U780" s="121"/>
      <c r="V780" s="121"/>
      <c r="W780" s="121"/>
      <c r="X780" s="117"/>
      <c r="Y780" s="117"/>
      <c r="Z780" s="121"/>
      <c r="AA780" s="121"/>
      <c r="AB780" s="121"/>
      <c r="AC780" s="121"/>
      <c r="AD780" s="121"/>
      <c r="AE780" s="121"/>
      <c r="AF780" s="121"/>
      <c r="AG780" s="121"/>
      <c r="AH780" s="121"/>
      <c r="AI780" s="121"/>
      <c r="AJ780" s="121"/>
      <c r="AK780" s="121"/>
      <c r="AL780" s="121"/>
      <c r="AM780" s="121"/>
      <c r="AN780" s="121"/>
      <c r="AO780" s="121"/>
      <c r="AP780" s="121"/>
      <c r="AQ780" s="121"/>
      <c r="AR780" s="121"/>
      <c r="AS780" s="121"/>
      <c r="AT780" s="121"/>
      <c r="AU780" s="121"/>
      <c r="AV780" s="121"/>
      <c r="AW780" s="121"/>
      <c r="AX780" s="121"/>
      <c r="AY780" s="121"/>
      <c r="AZ780" s="121"/>
      <c r="BA780" s="121"/>
      <c r="BB780" s="121"/>
      <c r="BC780" s="121"/>
      <c r="BD780" s="121"/>
      <c r="BE780" s="121"/>
      <c r="BF780" s="121"/>
      <c r="BG780" s="121"/>
      <c r="BH780" s="121"/>
      <c r="BI780" s="121"/>
      <c r="BJ780" s="121"/>
      <c r="BK780" s="121"/>
      <c r="BL780" s="121"/>
      <c r="BM780" s="121"/>
      <c r="BN780" s="121"/>
      <c r="BO780" s="121"/>
      <c r="BP780" s="121"/>
      <c r="BQ780" s="121"/>
      <c r="BR780" s="121"/>
      <c r="BS780" s="121"/>
      <c r="BT780" s="121"/>
      <c r="BU780" s="121"/>
      <c r="BV780" s="121"/>
      <c r="BW780" s="121"/>
      <c r="BX780" s="121"/>
      <c r="BY780" s="121"/>
      <c r="BZ780" s="121"/>
      <c r="CA780" s="121"/>
      <c r="CB780" s="121"/>
      <c r="CC780" s="121"/>
      <c r="CD780" s="121"/>
      <c r="CE780" s="121"/>
      <c r="CF780" s="121"/>
      <c r="CG780" s="121"/>
      <c r="CH780" s="121"/>
      <c r="CI780" s="121"/>
      <c r="CJ780" s="121"/>
      <c r="CK780" s="121"/>
      <c r="CL780" s="121"/>
      <c r="CM780" s="121"/>
      <c r="CN780" s="121"/>
      <c r="CO780" s="121"/>
      <c r="CP780" s="121"/>
      <c r="CQ780" s="121"/>
      <c r="CR780" s="121"/>
      <c r="CS780" s="121"/>
      <c r="CT780" s="121"/>
      <c r="CU780" s="121"/>
      <c r="CV780" s="121"/>
      <c r="CW780" s="121"/>
      <c r="CX780" s="121"/>
      <c r="CY780" s="121"/>
      <c r="CZ780" s="121"/>
      <c r="DA780" s="121"/>
      <c r="DB780" s="121"/>
      <c r="DC780" s="121"/>
      <c r="DD780" s="121"/>
      <c r="DE780" s="121"/>
      <c r="DF780" s="121"/>
      <c r="DG780" s="121"/>
      <c r="DH780" s="121"/>
      <c r="DI780" s="121"/>
      <c r="DJ780" s="121"/>
      <c r="DK780" s="121"/>
      <c r="DL780" s="121"/>
      <c r="DM780" s="121"/>
      <c r="DN780" s="121"/>
      <c r="DO780" s="121"/>
      <c r="DP780" s="121"/>
      <c r="DQ780" s="121"/>
      <c r="DR780" s="121"/>
      <c r="DS780" s="121"/>
      <c r="DT780" s="240"/>
      <c r="DU780" s="240"/>
      <c r="DV780" s="240"/>
      <c r="DW780" s="240"/>
      <c r="DX780" s="240"/>
      <c r="DY780" s="240"/>
      <c r="DZ780" s="240"/>
      <c r="EA780" s="240"/>
      <c r="EB780" s="237">
        <f t="shared" si="96"/>
        <v>0</v>
      </c>
      <c r="EC780" s="237">
        <f t="shared" si="97"/>
        <v>0</v>
      </c>
      <c r="ED780" s="237">
        <f t="shared" si="98"/>
        <v>0</v>
      </c>
      <c r="EE780" s="237">
        <f t="shared" si="99"/>
        <v>0</v>
      </c>
      <c r="EF780" s="121"/>
      <c r="EG780" s="238">
        <f t="shared" si="100"/>
        <v>0</v>
      </c>
      <c r="EH780" s="121"/>
      <c r="EI780" s="237">
        <f t="shared" si="101"/>
        <v>0</v>
      </c>
      <c r="EJ780" s="121"/>
      <c r="EK780" s="237">
        <f t="shared" si="102"/>
        <v>0</v>
      </c>
      <c r="EL780" s="237"/>
      <c r="EM780" s="5"/>
      <c r="EN780" s="5"/>
      <c r="EO780" s="5"/>
      <c r="EP780" s="5"/>
      <c r="EQ780" s="237">
        <f t="shared" si="103"/>
        <v>0</v>
      </c>
      <c r="ER780" s="239">
        <v>23300</v>
      </c>
      <c r="ES780" s="5">
        <v>7.5</v>
      </c>
    </row>
    <row r="781" spans="1:149" x14ac:dyDescent="0.3">
      <c r="A781" s="124"/>
      <c r="B781" s="121"/>
      <c r="C781" s="121"/>
      <c r="D781" s="121"/>
      <c r="E781" s="121"/>
      <c r="F781" s="121"/>
      <c r="G781" s="121"/>
      <c r="H781" s="121"/>
      <c r="I781" s="121"/>
      <c r="J781" s="121"/>
      <c r="K781" s="121"/>
      <c r="L781" s="121"/>
      <c r="M781" s="121"/>
      <c r="N781" s="121"/>
      <c r="O781" s="235"/>
      <c r="P781" s="121"/>
      <c r="Q781" s="121"/>
      <c r="R781" s="121"/>
      <c r="S781" s="121"/>
      <c r="T781" s="121"/>
      <c r="U781" s="121"/>
      <c r="V781" s="121"/>
      <c r="W781" s="121"/>
      <c r="X781" s="117"/>
      <c r="Y781" s="117"/>
      <c r="Z781" s="121"/>
      <c r="AA781" s="121"/>
      <c r="AB781" s="121"/>
      <c r="AC781" s="121"/>
      <c r="AD781" s="121"/>
      <c r="AE781" s="121"/>
      <c r="AF781" s="121"/>
      <c r="AG781" s="121"/>
      <c r="AH781" s="121"/>
      <c r="AI781" s="121"/>
      <c r="AJ781" s="121"/>
      <c r="AK781" s="121"/>
      <c r="AL781" s="121"/>
      <c r="AM781" s="121"/>
      <c r="AN781" s="121"/>
      <c r="AO781" s="121"/>
      <c r="AP781" s="121"/>
      <c r="AQ781" s="121"/>
      <c r="AR781" s="121"/>
      <c r="AS781" s="121"/>
      <c r="AT781" s="121"/>
      <c r="AU781" s="121"/>
      <c r="AV781" s="121"/>
      <c r="AW781" s="121"/>
      <c r="AX781" s="121"/>
      <c r="AY781" s="121"/>
      <c r="AZ781" s="121"/>
      <c r="BA781" s="121"/>
      <c r="BB781" s="121"/>
      <c r="BC781" s="121"/>
      <c r="BD781" s="121"/>
      <c r="BE781" s="121"/>
      <c r="BF781" s="121"/>
      <c r="BG781" s="121"/>
      <c r="BH781" s="121"/>
      <c r="BI781" s="121"/>
      <c r="BJ781" s="121"/>
      <c r="BK781" s="121"/>
      <c r="BL781" s="121"/>
      <c r="BM781" s="121"/>
      <c r="BN781" s="121"/>
      <c r="BO781" s="121"/>
      <c r="BP781" s="121"/>
      <c r="BQ781" s="121"/>
      <c r="BR781" s="121"/>
      <c r="BS781" s="121"/>
      <c r="BT781" s="121"/>
      <c r="BU781" s="121"/>
      <c r="BV781" s="121"/>
      <c r="BW781" s="121"/>
      <c r="BX781" s="121"/>
      <c r="BY781" s="121"/>
      <c r="BZ781" s="121"/>
      <c r="CA781" s="121"/>
      <c r="CB781" s="121"/>
      <c r="CC781" s="121"/>
      <c r="CD781" s="121"/>
      <c r="CE781" s="121"/>
      <c r="CF781" s="121"/>
      <c r="CG781" s="121"/>
      <c r="CH781" s="121"/>
      <c r="CI781" s="121"/>
      <c r="CJ781" s="121"/>
      <c r="CK781" s="121"/>
      <c r="CL781" s="121"/>
      <c r="CM781" s="121"/>
      <c r="CN781" s="121"/>
      <c r="CO781" s="121"/>
      <c r="CP781" s="121"/>
      <c r="CQ781" s="121"/>
      <c r="CR781" s="121"/>
      <c r="CS781" s="121"/>
      <c r="CT781" s="121"/>
      <c r="CU781" s="121"/>
      <c r="CV781" s="121"/>
      <c r="CW781" s="121"/>
      <c r="CX781" s="121"/>
      <c r="CY781" s="121"/>
      <c r="CZ781" s="121"/>
      <c r="DA781" s="121"/>
      <c r="DB781" s="121"/>
      <c r="DC781" s="121"/>
      <c r="DD781" s="121"/>
      <c r="DE781" s="121"/>
      <c r="DF781" s="121"/>
      <c r="DG781" s="121"/>
      <c r="DH781" s="121"/>
      <c r="DI781" s="121"/>
      <c r="DJ781" s="121"/>
      <c r="DK781" s="121"/>
      <c r="DL781" s="121"/>
      <c r="DM781" s="121"/>
      <c r="DN781" s="121"/>
      <c r="DO781" s="121"/>
      <c r="DP781" s="121"/>
      <c r="DQ781" s="121"/>
      <c r="DR781" s="121"/>
      <c r="DS781" s="121"/>
      <c r="DT781" s="240"/>
      <c r="DU781" s="240"/>
      <c r="DV781" s="240"/>
      <c r="DW781" s="240"/>
      <c r="DX781" s="240"/>
      <c r="DY781" s="240"/>
      <c r="DZ781" s="240"/>
      <c r="EA781" s="240"/>
      <c r="EB781" s="237">
        <f t="shared" si="96"/>
        <v>0</v>
      </c>
      <c r="EC781" s="237">
        <f t="shared" si="97"/>
        <v>0</v>
      </c>
      <c r="ED781" s="237">
        <f t="shared" si="98"/>
        <v>0</v>
      </c>
      <c r="EE781" s="237">
        <f t="shared" si="99"/>
        <v>0</v>
      </c>
      <c r="EF781" s="121"/>
      <c r="EG781" s="238">
        <f t="shared" si="100"/>
        <v>0</v>
      </c>
      <c r="EH781" s="121"/>
      <c r="EI781" s="237">
        <f t="shared" si="101"/>
        <v>0</v>
      </c>
      <c r="EJ781" s="121"/>
      <c r="EK781" s="237">
        <f t="shared" si="102"/>
        <v>0</v>
      </c>
      <c r="EL781" s="237"/>
      <c r="EM781" s="5"/>
      <c r="EN781" s="5"/>
      <c r="EO781" s="5"/>
      <c r="EP781" s="5"/>
      <c r="EQ781" s="237">
        <f t="shared" si="103"/>
        <v>0</v>
      </c>
      <c r="ER781" s="239">
        <v>23300</v>
      </c>
      <c r="ES781" s="5">
        <v>7.5</v>
      </c>
    </row>
    <row r="782" spans="1:149" x14ac:dyDescent="0.3">
      <c r="A782" s="124"/>
      <c r="B782" s="121"/>
      <c r="C782" s="121"/>
      <c r="D782" s="121"/>
      <c r="E782" s="121"/>
      <c r="F782" s="121"/>
      <c r="G782" s="121"/>
      <c r="H782" s="121"/>
      <c r="I782" s="121"/>
      <c r="J782" s="121"/>
      <c r="K782" s="121"/>
      <c r="L782" s="121"/>
      <c r="M782" s="121"/>
      <c r="N782" s="121"/>
      <c r="O782" s="235"/>
      <c r="P782" s="121"/>
      <c r="Q782" s="121"/>
      <c r="R782" s="121"/>
      <c r="S782" s="121"/>
      <c r="T782" s="121"/>
      <c r="U782" s="121"/>
      <c r="V782" s="121"/>
      <c r="W782" s="121"/>
      <c r="X782" s="117"/>
      <c r="Y782" s="117"/>
      <c r="Z782" s="121"/>
      <c r="AA782" s="121"/>
      <c r="AB782" s="121"/>
      <c r="AC782" s="121"/>
      <c r="AD782" s="121"/>
      <c r="AE782" s="121"/>
      <c r="AF782" s="121"/>
      <c r="AG782" s="121"/>
      <c r="AH782" s="121"/>
      <c r="AI782" s="121"/>
      <c r="AJ782" s="121"/>
      <c r="AK782" s="121"/>
      <c r="AL782" s="121"/>
      <c r="AM782" s="121"/>
      <c r="AN782" s="121"/>
      <c r="AO782" s="121"/>
      <c r="AP782" s="121"/>
      <c r="AQ782" s="121"/>
      <c r="AR782" s="121"/>
      <c r="AS782" s="121"/>
      <c r="AT782" s="121"/>
      <c r="AU782" s="121"/>
      <c r="AV782" s="121"/>
      <c r="AW782" s="121"/>
      <c r="AX782" s="121"/>
      <c r="AY782" s="121"/>
      <c r="AZ782" s="121"/>
      <c r="BA782" s="121"/>
      <c r="BB782" s="121"/>
      <c r="BC782" s="121"/>
      <c r="BD782" s="121"/>
      <c r="BE782" s="121"/>
      <c r="BF782" s="121"/>
      <c r="BG782" s="121"/>
      <c r="BH782" s="121"/>
      <c r="BI782" s="121"/>
      <c r="BJ782" s="121"/>
      <c r="BK782" s="121"/>
      <c r="BL782" s="121"/>
      <c r="BM782" s="121"/>
      <c r="BN782" s="121"/>
      <c r="BO782" s="121"/>
      <c r="BP782" s="121"/>
      <c r="BQ782" s="121"/>
      <c r="BR782" s="121"/>
      <c r="BS782" s="121"/>
      <c r="BT782" s="121"/>
      <c r="BU782" s="121"/>
      <c r="BV782" s="121"/>
      <c r="BW782" s="121"/>
      <c r="BX782" s="121"/>
      <c r="BY782" s="121"/>
      <c r="BZ782" s="121"/>
      <c r="CA782" s="121"/>
      <c r="CB782" s="121"/>
      <c r="CC782" s="121"/>
      <c r="CD782" s="121"/>
      <c r="CE782" s="121"/>
      <c r="CF782" s="121"/>
      <c r="CG782" s="121"/>
      <c r="CH782" s="121"/>
      <c r="CI782" s="121"/>
      <c r="CJ782" s="121"/>
      <c r="CK782" s="121"/>
      <c r="CL782" s="121"/>
      <c r="CM782" s="121"/>
      <c r="CN782" s="121"/>
      <c r="CO782" s="121"/>
      <c r="CP782" s="121"/>
      <c r="CQ782" s="121"/>
      <c r="CR782" s="121"/>
      <c r="CS782" s="121"/>
      <c r="CT782" s="121"/>
      <c r="CU782" s="121"/>
      <c r="CV782" s="121"/>
      <c r="CW782" s="121"/>
      <c r="CX782" s="121"/>
      <c r="CY782" s="121"/>
      <c r="CZ782" s="121"/>
      <c r="DA782" s="121"/>
      <c r="DB782" s="121"/>
      <c r="DC782" s="121"/>
      <c r="DD782" s="121"/>
      <c r="DE782" s="121"/>
      <c r="DF782" s="121"/>
      <c r="DG782" s="121"/>
      <c r="DH782" s="121"/>
      <c r="DI782" s="121"/>
      <c r="DJ782" s="121"/>
      <c r="DK782" s="121"/>
      <c r="DL782" s="121"/>
      <c r="DM782" s="121"/>
      <c r="DN782" s="121"/>
      <c r="DO782" s="121"/>
      <c r="DP782" s="121"/>
      <c r="DQ782" s="121"/>
      <c r="DR782" s="121"/>
      <c r="DS782" s="121"/>
      <c r="DT782" s="240"/>
      <c r="DU782" s="240"/>
      <c r="DV782" s="240"/>
      <c r="DW782" s="240"/>
      <c r="DX782" s="240"/>
      <c r="DY782" s="240"/>
      <c r="DZ782" s="240"/>
      <c r="EA782" s="240"/>
      <c r="EB782" s="237">
        <f t="shared" si="96"/>
        <v>0</v>
      </c>
      <c r="EC782" s="237">
        <f t="shared" si="97"/>
        <v>0</v>
      </c>
      <c r="ED782" s="237">
        <f t="shared" si="98"/>
        <v>0</v>
      </c>
      <c r="EE782" s="237">
        <f t="shared" si="99"/>
        <v>0</v>
      </c>
      <c r="EF782" s="121"/>
      <c r="EG782" s="238">
        <f t="shared" si="100"/>
        <v>0</v>
      </c>
      <c r="EH782" s="121"/>
      <c r="EI782" s="237">
        <f t="shared" si="101"/>
        <v>0</v>
      </c>
      <c r="EJ782" s="121"/>
      <c r="EK782" s="237">
        <f t="shared" si="102"/>
        <v>0</v>
      </c>
      <c r="EL782" s="237"/>
      <c r="EM782" s="5"/>
      <c r="EN782" s="5"/>
      <c r="EO782" s="5"/>
      <c r="EP782" s="5"/>
      <c r="EQ782" s="237">
        <f t="shared" si="103"/>
        <v>0</v>
      </c>
      <c r="ER782" s="239">
        <v>23300</v>
      </c>
      <c r="ES782" s="5">
        <v>7.5</v>
      </c>
    </row>
    <row r="783" spans="1:149" x14ac:dyDescent="0.3">
      <c r="A783" s="124"/>
      <c r="B783" s="121"/>
      <c r="C783" s="121"/>
      <c r="D783" s="121"/>
      <c r="E783" s="121"/>
      <c r="F783" s="121"/>
      <c r="G783" s="121"/>
      <c r="H783" s="121"/>
      <c r="I783" s="121"/>
      <c r="J783" s="121"/>
      <c r="K783" s="121"/>
      <c r="L783" s="121"/>
      <c r="M783" s="121"/>
      <c r="N783" s="121"/>
      <c r="O783" s="235"/>
      <c r="P783" s="121"/>
      <c r="Q783" s="121"/>
      <c r="R783" s="121"/>
      <c r="S783" s="121"/>
      <c r="T783" s="121"/>
      <c r="U783" s="121"/>
      <c r="V783" s="121"/>
      <c r="W783" s="121"/>
      <c r="X783" s="117"/>
      <c r="Y783" s="117"/>
      <c r="Z783" s="121"/>
      <c r="AA783" s="121"/>
      <c r="AB783" s="121"/>
      <c r="AC783" s="121"/>
      <c r="AD783" s="121"/>
      <c r="AE783" s="121"/>
      <c r="AF783" s="121"/>
      <c r="AG783" s="121"/>
      <c r="AH783" s="121"/>
      <c r="AI783" s="121"/>
      <c r="AJ783" s="121"/>
      <c r="AK783" s="121"/>
      <c r="AL783" s="121"/>
      <c r="AM783" s="121"/>
      <c r="AN783" s="121"/>
      <c r="AO783" s="121"/>
      <c r="AP783" s="121"/>
      <c r="AQ783" s="121"/>
      <c r="AR783" s="121"/>
      <c r="AS783" s="121"/>
      <c r="AT783" s="121"/>
      <c r="AU783" s="121"/>
      <c r="AV783" s="121"/>
      <c r="AW783" s="121"/>
      <c r="AX783" s="121"/>
      <c r="AY783" s="121"/>
      <c r="AZ783" s="121"/>
      <c r="BA783" s="121"/>
      <c r="BB783" s="121"/>
      <c r="BC783" s="121"/>
      <c r="BD783" s="121"/>
      <c r="BE783" s="121"/>
      <c r="BF783" s="121"/>
      <c r="BG783" s="121"/>
      <c r="BH783" s="121"/>
      <c r="BI783" s="121"/>
      <c r="BJ783" s="121"/>
      <c r="BK783" s="121"/>
      <c r="BL783" s="121"/>
      <c r="BM783" s="121"/>
      <c r="BN783" s="121"/>
      <c r="BO783" s="121"/>
      <c r="BP783" s="121"/>
      <c r="BQ783" s="121"/>
      <c r="BR783" s="121"/>
      <c r="BS783" s="121"/>
      <c r="BT783" s="121"/>
      <c r="BU783" s="121"/>
      <c r="BV783" s="121"/>
      <c r="BW783" s="121"/>
      <c r="BX783" s="121"/>
      <c r="BY783" s="121"/>
      <c r="BZ783" s="121"/>
      <c r="CA783" s="121"/>
      <c r="CB783" s="121"/>
      <c r="CC783" s="121"/>
      <c r="CD783" s="121"/>
      <c r="CE783" s="121"/>
      <c r="CF783" s="121"/>
      <c r="CG783" s="121"/>
      <c r="CH783" s="121"/>
      <c r="CI783" s="121"/>
      <c r="CJ783" s="121"/>
      <c r="CK783" s="121"/>
      <c r="CL783" s="121"/>
      <c r="CM783" s="121"/>
      <c r="CN783" s="121"/>
      <c r="CO783" s="121"/>
      <c r="CP783" s="121"/>
      <c r="CQ783" s="121"/>
      <c r="CR783" s="121"/>
      <c r="CS783" s="121"/>
      <c r="CT783" s="121"/>
      <c r="CU783" s="121"/>
      <c r="CV783" s="121"/>
      <c r="CW783" s="121"/>
      <c r="CX783" s="121"/>
      <c r="CY783" s="121"/>
      <c r="CZ783" s="121"/>
      <c r="DA783" s="121"/>
      <c r="DB783" s="121"/>
      <c r="DC783" s="121"/>
      <c r="DD783" s="121"/>
      <c r="DE783" s="121"/>
      <c r="DF783" s="121"/>
      <c r="DG783" s="121"/>
      <c r="DH783" s="121"/>
      <c r="DI783" s="121"/>
      <c r="DJ783" s="121"/>
      <c r="DK783" s="121"/>
      <c r="DL783" s="121"/>
      <c r="DM783" s="121"/>
      <c r="DN783" s="121"/>
      <c r="DO783" s="121"/>
      <c r="DP783" s="121"/>
      <c r="DQ783" s="121"/>
      <c r="DR783" s="121"/>
      <c r="DS783" s="121"/>
      <c r="DT783" s="240"/>
      <c r="DU783" s="240"/>
      <c r="DV783" s="240"/>
      <c r="DW783" s="240"/>
      <c r="DX783" s="240"/>
      <c r="DY783" s="240"/>
      <c r="DZ783" s="240"/>
      <c r="EA783" s="240"/>
      <c r="EB783" s="237">
        <f t="shared" si="96"/>
        <v>0</v>
      </c>
      <c r="EC783" s="237">
        <f t="shared" si="97"/>
        <v>0</v>
      </c>
      <c r="ED783" s="237">
        <f t="shared" si="98"/>
        <v>0</v>
      </c>
      <c r="EE783" s="237">
        <f t="shared" si="99"/>
        <v>0</v>
      </c>
      <c r="EF783" s="121"/>
      <c r="EG783" s="238">
        <f t="shared" si="100"/>
        <v>0</v>
      </c>
      <c r="EH783" s="121"/>
      <c r="EI783" s="237">
        <f t="shared" si="101"/>
        <v>0</v>
      </c>
      <c r="EJ783" s="121"/>
      <c r="EK783" s="237">
        <f t="shared" si="102"/>
        <v>0</v>
      </c>
      <c r="EL783" s="237"/>
      <c r="EM783" s="5"/>
      <c r="EN783" s="5"/>
      <c r="EO783" s="5"/>
      <c r="EP783" s="5"/>
      <c r="EQ783" s="237">
        <f t="shared" si="103"/>
        <v>0</v>
      </c>
      <c r="ER783" s="239">
        <v>23300</v>
      </c>
      <c r="ES783" s="5">
        <v>7.5</v>
      </c>
    </row>
    <row r="784" spans="1:149" x14ac:dyDescent="0.3">
      <c r="A784" s="124"/>
      <c r="B784" s="121"/>
      <c r="C784" s="121"/>
      <c r="D784" s="121"/>
      <c r="E784" s="121"/>
      <c r="F784" s="121"/>
      <c r="G784" s="121"/>
      <c r="H784" s="121"/>
      <c r="I784" s="121"/>
      <c r="J784" s="121"/>
      <c r="K784" s="121"/>
      <c r="L784" s="121"/>
      <c r="M784" s="121"/>
      <c r="N784" s="121"/>
      <c r="O784" s="235"/>
      <c r="P784" s="121"/>
      <c r="Q784" s="121"/>
      <c r="R784" s="121"/>
      <c r="S784" s="121"/>
      <c r="T784" s="121"/>
      <c r="U784" s="121"/>
      <c r="V784" s="121"/>
      <c r="W784" s="121"/>
      <c r="X784" s="117"/>
      <c r="Y784" s="117"/>
      <c r="Z784" s="121"/>
      <c r="AA784" s="121"/>
      <c r="AB784" s="121"/>
      <c r="AC784" s="121"/>
      <c r="AD784" s="121"/>
      <c r="AE784" s="121"/>
      <c r="AF784" s="121"/>
      <c r="AG784" s="121"/>
      <c r="AH784" s="121"/>
      <c r="AI784" s="121"/>
      <c r="AJ784" s="121"/>
      <c r="AK784" s="121"/>
      <c r="AL784" s="121"/>
      <c r="AM784" s="121"/>
      <c r="AN784" s="121"/>
      <c r="AO784" s="121"/>
      <c r="AP784" s="121"/>
      <c r="AQ784" s="121"/>
      <c r="AR784" s="121"/>
      <c r="AS784" s="121"/>
      <c r="AT784" s="121"/>
      <c r="AU784" s="121"/>
      <c r="AV784" s="121"/>
      <c r="AW784" s="121"/>
      <c r="AX784" s="121"/>
      <c r="AY784" s="121"/>
      <c r="AZ784" s="121"/>
      <c r="BA784" s="121"/>
      <c r="BB784" s="121"/>
      <c r="BC784" s="121"/>
      <c r="BD784" s="121"/>
      <c r="BE784" s="121"/>
      <c r="BF784" s="121"/>
      <c r="BG784" s="121"/>
      <c r="BH784" s="121"/>
      <c r="BI784" s="121"/>
      <c r="BJ784" s="121"/>
      <c r="BK784" s="121"/>
      <c r="BL784" s="121"/>
      <c r="BM784" s="121"/>
      <c r="BN784" s="121"/>
      <c r="BO784" s="121"/>
      <c r="BP784" s="121"/>
      <c r="BQ784" s="121"/>
      <c r="BR784" s="121"/>
      <c r="BS784" s="121"/>
      <c r="BT784" s="121"/>
      <c r="BU784" s="121"/>
      <c r="BV784" s="121"/>
      <c r="BW784" s="121"/>
      <c r="BX784" s="121"/>
      <c r="BY784" s="121"/>
      <c r="BZ784" s="121"/>
      <c r="CA784" s="121"/>
      <c r="CB784" s="121"/>
      <c r="CC784" s="121"/>
      <c r="CD784" s="121"/>
      <c r="CE784" s="121"/>
      <c r="CF784" s="121"/>
      <c r="CG784" s="121"/>
      <c r="CH784" s="121"/>
      <c r="CI784" s="121"/>
      <c r="CJ784" s="121"/>
      <c r="CK784" s="121"/>
      <c r="CL784" s="121"/>
      <c r="CM784" s="121"/>
      <c r="CN784" s="121"/>
      <c r="CO784" s="121"/>
      <c r="CP784" s="121"/>
      <c r="CQ784" s="121"/>
      <c r="CR784" s="121"/>
      <c r="CS784" s="121"/>
      <c r="CT784" s="121"/>
      <c r="CU784" s="121"/>
      <c r="CV784" s="121"/>
      <c r="CW784" s="121"/>
      <c r="CX784" s="121"/>
      <c r="CY784" s="121"/>
      <c r="CZ784" s="121"/>
      <c r="DA784" s="121"/>
      <c r="DB784" s="121"/>
      <c r="DC784" s="121"/>
      <c r="DD784" s="121"/>
      <c r="DE784" s="121"/>
      <c r="DF784" s="121"/>
      <c r="DG784" s="121"/>
      <c r="DH784" s="121"/>
      <c r="DI784" s="121"/>
      <c r="DJ784" s="121"/>
      <c r="DK784" s="121"/>
      <c r="DL784" s="121"/>
      <c r="DM784" s="121"/>
      <c r="DN784" s="121"/>
      <c r="DO784" s="121"/>
      <c r="DP784" s="121"/>
      <c r="DQ784" s="121"/>
      <c r="DR784" s="121"/>
      <c r="DS784" s="121"/>
      <c r="DT784" s="240"/>
      <c r="DU784" s="240"/>
      <c r="DV784" s="240"/>
      <c r="DW784" s="240"/>
      <c r="DX784" s="240"/>
      <c r="DY784" s="240"/>
      <c r="DZ784" s="240"/>
      <c r="EA784" s="240"/>
      <c r="EB784" s="237">
        <f t="shared" si="96"/>
        <v>0</v>
      </c>
      <c r="EC784" s="237">
        <f t="shared" si="97"/>
        <v>0</v>
      </c>
      <c r="ED784" s="237">
        <f t="shared" si="98"/>
        <v>0</v>
      </c>
      <c r="EE784" s="237">
        <f t="shared" si="99"/>
        <v>0</v>
      </c>
      <c r="EF784" s="121"/>
      <c r="EG784" s="238">
        <f t="shared" si="100"/>
        <v>0</v>
      </c>
      <c r="EH784" s="121"/>
      <c r="EI784" s="237">
        <f t="shared" si="101"/>
        <v>0</v>
      </c>
      <c r="EJ784" s="121"/>
      <c r="EK784" s="237">
        <f t="shared" si="102"/>
        <v>0</v>
      </c>
      <c r="EL784" s="237"/>
      <c r="EM784" s="5"/>
      <c r="EN784" s="5"/>
      <c r="EO784" s="5"/>
      <c r="EP784" s="5"/>
      <c r="EQ784" s="237">
        <f t="shared" si="103"/>
        <v>0</v>
      </c>
      <c r="ER784" s="239">
        <v>23300</v>
      </c>
      <c r="ES784" s="5">
        <v>7.5</v>
      </c>
    </row>
    <row r="785" spans="1:149" x14ac:dyDescent="0.3">
      <c r="A785" s="124"/>
      <c r="B785" s="121"/>
      <c r="C785" s="121"/>
      <c r="D785" s="121"/>
      <c r="E785" s="121"/>
      <c r="F785" s="121"/>
      <c r="G785" s="121"/>
      <c r="H785" s="121"/>
      <c r="I785" s="121"/>
      <c r="J785" s="121"/>
      <c r="K785" s="121"/>
      <c r="L785" s="121"/>
      <c r="M785" s="121"/>
      <c r="N785" s="121"/>
      <c r="O785" s="235"/>
      <c r="P785" s="121"/>
      <c r="Q785" s="121"/>
      <c r="R785" s="121"/>
      <c r="S785" s="121"/>
      <c r="T785" s="121"/>
      <c r="U785" s="121"/>
      <c r="V785" s="121"/>
      <c r="W785" s="121"/>
      <c r="X785" s="117"/>
      <c r="Y785" s="117"/>
      <c r="Z785" s="121"/>
      <c r="AA785" s="121"/>
      <c r="AB785" s="121"/>
      <c r="AC785" s="121"/>
      <c r="AD785" s="121"/>
      <c r="AE785" s="121"/>
      <c r="AF785" s="121"/>
      <c r="AG785" s="121"/>
      <c r="AH785" s="121"/>
      <c r="AI785" s="121"/>
      <c r="AJ785" s="121"/>
      <c r="AK785" s="121"/>
      <c r="AL785" s="121"/>
      <c r="AM785" s="121"/>
      <c r="AN785" s="121"/>
      <c r="AO785" s="121"/>
      <c r="AP785" s="121"/>
      <c r="AQ785" s="121"/>
      <c r="AR785" s="121"/>
      <c r="AS785" s="121"/>
      <c r="AT785" s="121"/>
      <c r="AU785" s="121"/>
      <c r="AV785" s="121"/>
      <c r="AW785" s="121"/>
      <c r="AX785" s="121"/>
      <c r="AY785" s="121"/>
      <c r="AZ785" s="121"/>
      <c r="BA785" s="121"/>
      <c r="BB785" s="121"/>
      <c r="BC785" s="121"/>
      <c r="BD785" s="121"/>
      <c r="BE785" s="121"/>
      <c r="BF785" s="121"/>
      <c r="BG785" s="121"/>
      <c r="BH785" s="121"/>
      <c r="BI785" s="121"/>
      <c r="BJ785" s="121"/>
      <c r="BK785" s="121"/>
      <c r="BL785" s="121"/>
      <c r="BM785" s="121"/>
      <c r="BN785" s="121"/>
      <c r="BO785" s="121"/>
      <c r="BP785" s="121"/>
      <c r="BQ785" s="121"/>
      <c r="BR785" s="121"/>
      <c r="BS785" s="121"/>
      <c r="BT785" s="121"/>
      <c r="BU785" s="121"/>
      <c r="BV785" s="121"/>
      <c r="BW785" s="121"/>
      <c r="BX785" s="121"/>
      <c r="BY785" s="121"/>
      <c r="BZ785" s="121"/>
      <c r="CA785" s="121"/>
      <c r="CB785" s="121"/>
      <c r="CC785" s="121"/>
      <c r="CD785" s="121"/>
      <c r="CE785" s="121"/>
      <c r="CF785" s="121"/>
      <c r="CG785" s="121"/>
      <c r="CH785" s="121"/>
      <c r="CI785" s="121"/>
      <c r="CJ785" s="121"/>
      <c r="CK785" s="121"/>
      <c r="CL785" s="121"/>
      <c r="CM785" s="121"/>
      <c r="CN785" s="121"/>
      <c r="CO785" s="121"/>
      <c r="CP785" s="121"/>
      <c r="CQ785" s="121"/>
      <c r="CR785" s="121"/>
      <c r="CS785" s="121"/>
      <c r="CT785" s="121"/>
      <c r="CU785" s="121"/>
      <c r="CV785" s="121"/>
      <c r="CW785" s="121"/>
      <c r="CX785" s="121"/>
      <c r="CY785" s="121"/>
      <c r="CZ785" s="121"/>
      <c r="DA785" s="121"/>
      <c r="DB785" s="121"/>
      <c r="DC785" s="121"/>
      <c r="DD785" s="121"/>
      <c r="DE785" s="121"/>
      <c r="DF785" s="121"/>
      <c r="DG785" s="121"/>
      <c r="DH785" s="121"/>
      <c r="DI785" s="121"/>
      <c r="DJ785" s="121"/>
      <c r="DK785" s="121"/>
      <c r="DL785" s="121"/>
      <c r="DM785" s="121"/>
      <c r="DN785" s="121"/>
      <c r="DO785" s="121"/>
      <c r="DP785" s="121"/>
      <c r="DQ785" s="121"/>
      <c r="DR785" s="121"/>
      <c r="DS785" s="121"/>
      <c r="DT785" s="240"/>
      <c r="DU785" s="240"/>
      <c r="DV785" s="240"/>
      <c r="DW785" s="240"/>
      <c r="DX785" s="240"/>
      <c r="DY785" s="240"/>
      <c r="DZ785" s="240"/>
      <c r="EA785" s="240"/>
      <c r="EB785" s="237">
        <f t="shared" si="96"/>
        <v>0</v>
      </c>
      <c r="EC785" s="237">
        <f t="shared" si="97"/>
        <v>0</v>
      </c>
      <c r="ED785" s="237">
        <f t="shared" si="98"/>
        <v>0</v>
      </c>
      <c r="EE785" s="237">
        <f t="shared" si="99"/>
        <v>0</v>
      </c>
      <c r="EF785" s="121"/>
      <c r="EG785" s="238">
        <f t="shared" si="100"/>
        <v>0</v>
      </c>
      <c r="EH785" s="121"/>
      <c r="EI785" s="237">
        <f t="shared" si="101"/>
        <v>0</v>
      </c>
      <c r="EJ785" s="121"/>
      <c r="EK785" s="237">
        <f t="shared" si="102"/>
        <v>0</v>
      </c>
      <c r="EL785" s="237"/>
      <c r="EM785" s="5"/>
      <c r="EN785" s="5"/>
      <c r="EO785" s="5"/>
      <c r="EP785" s="5"/>
      <c r="EQ785" s="237">
        <f t="shared" si="103"/>
        <v>0</v>
      </c>
      <c r="ER785" s="239">
        <v>23300</v>
      </c>
      <c r="ES785" s="5">
        <v>7.5</v>
      </c>
    </row>
    <row r="786" spans="1:149" x14ac:dyDescent="0.3">
      <c r="A786" s="124"/>
      <c r="B786" s="121"/>
      <c r="C786" s="121"/>
      <c r="D786" s="121"/>
      <c r="E786" s="121"/>
      <c r="F786" s="121"/>
      <c r="G786" s="121"/>
      <c r="H786" s="121"/>
      <c r="I786" s="121"/>
      <c r="J786" s="121"/>
      <c r="K786" s="121"/>
      <c r="L786" s="121"/>
      <c r="M786" s="121"/>
      <c r="N786" s="121"/>
      <c r="O786" s="235"/>
      <c r="P786" s="121"/>
      <c r="Q786" s="121"/>
      <c r="R786" s="121"/>
      <c r="S786" s="121"/>
      <c r="T786" s="121"/>
      <c r="U786" s="121"/>
      <c r="V786" s="121"/>
      <c r="W786" s="121"/>
      <c r="X786" s="117"/>
      <c r="Y786" s="117"/>
      <c r="Z786" s="121"/>
      <c r="AA786" s="121"/>
      <c r="AB786" s="121"/>
      <c r="AC786" s="121"/>
      <c r="AD786" s="121"/>
      <c r="AE786" s="121"/>
      <c r="AF786" s="121"/>
      <c r="AG786" s="121"/>
      <c r="AH786" s="121"/>
      <c r="AI786" s="121"/>
      <c r="AJ786" s="121"/>
      <c r="AK786" s="121"/>
      <c r="AL786" s="121"/>
      <c r="AM786" s="121"/>
      <c r="AN786" s="121"/>
      <c r="AO786" s="121"/>
      <c r="AP786" s="121"/>
      <c r="AQ786" s="121"/>
      <c r="AR786" s="121"/>
      <c r="AS786" s="121"/>
      <c r="AT786" s="121"/>
      <c r="AU786" s="121"/>
      <c r="AV786" s="121"/>
      <c r="AW786" s="121"/>
      <c r="AX786" s="121"/>
      <c r="AY786" s="121"/>
      <c r="AZ786" s="121"/>
      <c r="BA786" s="121"/>
      <c r="BB786" s="121"/>
      <c r="BC786" s="121"/>
      <c r="BD786" s="121"/>
      <c r="BE786" s="121"/>
      <c r="BF786" s="121"/>
      <c r="BG786" s="121"/>
      <c r="BH786" s="121"/>
      <c r="BI786" s="121"/>
      <c r="BJ786" s="121"/>
      <c r="BK786" s="121"/>
      <c r="BL786" s="121"/>
      <c r="BM786" s="121"/>
      <c r="BN786" s="121"/>
      <c r="BO786" s="121"/>
      <c r="BP786" s="121"/>
      <c r="BQ786" s="121"/>
      <c r="BR786" s="121"/>
      <c r="BS786" s="121"/>
      <c r="BT786" s="121"/>
      <c r="BU786" s="121"/>
      <c r="BV786" s="121"/>
      <c r="BW786" s="121"/>
      <c r="BX786" s="121"/>
      <c r="BY786" s="121"/>
      <c r="BZ786" s="121"/>
      <c r="CA786" s="121"/>
      <c r="CB786" s="121"/>
      <c r="CC786" s="121"/>
      <c r="CD786" s="121"/>
      <c r="CE786" s="121"/>
      <c r="CF786" s="121"/>
      <c r="CG786" s="121"/>
      <c r="CH786" s="121"/>
      <c r="CI786" s="121"/>
      <c r="CJ786" s="121"/>
      <c r="CK786" s="121"/>
      <c r="CL786" s="121"/>
      <c r="CM786" s="121"/>
      <c r="CN786" s="121"/>
      <c r="CO786" s="121"/>
      <c r="CP786" s="121"/>
      <c r="CQ786" s="121"/>
      <c r="CR786" s="121"/>
      <c r="CS786" s="121"/>
      <c r="CT786" s="121"/>
      <c r="CU786" s="121"/>
      <c r="CV786" s="121"/>
      <c r="CW786" s="121"/>
      <c r="CX786" s="121"/>
      <c r="CY786" s="121"/>
      <c r="CZ786" s="121"/>
      <c r="DA786" s="121"/>
      <c r="DB786" s="121"/>
      <c r="DC786" s="121"/>
      <c r="DD786" s="121"/>
      <c r="DE786" s="121"/>
      <c r="DF786" s="121"/>
      <c r="DG786" s="121"/>
      <c r="DH786" s="121"/>
      <c r="DI786" s="121"/>
      <c r="DJ786" s="121"/>
      <c r="DK786" s="121"/>
      <c r="DL786" s="121"/>
      <c r="DM786" s="121"/>
      <c r="DN786" s="121"/>
      <c r="DO786" s="121"/>
      <c r="DP786" s="121"/>
      <c r="DQ786" s="121"/>
      <c r="DR786" s="121"/>
      <c r="DS786" s="121"/>
      <c r="DT786" s="240"/>
      <c r="DU786" s="240"/>
      <c r="DV786" s="240"/>
      <c r="DW786" s="240"/>
      <c r="DX786" s="240"/>
      <c r="DY786" s="240"/>
      <c r="DZ786" s="240"/>
      <c r="EA786" s="240"/>
      <c r="EB786" s="237">
        <f t="shared" si="96"/>
        <v>0</v>
      </c>
      <c r="EC786" s="237">
        <f t="shared" si="97"/>
        <v>0</v>
      </c>
      <c r="ED786" s="237">
        <f t="shared" si="98"/>
        <v>0</v>
      </c>
      <c r="EE786" s="237">
        <f t="shared" si="99"/>
        <v>0</v>
      </c>
      <c r="EF786" s="121"/>
      <c r="EG786" s="238">
        <f t="shared" si="100"/>
        <v>0</v>
      </c>
      <c r="EH786" s="121"/>
      <c r="EI786" s="237">
        <f t="shared" si="101"/>
        <v>0</v>
      </c>
      <c r="EJ786" s="121"/>
      <c r="EK786" s="237">
        <f t="shared" si="102"/>
        <v>0</v>
      </c>
      <c r="EL786" s="237"/>
      <c r="EM786" s="5"/>
      <c r="EN786" s="5"/>
      <c r="EO786" s="5"/>
      <c r="EP786" s="5"/>
      <c r="EQ786" s="237">
        <f t="shared" si="103"/>
        <v>0</v>
      </c>
      <c r="ER786" s="239">
        <v>23300</v>
      </c>
      <c r="ES786" s="5">
        <v>7.5</v>
      </c>
    </row>
    <row r="787" spans="1:149" x14ac:dyDescent="0.3">
      <c r="A787" s="124"/>
      <c r="B787" s="121"/>
      <c r="C787" s="121"/>
      <c r="D787" s="121"/>
      <c r="E787" s="121"/>
      <c r="F787" s="121"/>
      <c r="G787" s="121"/>
      <c r="H787" s="121"/>
      <c r="I787" s="121"/>
      <c r="J787" s="121"/>
      <c r="K787" s="121"/>
      <c r="L787" s="121"/>
      <c r="M787" s="121"/>
      <c r="N787" s="121"/>
      <c r="O787" s="235"/>
      <c r="P787" s="121"/>
      <c r="Q787" s="121"/>
      <c r="R787" s="121"/>
      <c r="S787" s="121"/>
      <c r="T787" s="121"/>
      <c r="U787" s="121"/>
      <c r="V787" s="121"/>
      <c r="W787" s="121"/>
      <c r="X787" s="117"/>
      <c r="Y787" s="117"/>
      <c r="Z787" s="121"/>
      <c r="AA787" s="121"/>
      <c r="AB787" s="121"/>
      <c r="AC787" s="121"/>
      <c r="AD787" s="121"/>
      <c r="AE787" s="121"/>
      <c r="AF787" s="121"/>
      <c r="AG787" s="121"/>
      <c r="AH787" s="121"/>
      <c r="AI787" s="121"/>
      <c r="AJ787" s="121"/>
      <c r="AK787" s="121"/>
      <c r="AL787" s="121"/>
      <c r="AM787" s="121"/>
      <c r="AN787" s="121"/>
      <c r="AO787" s="121"/>
      <c r="AP787" s="121"/>
      <c r="AQ787" s="121"/>
      <c r="AR787" s="121"/>
      <c r="AS787" s="121"/>
      <c r="AT787" s="121"/>
      <c r="AU787" s="121"/>
      <c r="AV787" s="121"/>
      <c r="AW787" s="121"/>
      <c r="AX787" s="121"/>
      <c r="AY787" s="121"/>
      <c r="AZ787" s="121"/>
      <c r="BA787" s="121"/>
      <c r="BB787" s="121"/>
      <c r="BC787" s="121"/>
      <c r="BD787" s="121"/>
      <c r="BE787" s="121"/>
      <c r="BF787" s="121"/>
      <c r="BG787" s="121"/>
      <c r="BH787" s="121"/>
      <c r="BI787" s="121"/>
      <c r="BJ787" s="121"/>
      <c r="BK787" s="121"/>
      <c r="BL787" s="121"/>
      <c r="BM787" s="121"/>
      <c r="BN787" s="121"/>
      <c r="BO787" s="121"/>
      <c r="BP787" s="121"/>
      <c r="BQ787" s="121"/>
      <c r="BR787" s="121"/>
      <c r="BS787" s="121"/>
      <c r="BT787" s="121"/>
      <c r="BU787" s="121"/>
      <c r="BV787" s="121"/>
      <c r="BW787" s="121"/>
      <c r="BX787" s="121"/>
      <c r="BY787" s="121"/>
      <c r="BZ787" s="121"/>
      <c r="CA787" s="121"/>
      <c r="CB787" s="121"/>
      <c r="CC787" s="121"/>
      <c r="CD787" s="121"/>
      <c r="CE787" s="121"/>
      <c r="CF787" s="121"/>
      <c r="CG787" s="121"/>
      <c r="CH787" s="121"/>
      <c r="CI787" s="121"/>
      <c r="CJ787" s="121"/>
      <c r="CK787" s="121"/>
      <c r="CL787" s="121"/>
      <c r="CM787" s="121"/>
      <c r="CN787" s="121"/>
      <c r="CO787" s="121"/>
      <c r="CP787" s="121"/>
      <c r="CQ787" s="121"/>
      <c r="CR787" s="121"/>
      <c r="CS787" s="121"/>
      <c r="CT787" s="121"/>
      <c r="CU787" s="121"/>
      <c r="CV787" s="121"/>
      <c r="CW787" s="121"/>
      <c r="CX787" s="121"/>
      <c r="CY787" s="121"/>
      <c r="CZ787" s="121"/>
      <c r="DA787" s="121"/>
      <c r="DB787" s="121"/>
      <c r="DC787" s="121"/>
      <c r="DD787" s="121"/>
      <c r="DE787" s="121"/>
      <c r="DF787" s="121"/>
      <c r="DG787" s="121"/>
      <c r="DH787" s="121"/>
      <c r="DI787" s="121"/>
      <c r="DJ787" s="121"/>
      <c r="DK787" s="121"/>
      <c r="DL787" s="121"/>
      <c r="DM787" s="121"/>
      <c r="DN787" s="121"/>
      <c r="DO787" s="121"/>
      <c r="DP787" s="121"/>
      <c r="DQ787" s="121"/>
      <c r="DR787" s="121"/>
      <c r="DS787" s="121"/>
      <c r="DT787" s="240"/>
      <c r="DU787" s="240"/>
      <c r="DV787" s="240"/>
      <c r="DW787" s="240"/>
      <c r="DX787" s="240"/>
      <c r="DY787" s="240"/>
      <c r="DZ787" s="240"/>
      <c r="EA787" s="240"/>
      <c r="EB787" s="237">
        <f t="shared" si="96"/>
        <v>0</v>
      </c>
      <c r="EC787" s="237">
        <f t="shared" si="97"/>
        <v>0</v>
      </c>
      <c r="ED787" s="237">
        <f t="shared" si="98"/>
        <v>0</v>
      </c>
      <c r="EE787" s="237">
        <f t="shared" si="99"/>
        <v>0</v>
      </c>
      <c r="EF787" s="121"/>
      <c r="EG787" s="238">
        <f t="shared" si="100"/>
        <v>0</v>
      </c>
      <c r="EH787" s="121"/>
      <c r="EI787" s="237">
        <f t="shared" si="101"/>
        <v>0</v>
      </c>
      <c r="EJ787" s="121"/>
      <c r="EK787" s="237">
        <f t="shared" si="102"/>
        <v>0</v>
      </c>
      <c r="EL787" s="237"/>
      <c r="EM787" s="5"/>
      <c r="EN787" s="5"/>
      <c r="EO787" s="5"/>
      <c r="EP787" s="5"/>
      <c r="EQ787" s="237">
        <f t="shared" si="103"/>
        <v>0</v>
      </c>
      <c r="ER787" s="239">
        <v>23300</v>
      </c>
      <c r="ES787" s="5">
        <v>7.5</v>
      </c>
    </row>
    <row r="788" spans="1:149" x14ac:dyDescent="0.3">
      <c r="A788" s="124"/>
      <c r="B788" s="121"/>
      <c r="C788" s="121"/>
      <c r="D788" s="121"/>
      <c r="E788" s="121"/>
      <c r="F788" s="121"/>
      <c r="G788" s="121"/>
      <c r="H788" s="121"/>
      <c r="I788" s="121"/>
      <c r="J788" s="121"/>
      <c r="K788" s="121"/>
      <c r="L788" s="121"/>
      <c r="M788" s="121"/>
      <c r="N788" s="121"/>
      <c r="O788" s="235"/>
      <c r="P788" s="121"/>
      <c r="Q788" s="121"/>
      <c r="R788" s="121"/>
      <c r="S788" s="121"/>
      <c r="T788" s="121"/>
      <c r="U788" s="121"/>
      <c r="V788" s="121"/>
      <c r="W788" s="121"/>
      <c r="X788" s="117"/>
      <c r="Y788" s="117"/>
      <c r="Z788" s="121"/>
      <c r="AA788" s="121"/>
      <c r="AB788" s="121"/>
      <c r="AC788" s="121"/>
      <c r="AD788" s="121"/>
      <c r="AE788" s="121"/>
      <c r="AF788" s="121"/>
      <c r="AG788" s="121"/>
      <c r="AH788" s="121"/>
      <c r="AI788" s="121"/>
      <c r="AJ788" s="121"/>
      <c r="AK788" s="121"/>
      <c r="AL788" s="121"/>
      <c r="AM788" s="121"/>
      <c r="AN788" s="121"/>
      <c r="AO788" s="121"/>
      <c r="AP788" s="121"/>
      <c r="AQ788" s="121"/>
      <c r="AR788" s="121"/>
      <c r="AS788" s="121"/>
      <c r="AT788" s="121"/>
      <c r="AU788" s="121"/>
      <c r="AV788" s="121"/>
      <c r="AW788" s="121"/>
      <c r="AX788" s="121"/>
      <c r="AY788" s="121"/>
      <c r="AZ788" s="121"/>
      <c r="BA788" s="121"/>
      <c r="BB788" s="121"/>
      <c r="BC788" s="121"/>
      <c r="BD788" s="121"/>
      <c r="BE788" s="121"/>
      <c r="BF788" s="121"/>
      <c r="BG788" s="121"/>
      <c r="BH788" s="121"/>
      <c r="BI788" s="121"/>
      <c r="BJ788" s="121"/>
      <c r="BK788" s="121"/>
      <c r="BL788" s="121"/>
      <c r="BM788" s="121"/>
      <c r="BN788" s="121"/>
      <c r="BO788" s="121"/>
      <c r="BP788" s="121"/>
      <c r="BQ788" s="121"/>
      <c r="BR788" s="121"/>
      <c r="BS788" s="121"/>
      <c r="BT788" s="121"/>
      <c r="BU788" s="121"/>
      <c r="BV788" s="121"/>
      <c r="BW788" s="121"/>
      <c r="BX788" s="121"/>
      <c r="BY788" s="121"/>
      <c r="BZ788" s="121"/>
      <c r="CA788" s="121"/>
      <c r="CB788" s="121"/>
      <c r="CC788" s="121"/>
      <c r="CD788" s="121"/>
      <c r="CE788" s="121"/>
      <c r="CF788" s="121"/>
      <c r="CG788" s="121"/>
      <c r="CH788" s="121"/>
      <c r="CI788" s="121"/>
      <c r="CJ788" s="121"/>
      <c r="CK788" s="121"/>
      <c r="CL788" s="121"/>
      <c r="CM788" s="121"/>
      <c r="CN788" s="121"/>
      <c r="CO788" s="121"/>
      <c r="CP788" s="121"/>
      <c r="CQ788" s="121"/>
      <c r="CR788" s="121"/>
      <c r="CS788" s="121"/>
      <c r="CT788" s="121"/>
      <c r="CU788" s="121"/>
      <c r="CV788" s="121"/>
      <c r="CW788" s="121"/>
      <c r="CX788" s="121"/>
      <c r="CY788" s="121"/>
      <c r="CZ788" s="121"/>
      <c r="DA788" s="121"/>
      <c r="DB788" s="121"/>
      <c r="DC788" s="121"/>
      <c r="DD788" s="121"/>
      <c r="DE788" s="121"/>
      <c r="DF788" s="121"/>
      <c r="DG788" s="121"/>
      <c r="DH788" s="121"/>
      <c r="DI788" s="121"/>
      <c r="DJ788" s="121"/>
      <c r="DK788" s="121"/>
      <c r="DL788" s="121"/>
      <c r="DM788" s="121"/>
      <c r="DN788" s="121"/>
      <c r="DO788" s="121"/>
      <c r="DP788" s="121"/>
      <c r="DQ788" s="121"/>
      <c r="DR788" s="121"/>
      <c r="DS788" s="121"/>
      <c r="DT788" s="240"/>
      <c r="DU788" s="240"/>
      <c r="DV788" s="240"/>
      <c r="DW788" s="240"/>
      <c r="DX788" s="240"/>
      <c r="DY788" s="240"/>
      <c r="DZ788" s="240"/>
      <c r="EA788" s="240"/>
      <c r="EB788" s="237">
        <f t="shared" si="96"/>
        <v>0</v>
      </c>
      <c r="EC788" s="237">
        <f t="shared" si="97"/>
        <v>0</v>
      </c>
      <c r="ED788" s="237">
        <f t="shared" si="98"/>
        <v>0</v>
      </c>
      <c r="EE788" s="237">
        <f t="shared" si="99"/>
        <v>0</v>
      </c>
      <c r="EF788" s="121"/>
      <c r="EG788" s="238">
        <f t="shared" si="100"/>
        <v>0</v>
      </c>
      <c r="EH788" s="121"/>
      <c r="EI788" s="237">
        <f t="shared" si="101"/>
        <v>0</v>
      </c>
      <c r="EJ788" s="121"/>
      <c r="EK788" s="237">
        <f t="shared" si="102"/>
        <v>0</v>
      </c>
      <c r="EL788" s="237"/>
      <c r="EM788" s="5"/>
      <c r="EN788" s="5"/>
      <c r="EO788" s="5"/>
      <c r="EP788" s="5"/>
      <c r="EQ788" s="237">
        <f t="shared" si="103"/>
        <v>0</v>
      </c>
      <c r="ER788" s="239">
        <v>23300</v>
      </c>
      <c r="ES788" s="5">
        <v>7.5</v>
      </c>
    </row>
    <row r="789" spans="1:149" x14ac:dyDescent="0.3">
      <c r="A789" s="124"/>
      <c r="B789" s="121"/>
      <c r="C789" s="121"/>
      <c r="D789" s="121"/>
      <c r="E789" s="121"/>
      <c r="F789" s="121"/>
      <c r="G789" s="121"/>
      <c r="H789" s="121"/>
      <c r="I789" s="121"/>
      <c r="J789" s="121"/>
      <c r="K789" s="121"/>
      <c r="L789" s="121"/>
      <c r="M789" s="121"/>
      <c r="N789" s="121"/>
      <c r="O789" s="235"/>
      <c r="P789" s="121"/>
      <c r="Q789" s="121"/>
      <c r="R789" s="121"/>
      <c r="S789" s="121"/>
      <c r="T789" s="121"/>
      <c r="U789" s="121"/>
      <c r="V789" s="121"/>
      <c r="W789" s="121"/>
      <c r="X789" s="117"/>
      <c r="Y789" s="117"/>
      <c r="Z789" s="121"/>
      <c r="AA789" s="121"/>
      <c r="AB789" s="121"/>
      <c r="AC789" s="121"/>
      <c r="AD789" s="121"/>
      <c r="AE789" s="121"/>
      <c r="AF789" s="121"/>
      <c r="AG789" s="121"/>
      <c r="AH789" s="121"/>
      <c r="AI789" s="121"/>
      <c r="AJ789" s="121"/>
      <c r="AK789" s="121"/>
      <c r="AL789" s="121"/>
      <c r="AM789" s="121"/>
      <c r="AN789" s="121"/>
      <c r="AO789" s="121"/>
      <c r="AP789" s="121"/>
      <c r="AQ789" s="121"/>
      <c r="AR789" s="121"/>
      <c r="AS789" s="121"/>
      <c r="AT789" s="121"/>
      <c r="AU789" s="121"/>
      <c r="AV789" s="121"/>
      <c r="AW789" s="121"/>
      <c r="AX789" s="121"/>
      <c r="AY789" s="121"/>
      <c r="AZ789" s="121"/>
      <c r="BA789" s="121"/>
      <c r="BB789" s="121"/>
      <c r="BC789" s="121"/>
      <c r="BD789" s="121"/>
      <c r="BE789" s="121"/>
      <c r="BF789" s="121"/>
      <c r="BG789" s="121"/>
      <c r="BH789" s="121"/>
      <c r="BI789" s="121"/>
      <c r="BJ789" s="121"/>
      <c r="BK789" s="121"/>
      <c r="BL789" s="121"/>
      <c r="BM789" s="121"/>
      <c r="BN789" s="121"/>
      <c r="BO789" s="121"/>
      <c r="BP789" s="121"/>
      <c r="BQ789" s="121"/>
      <c r="BR789" s="121"/>
      <c r="BS789" s="121"/>
      <c r="BT789" s="121"/>
      <c r="BU789" s="121"/>
      <c r="BV789" s="121"/>
      <c r="BW789" s="121"/>
      <c r="BX789" s="121"/>
      <c r="BY789" s="121"/>
      <c r="BZ789" s="121"/>
      <c r="CA789" s="121"/>
      <c r="CB789" s="121"/>
      <c r="CC789" s="121"/>
      <c r="CD789" s="121"/>
      <c r="CE789" s="121"/>
      <c r="CF789" s="121"/>
      <c r="CG789" s="121"/>
      <c r="CH789" s="121"/>
      <c r="CI789" s="121"/>
      <c r="CJ789" s="121"/>
      <c r="CK789" s="121"/>
      <c r="CL789" s="121"/>
      <c r="CM789" s="121"/>
      <c r="CN789" s="121"/>
      <c r="CO789" s="121"/>
      <c r="CP789" s="121"/>
      <c r="CQ789" s="121"/>
      <c r="CR789" s="121"/>
      <c r="CS789" s="121"/>
      <c r="CT789" s="121"/>
      <c r="CU789" s="121"/>
      <c r="CV789" s="121"/>
      <c r="CW789" s="121"/>
      <c r="CX789" s="121"/>
      <c r="CY789" s="121"/>
      <c r="CZ789" s="121"/>
      <c r="DA789" s="121"/>
      <c r="DB789" s="121"/>
      <c r="DC789" s="121"/>
      <c r="DD789" s="121"/>
      <c r="DE789" s="121"/>
      <c r="DF789" s="121"/>
      <c r="DG789" s="121"/>
      <c r="DH789" s="121"/>
      <c r="DI789" s="121"/>
      <c r="DJ789" s="121"/>
      <c r="DK789" s="121"/>
      <c r="DL789" s="121"/>
      <c r="DM789" s="121"/>
      <c r="DN789" s="121"/>
      <c r="DO789" s="121"/>
      <c r="DP789" s="121"/>
      <c r="DQ789" s="121"/>
      <c r="DR789" s="121"/>
      <c r="DS789" s="121"/>
      <c r="DT789" s="240"/>
      <c r="DU789" s="240"/>
      <c r="DV789" s="240"/>
      <c r="DW789" s="240"/>
      <c r="DX789" s="240"/>
      <c r="DY789" s="240"/>
      <c r="DZ789" s="240"/>
      <c r="EA789" s="240"/>
      <c r="EB789" s="237">
        <f t="shared" si="96"/>
        <v>0</v>
      </c>
      <c r="EC789" s="237">
        <f t="shared" si="97"/>
        <v>0</v>
      </c>
      <c r="ED789" s="237">
        <f t="shared" si="98"/>
        <v>0</v>
      </c>
      <c r="EE789" s="237">
        <f t="shared" si="99"/>
        <v>0</v>
      </c>
      <c r="EF789" s="121"/>
      <c r="EG789" s="238">
        <f t="shared" si="100"/>
        <v>0</v>
      </c>
      <c r="EH789" s="121"/>
      <c r="EI789" s="237">
        <f t="shared" si="101"/>
        <v>0</v>
      </c>
      <c r="EJ789" s="121"/>
      <c r="EK789" s="237">
        <f t="shared" si="102"/>
        <v>0</v>
      </c>
      <c r="EL789" s="237"/>
      <c r="EM789" s="5"/>
      <c r="EN789" s="5"/>
      <c r="EO789" s="5"/>
      <c r="EP789" s="5"/>
      <c r="EQ789" s="237">
        <f t="shared" si="103"/>
        <v>0</v>
      </c>
      <c r="ER789" s="239">
        <v>23300</v>
      </c>
      <c r="ES789" s="5">
        <v>7.5</v>
      </c>
    </row>
    <row r="790" spans="1:149" x14ac:dyDescent="0.3">
      <c r="A790" s="124"/>
      <c r="B790" s="121"/>
      <c r="C790" s="121"/>
      <c r="D790" s="121"/>
      <c r="E790" s="121"/>
      <c r="F790" s="121"/>
      <c r="G790" s="121"/>
      <c r="H790" s="121"/>
      <c r="I790" s="121"/>
      <c r="J790" s="121"/>
      <c r="K790" s="121"/>
      <c r="L790" s="121"/>
      <c r="M790" s="121"/>
      <c r="N790" s="121"/>
      <c r="O790" s="235"/>
      <c r="P790" s="121"/>
      <c r="Q790" s="121"/>
      <c r="R790" s="121"/>
      <c r="S790" s="121"/>
      <c r="T790" s="121"/>
      <c r="U790" s="121"/>
      <c r="V790" s="121"/>
      <c r="W790" s="121"/>
      <c r="X790" s="117"/>
      <c r="Y790" s="117"/>
      <c r="Z790" s="121"/>
      <c r="AA790" s="121"/>
      <c r="AB790" s="121"/>
      <c r="AC790" s="121"/>
      <c r="AD790" s="121"/>
      <c r="AE790" s="121"/>
      <c r="AF790" s="121"/>
      <c r="AG790" s="121"/>
      <c r="AH790" s="121"/>
      <c r="AI790" s="121"/>
      <c r="AJ790" s="121"/>
      <c r="AK790" s="121"/>
      <c r="AL790" s="121"/>
      <c r="AM790" s="121"/>
      <c r="AN790" s="121"/>
      <c r="AO790" s="121"/>
      <c r="AP790" s="121"/>
      <c r="AQ790" s="121"/>
      <c r="AR790" s="121"/>
      <c r="AS790" s="121"/>
      <c r="AT790" s="121"/>
      <c r="AU790" s="121"/>
      <c r="AV790" s="121"/>
      <c r="AW790" s="121"/>
      <c r="AX790" s="121"/>
      <c r="AY790" s="121"/>
      <c r="AZ790" s="121"/>
      <c r="BA790" s="121"/>
      <c r="BB790" s="121"/>
      <c r="BC790" s="121"/>
      <c r="BD790" s="121"/>
      <c r="BE790" s="121"/>
      <c r="BF790" s="121"/>
      <c r="BG790" s="121"/>
      <c r="BH790" s="121"/>
      <c r="BI790" s="121"/>
      <c r="BJ790" s="121"/>
      <c r="BK790" s="121"/>
      <c r="BL790" s="121"/>
      <c r="BM790" s="121"/>
      <c r="BN790" s="121"/>
      <c r="BO790" s="121"/>
      <c r="BP790" s="121"/>
      <c r="BQ790" s="121"/>
      <c r="BR790" s="121"/>
      <c r="BS790" s="121"/>
      <c r="BT790" s="121"/>
      <c r="BU790" s="121"/>
      <c r="BV790" s="121"/>
      <c r="BW790" s="121"/>
      <c r="BX790" s="121"/>
      <c r="BY790" s="121"/>
      <c r="BZ790" s="121"/>
      <c r="CA790" s="121"/>
      <c r="CB790" s="121"/>
      <c r="CC790" s="121"/>
      <c r="CD790" s="121"/>
      <c r="CE790" s="121"/>
      <c r="CF790" s="121"/>
      <c r="CG790" s="121"/>
      <c r="CH790" s="121"/>
      <c r="CI790" s="121"/>
      <c r="CJ790" s="121"/>
      <c r="CK790" s="121"/>
      <c r="CL790" s="121"/>
      <c r="CM790" s="121"/>
      <c r="CN790" s="121"/>
      <c r="CO790" s="121"/>
      <c r="CP790" s="121"/>
      <c r="CQ790" s="121"/>
      <c r="CR790" s="121"/>
      <c r="CS790" s="121"/>
      <c r="CT790" s="121"/>
      <c r="CU790" s="121"/>
      <c r="CV790" s="121"/>
      <c r="CW790" s="121"/>
      <c r="CX790" s="121"/>
      <c r="CY790" s="121"/>
      <c r="CZ790" s="121"/>
      <c r="DA790" s="121"/>
      <c r="DB790" s="121"/>
      <c r="DC790" s="121"/>
      <c r="DD790" s="121"/>
      <c r="DE790" s="121"/>
      <c r="DF790" s="121"/>
      <c r="DG790" s="121"/>
      <c r="DH790" s="121"/>
      <c r="DI790" s="121"/>
      <c r="DJ790" s="121"/>
      <c r="DK790" s="121"/>
      <c r="DL790" s="121"/>
      <c r="DM790" s="121"/>
      <c r="DN790" s="121"/>
      <c r="DO790" s="121"/>
      <c r="DP790" s="121"/>
      <c r="DQ790" s="121"/>
      <c r="DR790" s="121"/>
      <c r="DS790" s="121"/>
      <c r="DT790" s="240"/>
      <c r="DU790" s="240"/>
      <c r="DV790" s="240"/>
      <c r="DW790" s="240"/>
      <c r="DX790" s="240"/>
      <c r="DY790" s="240"/>
      <c r="DZ790" s="240"/>
      <c r="EA790" s="240"/>
      <c r="EB790" s="237">
        <f t="shared" si="96"/>
        <v>0</v>
      </c>
      <c r="EC790" s="237">
        <f t="shared" si="97"/>
        <v>0</v>
      </c>
      <c r="ED790" s="237">
        <f t="shared" si="98"/>
        <v>0</v>
      </c>
      <c r="EE790" s="237">
        <f t="shared" si="99"/>
        <v>0</v>
      </c>
      <c r="EF790" s="121"/>
      <c r="EG790" s="238">
        <f t="shared" si="100"/>
        <v>0</v>
      </c>
      <c r="EH790" s="121"/>
      <c r="EI790" s="237">
        <f t="shared" si="101"/>
        <v>0</v>
      </c>
      <c r="EJ790" s="121"/>
      <c r="EK790" s="237">
        <f t="shared" si="102"/>
        <v>0</v>
      </c>
      <c r="EL790" s="237"/>
      <c r="EM790" s="5"/>
      <c r="EN790" s="5"/>
      <c r="EO790" s="5"/>
      <c r="EP790" s="5"/>
      <c r="EQ790" s="237">
        <f t="shared" si="103"/>
        <v>0</v>
      </c>
      <c r="ER790" s="239">
        <v>23300</v>
      </c>
      <c r="ES790" s="5">
        <v>7.5</v>
      </c>
    </row>
    <row r="791" spans="1:149" x14ac:dyDescent="0.3">
      <c r="A791" s="124"/>
      <c r="B791" s="121"/>
      <c r="C791" s="121"/>
      <c r="D791" s="121"/>
      <c r="E791" s="121"/>
      <c r="F791" s="121"/>
      <c r="G791" s="121"/>
      <c r="H791" s="121"/>
      <c r="I791" s="121"/>
      <c r="J791" s="121"/>
      <c r="K791" s="121"/>
      <c r="L791" s="121"/>
      <c r="M791" s="121"/>
      <c r="N791" s="121"/>
      <c r="O791" s="235"/>
      <c r="P791" s="121"/>
      <c r="Q791" s="121"/>
      <c r="R791" s="121"/>
      <c r="S791" s="121"/>
      <c r="T791" s="121"/>
      <c r="U791" s="121"/>
      <c r="V791" s="121"/>
      <c r="W791" s="121"/>
      <c r="X791" s="117"/>
      <c r="Y791" s="117"/>
      <c r="Z791" s="121"/>
      <c r="AA791" s="121"/>
      <c r="AB791" s="121"/>
      <c r="AC791" s="121"/>
      <c r="AD791" s="121"/>
      <c r="AE791" s="121"/>
      <c r="AF791" s="121"/>
      <c r="AG791" s="121"/>
      <c r="AH791" s="121"/>
      <c r="AI791" s="121"/>
      <c r="AJ791" s="121"/>
      <c r="AK791" s="121"/>
      <c r="AL791" s="121"/>
      <c r="AM791" s="121"/>
      <c r="AN791" s="121"/>
      <c r="AO791" s="121"/>
      <c r="AP791" s="121"/>
      <c r="AQ791" s="121"/>
      <c r="AR791" s="121"/>
      <c r="AS791" s="121"/>
      <c r="AT791" s="121"/>
      <c r="AU791" s="121"/>
      <c r="AV791" s="121"/>
      <c r="AW791" s="121"/>
      <c r="AX791" s="121"/>
      <c r="AY791" s="121"/>
      <c r="AZ791" s="121"/>
      <c r="BA791" s="121"/>
      <c r="BB791" s="121"/>
      <c r="BC791" s="121"/>
      <c r="BD791" s="121"/>
      <c r="BE791" s="121"/>
      <c r="BF791" s="121"/>
      <c r="BG791" s="121"/>
      <c r="BH791" s="121"/>
      <c r="BI791" s="121"/>
      <c r="BJ791" s="121"/>
      <c r="BK791" s="121"/>
      <c r="BL791" s="121"/>
      <c r="BM791" s="121"/>
      <c r="BN791" s="121"/>
      <c r="BO791" s="121"/>
      <c r="BP791" s="121"/>
      <c r="BQ791" s="121"/>
      <c r="BR791" s="121"/>
      <c r="BS791" s="121"/>
      <c r="BT791" s="121"/>
      <c r="BU791" s="121"/>
      <c r="BV791" s="121"/>
      <c r="BW791" s="121"/>
      <c r="BX791" s="121"/>
      <c r="BY791" s="121"/>
      <c r="BZ791" s="121"/>
      <c r="CA791" s="121"/>
      <c r="CB791" s="121"/>
      <c r="CC791" s="121"/>
      <c r="CD791" s="121"/>
      <c r="CE791" s="121"/>
      <c r="CF791" s="121"/>
      <c r="CG791" s="121"/>
      <c r="CH791" s="121"/>
      <c r="CI791" s="121"/>
      <c r="CJ791" s="121"/>
      <c r="CK791" s="121"/>
      <c r="CL791" s="121"/>
      <c r="CM791" s="121"/>
      <c r="CN791" s="121"/>
      <c r="CO791" s="121"/>
      <c r="CP791" s="121"/>
      <c r="CQ791" s="121"/>
      <c r="CR791" s="121"/>
      <c r="CS791" s="121"/>
      <c r="CT791" s="121"/>
      <c r="CU791" s="121"/>
      <c r="CV791" s="121"/>
      <c r="CW791" s="121"/>
      <c r="CX791" s="121"/>
      <c r="CY791" s="121"/>
      <c r="CZ791" s="121"/>
      <c r="DA791" s="121"/>
      <c r="DB791" s="121"/>
      <c r="DC791" s="121"/>
      <c r="DD791" s="121"/>
      <c r="DE791" s="121"/>
      <c r="DF791" s="121"/>
      <c r="DG791" s="121"/>
      <c r="DH791" s="121"/>
      <c r="DI791" s="121"/>
      <c r="DJ791" s="121"/>
      <c r="DK791" s="121"/>
      <c r="DL791" s="121"/>
      <c r="DM791" s="121"/>
      <c r="DN791" s="121"/>
      <c r="DO791" s="121"/>
      <c r="DP791" s="121"/>
      <c r="DQ791" s="121"/>
      <c r="DR791" s="121"/>
      <c r="DS791" s="121"/>
      <c r="DT791" s="240"/>
      <c r="DU791" s="240"/>
      <c r="DV791" s="240"/>
      <c r="DW791" s="240"/>
      <c r="DX791" s="240"/>
      <c r="DY791" s="240"/>
      <c r="DZ791" s="240"/>
      <c r="EA791" s="240"/>
      <c r="EB791" s="237">
        <f t="shared" si="96"/>
        <v>0</v>
      </c>
      <c r="EC791" s="237">
        <f t="shared" si="97"/>
        <v>0</v>
      </c>
      <c r="ED791" s="237">
        <f t="shared" si="98"/>
        <v>0</v>
      </c>
      <c r="EE791" s="237">
        <f t="shared" si="99"/>
        <v>0</v>
      </c>
      <c r="EF791" s="121"/>
      <c r="EG791" s="238">
        <f t="shared" si="100"/>
        <v>0</v>
      </c>
      <c r="EH791" s="121"/>
      <c r="EI791" s="237">
        <f t="shared" si="101"/>
        <v>0</v>
      </c>
      <c r="EJ791" s="121"/>
      <c r="EK791" s="237">
        <f t="shared" si="102"/>
        <v>0</v>
      </c>
      <c r="EL791" s="237"/>
      <c r="EM791" s="5"/>
      <c r="EN791" s="5"/>
      <c r="EO791" s="5"/>
      <c r="EP791" s="5"/>
      <c r="EQ791" s="237">
        <f t="shared" si="103"/>
        <v>0</v>
      </c>
      <c r="ER791" s="239">
        <v>23300</v>
      </c>
      <c r="ES791" s="5">
        <v>7.5</v>
      </c>
    </row>
    <row r="792" spans="1:149" x14ac:dyDescent="0.3">
      <c r="A792" s="124"/>
      <c r="B792" s="121"/>
      <c r="C792" s="121"/>
      <c r="D792" s="121"/>
      <c r="E792" s="121"/>
      <c r="F792" s="121"/>
      <c r="G792" s="121"/>
      <c r="H792" s="121"/>
      <c r="I792" s="121"/>
      <c r="J792" s="121"/>
      <c r="K792" s="121"/>
      <c r="L792" s="121"/>
      <c r="M792" s="121"/>
      <c r="N792" s="121"/>
      <c r="O792" s="235"/>
      <c r="P792" s="121"/>
      <c r="Q792" s="121"/>
      <c r="R792" s="121"/>
      <c r="S792" s="121"/>
      <c r="T792" s="121"/>
      <c r="U792" s="121"/>
      <c r="V792" s="121"/>
      <c r="W792" s="121"/>
      <c r="X792" s="117"/>
      <c r="Y792" s="117"/>
      <c r="Z792" s="121"/>
      <c r="AA792" s="121"/>
      <c r="AB792" s="121"/>
      <c r="AC792" s="121"/>
      <c r="AD792" s="121"/>
      <c r="AE792" s="121"/>
      <c r="AF792" s="121"/>
      <c r="AG792" s="121"/>
      <c r="AH792" s="121"/>
      <c r="AI792" s="121"/>
      <c r="AJ792" s="121"/>
      <c r="AK792" s="121"/>
      <c r="AL792" s="121"/>
      <c r="AM792" s="121"/>
      <c r="AN792" s="121"/>
      <c r="AO792" s="121"/>
      <c r="AP792" s="121"/>
      <c r="AQ792" s="121"/>
      <c r="AR792" s="121"/>
      <c r="AS792" s="121"/>
      <c r="AT792" s="121"/>
      <c r="AU792" s="121"/>
      <c r="AV792" s="121"/>
      <c r="AW792" s="121"/>
      <c r="AX792" s="121"/>
      <c r="AY792" s="121"/>
      <c r="AZ792" s="121"/>
      <c r="BA792" s="121"/>
      <c r="BB792" s="121"/>
      <c r="BC792" s="121"/>
      <c r="BD792" s="121"/>
      <c r="BE792" s="121"/>
      <c r="BF792" s="121"/>
      <c r="BG792" s="121"/>
      <c r="BH792" s="121"/>
      <c r="BI792" s="121"/>
      <c r="BJ792" s="121"/>
      <c r="BK792" s="121"/>
      <c r="BL792" s="121"/>
      <c r="BM792" s="121"/>
      <c r="BN792" s="121"/>
      <c r="BO792" s="121"/>
      <c r="BP792" s="121"/>
      <c r="BQ792" s="121"/>
      <c r="BR792" s="121"/>
      <c r="BS792" s="121"/>
      <c r="BT792" s="121"/>
      <c r="BU792" s="121"/>
      <c r="BV792" s="121"/>
      <c r="BW792" s="121"/>
      <c r="BX792" s="121"/>
      <c r="BY792" s="121"/>
      <c r="BZ792" s="121"/>
      <c r="CA792" s="121"/>
      <c r="CB792" s="121"/>
      <c r="CC792" s="121"/>
      <c r="CD792" s="121"/>
      <c r="CE792" s="121"/>
      <c r="CF792" s="121"/>
      <c r="CG792" s="121"/>
      <c r="CH792" s="121"/>
      <c r="CI792" s="121"/>
      <c r="CJ792" s="121"/>
      <c r="CK792" s="121"/>
      <c r="CL792" s="121"/>
      <c r="CM792" s="121"/>
      <c r="CN792" s="121"/>
      <c r="CO792" s="121"/>
      <c r="CP792" s="121"/>
      <c r="CQ792" s="121"/>
      <c r="CR792" s="121"/>
      <c r="CS792" s="121"/>
      <c r="CT792" s="121"/>
      <c r="CU792" s="121"/>
      <c r="CV792" s="121"/>
      <c r="CW792" s="121"/>
      <c r="CX792" s="121"/>
      <c r="CY792" s="121"/>
      <c r="CZ792" s="121"/>
      <c r="DA792" s="121"/>
      <c r="DB792" s="121"/>
      <c r="DC792" s="121"/>
      <c r="DD792" s="121"/>
      <c r="DE792" s="121"/>
      <c r="DF792" s="121"/>
      <c r="DG792" s="121"/>
      <c r="DH792" s="121"/>
      <c r="DI792" s="121"/>
      <c r="DJ792" s="121"/>
      <c r="DK792" s="121"/>
      <c r="DL792" s="121"/>
      <c r="DM792" s="121"/>
      <c r="DN792" s="121"/>
      <c r="DO792" s="121"/>
      <c r="DP792" s="121"/>
      <c r="DQ792" s="121"/>
      <c r="DR792" s="121"/>
      <c r="DS792" s="121"/>
      <c r="DT792" s="240"/>
      <c r="DU792" s="240"/>
      <c r="DV792" s="240"/>
      <c r="DW792" s="240"/>
      <c r="DX792" s="240"/>
      <c r="DY792" s="240"/>
      <c r="DZ792" s="240"/>
      <c r="EA792" s="240"/>
      <c r="EB792" s="237">
        <f t="shared" si="96"/>
        <v>0</v>
      </c>
      <c r="EC792" s="237">
        <f t="shared" si="97"/>
        <v>0</v>
      </c>
      <c r="ED792" s="237">
        <f t="shared" si="98"/>
        <v>0</v>
      </c>
      <c r="EE792" s="237">
        <f t="shared" si="99"/>
        <v>0</v>
      </c>
      <c r="EF792" s="121"/>
      <c r="EG792" s="238">
        <f t="shared" si="100"/>
        <v>0</v>
      </c>
      <c r="EH792" s="121"/>
      <c r="EI792" s="237">
        <f t="shared" si="101"/>
        <v>0</v>
      </c>
      <c r="EJ792" s="121"/>
      <c r="EK792" s="237">
        <f t="shared" si="102"/>
        <v>0</v>
      </c>
      <c r="EL792" s="237"/>
      <c r="EM792" s="5"/>
      <c r="EN792" s="5"/>
      <c r="EO792" s="5"/>
      <c r="EP792" s="5"/>
      <c r="EQ792" s="237">
        <f t="shared" si="103"/>
        <v>0</v>
      </c>
      <c r="ER792" s="239">
        <v>23300</v>
      </c>
      <c r="ES792" s="5">
        <v>7.5</v>
      </c>
    </row>
    <row r="793" spans="1:149" x14ac:dyDescent="0.3">
      <c r="A793" s="124"/>
      <c r="B793" s="121"/>
      <c r="C793" s="121"/>
      <c r="D793" s="121"/>
      <c r="E793" s="121"/>
      <c r="F793" s="121"/>
      <c r="G793" s="121"/>
      <c r="H793" s="121"/>
      <c r="I793" s="121"/>
      <c r="J793" s="121"/>
      <c r="K793" s="121"/>
      <c r="L793" s="121"/>
      <c r="M793" s="121"/>
      <c r="N793" s="121"/>
      <c r="O793" s="235"/>
      <c r="P793" s="121"/>
      <c r="Q793" s="121"/>
      <c r="R793" s="121"/>
      <c r="S793" s="121"/>
      <c r="T793" s="121"/>
      <c r="U793" s="121"/>
      <c r="V793" s="121"/>
      <c r="W793" s="121"/>
      <c r="X793" s="117"/>
      <c r="Y793" s="117"/>
      <c r="Z793" s="121"/>
      <c r="AA793" s="121"/>
      <c r="AB793" s="121"/>
      <c r="AC793" s="121"/>
      <c r="AD793" s="121"/>
      <c r="AE793" s="121"/>
      <c r="AF793" s="121"/>
      <c r="AG793" s="121"/>
      <c r="AH793" s="121"/>
      <c r="AI793" s="121"/>
      <c r="AJ793" s="121"/>
      <c r="AK793" s="121"/>
      <c r="AL793" s="121"/>
      <c r="AM793" s="121"/>
      <c r="AN793" s="121"/>
      <c r="AO793" s="121"/>
      <c r="AP793" s="121"/>
      <c r="AQ793" s="121"/>
      <c r="AR793" s="121"/>
      <c r="AS793" s="121"/>
      <c r="AT793" s="121"/>
      <c r="AU793" s="121"/>
      <c r="AV793" s="121"/>
      <c r="AW793" s="121"/>
      <c r="AX793" s="121"/>
      <c r="AY793" s="121"/>
      <c r="AZ793" s="121"/>
      <c r="BA793" s="121"/>
      <c r="BB793" s="121"/>
      <c r="BC793" s="121"/>
      <c r="BD793" s="121"/>
      <c r="BE793" s="121"/>
      <c r="BF793" s="121"/>
      <c r="BG793" s="121"/>
      <c r="BH793" s="121"/>
      <c r="BI793" s="121"/>
      <c r="BJ793" s="121"/>
      <c r="BK793" s="121"/>
      <c r="BL793" s="121"/>
      <c r="BM793" s="121"/>
      <c r="BN793" s="121"/>
      <c r="BO793" s="121"/>
      <c r="BP793" s="121"/>
      <c r="BQ793" s="121"/>
      <c r="BR793" s="121"/>
      <c r="BS793" s="121"/>
      <c r="BT793" s="121"/>
      <c r="BU793" s="121"/>
      <c r="BV793" s="121"/>
      <c r="BW793" s="121"/>
      <c r="BX793" s="121"/>
      <c r="BY793" s="121"/>
      <c r="BZ793" s="121"/>
      <c r="CA793" s="121"/>
      <c r="CB793" s="121"/>
      <c r="CC793" s="121"/>
      <c r="CD793" s="121"/>
      <c r="CE793" s="121"/>
      <c r="CF793" s="121"/>
      <c r="CG793" s="121"/>
      <c r="CH793" s="121"/>
      <c r="CI793" s="121"/>
      <c r="CJ793" s="121"/>
      <c r="CK793" s="121"/>
      <c r="CL793" s="121"/>
      <c r="CM793" s="121"/>
      <c r="CN793" s="121"/>
      <c r="CO793" s="121"/>
      <c r="CP793" s="121"/>
      <c r="CQ793" s="121"/>
      <c r="CR793" s="121"/>
      <c r="CS793" s="121"/>
      <c r="CT793" s="121"/>
      <c r="CU793" s="121"/>
      <c r="CV793" s="121"/>
      <c r="CW793" s="121"/>
      <c r="CX793" s="121"/>
      <c r="CY793" s="121"/>
      <c r="CZ793" s="121"/>
      <c r="DA793" s="121"/>
      <c r="DB793" s="121"/>
      <c r="DC793" s="121"/>
      <c r="DD793" s="121"/>
      <c r="DE793" s="121"/>
      <c r="DF793" s="121"/>
      <c r="DG793" s="121"/>
      <c r="DH793" s="121"/>
      <c r="DI793" s="121"/>
      <c r="DJ793" s="121"/>
      <c r="DK793" s="121"/>
      <c r="DL793" s="121"/>
      <c r="DM793" s="121"/>
      <c r="DN793" s="121"/>
      <c r="DO793" s="121"/>
      <c r="DP793" s="121"/>
      <c r="DQ793" s="121"/>
      <c r="DR793" s="121"/>
      <c r="DS793" s="121"/>
      <c r="DT793" s="240"/>
      <c r="DU793" s="240"/>
      <c r="DV793" s="240"/>
      <c r="DW793" s="240"/>
      <c r="DX793" s="240"/>
      <c r="DY793" s="240"/>
      <c r="DZ793" s="240"/>
      <c r="EA793" s="240"/>
      <c r="EB793" s="237">
        <f t="shared" si="96"/>
        <v>0</v>
      </c>
      <c r="EC793" s="237">
        <f t="shared" si="97"/>
        <v>0</v>
      </c>
      <c r="ED793" s="237">
        <f t="shared" si="98"/>
        <v>0</v>
      </c>
      <c r="EE793" s="237">
        <f t="shared" si="99"/>
        <v>0</v>
      </c>
      <c r="EF793" s="121"/>
      <c r="EG793" s="238">
        <f t="shared" si="100"/>
        <v>0</v>
      </c>
      <c r="EH793" s="121"/>
      <c r="EI793" s="237">
        <f t="shared" si="101"/>
        <v>0</v>
      </c>
      <c r="EJ793" s="121"/>
      <c r="EK793" s="237">
        <f t="shared" si="102"/>
        <v>0</v>
      </c>
      <c r="EL793" s="237"/>
      <c r="EM793" s="5"/>
      <c r="EN793" s="5"/>
      <c r="EO793" s="5"/>
      <c r="EP793" s="5"/>
      <c r="EQ793" s="237">
        <f t="shared" si="103"/>
        <v>0</v>
      </c>
      <c r="ER793" s="239">
        <v>23300</v>
      </c>
      <c r="ES793" s="5">
        <v>7.5</v>
      </c>
    </row>
    <row r="794" spans="1:149" x14ac:dyDescent="0.3">
      <c r="A794" s="124"/>
      <c r="B794" s="121"/>
      <c r="C794" s="121"/>
      <c r="D794" s="121"/>
      <c r="E794" s="121"/>
      <c r="F794" s="121"/>
      <c r="G794" s="121"/>
      <c r="H794" s="121"/>
      <c r="I794" s="121"/>
      <c r="J794" s="121"/>
      <c r="K794" s="121"/>
      <c r="L794" s="121"/>
      <c r="M794" s="121"/>
      <c r="N794" s="121"/>
      <c r="O794" s="235"/>
      <c r="P794" s="121"/>
      <c r="Q794" s="121"/>
      <c r="R794" s="121"/>
      <c r="S794" s="121"/>
      <c r="T794" s="121"/>
      <c r="U794" s="121"/>
      <c r="V794" s="121"/>
      <c r="W794" s="121"/>
      <c r="X794" s="117"/>
      <c r="Y794" s="117"/>
      <c r="Z794" s="121"/>
      <c r="AA794" s="121"/>
      <c r="AB794" s="121"/>
      <c r="AC794" s="121"/>
      <c r="AD794" s="121"/>
      <c r="AE794" s="121"/>
      <c r="AF794" s="121"/>
      <c r="AG794" s="121"/>
      <c r="AH794" s="121"/>
      <c r="AI794" s="121"/>
      <c r="AJ794" s="121"/>
      <c r="AK794" s="121"/>
      <c r="AL794" s="121"/>
      <c r="AM794" s="121"/>
      <c r="AN794" s="121"/>
      <c r="AO794" s="121"/>
      <c r="AP794" s="121"/>
      <c r="AQ794" s="121"/>
      <c r="AR794" s="121"/>
      <c r="AS794" s="121"/>
      <c r="AT794" s="121"/>
      <c r="AU794" s="121"/>
      <c r="AV794" s="121"/>
      <c r="AW794" s="121"/>
      <c r="AX794" s="121"/>
      <c r="AY794" s="121"/>
      <c r="AZ794" s="121"/>
      <c r="BA794" s="121"/>
      <c r="BB794" s="121"/>
      <c r="BC794" s="121"/>
      <c r="BD794" s="121"/>
      <c r="BE794" s="121"/>
      <c r="BF794" s="121"/>
      <c r="BG794" s="121"/>
      <c r="BH794" s="121"/>
      <c r="BI794" s="121"/>
      <c r="BJ794" s="121"/>
      <c r="BK794" s="121"/>
      <c r="BL794" s="121"/>
      <c r="BM794" s="121"/>
      <c r="BN794" s="121"/>
      <c r="BO794" s="121"/>
      <c r="BP794" s="121"/>
      <c r="BQ794" s="121"/>
      <c r="BR794" s="121"/>
      <c r="BS794" s="121"/>
      <c r="BT794" s="121"/>
      <c r="BU794" s="121"/>
      <c r="BV794" s="121"/>
      <c r="BW794" s="121"/>
      <c r="BX794" s="121"/>
      <c r="BY794" s="121"/>
      <c r="BZ794" s="121"/>
      <c r="CA794" s="121"/>
      <c r="CB794" s="121"/>
      <c r="CC794" s="121"/>
      <c r="CD794" s="121"/>
      <c r="CE794" s="121"/>
      <c r="CF794" s="121"/>
      <c r="CG794" s="121"/>
      <c r="CH794" s="121"/>
      <c r="CI794" s="121"/>
      <c r="CJ794" s="121"/>
      <c r="CK794" s="121"/>
      <c r="CL794" s="121"/>
      <c r="CM794" s="121"/>
      <c r="CN794" s="121"/>
      <c r="CO794" s="121"/>
      <c r="CP794" s="121"/>
      <c r="CQ794" s="121"/>
      <c r="CR794" s="121"/>
      <c r="CS794" s="121"/>
      <c r="CT794" s="121"/>
      <c r="CU794" s="121"/>
      <c r="CV794" s="121"/>
      <c r="CW794" s="121"/>
      <c r="CX794" s="121"/>
      <c r="CY794" s="121"/>
      <c r="CZ794" s="121"/>
      <c r="DA794" s="121"/>
      <c r="DB794" s="121"/>
      <c r="DC794" s="121"/>
      <c r="DD794" s="121"/>
      <c r="DE794" s="121"/>
      <c r="DF794" s="121"/>
      <c r="DG794" s="121"/>
      <c r="DH794" s="121"/>
      <c r="DI794" s="121"/>
      <c r="DJ794" s="121"/>
      <c r="DK794" s="121"/>
      <c r="DL794" s="121"/>
      <c r="DM794" s="121"/>
      <c r="DN794" s="121"/>
      <c r="DO794" s="121"/>
      <c r="DP794" s="121"/>
      <c r="DQ794" s="121"/>
      <c r="DR794" s="121"/>
      <c r="DS794" s="121"/>
      <c r="DT794" s="240"/>
      <c r="DU794" s="240"/>
      <c r="DV794" s="240"/>
      <c r="DW794" s="240"/>
      <c r="DX794" s="240"/>
      <c r="DY794" s="240"/>
      <c r="DZ794" s="240"/>
      <c r="EA794" s="240"/>
      <c r="EB794" s="237">
        <f t="shared" si="96"/>
        <v>0</v>
      </c>
      <c r="EC794" s="237">
        <f t="shared" si="97"/>
        <v>0</v>
      </c>
      <c r="ED794" s="237">
        <f t="shared" si="98"/>
        <v>0</v>
      </c>
      <c r="EE794" s="237">
        <f t="shared" si="99"/>
        <v>0</v>
      </c>
      <c r="EF794" s="121"/>
      <c r="EG794" s="238">
        <f t="shared" si="100"/>
        <v>0</v>
      </c>
      <c r="EH794" s="121"/>
      <c r="EI794" s="237">
        <f t="shared" si="101"/>
        <v>0</v>
      </c>
      <c r="EJ794" s="121"/>
      <c r="EK794" s="237">
        <f t="shared" si="102"/>
        <v>0</v>
      </c>
      <c r="EL794" s="237"/>
      <c r="EM794" s="5"/>
      <c r="EN794" s="5"/>
      <c r="EO794" s="5"/>
      <c r="EP794" s="5"/>
      <c r="EQ794" s="237">
        <f t="shared" si="103"/>
        <v>0</v>
      </c>
      <c r="ER794" s="239">
        <v>23300</v>
      </c>
      <c r="ES794" s="5">
        <v>7.5</v>
      </c>
    </row>
    <row r="795" spans="1:149" x14ac:dyDescent="0.3">
      <c r="A795" s="124"/>
      <c r="B795" s="121"/>
      <c r="C795" s="121"/>
      <c r="D795" s="121"/>
      <c r="E795" s="121"/>
      <c r="F795" s="121"/>
      <c r="G795" s="121"/>
      <c r="H795" s="121"/>
      <c r="I795" s="121"/>
      <c r="J795" s="121"/>
      <c r="K795" s="121"/>
      <c r="L795" s="121"/>
      <c r="M795" s="121"/>
      <c r="N795" s="121"/>
      <c r="O795" s="235"/>
      <c r="P795" s="121"/>
      <c r="Q795" s="121"/>
      <c r="R795" s="121"/>
      <c r="S795" s="121"/>
      <c r="T795" s="121"/>
      <c r="U795" s="121"/>
      <c r="V795" s="121"/>
      <c r="W795" s="121"/>
      <c r="X795" s="117"/>
      <c r="Y795" s="117"/>
      <c r="Z795" s="121"/>
      <c r="AA795" s="121"/>
      <c r="AB795" s="121"/>
      <c r="AC795" s="121"/>
      <c r="AD795" s="121"/>
      <c r="AE795" s="121"/>
      <c r="AF795" s="121"/>
      <c r="AG795" s="121"/>
      <c r="AH795" s="121"/>
      <c r="AI795" s="121"/>
      <c r="AJ795" s="121"/>
      <c r="AK795" s="121"/>
      <c r="AL795" s="121"/>
      <c r="AM795" s="121"/>
      <c r="AN795" s="121"/>
      <c r="AO795" s="121"/>
      <c r="AP795" s="121"/>
      <c r="AQ795" s="121"/>
      <c r="AR795" s="121"/>
      <c r="AS795" s="121"/>
      <c r="AT795" s="121"/>
      <c r="AU795" s="121"/>
      <c r="AV795" s="121"/>
      <c r="AW795" s="121"/>
      <c r="AX795" s="121"/>
      <c r="AY795" s="121"/>
      <c r="AZ795" s="121"/>
      <c r="BA795" s="121"/>
      <c r="BB795" s="121"/>
      <c r="BC795" s="121"/>
      <c r="BD795" s="121"/>
      <c r="BE795" s="121"/>
      <c r="BF795" s="121"/>
      <c r="BG795" s="121"/>
      <c r="BH795" s="121"/>
      <c r="BI795" s="121"/>
      <c r="BJ795" s="121"/>
      <c r="BK795" s="121"/>
      <c r="BL795" s="121"/>
      <c r="BM795" s="121"/>
      <c r="BN795" s="121"/>
      <c r="BO795" s="121"/>
      <c r="BP795" s="121"/>
      <c r="BQ795" s="121"/>
      <c r="BR795" s="121"/>
      <c r="BS795" s="121"/>
      <c r="BT795" s="121"/>
      <c r="BU795" s="121"/>
      <c r="BV795" s="121"/>
      <c r="BW795" s="121"/>
      <c r="BX795" s="121"/>
      <c r="BY795" s="121"/>
      <c r="BZ795" s="121"/>
      <c r="CA795" s="121"/>
      <c r="CB795" s="121"/>
      <c r="CC795" s="121"/>
      <c r="CD795" s="121"/>
      <c r="CE795" s="121"/>
      <c r="CF795" s="121"/>
      <c r="CG795" s="121"/>
      <c r="CH795" s="121"/>
      <c r="CI795" s="121"/>
      <c r="CJ795" s="121"/>
      <c r="CK795" s="121"/>
      <c r="CL795" s="121"/>
      <c r="CM795" s="121"/>
      <c r="CN795" s="121"/>
      <c r="CO795" s="121"/>
      <c r="CP795" s="121"/>
      <c r="CQ795" s="121"/>
      <c r="CR795" s="121"/>
      <c r="CS795" s="121"/>
      <c r="CT795" s="121"/>
      <c r="CU795" s="121"/>
      <c r="CV795" s="121"/>
      <c r="CW795" s="121"/>
      <c r="CX795" s="121"/>
      <c r="CY795" s="121"/>
      <c r="CZ795" s="121"/>
      <c r="DA795" s="121"/>
      <c r="DB795" s="121"/>
      <c r="DC795" s="121"/>
      <c r="DD795" s="121"/>
      <c r="DE795" s="121"/>
      <c r="DF795" s="121"/>
      <c r="DG795" s="121"/>
      <c r="DH795" s="121"/>
      <c r="DI795" s="121"/>
      <c r="DJ795" s="121"/>
      <c r="DK795" s="121"/>
      <c r="DL795" s="121"/>
      <c r="DM795" s="121"/>
      <c r="DN795" s="121"/>
      <c r="DO795" s="121"/>
      <c r="DP795" s="121"/>
      <c r="DQ795" s="121"/>
      <c r="DR795" s="121"/>
      <c r="DS795" s="121"/>
      <c r="DT795" s="240"/>
      <c r="DU795" s="240"/>
      <c r="DV795" s="240"/>
      <c r="DW795" s="240"/>
      <c r="DX795" s="240"/>
      <c r="DY795" s="240"/>
      <c r="DZ795" s="240"/>
      <c r="EA795" s="240"/>
      <c r="EB795" s="237">
        <f t="shared" si="96"/>
        <v>0</v>
      </c>
      <c r="EC795" s="237">
        <f t="shared" si="97"/>
        <v>0</v>
      </c>
      <c r="ED795" s="237">
        <f t="shared" si="98"/>
        <v>0</v>
      </c>
      <c r="EE795" s="237">
        <f t="shared" si="99"/>
        <v>0</v>
      </c>
      <c r="EF795" s="121"/>
      <c r="EG795" s="238">
        <f t="shared" si="100"/>
        <v>0</v>
      </c>
      <c r="EH795" s="121"/>
      <c r="EI795" s="237">
        <f t="shared" si="101"/>
        <v>0</v>
      </c>
      <c r="EJ795" s="121"/>
      <c r="EK795" s="237">
        <f t="shared" si="102"/>
        <v>0</v>
      </c>
      <c r="EL795" s="237"/>
      <c r="EM795" s="5"/>
      <c r="EN795" s="5"/>
      <c r="EO795" s="5"/>
      <c r="EP795" s="5"/>
      <c r="EQ795" s="237">
        <f t="shared" si="103"/>
        <v>0</v>
      </c>
      <c r="ER795" s="239">
        <v>23300</v>
      </c>
      <c r="ES795" s="5">
        <v>7.5</v>
      </c>
    </row>
    <row r="796" spans="1:149" x14ac:dyDescent="0.3">
      <c r="A796" s="124"/>
      <c r="B796" s="121"/>
      <c r="C796" s="121"/>
      <c r="D796" s="121"/>
      <c r="E796" s="121"/>
      <c r="F796" s="121"/>
      <c r="G796" s="121"/>
      <c r="H796" s="121"/>
      <c r="I796" s="121"/>
      <c r="J796" s="121"/>
      <c r="K796" s="121"/>
      <c r="L796" s="121"/>
      <c r="M796" s="121"/>
      <c r="N796" s="121"/>
      <c r="O796" s="235"/>
      <c r="P796" s="121"/>
      <c r="Q796" s="121"/>
      <c r="R796" s="121"/>
      <c r="S796" s="121"/>
      <c r="T796" s="121"/>
      <c r="U796" s="121"/>
      <c r="V796" s="121"/>
      <c r="W796" s="121"/>
      <c r="X796" s="117"/>
      <c r="Y796" s="117"/>
      <c r="Z796" s="121"/>
      <c r="AA796" s="121"/>
      <c r="AB796" s="121"/>
      <c r="AC796" s="121"/>
      <c r="AD796" s="121"/>
      <c r="AE796" s="121"/>
      <c r="AF796" s="121"/>
      <c r="AG796" s="121"/>
      <c r="AH796" s="121"/>
      <c r="AI796" s="121"/>
      <c r="AJ796" s="121"/>
      <c r="AK796" s="121"/>
      <c r="AL796" s="121"/>
      <c r="AM796" s="121"/>
      <c r="AN796" s="121"/>
      <c r="AO796" s="121"/>
      <c r="AP796" s="121"/>
      <c r="AQ796" s="121"/>
      <c r="AR796" s="121"/>
      <c r="AS796" s="121"/>
      <c r="AT796" s="121"/>
      <c r="AU796" s="121"/>
      <c r="AV796" s="121"/>
      <c r="AW796" s="121"/>
      <c r="AX796" s="121"/>
      <c r="AY796" s="121"/>
      <c r="AZ796" s="121"/>
      <c r="BA796" s="121"/>
      <c r="BB796" s="121"/>
      <c r="BC796" s="121"/>
      <c r="BD796" s="121"/>
      <c r="BE796" s="121"/>
      <c r="BF796" s="121"/>
      <c r="BG796" s="121"/>
      <c r="BH796" s="121"/>
      <c r="BI796" s="121"/>
      <c r="BJ796" s="121"/>
      <c r="BK796" s="121"/>
      <c r="BL796" s="121"/>
      <c r="BM796" s="121"/>
      <c r="BN796" s="121"/>
      <c r="BO796" s="121"/>
      <c r="BP796" s="121"/>
      <c r="BQ796" s="121"/>
      <c r="BR796" s="121"/>
      <c r="BS796" s="121"/>
      <c r="BT796" s="121"/>
      <c r="BU796" s="121"/>
      <c r="BV796" s="121"/>
      <c r="BW796" s="121"/>
      <c r="BX796" s="121"/>
      <c r="BY796" s="121"/>
      <c r="BZ796" s="121"/>
      <c r="CA796" s="121"/>
      <c r="CB796" s="121"/>
      <c r="CC796" s="121"/>
      <c r="CD796" s="121"/>
      <c r="CE796" s="121"/>
      <c r="CF796" s="121"/>
      <c r="CG796" s="121"/>
      <c r="CH796" s="121"/>
      <c r="CI796" s="121"/>
      <c r="CJ796" s="121"/>
      <c r="CK796" s="121"/>
      <c r="CL796" s="121"/>
      <c r="CM796" s="121"/>
      <c r="CN796" s="121"/>
      <c r="CO796" s="121"/>
      <c r="CP796" s="121"/>
      <c r="CQ796" s="121"/>
      <c r="CR796" s="121"/>
      <c r="CS796" s="121"/>
      <c r="CT796" s="121"/>
      <c r="CU796" s="121"/>
      <c r="CV796" s="121"/>
      <c r="CW796" s="121"/>
      <c r="CX796" s="121"/>
      <c r="CY796" s="121"/>
      <c r="CZ796" s="121"/>
      <c r="DA796" s="121"/>
      <c r="DB796" s="121"/>
      <c r="DC796" s="121"/>
      <c r="DD796" s="121"/>
      <c r="DE796" s="121"/>
      <c r="DF796" s="121"/>
      <c r="DG796" s="121"/>
      <c r="DH796" s="121"/>
      <c r="DI796" s="121"/>
      <c r="DJ796" s="121"/>
      <c r="DK796" s="121"/>
      <c r="DL796" s="121"/>
      <c r="DM796" s="121"/>
      <c r="DN796" s="121"/>
      <c r="DO796" s="121"/>
      <c r="DP796" s="121"/>
      <c r="DQ796" s="121"/>
      <c r="DR796" s="121"/>
      <c r="DS796" s="121"/>
      <c r="DT796" s="240"/>
      <c r="DU796" s="240"/>
      <c r="DV796" s="240"/>
      <c r="DW796" s="240"/>
      <c r="DX796" s="240"/>
      <c r="DY796" s="240"/>
      <c r="DZ796" s="240"/>
      <c r="EA796" s="240"/>
      <c r="EB796" s="237">
        <f t="shared" si="96"/>
        <v>0</v>
      </c>
      <c r="EC796" s="237">
        <f t="shared" si="97"/>
        <v>0</v>
      </c>
      <c r="ED796" s="237">
        <f t="shared" si="98"/>
        <v>0</v>
      </c>
      <c r="EE796" s="237">
        <f t="shared" si="99"/>
        <v>0</v>
      </c>
      <c r="EF796" s="121"/>
      <c r="EG796" s="238">
        <f t="shared" si="100"/>
        <v>0</v>
      </c>
      <c r="EH796" s="121"/>
      <c r="EI796" s="237">
        <f t="shared" si="101"/>
        <v>0</v>
      </c>
      <c r="EJ796" s="121"/>
      <c r="EK796" s="237">
        <f t="shared" si="102"/>
        <v>0</v>
      </c>
      <c r="EL796" s="237"/>
      <c r="EM796" s="5"/>
      <c r="EN796" s="5"/>
      <c r="EO796" s="5"/>
      <c r="EP796" s="5"/>
      <c r="EQ796" s="237">
        <f t="shared" si="103"/>
        <v>0</v>
      </c>
      <c r="ER796" s="239">
        <v>23300</v>
      </c>
      <c r="ES796" s="5">
        <v>7.5</v>
      </c>
    </row>
    <row r="797" spans="1:149" x14ac:dyDescent="0.3">
      <c r="A797" s="124"/>
      <c r="B797" s="121"/>
      <c r="C797" s="121"/>
      <c r="D797" s="121"/>
      <c r="E797" s="121"/>
      <c r="F797" s="121"/>
      <c r="G797" s="121"/>
      <c r="H797" s="121"/>
      <c r="I797" s="121"/>
      <c r="J797" s="121"/>
      <c r="K797" s="121"/>
      <c r="L797" s="121"/>
      <c r="M797" s="121"/>
      <c r="N797" s="121"/>
      <c r="O797" s="235"/>
      <c r="P797" s="121"/>
      <c r="Q797" s="121"/>
      <c r="R797" s="121"/>
      <c r="S797" s="121"/>
      <c r="T797" s="121"/>
      <c r="U797" s="121"/>
      <c r="V797" s="121"/>
      <c r="W797" s="121"/>
      <c r="X797" s="117"/>
      <c r="Y797" s="117"/>
      <c r="Z797" s="121"/>
      <c r="AA797" s="121"/>
      <c r="AB797" s="121"/>
      <c r="AC797" s="121"/>
      <c r="AD797" s="121"/>
      <c r="AE797" s="121"/>
      <c r="AF797" s="121"/>
      <c r="AG797" s="121"/>
      <c r="AH797" s="121"/>
      <c r="AI797" s="121"/>
      <c r="AJ797" s="121"/>
      <c r="AK797" s="121"/>
      <c r="AL797" s="121"/>
      <c r="AM797" s="121"/>
      <c r="AN797" s="121"/>
      <c r="AO797" s="121"/>
      <c r="AP797" s="121"/>
      <c r="AQ797" s="121"/>
      <c r="AR797" s="121"/>
      <c r="AS797" s="121"/>
      <c r="AT797" s="121"/>
      <c r="AU797" s="121"/>
      <c r="AV797" s="121"/>
      <c r="AW797" s="121"/>
      <c r="AX797" s="121"/>
      <c r="AY797" s="121"/>
      <c r="AZ797" s="121"/>
      <c r="BA797" s="121"/>
      <c r="BB797" s="121"/>
      <c r="BC797" s="121"/>
      <c r="BD797" s="121"/>
      <c r="BE797" s="121"/>
      <c r="BF797" s="121"/>
      <c r="BG797" s="121"/>
      <c r="BH797" s="121"/>
      <c r="BI797" s="121"/>
      <c r="BJ797" s="121"/>
      <c r="BK797" s="121"/>
      <c r="BL797" s="121"/>
      <c r="BM797" s="121"/>
      <c r="BN797" s="121"/>
      <c r="BO797" s="121"/>
      <c r="BP797" s="121"/>
      <c r="BQ797" s="121"/>
      <c r="BR797" s="121"/>
      <c r="BS797" s="121"/>
      <c r="BT797" s="121"/>
      <c r="BU797" s="121"/>
      <c r="BV797" s="121"/>
      <c r="BW797" s="121"/>
      <c r="BX797" s="121"/>
      <c r="BY797" s="121"/>
      <c r="BZ797" s="121"/>
      <c r="CA797" s="121"/>
      <c r="CB797" s="121"/>
      <c r="CC797" s="121"/>
      <c r="CD797" s="121"/>
      <c r="CE797" s="121"/>
      <c r="CF797" s="121"/>
      <c r="CG797" s="121"/>
      <c r="CH797" s="121"/>
      <c r="CI797" s="121"/>
      <c r="CJ797" s="121"/>
      <c r="CK797" s="121"/>
      <c r="CL797" s="121"/>
      <c r="CM797" s="121"/>
      <c r="CN797" s="121"/>
      <c r="CO797" s="121"/>
      <c r="CP797" s="121"/>
      <c r="CQ797" s="121"/>
      <c r="CR797" s="121"/>
      <c r="CS797" s="121"/>
      <c r="CT797" s="121"/>
      <c r="CU797" s="121"/>
      <c r="CV797" s="121"/>
      <c r="CW797" s="121"/>
      <c r="CX797" s="121"/>
      <c r="CY797" s="121"/>
      <c r="CZ797" s="121"/>
      <c r="DA797" s="121"/>
      <c r="DB797" s="121"/>
      <c r="DC797" s="121"/>
      <c r="DD797" s="121"/>
      <c r="DE797" s="121"/>
      <c r="DF797" s="121"/>
      <c r="DG797" s="121"/>
      <c r="DH797" s="121"/>
      <c r="DI797" s="121"/>
      <c r="DJ797" s="121"/>
      <c r="DK797" s="121"/>
      <c r="DL797" s="121"/>
      <c r="DM797" s="121"/>
      <c r="DN797" s="121"/>
      <c r="DO797" s="121"/>
      <c r="DP797" s="121"/>
      <c r="DQ797" s="121"/>
      <c r="DR797" s="121"/>
      <c r="DS797" s="121"/>
      <c r="DT797" s="240"/>
      <c r="DU797" s="240"/>
      <c r="DV797" s="240"/>
      <c r="DW797" s="240"/>
      <c r="DX797" s="240"/>
      <c r="DY797" s="240"/>
      <c r="DZ797" s="240"/>
      <c r="EA797" s="240"/>
      <c r="EB797" s="237">
        <f t="shared" si="96"/>
        <v>0</v>
      </c>
      <c r="EC797" s="237">
        <f t="shared" si="97"/>
        <v>0</v>
      </c>
      <c r="ED797" s="237">
        <f t="shared" si="98"/>
        <v>0</v>
      </c>
      <c r="EE797" s="237">
        <f t="shared" si="99"/>
        <v>0</v>
      </c>
      <c r="EF797" s="121"/>
      <c r="EG797" s="238">
        <f t="shared" si="100"/>
        <v>0</v>
      </c>
      <c r="EH797" s="121"/>
      <c r="EI797" s="237">
        <f t="shared" si="101"/>
        <v>0</v>
      </c>
      <c r="EJ797" s="121"/>
      <c r="EK797" s="237">
        <f t="shared" si="102"/>
        <v>0</v>
      </c>
      <c r="EL797" s="237"/>
      <c r="EM797" s="5"/>
      <c r="EN797" s="5"/>
      <c r="EO797" s="5"/>
      <c r="EP797" s="5"/>
      <c r="EQ797" s="237">
        <f t="shared" si="103"/>
        <v>0</v>
      </c>
      <c r="ER797" s="239">
        <v>23300</v>
      </c>
      <c r="ES797" s="5">
        <v>7.5</v>
      </c>
    </row>
    <row r="798" spans="1:149" x14ac:dyDescent="0.3">
      <c r="A798" s="124"/>
      <c r="B798" s="121"/>
      <c r="C798" s="121"/>
      <c r="D798" s="121"/>
      <c r="E798" s="121"/>
      <c r="F798" s="121"/>
      <c r="G798" s="121"/>
      <c r="H798" s="121"/>
      <c r="I798" s="121"/>
      <c r="J798" s="121"/>
      <c r="K798" s="121"/>
      <c r="L798" s="121"/>
      <c r="M798" s="121"/>
      <c r="N798" s="121"/>
      <c r="O798" s="235"/>
      <c r="P798" s="121"/>
      <c r="Q798" s="121"/>
      <c r="R798" s="121"/>
      <c r="S798" s="121"/>
      <c r="T798" s="121"/>
      <c r="U798" s="121"/>
      <c r="V798" s="121"/>
      <c r="W798" s="121"/>
      <c r="X798" s="117"/>
      <c r="Y798" s="117"/>
      <c r="Z798" s="121"/>
      <c r="AA798" s="121"/>
      <c r="AB798" s="121"/>
      <c r="AC798" s="121"/>
      <c r="AD798" s="121"/>
      <c r="AE798" s="121"/>
      <c r="AF798" s="121"/>
      <c r="AG798" s="121"/>
      <c r="AH798" s="121"/>
      <c r="AI798" s="121"/>
      <c r="AJ798" s="121"/>
      <c r="AK798" s="121"/>
      <c r="AL798" s="121"/>
      <c r="AM798" s="121"/>
      <c r="AN798" s="121"/>
      <c r="AO798" s="121"/>
      <c r="AP798" s="121"/>
      <c r="AQ798" s="121"/>
      <c r="AR798" s="121"/>
      <c r="AS798" s="121"/>
      <c r="AT798" s="121"/>
      <c r="AU798" s="121"/>
      <c r="AV798" s="121"/>
      <c r="AW798" s="121"/>
      <c r="AX798" s="121"/>
      <c r="AY798" s="121"/>
      <c r="AZ798" s="121"/>
      <c r="BA798" s="121"/>
      <c r="BB798" s="121"/>
      <c r="BC798" s="121"/>
      <c r="BD798" s="121"/>
      <c r="BE798" s="121"/>
      <c r="BF798" s="121"/>
      <c r="BG798" s="121"/>
      <c r="BH798" s="121"/>
      <c r="BI798" s="121"/>
      <c r="BJ798" s="121"/>
      <c r="BK798" s="121"/>
      <c r="BL798" s="121"/>
      <c r="BM798" s="121"/>
      <c r="BN798" s="121"/>
      <c r="BO798" s="121"/>
      <c r="BP798" s="121"/>
      <c r="BQ798" s="121"/>
      <c r="BR798" s="121"/>
      <c r="BS798" s="121"/>
      <c r="BT798" s="121"/>
      <c r="BU798" s="121"/>
      <c r="BV798" s="121"/>
      <c r="BW798" s="121"/>
      <c r="BX798" s="121"/>
      <c r="BY798" s="121"/>
      <c r="BZ798" s="121"/>
      <c r="CA798" s="121"/>
      <c r="CB798" s="121"/>
      <c r="CC798" s="121"/>
      <c r="CD798" s="121"/>
      <c r="CE798" s="121"/>
      <c r="CF798" s="121"/>
      <c r="CG798" s="121"/>
      <c r="CH798" s="121"/>
      <c r="CI798" s="121"/>
      <c r="CJ798" s="121"/>
      <c r="CK798" s="121"/>
      <c r="CL798" s="121"/>
      <c r="CM798" s="121"/>
      <c r="CN798" s="121"/>
      <c r="CO798" s="121"/>
      <c r="CP798" s="121"/>
      <c r="CQ798" s="121"/>
      <c r="CR798" s="121"/>
      <c r="CS798" s="121"/>
      <c r="CT798" s="121"/>
      <c r="CU798" s="121"/>
      <c r="CV798" s="121"/>
      <c r="CW798" s="121"/>
      <c r="CX798" s="121"/>
      <c r="CY798" s="121"/>
      <c r="CZ798" s="121"/>
      <c r="DA798" s="121"/>
      <c r="DB798" s="121"/>
      <c r="DC798" s="121"/>
      <c r="DD798" s="121"/>
      <c r="DE798" s="121"/>
      <c r="DF798" s="121"/>
      <c r="DG798" s="121"/>
      <c r="DH798" s="121"/>
      <c r="DI798" s="121"/>
      <c r="DJ798" s="121"/>
      <c r="DK798" s="121"/>
      <c r="DL798" s="121"/>
      <c r="DM798" s="121"/>
      <c r="DN798" s="121"/>
      <c r="DO798" s="121"/>
      <c r="DP798" s="121"/>
      <c r="DQ798" s="121"/>
      <c r="DR798" s="121"/>
      <c r="DS798" s="121"/>
      <c r="DT798" s="240"/>
      <c r="DU798" s="240"/>
      <c r="DV798" s="240"/>
      <c r="DW798" s="240"/>
      <c r="DX798" s="240"/>
      <c r="DY798" s="240"/>
      <c r="DZ798" s="240"/>
      <c r="EA798" s="240"/>
      <c r="EB798" s="237">
        <f t="shared" si="96"/>
        <v>0</v>
      </c>
      <c r="EC798" s="237">
        <f t="shared" si="97"/>
        <v>0</v>
      </c>
      <c r="ED798" s="237">
        <f t="shared" si="98"/>
        <v>0</v>
      </c>
      <c r="EE798" s="237">
        <f t="shared" si="99"/>
        <v>0</v>
      </c>
      <c r="EF798" s="121"/>
      <c r="EG798" s="238">
        <f t="shared" si="100"/>
        <v>0</v>
      </c>
      <c r="EH798" s="121"/>
      <c r="EI798" s="237">
        <f t="shared" si="101"/>
        <v>0</v>
      </c>
      <c r="EJ798" s="121"/>
      <c r="EK798" s="237">
        <f t="shared" si="102"/>
        <v>0</v>
      </c>
      <c r="EL798" s="237"/>
      <c r="EM798" s="5"/>
      <c r="EN798" s="5"/>
      <c r="EO798" s="5"/>
      <c r="EP798" s="5"/>
      <c r="EQ798" s="237">
        <f t="shared" si="103"/>
        <v>0</v>
      </c>
      <c r="ER798" s="239">
        <v>23300</v>
      </c>
      <c r="ES798" s="5">
        <v>7.5</v>
      </c>
    </row>
    <row r="799" spans="1:149" x14ac:dyDescent="0.3">
      <c r="A799" s="124"/>
      <c r="B799" s="121"/>
      <c r="C799" s="121"/>
      <c r="D799" s="121"/>
      <c r="E799" s="121"/>
      <c r="F799" s="121"/>
      <c r="G799" s="121"/>
      <c r="H799" s="121"/>
      <c r="I799" s="121"/>
      <c r="J799" s="121"/>
      <c r="K799" s="121"/>
      <c r="L799" s="121"/>
      <c r="M799" s="121"/>
      <c r="N799" s="121"/>
      <c r="O799" s="235"/>
      <c r="P799" s="121"/>
      <c r="Q799" s="121"/>
      <c r="R799" s="121"/>
      <c r="S799" s="121"/>
      <c r="T799" s="121"/>
      <c r="U799" s="121"/>
      <c r="V799" s="121"/>
      <c r="W799" s="121"/>
      <c r="X799" s="117"/>
      <c r="Y799" s="117"/>
      <c r="Z799" s="121"/>
      <c r="AA799" s="121"/>
      <c r="AB799" s="121"/>
      <c r="AC799" s="121"/>
      <c r="AD799" s="121"/>
      <c r="AE799" s="121"/>
      <c r="AF799" s="121"/>
      <c r="AG799" s="121"/>
      <c r="AH799" s="121"/>
      <c r="AI799" s="121"/>
      <c r="AJ799" s="121"/>
      <c r="AK799" s="121"/>
      <c r="AL799" s="121"/>
      <c r="AM799" s="121"/>
      <c r="AN799" s="121"/>
      <c r="AO799" s="121"/>
      <c r="AP799" s="121"/>
      <c r="AQ799" s="121"/>
      <c r="AR799" s="121"/>
      <c r="AS799" s="121"/>
      <c r="AT799" s="121"/>
      <c r="AU799" s="121"/>
      <c r="AV799" s="121"/>
      <c r="AW799" s="121"/>
      <c r="AX799" s="121"/>
      <c r="AY799" s="121"/>
      <c r="AZ799" s="121"/>
      <c r="BA799" s="121"/>
      <c r="BB799" s="121"/>
      <c r="BC799" s="121"/>
      <c r="BD799" s="121"/>
      <c r="BE799" s="121"/>
      <c r="BF799" s="121"/>
      <c r="BG799" s="121"/>
      <c r="BH799" s="121"/>
      <c r="BI799" s="121"/>
      <c r="BJ799" s="121"/>
      <c r="BK799" s="121"/>
      <c r="BL799" s="121"/>
      <c r="BM799" s="121"/>
      <c r="BN799" s="121"/>
      <c r="BO799" s="121"/>
      <c r="BP799" s="121"/>
      <c r="BQ799" s="121"/>
      <c r="BR799" s="121"/>
      <c r="BS799" s="121"/>
      <c r="BT799" s="121"/>
      <c r="BU799" s="121"/>
      <c r="BV799" s="121"/>
      <c r="BW799" s="121"/>
      <c r="BX799" s="121"/>
      <c r="BY799" s="121"/>
      <c r="BZ799" s="121"/>
      <c r="CA799" s="121"/>
      <c r="CB799" s="121"/>
      <c r="CC799" s="121"/>
      <c r="CD799" s="121"/>
      <c r="CE799" s="121"/>
      <c r="CF799" s="121"/>
      <c r="CG799" s="121"/>
      <c r="CH799" s="121"/>
      <c r="CI799" s="121"/>
      <c r="CJ799" s="121"/>
      <c r="CK799" s="121"/>
      <c r="CL799" s="121"/>
      <c r="CM799" s="121"/>
      <c r="CN799" s="121"/>
      <c r="CO799" s="121"/>
      <c r="CP799" s="121"/>
      <c r="CQ799" s="121"/>
      <c r="CR799" s="121"/>
      <c r="CS799" s="121"/>
      <c r="CT799" s="121"/>
      <c r="CU799" s="121"/>
      <c r="CV799" s="121"/>
      <c r="CW799" s="121"/>
      <c r="CX799" s="121"/>
      <c r="CY799" s="121"/>
      <c r="CZ799" s="121"/>
      <c r="DA799" s="121"/>
      <c r="DB799" s="121"/>
      <c r="DC799" s="121"/>
      <c r="DD799" s="121"/>
      <c r="DE799" s="121"/>
      <c r="DF799" s="121"/>
      <c r="DG799" s="121"/>
      <c r="DH799" s="121"/>
      <c r="DI799" s="121"/>
      <c r="DJ799" s="121"/>
      <c r="DK799" s="121"/>
      <c r="DL799" s="121"/>
      <c r="DM799" s="121"/>
      <c r="DN799" s="121"/>
      <c r="DO799" s="121"/>
      <c r="DP799" s="121"/>
      <c r="DQ799" s="121"/>
      <c r="DR799" s="121"/>
      <c r="DS799" s="121"/>
      <c r="DT799" s="240"/>
      <c r="DU799" s="240"/>
      <c r="DV799" s="240"/>
      <c r="DW799" s="240"/>
      <c r="DX799" s="240"/>
      <c r="DY799" s="240"/>
      <c r="DZ799" s="240"/>
      <c r="EA799" s="240"/>
      <c r="EB799" s="237">
        <f t="shared" si="96"/>
        <v>0</v>
      </c>
      <c r="EC799" s="237">
        <f t="shared" si="97"/>
        <v>0</v>
      </c>
      <c r="ED799" s="237">
        <f t="shared" si="98"/>
        <v>0</v>
      </c>
      <c r="EE799" s="237">
        <f t="shared" si="99"/>
        <v>0</v>
      </c>
      <c r="EF799" s="121"/>
      <c r="EG799" s="238">
        <f t="shared" si="100"/>
        <v>0</v>
      </c>
      <c r="EH799" s="121"/>
      <c r="EI799" s="237">
        <f t="shared" si="101"/>
        <v>0</v>
      </c>
      <c r="EJ799" s="121"/>
      <c r="EK799" s="237">
        <f t="shared" si="102"/>
        <v>0</v>
      </c>
      <c r="EL799" s="237"/>
      <c r="EM799" s="5"/>
      <c r="EN799" s="5"/>
      <c r="EO799" s="5"/>
      <c r="EP799" s="5"/>
      <c r="EQ799" s="237">
        <f t="shared" si="103"/>
        <v>0</v>
      </c>
      <c r="ER799" s="239">
        <v>23300</v>
      </c>
      <c r="ES799" s="5">
        <v>7.5</v>
      </c>
    </row>
    <row r="800" spans="1:149" x14ac:dyDescent="0.3">
      <c r="A800" s="124"/>
      <c r="B800" s="121"/>
      <c r="C800" s="121"/>
      <c r="D800" s="121"/>
      <c r="E800" s="121"/>
      <c r="F800" s="121"/>
      <c r="G800" s="121"/>
      <c r="H800" s="121"/>
      <c r="I800" s="121"/>
      <c r="J800" s="121"/>
      <c r="K800" s="121"/>
      <c r="L800" s="121"/>
      <c r="M800" s="121"/>
      <c r="N800" s="121"/>
      <c r="O800" s="235"/>
      <c r="P800" s="121"/>
      <c r="Q800" s="121"/>
      <c r="R800" s="121"/>
      <c r="S800" s="121"/>
      <c r="T800" s="121"/>
      <c r="U800" s="121"/>
      <c r="V800" s="121"/>
      <c r="W800" s="121"/>
      <c r="X800" s="117"/>
      <c r="Y800" s="117"/>
      <c r="Z800" s="121"/>
      <c r="AA800" s="121"/>
      <c r="AB800" s="121"/>
      <c r="AC800" s="121"/>
      <c r="AD800" s="121"/>
      <c r="AE800" s="121"/>
      <c r="AF800" s="121"/>
      <c r="AG800" s="121"/>
      <c r="AH800" s="121"/>
      <c r="AI800" s="121"/>
      <c r="AJ800" s="121"/>
      <c r="AK800" s="121"/>
      <c r="AL800" s="121"/>
      <c r="AM800" s="121"/>
      <c r="AN800" s="121"/>
      <c r="AO800" s="121"/>
      <c r="AP800" s="121"/>
      <c r="AQ800" s="121"/>
      <c r="AR800" s="121"/>
      <c r="AS800" s="121"/>
      <c r="AT800" s="121"/>
      <c r="AU800" s="121"/>
      <c r="AV800" s="121"/>
      <c r="AW800" s="121"/>
      <c r="AX800" s="121"/>
      <c r="AY800" s="121"/>
      <c r="AZ800" s="121"/>
      <c r="BA800" s="121"/>
      <c r="BB800" s="121"/>
      <c r="BC800" s="121"/>
      <c r="BD800" s="121"/>
      <c r="BE800" s="121"/>
      <c r="BF800" s="121"/>
      <c r="BG800" s="121"/>
      <c r="BH800" s="121"/>
      <c r="BI800" s="121"/>
      <c r="BJ800" s="121"/>
      <c r="BK800" s="121"/>
      <c r="BL800" s="121"/>
      <c r="BM800" s="121"/>
      <c r="BN800" s="121"/>
      <c r="BO800" s="121"/>
      <c r="BP800" s="121"/>
      <c r="BQ800" s="121"/>
      <c r="BR800" s="121"/>
      <c r="BS800" s="121"/>
      <c r="BT800" s="121"/>
      <c r="BU800" s="121"/>
      <c r="BV800" s="121"/>
      <c r="BW800" s="121"/>
      <c r="BX800" s="121"/>
      <c r="BY800" s="121"/>
      <c r="BZ800" s="121"/>
      <c r="CA800" s="121"/>
      <c r="CB800" s="121"/>
      <c r="CC800" s="121"/>
      <c r="CD800" s="121"/>
      <c r="CE800" s="121"/>
      <c r="CF800" s="121"/>
      <c r="CG800" s="121"/>
      <c r="CH800" s="121"/>
      <c r="CI800" s="121"/>
      <c r="CJ800" s="121"/>
      <c r="CK800" s="121"/>
      <c r="CL800" s="121"/>
      <c r="CM800" s="121"/>
      <c r="CN800" s="121"/>
      <c r="CO800" s="121"/>
      <c r="CP800" s="121"/>
      <c r="CQ800" s="121"/>
      <c r="CR800" s="121"/>
      <c r="CS800" s="121"/>
      <c r="CT800" s="121"/>
      <c r="CU800" s="121"/>
      <c r="CV800" s="121"/>
      <c r="CW800" s="121"/>
      <c r="CX800" s="121"/>
      <c r="CY800" s="121"/>
      <c r="CZ800" s="121"/>
      <c r="DA800" s="121"/>
      <c r="DB800" s="121"/>
      <c r="DC800" s="121"/>
      <c r="DD800" s="121"/>
      <c r="DE800" s="121"/>
      <c r="DF800" s="121"/>
      <c r="DG800" s="121"/>
      <c r="DH800" s="121"/>
      <c r="DI800" s="121"/>
      <c r="DJ800" s="121"/>
      <c r="DK800" s="121"/>
      <c r="DL800" s="121"/>
      <c r="DM800" s="121"/>
      <c r="DN800" s="121"/>
      <c r="DO800" s="121"/>
      <c r="DP800" s="121"/>
      <c r="DQ800" s="121"/>
      <c r="DR800" s="121"/>
      <c r="DS800" s="121"/>
      <c r="DT800" s="240"/>
      <c r="DU800" s="240"/>
      <c r="DV800" s="240"/>
      <c r="DW800" s="240"/>
      <c r="DX800" s="240"/>
      <c r="DY800" s="240"/>
      <c r="DZ800" s="240"/>
      <c r="EA800" s="240"/>
      <c r="EB800" s="237">
        <f t="shared" si="96"/>
        <v>0</v>
      </c>
      <c r="EC800" s="237">
        <f t="shared" si="97"/>
        <v>0</v>
      </c>
      <c r="ED800" s="237">
        <f t="shared" si="98"/>
        <v>0</v>
      </c>
      <c r="EE800" s="237">
        <f t="shared" si="99"/>
        <v>0</v>
      </c>
      <c r="EF800" s="121"/>
      <c r="EG800" s="238">
        <f t="shared" si="100"/>
        <v>0</v>
      </c>
      <c r="EH800" s="121"/>
      <c r="EI800" s="237">
        <f t="shared" si="101"/>
        <v>0</v>
      </c>
      <c r="EJ800" s="121"/>
      <c r="EK800" s="237">
        <f t="shared" si="102"/>
        <v>0</v>
      </c>
      <c r="EL800" s="237"/>
      <c r="EM800" s="5"/>
      <c r="EN800" s="5"/>
      <c r="EO800" s="5"/>
      <c r="EP800" s="5"/>
      <c r="EQ800" s="237">
        <f t="shared" si="103"/>
        <v>0</v>
      </c>
      <c r="ER800" s="239">
        <v>23300</v>
      </c>
      <c r="ES800" s="5">
        <v>7.5</v>
      </c>
    </row>
    <row r="801" spans="1:149" x14ac:dyDescent="0.3">
      <c r="A801" s="124"/>
      <c r="B801" s="121"/>
      <c r="C801" s="121"/>
      <c r="D801" s="121"/>
      <c r="E801" s="121"/>
      <c r="F801" s="121"/>
      <c r="G801" s="121"/>
      <c r="H801" s="121"/>
      <c r="I801" s="121"/>
      <c r="J801" s="121"/>
      <c r="K801" s="121"/>
      <c r="L801" s="121"/>
      <c r="M801" s="121"/>
      <c r="N801" s="121"/>
      <c r="O801" s="235"/>
      <c r="P801" s="121"/>
      <c r="Q801" s="121"/>
      <c r="R801" s="121"/>
      <c r="S801" s="121"/>
      <c r="T801" s="121"/>
      <c r="U801" s="121"/>
      <c r="V801" s="121"/>
      <c r="W801" s="121"/>
      <c r="X801" s="117"/>
      <c r="Y801" s="117"/>
      <c r="Z801" s="121"/>
      <c r="AA801" s="121"/>
      <c r="AB801" s="121"/>
      <c r="AC801" s="121"/>
      <c r="AD801" s="121"/>
      <c r="AE801" s="121"/>
      <c r="AF801" s="121"/>
      <c r="AG801" s="121"/>
      <c r="AH801" s="121"/>
      <c r="AI801" s="121"/>
      <c r="AJ801" s="121"/>
      <c r="AK801" s="121"/>
      <c r="AL801" s="121"/>
      <c r="AM801" s="121"/>
      <c r="AN801" s="121"/>
      <c r="AO801" s="121"/>
      <c r="AP801" s="121"/>
      <c r="AQ801" s="121"/>
      <c r="AR801" s="121"/>
      <c r="AS801" s="121"/>
      <c r="AT801" s="121"/>
      <c r="AU801" s="121"/>
      <c r="AV801" s="121"/>
      <c r="AW801" s="121"/>
      <c r="AX801" s="121"/>
      <c r="AY801" s="121"/>
      <c r="AZ801" s="121"/>
      <c r="BA801" s="121"/>
      <c r="BB801" s="121"/>
      <c r="BC801" s="121"/>
      <c r="BD801" s="121"/>
      <c r="BE801" s="121"/>
      <c r="BF801" s="121"/>
      <c r="BG801" s="121"/>
      <c r="BH801" s="121"/>
      <c r="BI801" s="121"/>
      <c r="BJ801" s="121"/>
      <c r="BK801" s="121"/>
      <c r="BL801" s="121"/>
      <c r="BM801" s="121"/>
      <c r="BN801" s="121"/>
      <c r="BO801" s="121"/>
      <c r="BP801" s="121"/>
      <c r="BQ801" s="121"/>
      <c r="BR801" s="121"/>
      <c r="BS801" s="121"/>
      <c r="BT801" s="121"/>
      <c r="BU801" s="121"/>
      <c r="BV801" s="121"/>
      <c r="BW801" s="121"/>
      <c r="BX801" s="121"/>
      <c r="BY801" s="121"/>
      <c r="BZ801" s="121"/>
      <c r="CA801" s="121"/>
      <c r="CB801" s="121"/>
      <c r="CC801" s="121"/>
      <c r="CD801" s="121"/>
      <c r="CE801" s="121"/>
      <c r="CF801" s="121"/>
      <c r="CG801" s="121"/>
      <c r="CH801" s="121"/>
      <c r="CI801" s="121"/>
      <c r="CJ801" s="121"/>
      <c r="CK801" s="121"/>
      <c r="CL801" s="121"/>
      <c r="CM801" s="121"/>
      <c r="CN801" s="121"/>
      <c r="CO801" s="121"/>
      <c r="CP801" s="121"/>
      <c r="CQ801" s="121"/>
      <c r="CR801" s="121"/>
      <c r="CS801" s="121"/>
      <c r="CT801" s="121"/>
      <c r="CU801" s="121"/>
      <c r="CV801" s="121"/>
      <c r="CW801" s="121"/>
      <c r="CX801" s="121"/>
      <c r="CY801" s="121"/>
      <c r="CZ801" s="121"/>
      <c r="DA801" s="121"/>
      <c r="DB801" s="121"/>
      <c r="DC801" s="121"/>
      <c r="DD801" s="121"/>
      <c r="DE801" s="121"/>
      <c r="DF801" s="121"/>
      <c r="DG801" s="121"/>
      <c r="DH801" s="121"/>
      <c r="DI801" s="121"/>
      <c r="DJ801" s="121"/>
      <c r="DK801" s="121"/>
      <c r="DL801" s="121"/>
      <c r="DM801" s="121"/>
      <c r="DN801" s="121"/>
      <c r="DO801" s="121"/>
      <c r="DP801" s="121"/>
      <c r="DQ801" s="121"/>
      <c r="DR801" s="121"/>
      <c r="DS801" s="121"/>
      <c r="DT801" s="240"/>
      <c r="DU801" s="240"/>
      <c r="DV801" s="240"/>
      <c r="DW801" s="240"/>
      <c r="DX801" s="240"/>
      <c r="DY801" s="240"/>
      <c r="DZ801" s="240"/>
      <c r="EA801" s="240"/>
      <c r="EB801" s="237">
        <f t="shared" si="96"/>
        <v>0</v>
      </c>
      <c r="EC801" s="237">
        <f t="shared" si="97"/>
        <v>0</v>
      </c>
      <c r="ED801" s="237">
        <f t="shared" si="98"/>
        <v>0</v>
      </c>
      <c r="EE801" s="237">
        <f t="shared" si="99"/>
        <v>0</v>
      </c>
      <c r="EF801" s="121"/>
      <c r="EG801" s="238">
        <f t="shared" si="100"/>
        <v>0</v>
      </c>
      <c r="EH801" s="121"/>
      <c r="EI801" s="237">
        <f t="shared" si="101"/>
        <v>0</v>
      </c>
      <c r="EJ801" s="121"/>
      <c r="EK801" s="237">
        <f t="shared" si="102"/>
        <v>0</v>
      </c>
      <c r="EL801" s="237"/>
      <c r="EM801" s="5"/>
      <c r="EN801" s="5"/>
      <c r="EO801" s="5"/>
      <c r="EP801" s="5"/>
      <c r="EQ801" s="237">
        <f t="shared" si="103"/>
        <v>0</v>
      </c>
      <c r="ER801" s="239">
        <v>23300</v>
      </c>
      <c r="ES801" s="5">
        <v>7.5</v>
      </c>
    </row>
    <row r="802" spans="1:149" x14ac:dyDescent="0.3">
      <c r="A802" s="124"/>
      <c r="B802" s="121"/>
      <c r="C802" s="121"/>
      <c r="D802" s="121"/>
      <c r="E802" s="121"/>
      <c r="F802" s="121"/>
      <c r="G802" s="121"/>
      <c r="H802" s="121"/>
      <c r="I802" s="121"/>
      <c r="J802" s="121"/>
      <c r="K802" s="121"/>
      <c r="L802" s="121"/>
      <c r="M802" s="121"/>
      <c r="N802" s="121"/>
      <c r="O802" s="235"/>
      <c r="P802" s="121"/>
      <c r="Q802" s="121"/>
      <c r="R802" s="121"/>
      <c r="S802" s="121"/>
      <c r="T802" s="121"/>
      <c r="U802" s="121"/>
      <c r="V802" s="121"/>
      <c r="W802" s="121"/>
      <c r="X802" s="117"/>
      <c r="Y802" s="117"/>
      <c r="Z802" s="121"/>
      <c r="AA802" s="121"/>
      <c r="AB802" s="121"/>
      <c r="AC802" s="121"/>
      <c r="AD802" s="121"/>
      <c r="AE802" s="121"/>
      <c r="AF802" s="121"/>
      <c r="AG802" s="121"/>
      <c r="AH802" s="121"/>
      <c r="AI802" s="121"/>
      <c r="AJ802" s="121"/>
      <c r="AK802" s="121"/>
      <c r="AL802" s="121"/>
      <c r="AM802" s="121"/>
      <c r="AN802" s="121"/>
      <c r="AO802" s="121"/>
      <c r="AP802" s="121"/>
      <c r="AQ802" s="121"/>
      <c r="AR802" s="121"/>
      <c r="AS802" s="121"/>
      <c r="AT802" s="121"/>
      <c r="AU802" s="121"/>
      <c r="AV802" s="121"/>
      <c r="AW802" s="121"/>
      <c r="AX802" s="121"/>
      <c r="AY802" s="121"/>
      <c r="AZ802" s="121"/>
      <c r="BA802" s="121"/>
      <c r="BB802" s="121"/>
      <c r="BC802" s="121"/>
      <c r="BD802" s="121"/>
      <c r="BE802" s="121"/>
      <c r="BF802" s="121"/>
      <c r="BG802" s="121"/>
      <c r="BH802" s="121"/>
      <c r="BI802" s="121"/>
      <c r="BJ802" s="121"/>
      <c r="BK802" s="121"/>
      <c r="BL802" s="121"/>
      <c r="BM802" s="121"/>
      <c r="BN802" s="121"/>
      <c r="BO802" s="121"/>
      <c r="BP802" s="121"/>
      <c r="BQ802" s="121"/>
      <c r="BR802" s="121"/>
      <c r="BS802" s="121"/>
      <c r="BT802" s="121"/>
      <c r="BU802" s="121"/>
      <c r="BV802" s="121"/>
      <c r="BW802" s="121"/>
      <c r="BX802" s="121"/>
      <c r="BY802" s="121"/>
      <c r="BZ802" s="121"/>
      <c r="CA802" s="121"/>
      <c r="CB802" s="121"/>
      <c r="CC802" s="121"/>
      <c r="CD802" s="121"/>
      <c r="CE802" s="121"/>
      <c r="CF802" s="121"/>
      <c r="CG802" s="121"/>
      <c r="CH802" s="121"/>
      <c r="CI802" s="121"/>
      <c r="CJ802" s="121"/>
      <c r="CK802" s="121"/>
      <c r="CL802" s="121"/>
      <c r="CM802" s="121"/>
      <c r="CN802" s="121"/>
      <c r="CO802" s="121"/>
      <c r="CP802" s="121"/>
      <c r="CQ802" s="121"/>
      <c r="CR802" s="121"/>
      <c r="CS802" s="121"/>
      <c r="CT802" s="121"/>
      <c r="CU802" s="121"/>
      <c r="CV802" s="121"/>
      <c r="CW802" s="121"/>
      <c r="CX802" s="121"/>
      <c r="CY802" s="121"/>
      <c r="CZ802" s="121"/>
      <c r="DA802" s="121"/>
      <c r="DB802" s="121"/>
      <c r="DC802" s="121"/>
      <c r="DD802" s="121"/>
      <c r="DE802" s="121"/>
      <c r="DF802" s="121"/>
      <c r="DG802" s="121"/>
      <c r="DH802" s="121"/>
      <c r="DI802" s="121"/>
      <c r="DJ802" s="121"/>
      <c r="DK802" s="121"/>
      <c r="DL802" s="121"/>
      <c r="DM802" s="121"/>
      <c r="DN802" s="121"/>
      <c r="DO802" s="121"/>
      <c r="DP802" s="121"/>
      <c r="DQ802" s="121"/>
      <c r="DR802" s="121"/>
      <c r="DS802" s="121"/>
      <c r="DT802" s="240"/>
      <c r="DU802" s="240"/>
      <c r="DV802" s="240"/>
      <c r="DW802" s="240"/>
      <c r="DX802" s="240"/>
      <c r="DY802" s="240"/>
      <c r="DZ802" s="240"/>
      <c r="EA802" s="240"/>
      <c r="EB802" s="237">
        <f t="shared" si="96"/>
        <v>0</v>
      </c>
      <c r="EC802" s="237">
        <f t="shared" si="97"/>
        <v>0</v>
      </c>
      <c r="ED802" s="237">
        <f t="shared" si="98"/>
        <v>0</v>
      </c>
      <c r="EE802" s="237">
        <f t="shared" si="99"/>
        <v>0</v>
      </c>
      <c r="EF802" s="121"/>
      <c r="EG802" s="238">
        <f t="shared" si="100"/>
        <v>0</v>
      </c>
      <c r="EH802" s="121"/>
      <c r="EI802" s="237">
        <f t="shared" si="101"/>
        <v>0</v>
      </c>
      <c r="EJ802" s="121"/>
      <c r="EK802" s="237">
        <f t="shared" si="102"/>
        <v>0</v>
      </c>
      <c r="EL802" s="237"/>
      <c r="EM802" s="5"/>
      <c r="EN802" s="5"/>
      <c r="EO802" s="5"/>
      <c r="EP802" s="5"/>
      <c r="EQ802" s="237">
        <f t="shared" si="103"/>
        <v>0</v>
      </c>
      <c r="ER802" s="239">
        <v>23300</v>
      </c>
      <c r="ES802" s="5">
        <v>7.5</v>
      </c>
    </row>
    <row r="803" spans="1:149" x14ac:dyDescent="0.3">
      <c r="A803" s="124"/>
      <c r="B803" s="121"/>
      <c r="C803" s="121"/>
      <c r="D803" s="121"/>
      <c r="E803" s="121"/>
      <c r="F803" s="121"/>
      <c r="G803" s="121"/>
      <c r="H803" s="121"/>
      <c r="I803" s="121"/>
      <c r="J803" s="121"/>
      <c r="K803" s="121"/>
      <c r="L803" s="121"/>
      <c r="M803" s="121"/>
      <c r="N803" s="121"/>
      <c r="O803" s="235"/>
      <c r="P803" s="121"/>
      <c r="Q803" s="121"/>
      <c r="R803" s="121"/>
      <c r="S803" s="121"/>
      <c r="T803" s="121"/>
      <c r="U803" s="121"/>
      <c r="V803" s="121"/>
      <c r="W803" s="121"/>
      <c r="X803" s="117"/>
      <c r="Y803" s="117"/>
      <c r="Z803" s="121"/>
      <c r="AA803" s="121"/>
      <c r="AB803" s="121"/>
      <c r="AC803" s="121"/>
      <c r="AD803" s="121"/>
      <c r="AE803" s="121"/>
      <c r="AF803" s="121"/>
      <c r="AG803" s="121"/>
      <c r="AH803" s="121"/>
      <c r="AI803" s="121"/>
      <c r="AJ803" s="121"/>
      <c r="AK803" s="121"/>
      <c r="AL803" s="121"/>
      <c r="AM803" s="121"/>
      <c r="AN803" s="121"/>
      <c r="AO803" s="121"/>
      <c r="AP803" s="121"/>
      <c r="AQ803" s="121"/>
      <c r="AR803" s="121"/>
      <c r="AS803" s="121"/>
      <c r="AT803" s="121"/>
      <c r="AU803" s="121"/>
      <c r="AV803" s="121"/>
      <c r="AW803" s="121"/>
      <c r="AX803" s="121"/>
      <c r="AY803" s="121"/>
      <c r="AZ803" s="121"/>
      <c r="BA803" s="121"/>
      <c r="BB803" s="121"/>
      <c r="BC803" s="121"/>
      <c r="BD803" s="121"/>
      <c r="BE803" s="121"/>
      <c r="BF803" s="121"/>
      <c r="BG803" s="121"/>
      <c r="BH803" s="121"/>
      <c r="BI803" s="121"/>
      <c r="BJ803" s="121"/>
      <c r="BK803" s="121"/>
      <c r="BL803" s="121"/>
      <c r="BM803" s="121"/>
      <c r="BN803" s="121"/>
      <c r="BO803" s="121"/>
      <c r="BP803" s="121"/>
      <c r="BQ803" s="121"/>
      <c r="BR803" s="121"/>
      <c r="BS803" s="121"/>
      <c r="BT803" s="121"/>
      <c r="BU803" s="121"/>
      <c r="BV803" s="121"/>
      <c r="BW803" s="121"/>
      <c r="BX803" s="121"/>
      <c r="BY803" s="121"/>
      <c r="BZ803" s="121"/>
      <c r="CA803" s="121"/>
      <c r="CB803" s="121"/>
      <c r="CC803" s="121"/>
      <c r="CD803" s="121"/>
      <c r="CE803" s="121"/>
      <c r="CF803" s="121"/>
      <c r="CG803" s="121"/>
      <c r="CH803" s="121"/>
      <c r="CI803" s="121"/>
      <c r="CJ803" s="121"/>
      <c r="CK803" s="121"/>
      <c r="CL803" s="121"/>
      <c r="CM803" s="121"/>
      <c r="CN803" s="121"/>
      <c r="CO803" s="121"/>
      <c r="CP803" s="121"/>
      <c r="CQ803" s="121"/>
      <c r="CR803" s="121"/>
      <c r="CS803" s="121"/>
      <c r="CT803" s="121"/>
      <c r="CU803" s="121"/>
      <c r="CV803" s="121"/>
      <c r="CW803" s="121"/>
      <c r="CX803" s="121"/>
      <c r="CY803" s="121"/>
      <c r="CZ803" s="121"/>
      <c r="DA803" s="121"/>
      <c r="DB803" s="121"/>
      <c r="DC803" s="121"/>
      <c r="DD803" s="121"/>
      <c r="DE803" s="121"/>
      <c r="DF803" s="121"/>
      <c r="DG803" s="121"/>
      <c r="DH803" s="121"/>
      <c r="DI803" s="121"/>
      <c r="DJ803" s="121"/>
      <c r="DK803" s="121"/>
      <c r="DL803" s="121"/>
      <c r="DM803" s="121"/>
      <c r="DN803" s="121"/>
      <c r="DO803" s="121"/>
      <c r="DP803" s="121"/>
      <c r="DQ803" s="121"/>
      <c r="DR803" s="121"/>
      <c r="DS803" s="121"/>
      <c r="DT803" s="240"/>
      <c r="DU803" s="240"/>
      <c r="DV803" s="240"/>
      <c r="DW803" s="240"/>
      <c r="DX803" s="240"/>
      <c r="DY803" s="240"/>
      <c r="DZ803" s="240"/>
      <c r="EA803" s="240"/>
      <c r="EB803" s="237">
        <f t="shared" si="96"/>
        <v>0</v>
      </c>
      <c r="EC803" s="237">
        <f t="shared" si="97"/>
        <v>0</v>
      </c>
      <c r="ED803" s="237">
        <f t="shared" si="98"/>
        <v>0</v>
      </c>
      <c r="EE803" s="237">
        <f t="shared" si="99"/>
        <v>0</v>
      </c>
      <c r="EF803" s="121"/>
      <c r="EG803" s="238">
        <f t="shared" si="100"/>
        <v>0</v>
      </c>
      <c r="EH803" s="121"/>
      <c r="EI803" s="237">
        <f t="shared" si="101"/>
        <v>0</v>
      </c>
      <c r="EJ803" s="121"/>
      <c r="EK803" s="237">
        <f t="shared" si="102"/>
        <v>0</v>
      </c>
      <c r="EL803" s="237"/>
      <c r="EM803" s="5"/>
      <c r="EN803" s="5"/>
      <c r="EO803" s="5"/>
      <c r="EP803" s="5"/>
      <c r="EQ803" s="237">
        <f t="shared" si="103"/>
        <v>0</v>
      </c>
      <c r="ER803" s="239">
        <v>23300</v>
      </c>
      <c r="ES803" s="5">
        <v>7.5</v>
      </c>
    </row>
    <row r="804" spans="1:149" x14ac:dyDescent="0.3">
      <c r="A804" s="124"/>
      <c r="B804" s="121"/>
      <c r="C804" s="121"/>
      <c r="D804" s="121"/>
      <c r="E804" s="121"/>
      <c r="F804" s="121"/>
      <c r="G804" s="121"/>
      <c r="H804" s="121"/>
      <c r="I804" s="121"/>
      <c r="J804" s="121"/>
      <c r="K804" s="121"/>
      <c r="L804" s="121"/>
      <c r="M804" s="121"/>
      <c r="N804" s="121"/>
      <c r="O804" s="235"/>
      <c r="P804" s="121"/>
      <c r="Q804" s="121"/>
      <c r="R804" s="121"/>
      <c r="S804" s="121"/>
      <c r="T804" s="121"/>
      <c r="U804" s="121"/>
      <c r="V804" s="121"/>
      <c r="W804" s="121"/>
      <c r="X804" s="117"/>
      <c r="Y804" s="117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/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121"/>
      <c r="BJ804" s="121"/>
      <c r="BK804" s="121"/>
      <c r="BL804" s="121"/>
      <c r="BM804" s="121"/>
      <c r="BN804" s="121"/>
      <c r="BO804" s="121"/>
      <c r="BP804" s="121"/>
      <c r="BQ804" s="121"/>
      <c r="BR804" s="121"/>
      <c r="BS804" s="121"/>
      <c r="BT804" s="121"/>
      <c r="BU804" s="121"/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/>
      <c r="CP804" s="121"/>
      <c r="CQ804" s="121"/>
      <c r="CR804" s="121"/>
      <c r="CS804" s="121"/>
      <c r="CT804" s="121"/>
      <c r="CU804" s="121"/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/>
      <c r="DF804" s="121"/>
      <c r="DG804" s="121"/>
      <c r="DH804" s="121"/>
      <c r="DI804" s="121"/>
      <c r="DJ804" s="121"/>
      <c r="DK804" s="121"/>
      <c r="DL804" s="121"/>
      <c r="DM804" s="121"/>
      <c r="DN804" s="121"/>
      <c r="DO804" s="121"/>
      <c r="DP804" s="121"/>
      <c r="DQ804" s="121"/>
      <c r="DR804" s="121"/>
      <c r="DS804" s="121"/>
      <c r="DT804" s="240"/>
      <c r="DU804" s="240"/>
      <c r="DV804" s="240"/>
      <c r="DW804" s="240"/>
      <c r="DX804" s="240"/>
      <c r="DY804" s="240"/>
      <c r="DZ804" s="240"/>
      <c r="EA804" s="240"/>
      <c r="EB804" s="237">
        <f t="shared" si="96"/>
        <v>0</v>
      </c>
      <c r="EC804" s="237">
        <f t="shared" si="97"/>
        <v>0</v>
      </c>
      <c r="ED804" s="237">
        <f t="shared" si="98"/>
        <v>0</v>
      </c>
      <c r="EE804" s="237">
        <f t="shared" si="99"/>
        <v>0</v>
      </c>
      <c r="EF804" s="121"/>
      <c r="EG804" s="238">
        <f t="shared" si="100"/>
        <v>0</v>
      </c>
      <c r="EH804" s="121"/>
      <c r="EI804" s="237">
        <f t="shared" si="101"/>
        <v>0</v>
      </c>
      <c r="EJ804" s="121"/>
      <c r="EK804" s="237">
        <f t="shared" si="102"/>
        <v>0</v>
      </c>
      <c r="EL804" s="237"/>
      <c r="EM804" s="5"/>
      <c r="EN804" s="5"/>
      <c r="EO804" s="5"/>
      <c r="EP804" s="5"/>
      <c r="EQ804" s="237">
        <f t="shared" si="103"/>
        <v>0</v>
      </c>
      <c r="ER804" s="239">
        <v>23300</v>
      </c>
      <c r="ES804" s="5">
        <v>7.5</v>
      </c>
    </row>
    <row r="805" spans="1:149" x14ac:dyDescent="0.3">
      <c r="A805" s="124"/>
      <c r="B805" s="121"/>
      <c r="C805" s="121"/>
      <c r="D805" s="121"/>
      <c r="E805" s="121"/>
      <c r="F805" s="121"/>
      <c r="G805" s="121"/>
      <c r="H805" s="121"/>
      <c r="I805" s="121"/>
      <c r="J805" s="121"/>
      <c r="K805" s="121"/>
      <c r="L805" s="121"/>
      <c r="M805" s="121"/>
      <c r="N805" s="121"/>
      <c r="O805" s="235"/>
      <c r="P805" s="121"/>
      <c r="Q805" s="121"/>
      <c r="R805" s="121"/>
      <c r="S805" s="121"/>
      <c r="T805" s="121"/>
      <c r="U805" s="121"/>
      <c r="V805" s="121"/>
      <c r="W805" s="121"/>
      <c r="X805" s="117"/>
      <c r="Y805" s="117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21"/>
      <c r="BJ805" s="121"/>
      <c r="BK805" s="121"/>
      <c r="BL805" s="121"/>
      <c r="BM805" s="121"/>
      <c r="BN805" s="121"/>
      <c r="BO805" s="121"/>
      <c r="BP805" s="121"/>
      <c r="BQ805" s="121"/>
      <c r="BR805" s="121"/>
      <c r="BS805" s="121"/>
      <c r="BT805" s="121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21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  <c r="DK805" s="121"/>
      <c r="DL805" s="121"/>
      <c r="DM805" s="121"/>
      <c r="DN805" s="121"/>
      <c r="DO805" s="121"/>
      <c r="DP805" s="121"/>
      <c r="DQ805" s="121"/>
      <c r="DR805" s="121"/>
      <c r="DS805" s="121"/>
      <c r="DT805" s="240"/>
      <c r="DU805" s="240"/>
      <c r="DV805" s="240"/>
      <c r="DW805" s="240"/>
      <c r="DX805" s="240"/>
      <c r="DY805" s="240"/>
      <c r="DZ805" s="240"/>
      <c r="EA805" s="240"/>
      <c r="EB805" s="237">
        <f t="shared" si="96"/>
        <v>0</v>
      </c>
      <c r="EC805" s="237">
        <f t="shared" si="97"/>
        <v>0</v>
      </c>
      <c r="ED805" s="237">
        <f t="shared" si="98"/>
        <v>0</v>
      </c>
      <c r="EE805" s="237">
        <f t="shared" si="99"/>
        <v>0</v>
      </c>
      <c r="EF805" s="121"/>
      <c r="EG805" s="238">
        <f t="shared" si="100"/>
        <v>0</v>
      </c>
      <c r="EH805" s="121"/>
      <c r="EI805" s="237">
        <f t="shared" si="101"/>
        <v>0</v>
      </c>
      <c r="EJ805" s="121"/>
      <c r="EK805" s="237">
        <f t="shared" si="102"/>
        <v>0</v>
      </c>
      <c r="EL805" s="237"/>
      <c r="EM805" s="5"/>
      <c r="EN805" s="5"/>
      <c r="EO805" s="5"/>
      <c r="EP805" s="5"/>
      <c r="EQ805" s="237">
        <f t="shared" si="103"/>
        <v>0</v>
      </c>
      <c r="ER805" s="239">
        <v>23300</v>
      </c>
      <c r="ES805" s="5">
        <v>7.5</v>
      </c>
    </row>
    <row r="806" spans="1:149" x14ac:dyDescent="0.3">
      <c r="A806" s="124"/>
      <c r="B806" s="121"/>
      <c r="C806" s="121"/>
      <c r="D806" s="121"/>
      <c r="E806" s="121"/>
      <c r="F806" s="121"/>
      <c r="G806" s="121"/>
      <c r="H806" s="121"/>
      <c r="I806" s="121"/>
      <c r="J806" s="121"/>
      <c r="K806" s="121"/>
      <c r="L806" s="121"/>
      <c r="M806" s="121"/>
      <c r="N806" s="121"/>
      <c r="O806" s="235"/>
      <c r="P806" s="121"/>
      <c r="Q806" s="121"/>
      <c r="R806" s="121"/>
      <c r="S806" s="121"/>
      <c r="T806" s="121"/>
      <c r="U806" s="121"/>
      <c r="V806" s="121"/>
      <c r="W806" s="121"/>
      <c r="X806" s="117"/>
      <c r="Y806" s="117"/>
      <c r="Z806" s="121"/>
      <c r="AA806" s="121"/>
      <c r="AB806" s="121"/>
      <c r="AC806" s="121"/>
      <c r="AD806" s="121"/>
      <c r="AE806" s="121"/>
      <c r="AF806" s="121"/>
      <c r="AG806" s="121"/>
      <c r="AH806" s="121"/>
      <c r="AI806" s="121"/>
      <c r="AJ806" s="121"/>
      <c r="AK806" s="121"/>
      <c r="AL806" s="121"/>
      <c r="AM806" s="121"/>
      <c r="AN806" s="121"/>
      <c r="AO806" s="121"/>
      <c r="AP806" s="121"/>
      <c r="AQ806" s="121"/>
      <c r="AR806" s="121"/>
      <c r="AS806" s="121"/>
      <c r="AT806" s="121"/>
      <c r="AU806" s="121"/>
      <c r="AV806" s="121"/>
      <c r="AW806" s="121"/>
      <c r="AX806" s="121"/>
      <c r="AY806" s="121"/>
      <c r="AZ806" s="121"/>
      <c r="BA806" s="121"/>
      <c r="BB806" s="121"/>
      <c r="BC806" s="121"/>
      <c r="BD806" s="121"/>
      <c r="BE806" s="121"/>
      <c r="BF806" s="121"/>
      <c r="BG806" s="121"/>
      <c r="BH806" s="121"/>
      <c r="BI806" s="121"/>
      <c r="BJ806" s="121"/>
      <c r="BK806" s="121"/>
      <c r="BL806" s="121"/>
      <c r="BM806" s="121"/>
      <c r="BN806" s="121"/>
      <c r="BO806" s="121"/>
      <c r="BP806" s="121"/>
      <c r="BQ806" s="121"/>
      <c r="BR806" s="121"/>
      <c r="BS806" s="121"/>
      <c r="BT806" s="121"/>
      <c r="BU806" s="121"/>
      <c r="BV806" s="121"/>
      <c r="BW806" s="121"/>
      <c r="BX806" s="121"/>
      <c r="BY806" s="121"/>
      <c r="BZ806" s="121"/>
      <c r="CA806" s="121"/>
      <c r="CB806" s="121"/>
      <c r="CC806" s="121"/>
      <c r="CD806" s="121"/>
      <c r="CE806" s="121"/>
      <c r="CF806" s="121"/>
      <c r="CG806" s="121"/>
      <c r="CH806" s="121"/>
      <c r="CI806" s="121"/>
      <c r="CJ806" s="121"/>
      <c r="CK806" s="121"/>
      <c r="CL806" s="121"/>
      <c r="CM806" s="121"/>
      <c r="CN806" s="121"/>
      <c r="CO806" s="121"/>
      <c r="CP806" s="121"/>
      <c r="CQ806" s="121"/>
      <c r="CR806" s="121"/>
      <c r="CS806" s="121"/>
      <c r="CT806" s="121"/>
      <c r="CU806" s="121"/>
      <c r="CV806" s="121"/>
      <c r="CW806" s="121"/>
      <c r="CX806" s="121"/>
      <c r="CY806" s="121"/>
      <c r="CZ806" s="121"/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  <c r="DK806" s="121"/>
      <c r="DL806" s="121"/>
      <c r="DM806" s="121"/>
      <c r="DN806" s="121"/>
      <c r="DO806" s="121"/>
      <c r="DP806" s="121"/>
      <c r="DQ806" s="121"/>
      <c r="DR806" s="121"/>
      <c r="DS806" s="121"/>
      <c r="DT806" s="240"/>
      <c r="DU806" s="240"/>
      <c r="DV806" s="240"/>
      <c r="DW806" s="240"/>
      <c r="DX806" s="240"/>
      <c r="DY806" s="240"/>
      <c r="DZ806" s="240"/>
      <c r="EA806" s="240"/>
      <c r="EB806" s="237">
        <f t="shared" si="96"/>
        <v>0</v>
      </c>
      <c r="EC806" s="237">
        <f t="shared" si="97"/>
        <v>0</v>
      </c>
      <c r="ED806" s="237">
        <f t="shared" si="98"/>
        <v>0</v>
      </c>
      <c r="EE806" s="237">
        <f t="shared" si="99"/>
        <v>0</v>
      </c>
      <c r="EF806" s="121"/>
      <c r="EG806" s="238">
        <f t="shared" si="100"/>
        <v>0</v>
      </c>
      <c r="EH806" s="121"/>
      <c r="EI806" s="237">
        <f t="shared" si="101"/>
        <v>0</v>
      </c>
      <c r="EJ806" s="121"/>
      <c r="EK806" s="237">
        <f t="shared" si="102"/>
        <v>0</v>
      </c>
      <c r="EL806" s="237"/>
      <c r="EM806" s="5"/>
      <c r="EN806" s="5"/>
      <c r="EO806" s="5"/>
      <c r="EP806" s="5"/>
      <c r="EQ806" s="237">
        <f t="shared" si="103"/>
        <v>0</v>
      </c>
      <c r="ER806" s="239">
        <v>23300</v>
      </c>
      <c r="ES806" s="5">
        <v>7.5</v>
      </c>
    </row>
    <row r="807" spans="1:149" x14ac:dyDescent="0.3">
      <c r="A807" s="124"/>
      <c r="B807" s="121"/>
      <c r="C807" s="121"/>
      <c r="D807" s="121"/>
      <c r="E807" s="121"/>
      <c r="F807" s="121"/>
      <c r="G807" s="121"/>
      <c r="H807" s="121"/>
      <c r="I807" s="121"/>
      <c r="J807" s="121"/>
      <c r="K807" s="121"/>
      <c r="L807" s="121"/>
      <c r="M807" s="121"/>
      <c r="N807" s="121"/>
      <c r="O807" s="235"/>
      <c r="P807" s="121"/>
      <c r="Q807" s="121"/>
      <c r="R807" s="121"/>
      <c r="S807" s="121"/>
      <c r="T807" s="121"/>
      <c r="U807" s="121"/>
      <c r="V807" s="121"/>
      <c r="W807" s="121"/>
      <c r="X807" s="117"/>
      <c r="Y807" s="117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1"/>
      <c r="AL807" s="121"/>
      <c r="AM807" s="121"/>
      <c r="AN807" s="121"/>
      <c r="AO807" s="121"/>
      <c r="AP807" s="121"/>
      <c r="AQ807" s="121"/>
      <c r="AR807" s="121"/>
      <c r="AS807" s="121"/>
      <c r="AT807" s="121"/>
      <c r="AU807" s="121"/>
      <c r="AV807" s="121"/>
      <c r="AW807" s="121"/>
      <c r="AX807" s="121"/>
      <c r="AY807" s="121"/>
      <c r="AZ807" s="121"/>
      <c r="BA807" s="121"/>
      <c r="BB807" s="121"/>
      <c r="BC807" s="121"/>
      <c r="BD807" s="121"/>
      <c r="BE807" s="121"/>
      <c r="BF807" s="121"/>
      <c r="BG807" s="121"/>
      <c r="BH807" s="121"/>
      <c r="BI807" s="121"/>
      <c r="BJ807" s="121"/>
      <c r="BK807" s="121"/>
      <c r="BL807" s="121"/>
      <c r="BM807" s="121"/>
      <c r="BN807" s="121"/>
      <c r="BO807" s="121"/>
      <c r="BP807" s="121"/>
      <c r="BQ807" s="121"/>
      <c r="BR807" s="121"/>
      <c r="BS807" s="121"/>
      <c r="BT807" s="121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21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  <c r="DK807" s="121"/>
      <c r="DL807" s="121"/>
      <c r="DM807" s="121"/>
      <c r="DN807" s="121"/>
      <c r="DO807" s="121"/>
      <c r="DP807" s="121"/>
      <c r="DQ807" s="121"/>
      <c r="DR807" s="121"/>
      <c r="DS807" s="121"/>
      <c r="DT807" s="240"/>
      <c r="DU807" s="240"/>
      <c r="DV807" s="240"/>
      <c r="DW807" s="240"/>
      <c r="DX807" s="240"/>
      <c r="DY807" s="240"/>
      <c r="DZ807" s="240"/>
      <c r="EA807" s="240"/>
      <c r="EB807" s="237">
        <f t="shared" si="96"/>
        <v>0</v>
      </c>
      <c r="EC807" s="237">
        <f t="shared" si="97"/>
        <v>0</v>
      </c>
      <c r="ED807" s="237">
        <f t="shared" si="98"/>
        <v>0</v>
      </c>
      <c r="EE807" s="237">
        <f t="shared" si="99"/>
        <v>0</v>
      </c>
      <c r="EF807" s="121"/>
      <c r="EG807" s="238">
        <f t="shared" si="100"/>
        <v>0</v>
      </c>
      <c r="EH807" s="121"/>
      <c r="EI807" s="237">
        <f t="shared" si="101"/>
        <v>0</v>
      </c>
      <c r="EJ807" s="121"/>
      <c r="EK807" s="237">
        <f t="shared" si="102"/>
        <v>0</v>
      </c>
      <c r="EL807" s="237"/>
      <c r="EM807" s="5"/>
      <c r="EN807" s="5"/>
      <c r="EO807" s="5"/>
      <c r="EP807" s="5"/>
      <c r="EQ807" s="237">
        <f t="shared" si="103"/>
        <v>0</v>
      </c>
      <c r="ER807" s="239">
        <v>23300</v>
      </c>
      <c r="ES807" s="5">
        <v>7.5</v>
      </c>
    </row>
    <row r="808" spans="1:149" x14ac:dyDescent="0.3">
      <c r="A808" s="124"/>
      <c r="B808" s="121"/>
      <c r="C808" s="121"/>
      <c r="D808" s="121"/>
      <c r="E808" s="121"/>
      <c r="F808" s="121"/>
      <c r="G808" s="121"/>
      <c r="H808" s="121"/>
      <c r="I808" s="121"/>
      <c r="J808" s="121"/>
      <c r="K808" s="121"/>
      <c r="L808" s="121"/>
      <c r="M808" s="121"/>
      <c r="N808" s="121"/>
      <c r="O808" s="235"/>
      <c r="P808" s="121"/>
      <c r="Q808" s="121"/>
      <c r="R808" s="121"/>
      <c r="S808" s="121"/>
      <c r="T808" s="121"/>
      <c r="U808" s="121"/>
      <c r="V808" s="121"/>
      <c r="W808" s="121"/>
      <c r="X808" s="117"/>
      <c r="Y808" s="117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21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  <c r="DK808" s="121"/>
      <c r="DL808" s="121"/>
      <c r="DM808" s="121"/>
      <c r="DN808" s="121"/>
      <c r="DO808" s="121"/>
      <c r="DP808" s="121"/>
      <c r="DQ808" s="121"/>
      <c r="DR808" s="121"/>
      <c r="DS808" s="121"/>
      <c r="DT808" s="240"/>
      <c r="DU808" s="240"/>
      <c r="DV808" s="240"/>
      <c r="DW808" s="240"/>
      <c r="DX808" s="240"/>
      <c r="DY808" s="240"/>
      <c r="DZ808" s="240"/>
      <c r="EA808" s="240"/>
      <c r="EB808" s="237">
        <f t="shared" si="96"/>
        <v>0</v>
      </c>
      <c r="EC808" s="237">
        <f t="shared" si="97"/>
        <v>0</v>
      </c>
      <c r="ED808" s="237">
        <f t="shared" si="98"/>
        <v>0</v>
      </c>
      <c r="EE808" s="237">
        <f t="shared" si="99"/>
        <v>0</v>
      </c>
      <c r="EF808" s="121"/>
      <c r="EG808" s="238">
        <f t="shared" si="100"/>
        <v>0</v>
      </c>
      <c r="EH808" s="121"/>
      <c r="EI808" s="237">
        <f t="shared" si="101"/>
        <v>0</v>
      </c>
      <c r="EJ808" s="121"/>
      <c r="EK808" s="237">
        <f t="shared" si="102"/>
        <v>0</v>
      </c>
      <c r="EL808" s="237"/>
      <c r="EM808" s="5"/>
      <c r="EN808" s="5"/>
      <c r="EO808" s="5"/>
      <c r="EP808" s="5"/>
      <c r="EQ808" s="237">
        <f t="shared" si="103"/>
        <v>0</v>
      </c>
      <c r="ER808" s="239">
        <v>23300</v>
      </c>
      <c r="ES808" s="5">
        <v>7.5</v>
      </c>
    </row>
    <row r="809" spans="1:149" x14ac:dyDescent="0.3">
      <c r="A809" s="124"/>
      <c r="B809" s="121"/>
      <c r="C809" s="121"/>
      <c r="D809" s="121"/>
      <c r="E809" s="121"/>
      <c r="F809" s="121"/>
      <c r="G809" s="121"/>
      <c r="H809" s="121"/>
      <c r="I809" s="121"/>
      <c r="J809" s="121"/>
      <c r="K809" s="121"/>
      <c r="L809" s="121"/>
      <c r="M809" s="121"/>
      <c r="N809" s="121"/>
      <c r="O809" s="235"/>
      <c r="P809" s="121"/>
      <c r="Q809" s="121"/>
      <c r="R809" s="121"/>
      <c r="S809" s="121"/>
      <c r="T809" s="121"/>
      <c r="U809" s="121"/>
      <c r="V809" s="121"/>
      <c r="W809" s="121"/>
      <c r="X809" s="117"/>
      <c r="Y809" s="117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21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  <c r="DK809" s="121"/>
      <c r="DL809" s="121"/>
      <c r="DM809" s="121"/>
      <c r="DN809" s="121"/>
      <c r="DO809" s="121"/>
      <c r="DP809" s="121"/>
      <c r="DQ809" s="121"/>
      <c r="DR809" s="121"/>
      <c r="DS809" s="121"/>
      <c r="DT809" s="240"/>
      <c r="DU809" s="240"/>
      <c r="DV809" s="240"/>
      <c r="DW809" s="240"/>
      <c r="DX809" s="240"/>
      <c r="DY809" s="240"/>
      <c r="DZ809" s="240"/>
      <c r="EA809" s="240"/>
      <c r="EB809" s="237">
        <f t="shared" si="96"/>
        <v>0</v>
      </c>
      <c r="EC809" s="237">
        <f t="shared" si="97"/>
        <v>0</v>
      </c>
      <c r="ED809" s="237">
        <f t="shared" si="98"/>
        <v>0</v>
      </c>
      <c r="EE809" s="237">
        <f t="shared" si="99"/>
        <v>0</v>
      </c>
      <c r="EF809" s="121"/>
      <c r="EG809" s="238">
        <f t="shared" si="100"/>
        <v>0</v>
      </c>
      <c r="EH809" s="121"/>
      <c r="EI809" s="237">
        <f t="shared" si="101"/>
        <v>0</v>
      </c>
      <c r="EJ809" s="121"/>
      <c r="EK809" s="237">
        <f t="shared" si="102"/>
        <v>0</v>
      </c>
      <c r="EL809" s="237"/>
      <c r="EM809" s="5"/>
      <c r="EN809" s="5"/>
      <c r="EO809" s="5"/>
      <c r="EP809" s="5"/>
      <c r="EQ809" s="237">
        <f t="shared" si="103"/>
        <v>0</v>
      </c>
      <c r="ER809" s="239">
        <v>23300</v>
      </c>
      <c r="ES809" s="5">
        <v>7.5</v>
      </c>
    </row>
    <row r="810" spans="1:149" x14ac:dyDescent="0.3">
      <c r="A810" s="124"/>
      <c r="B810" s="121"/>
      <c r="C810" s="121"/>
      <c r="D810" s="121"/>
      <c r="E810" s="121"/>
      <c r="F810" s="121"/>
      <c r="G810" s="121"/>
      <c r="H810" s="121"/>
      <c r="I810" s="121"/>
      <c r="J810" s="121"/>
      <c r="K810" s="121"/>
      <c r="L810" s="121"/>
      <c r="M810" s="121"/>
      <c r="N810" s="121"/>
      <c r="O810" s="235"/>
      <c r="P810" s="121"/>
      <c r="Q810" s="121"/>
      <c r="R810" s="121"/>
      <c r="S810" s="121"/>
      <c r="T810" s="121"/>
      <c r="U810" s="121"/>
      <c r="V810" s="121"/>
      <c r="W810" s="121"/>
      <c r="X810" s="117"/>
      <c r="Y810" s="117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21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  <c r="DK810" s="121"/>
      <c r="DL810" s="121"/>
      <c r="DM810" s="121"/>
      <c r="DN810" s="121"/>
      <c r="DO810" s="121"/>
      <c r="DP810" s="121"/>
      <c r="DQ810" s="121"/>
      <c r="DR810" s="121"/>
      <c r="DS810" s="121"/>
      <c r="DT810" s="240"/>
      <c r="DU810" s="240"/>
      <c r="DV810" s="240"/>
      <c r="DW810" s="240"/>
      <c r="DX810" s="240"/>
      <c r="DY810" s="240"/>
      <c r="DZ810" s="240"/>
      <c r="EA810" s="240"/>
      <c r="EB810" s="237">
        <f t="shared" si="96"/>
        <v>0</v>
      </c>
      <c r="EC810" s="237">
        <f t="shared" si="97"/>
        <v>0</v>
      </c>
      <c r="ED810" s="237">
        <f t="shared" si="98"/>
        <v>0</v>
      </c>
      <c r="EE810" s="237">
        <f t="shared" si="99"/>
        <v>0</v>
      </c>
      <c r="EF810" s="121"/>
      <c r="EG810" s="238">
        <f t="shared" si="100"/>
        <v>0</v>
      </c>
      <c r="EH810" s="121"/>
      <c r="EI810" s="237">
        <f t="shared" si="101"/>
        <v>0</v>
      </c>
      <c r="EJ810" s="121"/>
      <c r="EK810" s="237">
        <f t="shared" si="102"/>
        <v>0</v>
      </c>
      <c r="EL810" s="237"/>
      <c r="EM810" s="5"/>
      <c r="EN810" s="5"/>
      <c r="EO810" s="5"/>
      <c r="EP810" s="5"/>
      <c r="EQ810" s="237">
        <f t="shared" si="103"/>
        <v>0</v>
      </c>
      <c r="ER810" s="239">
        <v>23300</v>
      </c>
      <c r="ES810" s="5">
        <v>7.5</v>
      </c>
    </row>
    <row r="811" spans="1:149" x14ac:dyDescent="0.3">
      <c r="A811" s="124"/>
      <c r="B811" s="121"/>
      <c r="C811" s="121"/>
      <c r="D811" s="121"/>
      <c r="E811" s="121"/>
      <c r="F811" s="121"/>
      <c r="G811" s="121"/>
      <c r="H811" s="121"/>
      <c r="I811" s="121"/>
      <c r="J811" s="121"/>
      <c r="K811" s="121"/>
      <c r="L811" s="121"/>
      <c r="M811" s="121"/>
      <c r="N811" s="121"/>
      <c r="O811" s="235"/>
      <c r="P811" s="121"/>
      <c r="Q811" s="121"/>
      <c r="R811" s="121"/>
      <c r="S811" s="121"/>
      <c r="T811" s="121"/>
      <c r="U811" s="121"/>
      <c r="V811" s="121"/>
      <c r="W811" s="121"/>
      <c r="X811" s="117"/>
      <c r="Y811" s="117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21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  <c r="DK811" s="121"/>
      <c r="DL811" s="121"/>
      <c r="DM811" s="121"/>
      <c r="DN811" s="121"/>
      <c r="DO811" s="121"/>
      <c r="DP811" s="121"/>
      <c r="DQ811" s="121"/>
      <c r="DR811" s="121"/>
      <c r="DS811" s="121"/>
      <c r="DT811" s="240"/>
      <c r="DU811" s="240"/>
      <c r="DV811" s="240"/>
      <c r="DW811" s="240"/>
      <c r="DX811" s="240"/>
      <c r="DY811" s="240"/>
      <c r="DZ811" s="240"/>
      <c r="EA811" s="240"/>
      <c r="EB811" s="237">
        <f t="shared" si="96"/>
        <v>0</v>
      </c>
      <c r="EC811" s="237">
        <f t="shared" si="97"/>
        <v>0</v>
      </c>
      <c r="ED811" s="237">
        <f t="shared" si="98"/>
        <v>0</v>
      </c>
      <c r="EE811" s="237">
        <f t="shared" si="99"/>
        <v>0</v>
      </c>
      <c r="EF811" s="121"/>
      <c r="EG811" s="238">
        <f t="shared" si="100"/>
        <v>0</v>
      </c>
      <c r="EH811" s="121"/>
      <c r="EI811" s="237">
        <f t="shared" si="101"/>
        <v>0</v>
      </c>
      <c r="EJ811" s="121"/>
      <c r="EK811" s="237">
        <f t="shared" si="102"/>
        <v>0</v>
      </c>
      <c r="EL811" s="237"/>
      <c r="EM811" s="5"/>
      <c r="EN811" s="5"/>
      <c r="EO811" s="5"/>
      <c r="EP811" s="5"/>
      <c r="EQ811" s="237">
        <f t="shared" si="103"/>
        <v>0</v>
      </c>
      <c r="ER811" s="239">
        <v>23300</v>
      </c>
      <c r="ES811" s="5">
        <v>7.5</v>
      </c>
    </row>
    <row r="812" spans="1:149" x14ac:dyDescent="0.3">
      <c r="A812" s="124"/>
      <c r="B812" s="121"/>
      <c r="C812" s="121"/>
      <c r="D812" s="121"/>
      <c r="E812" s="121"/>
      <c r="F812" s="121"/>
      <c r="G812" s="121"/>
      <c r="H812" s="121"/>
      <c r="I812" s="121"/>
      <c r="J812" s="121"/>
      <c r="K812" s="121"/>
      <c r="L812" s="121"/>
      <c r="M812" s="121"/>
      <c r="N812" s="121"/>
      <c r="O812" s="235"/>
      <c r="P812" s="121"/>
      <c r="Q812" s="121"/>
      <c r="R812" s="121"/>
      <c r="S812" s="121"/>
      <c r="T812" s="121"/>
      <c r="U812" s="121"/>
      <c r="V812" s="121"/>
      <c r="W812" s="121"/>
      <c r="X812" s="117"/>
      <c r="Y812" s="117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21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  <c r="DK812" s="121"/>
      <c r="DL812" s="121"/>
      <c r="DM812" s="121"/>
      <c r="DN812" s="121"/>
      <c r="DO812" s="121"/>
      <c r="DP812" s="121"/>
      <c r="DQ812" s="121"/>
      <c r="DR812" s="121"/>
      <c r="DS812" s="121"/>
      <c r="DT812" s="240"/>
      <c r="DU812" s="240"/>
      <c r="DV812" s="240"/>
      <c r="DW812" s="240"/>
      <c r="DX812" s="240"/>
      <c r="DY812" s="240"/>
      <c r="DZ812" s="240"/>
      <c r="EA812" s="240"/>
      <c r="EB812" s="237">
        <f t="shared" si="96"/>
        <v>0</v>
      </c>
      <c r="EC812" s="237">
        <f t="shared" si="97"/>
        <v>0</v>
      </c>
      <c r="ED812" s="237">
        <f t="shared" si="98"/>
        <v>0</v>
      </c>
      <c r="EE812" s="237">
        <f t="shared" si="99"/>
        <v>0</v>
      </c>
      <c r="EF812" s="121"/>
      <c r="EG812" s="238">
        <f t="shared" si="100"/>
        <v>0</v>
      </c>
      <c r="EH812" s="121"/>
      <c r="EI812" s="237">
        <f t="shared" si="101"/>
        <v>0</v>
      </c>
      <c r="EJ812" s="121"/>
      <c r="EK812" s="237">
        <f t="shared" si="102"/>
        <v>0</v>
      </c>
      <c r="EL812" s="237"/>
      <c r="EM812" s="5"/>
      <c r="EN812" s="5"/>
      <c r="EO812" s="5"/>
      <c r="EP812" s="5"/>
      <c r="EQ812" s="237">
        <f t="shared" si="103"/>
        <v>0</v>
      </c>
      <c r="ER812" s="239">
        <v>23300</v>
      </c>
      <c r="ES812" s="5">
        <v>7.5</v>
      </c>
    </row>
    <row r="813" spans="1:149" x14ac:dyDescent="0.3">
      <c r="A813" s="124"/>
      <c r="B813" s="121"/>
      <c r="C813" s="121"/>
      <c r="D813" s="121"/>
      <c r="E813" s="121"/>
      <c r="F813" s="121"/>
      <c r="G813" s="121"/>
      <c r="H813" s="121"/>
      <c r="I813" s="121"/>
      <c r="J813" s="121"/>
      <c r="K813" s="121"/>
      <c r="L813" s="121"/>
      <c r="M813" s="121"/>
      <c r="N813" s="121"/>
      <c r="O813" s="235"/>
      <c r="P813" s="121"/>
      <c r="Q813" s="121"/>
      <c r="R813" s="121"/>
      <c r="S813" s="121"/>
      <c r="T813" s="121"/>
      <c r="U813" s="121"/>
      <c r="V813" s="121"/>
      <c r="W813" s="121"/>
      <c r="X813" s="117"/>
      <c r="Y813" s="117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21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  <c r="DK813" s="121"/>
      <c r="DL813" s="121"/>
      <c r="DM813" s="121"/>
      <c r="DN813" s="121"/>
      <c r="DO813" s="121"/>
      <c r="DP813" s="121"/>
      <c r="DQ813" s="121"/>
      <c r="DR813" s="121"/>
      <c r="DS813" s="121"/>
      <c r="DT813" s="240"/>
      <c r="DU813" s="240"/>
      <c r="DV813" s="240"/>
      <c r="DW813" s="240"/>
      <c r="DX813" s="240"/>
      <c r="DY813" s="240"/>
      <c r="DZ813" s="240"/>
      <c r="EA813" s="240"/>
      <c r="EB813" s="237">
        <f t="shared" si="96"/>
        <v>0</v>
      </c>
      <c r="EC813" s="237">
        <f t="shared" si="97"/>
        <v>0</v>
      </c>
      <c r="ED813" s="237">
        <f t="shared" si="98"/>
        <v>0</v>
      </c>
      <c r="EE813" s="237">
        <f t="shared" si="99"/>
        <v>0</v>
      </c>
      <c r="EF813" s="121"/>
      <c r="EG813" s="238">
        <f t="shared" si="100"/>
        <v>0</v>
      </c>
      <c r="EH813" s="121"/>
      <c r="EI813" s="237">
        <f t="shared" si="101"/>
        <v>0</v>
      </c>
      <c r="EJ813" s="121"/>
      <c r="EK813" s="237">
        <f t="shared" si="102"/>
        <v>0</v>
      </c>
      <c r="EL813" s="237"/>
      <c r="EM813" s="5"/>
      <c r="EN813" s="5"/>
      <c r="EO813" s="5"/>
      <c r="EP813" s="5"/>
      <c r="EQ813" s="237">
        <f t="shared" si="103"/>
        <v>0</v>
      </c>
      <c r="ER813" s="239">
        <v>23300</v>
      </c>
      <c r="ES813" s="5">
        <v>7.5</v>
      </c>
    </row>
    <row r="814" spans="1:149" x14ac:dyDescent="0.3">
      <c r="A814" s="124"/>
      <c r="B814" s="121"/>
      <c r="C814" s="121"/>
      <c r="D814" s="121"/>
      <c r="E814" s="121"/>
      <c r="F814" s="121"/>
      <c r="G814" s="121"/>
      <c r="H814" s="121"/>
      <c r="I814" s="121"/>
      <c r="J814" s="121"/>
      <c r="K814" s="121"/>
      <c r="L814" s="121"/>
      <c r="M814" s="121"/>
      <c r="N814" s="121"/>
      <c r="O814" s="235"/>
      <c r="P814" s="121"/>
      <c r="Q814" s="121"/>
      <c r="R814" s="121"/>
      <c r="S814" s="121"/>
      <c r="T814" s="121"/>
      <c r="U814" s="121"/>
      <c r="V814" s="121"/>
      <c r="W814" s="121"/>
      <c r="X814" s="117"/>
      <c r="Y814" s="117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21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  <c r="DK814" s="121"/>
      <c r="DL814" s="121"/>
      <c r="DM814" s="121"/>
      <c r="DN814" s="121"/>
      <c r="DO814" s="121"/>
      <c r="DP814" s="121"/>
      <c r="DQ814" s="121"/>
      <c r="DR814" s="121"/>
      <c r="DS814" s="121"/>
      <c r="DT814" s="240"/>
      <c r="DU814" s="240"/>
      <c r="DV814" s="240"/>
      <c r="DW814" s="240"/>
      <c r="DX814" s="240"/>
      <c r="DY814" s="240"/>
      <c r="DZ814" s="240"/>
      <c r="EA814" s="240"/>
      <c r="EB814" s="237">
        <f t="shared" si="96"/>
        <v>0</v>
      </c>
      <c r="EC814" s="237">
        <f t="shared" si="97"/>
        <v>0</v>
      </c>
      <c r="ED814" s="237">
        <f t="shared" si="98"/>
        <v>0</v>
      </c>
      <c r="EE814" s="237">
        <f t="shared" si="99"/>
        <v>0</v>
      </c>
      <c r="EF814" s="121"/>
      <c r="EG814" s="238">
        <f t="shared" si="100"/>
        <v>0</v>
      </c>
      <c r="EH814" s="121"/>
      <c r="EI814" s="237">
        <f t="shared" si="101"/>
        <v>0</v>
      </c>
      <c r="EJ814" s="121"/>
      <c r="EK814" s="237">
        <f t="shared" si="102"/>
        <v>0</v>
      </c>
      <c r="EL814" s="237"/>
      <c r="EM814" s="5"/>
      <c r="EN814" s="5"/>
      <c r="EO814" s="5"/>
      <c r="EP814" s="5"/>
      <c r="EQ814" s="237">
        <f t="shared" si="103"/>
        <v>0</v>
      </c>
      <c r="ER814" s="239">
        <v>23300</v>
      </c>
      <c r="ES814" s="5">
        <v>7.5</v>
      </c>
    </row>
    <row r="815" spans="1:149" x14ac:dyDescent="0.3">
      <c r="A815" s="124"/>
      <c r="B815" s="121"/>
      <c r="C815" s="121"/>
      <c r="D815" s="121"/>
      <c r="E815" s="121"/>
      <c r="F815" s="121"/>
      <c r="G815" s="121"/>
      <c r="H815" s="121"/>
      <c r="I815" s="121"/>
      <c r="J815" s="121"/>
      <c r="K815" s="121"/>
      <c r="L815" s="121"/>
      <c r="M815" s="121"/>
      <c r="N815" s="121"/>
      <c r="O815" s="235"/>
      <c r="P815" s="121"/>
      <c r="Q815" s="121"/>
      <c r="R815" s="121"/>
      <c r="S815" s="121"/>
      <c r="T815" s="121"/>
      <c r="U815" s="121"/>
      <c r="V815" s="121"/>
      <c r="W815" s="121"/>
      <c r="X815" s="117"/>
      <c r="Y815" s="117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21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  <c r="DK815" s="121"/>
      <c r="DL815" s="121"/>
      <c r="DM815" s="121"/>
      <c r="DN815" s="121"/>
      <c r="DO815" s="121"/>
      <c r="DP815" s="121"/>
      <c r="DQ815" s="121"/>
      <c r="DR815" s="121"/>
      <c r="DS815" s="121"/>
      <c r="DT815" s="240"/>
      <c r="DU815" s="240"/>
      <c r="DV815" s="240"/>
      <c r="DW815" s="240"/>
      <c r="DX815" s="240"/>
      <c r="DY815" s="240"/>
      <c r="DZ815" s="240"/>
      <c r="EA815" s="240"/>
      <c r="EB815" s="237">
        <f t="shared" si="96"/>
        <v>0</v>
      </c>
      <c r="EC815" s="237">
        <f t="shared" si="97"/>
        <v>0</v>
      </c>
      <c r="ED815" s="237">
        <f t="shared" si="98"/>
        <v>0</v>
      </c>
      <c r="EE815" s="237">
        <f t="shared" si="99"/>
        <v>0</v>
      </c>
      <c r="EF815" s="121"/>
      <c r="EG815" s="238">
        <f t="shared" si="100"/>
        <v>0</v>
      </c>
      <c r="EH815" s="121"/>
      <c r="EI815" s="237">
        <f t="shared" si="101"/>
        <v>0</v>
      </c>
      <c r="EJ815" s="121"/>
      <c r="EK815" s="237">
        <f t="shared" si="102"/>
        <v>0</v>
      </c>
      <c r="EL815" s="237"/>
      <c r="EM815" s="5"/>
      <c r="EN815" s="5"/>
      <c r="EO815" s="5"/>
      <c r="EP815" s="5"/>
      <c r="EQ815" s="237">
        <f t="shared" si="103"/>
        <v>0</v>
      </c>
      <c r="ER815" s="239">
        <v>23300</v>
      </c>
      <c r="ES815" s="5">
        <v>7.5</v>
      </c>
    </row>
    <row r="816" spans="1:149" x14ac:dyDescent="0.3">
      <c r="A816" s="124"/>
      <c r="B816" s="121"/>
      <c r="C816" s="121"/>
      <c r="D816" s="121"/>
      <c r="E816" s="121"/>
      <c r="F816" s="121"/>
      <c r="G816" s="121"/>
      <c r="H816" s="121"/>
      <c r="I816" s="121"/>
      <c r="J816" s="121"/>
      <c r="K816" s="121"/>
      <c r="L816" s="121"/>
      <c r="M816" s="121"/>
      <c r="N816" s="121"/>
      <c r="O816" s="235"/>
      <c r="P816" s="121"/>
      <c r="Q816" s="121"/>
      <c r="R816" s="121"/>
      <c r="S816" s="121"/>
      <c r="T816" s="121"/>
      <c r="U816" s="121"/>
      <c r="V816" s="121"/>
      <c r="W816" s="121"/>
      <c r="X816" s="117"/>
      <c r="Y816" s="117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21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  <c r="DK816" s="121"/>
      <c r="DL816" s="121"/>
      <c r="DM816" s="121"/>
      <c r="DN816" s="121"/>
      <c r="DO816" s="121"/>
      <c r="DP816" s="121"/>
      <c r="DQ816" s="121"/>
      <c r="DR816" s="121"/>
      <c r="DS816" s="121"/>
      <c r="DT816" s="240"/>
      <c r="DU816" s="240"/>
      <c r="DV816" s="240"/>
      <c r="DW816" s="240"/>
      <c r="DX816" s="240"/>
      <c r="DY816" s="240"/>
      <c r="DZ816" s="240"/>
      <c r="EA816" s="240"/>
      <c r="EB816" s="237">
        <f t="shared" si="96"/>
        <v>0</v>
      </c>
      <c r="EC816" s="237">
        <f t="shared" si="97"/>
        <v>0</v>
      </c>
      <c r="ED816" s="237">
        <f t="shared" si="98"/>
        <v>0</v>
      </c>
      <c r="EE816" s="237">
        <f t="shared" si="99"/>
        <v>0</v>
      </c>
      <c r="EF816" s="121"/>
      <c r="EG816" s="238">
        <f t="shared" si="100"/>
        <v>0</v>
      </c>
      <c r="EH816" s="121"/>
      <c r="EI816" s="237">
        <f t="shared" si="101"/>
        <v>0</v>
      </c>
      <c r="EJ816" s="121"/>
      <c r="EK816" s="237">
        <f t="shared" si="102"/>
        <v>0</v>
      </c>
      <c r="EL816" s="237"/>
      <c r="EM816" s="5"/>
      <c r="EN816" s="5"/>
      <c r="EO816" s="5"/>
      <c r="EP816" s="5"/>
      <c r="EQ816" s="237">
        <f t="shared" si="103"/>
        <v>0</v>
      </c>
      <c r="ER816" s="239">
        <v>23300</v>
      </c>
      <c r="ES816" s="5">
        <v>7.5</v>
      </c>
    </row>
    <row r="817" spans="1:149" x14ac:dyDescent="0.3">
      <c r="A817" s="124"/>
      <c r="B817" s="121"/>
      <c r="C817" s="121"/>
      <c r="D817" s="121"/>
      <c r="E817" s="121"/>
      <c r="F817" s="121"/>
      <c r="G817" s="121"/>
      <c r="H817" s="121"/>
      <c r="I817" s="121"/>
      <c r="J817" s="121"/>
      <c r="K817" s="121"/>
      <c r="L817" s="121"/>
      <c r="M817" s="121"/>
      <c r="N817" s="121"/>
      <c r="O817" s="235"/>
      <c r="P817" s="121"/>
      <c r="Q817" s="121"/>
      <c r="R817" s="121"/>
      <c r="S817" s="121"/>
      <c r="T817" s="121"/>
      <c r="U817" s="121"/>
      <c r="V817" s="121"/>
      <c r="W817" s="121"/>
      <c r="X817" s="117"/>
      <c r="Y817" s="117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21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  <c r="DK817" s="121"/>
      <c r="DL817" s="121"/>
      <c r="DM817" s="121"/>
      <c r="DN817" s="121"/>
      <c r="DO817" s="121"/>
      <c r="DP817" s="121"/>
      <c r="DQ817" s="121"/>
      <c r="DR817" s="121"/>
      <c r="DS817" s="121"/>
      <c r="DT817" s="240"/>
      <c r="DU817" s="240"/>
      <c r="DV817" s="240"/>
      <c r="DW817" s="240"/>
      <c r="DX817" s="240"/>
      <c r="DY817" s="240"/>
      <c r="DZ817" s="240"/>
      <c r="EA817" s="240"/>
      <c r="EB817" s="237">
        <f t="shared" si="96"/>
        <v>0</v>
      </c>
      <c r="EC817" s="237">
        <f t="shared" si="97"/>
        <v>0</v>
      </c>
      <c r="ED817" s="237">
        <f t="shared" si="98"/>
        <v>0</v>
      </c>
      <c r="EE817" s="237">
        <f t="shared" si="99"/>
        <v>0</v>
      </c>
      <c r="EF817" s="121"/>
      <c r="EG817" s="238">
        <f t="shared" si="100"/>
        <v>0</v>
      </c>
      <c r="EH817" s="121"/>
      <c r="EI817" s="237">
        <f t="shared" si="101"/>
        <v>0</v>
      </c>
      <c r="EJ817" s="121"/>
      <c r="EK817" s="237">
        <f t="shared" si="102"/>
        <v>0</v>
      </c>
      <c r="EL817" s="237"/>
      <c r="EM817" s="5"/>
      <c r="EN817" s="5"/>
      <c r="EO817" s="5"/>
      <c r="EP817" s="5"/>
      <c r="EQ817" s="237">
        <f t="shared" si="103"/>
        <v>0</v>
      </c>
      <c r="ER817" s="239">
        <v>23300</v>
      </c>
      <c r="ES817" s="5">
        <v>7.5</v>
      </c>
    </row>
    <row r="818" spans="1:149" x14ac:dyDescent="0.3">
      <c r="A818" s="124"/>
      <c r="B818" s="121"/>
      <c r="C818" s="121"/>
      <c r="D818" s="121"/>
      <c r="E818" s="121"/>
      <c r="F818" s="121"/>
      <c r="G818" s="121"/>
      <c r="H818" s="121"/>
      <c r="I818" s="121"/>
      <c r="J818" s="121"/>
      <c r="K818" s="121"/>
      <c r="L818" s="121"/>
      <c r="M818" s="121"/>
      <c r="N818" s="121"/>
      <c r="O818" s="235"/>
      <c r="P818" s="121"/>
      <c r="Q818" s="121"/>
      <c r="R818" s="121"/>
      <c r="S818" s="121"/>
      <c r="T818" s="121"/>
      <c r="U818" s="121"/>
      <c r="V818" s="121"/>
      <c r="W818" s="121"/>
      <c r="X818" s="117"/>
      <c r="Y818" s="117"/>
      <c r="Z818" s="121"/>
      <c r="AA818" s="121"/>
      <c r="AB818" s="121"/>
      <c r="AC818" s="121"/>
      <c r="AD818" s="121"/>
      <c r="AE818" s="121"/>
      <c r="AF818" s="121"/>
      <c r="AG818" s="121"/>
      <c r="AH818" s="121"/>
      <c r="AI818" s="121"/>
      <c r="AJ818" s="121"/>
      <c r="AK818" s="121"/>
      <c r="AL818" s="121"/>
      <c r="AM818" s="121"/>
      <c r="AN818" s="121"/>
      <c r="AO818" s="121"/>
      <c r="AP818" s="121"/>
      <c r="AQ818" s="121"/>
      <c r="AR818" s="121"/>
      <c r="AS818" s="121"/>
      <c r="AT818" s="121"/>
      <c r="AU818" s="121"/>
      <c r="AV818" s="121"/>
      <c r="AW818" s="121"/>
      <c r="AX818" s="121"/>
      <c r="AY818" s="121"/>
      <c r="AZ818" s="121"/>
      <c r="BA818" s="121"/>
      <c r="BB818" s="121"/>
      <c r="BC818" s="121"/>
      <c r="BD818" s="121"/>
      <c r="BE818" s="121"/>
      <c r="BF818" s="121"/>
      <c r="BG818" s="121"/>
      <c r="BH818" s="121"/>
      <c r="BI818" s="121"/>
      <c r="BJ818" s="121"/>
      <c r="BK818" s="121"/>
      <c r="BL818" s="121"/>
      <c r="BM818" s="121"/>
      <c r="BN818" s="121"/>
      <c r="BO818" s="121"/>
      <c r="BP818" s="121"/>
      <c r="BQ818" s="121"/>
      <c r="BR818" s="121"/>
      <c r="BS818" s="121"/>
      <c r="BT818" s="121"/>
      <c r="BU818" s="121"/>
      <c r="BV818" s="121"/>
      <c r="BW818" s="121"/>
      <c r="BX818" s="121"/>
      <c r="BY818" s="121"/>
      <c r="BZ818" s="121"/>
      <c r="CA818" s="121"/>
      <c r="CB818" s="121"/>
      <c r="CC818" s="121"/>
      <c r="CD818" s="121"/>
      <c r="CE818" s="121"/>
      <c r="CF818" s="121"/>
      <c r="CG818" s="121"/>
      <c r="CH818" s="121"/>
      <c r="CI818" s="121"/>
      <c r="CJ818" s="121"/>
      <c r="CK818" s="121"/>
      <c r="CL818" s="121"/>
      <c r="CM818" s="121"/>
      <c r="CN818" s="121"/>
      <c r="CO818" s="121"/>
      <c r="CP818" s="121"/>
      <c r="CQ818" s="121"/>
      <c r="CR818" s="121"/>
      <c r="CS818" s="121"/>
      <c r="CT818" s="121"/>
      <c r="CU818" s="121"/>
      <c r="CV818" s="121"/>
      <c r="CW818" s="121"/>
      <c r="CX818" s="121"/>
      <c r="CY818" s="121"/>
      <c r="CZ818" s="121"/>
      <c r="DA818" s="121"/>
      <c r="DB818" s="121"/>
      <c r="DC818" s="121"/>
      <c r="DD818" s="121"/>
      <c r="DE818" s="121"/>
      <c r="DF818" s="121"/>
      <c r="DG818" s="121"/>
      <c r="DH818" s="121"/>
      <c r="DI818" s="121"/>
      <c r="DJ818" s="121"/>
      <c r="DK818" s="121"/>
      <c r="DL818" s="121"/>
      <c r="DM818" s="121"/>
      <c r="DN818" s="121"/>
      <c r="DO818" s="121"/>
      <c r="DP818" s="121"/>
      <c r="DQ818" s="121"/>
      <c r="DR818" s="121"/>
      <c r="DS818" s="121"/>
      <c r="DT818" s="240"/>
      <c r="DU818" s="240"/>
      <c r="DV818" s="240"/>
      <c r="DW818" s="240"/>
      <c r="DX818" s="240"/>
      <c r="DY818" s="240"/>
      <c r="DZ818" s="240"/>
      <c r="EA818" s="240"/>
      <c r="EB818" s="237">
        <f t="shared" si="96"/>
        <v>0</v>
      </c>
      <c r="EC818" s="237">
        <f t="shared" si="97"/>
        <v>0</v>
      </c>
      <c r="ED818" s="237">
        <f t="shared" si="98"/>
        <v>0</v>
      </c>
      <c r="EE818" s="237">
        <f t="shared" si="99"/>
        <v>0</v>
      </c>
      <c r="EF818" s="121"/>
      <c r="EG818" s="238">
        <f t="shared" si="100"/>
        <v>0</v>
      </c>
      <c r="EH818" s="121"/>
      <c r="EI818" s="237">
        <f t="shared" si="101"/>
        <v>0</v>
      </c>
      <c r="EJ818" s="121"/>
      <c r="EK818" s="237">
        <f t="shared" si="102"/>
        <v>0</v>
      </c>
      <c r="EL818" s="237"/>
      <c r="EM818" s="5"/>
      <c r="EN818" s="5"/>
      <c r="EO818" s="5"/>
      <c r="EP818" s="5"/>
      <c r="EQ818" s="237">
        <f t="shared" si="103"/>
        <v>0</v>
      </c>
      <c r="ER818" s="239">
        <v>23300</v>
      </c>
      <c r="ES818" s="5">
        <v>7.5</v>
      </c>
    </row>
    <row r="819" spans="1:149" x14ac:dyDescent="0.3">
      <c r="A819" s="124"/>
      <c r="B819" s="121"/>
      <c r="C819" s="121"/>
      <c r="D819" s="121"/>
      <c r="E819" s="121"/>
      <c r="F819" s="121"/>
      <c r="G819" s="121"/>
      <c r="H819" s="121"/>
      <c r="I819" s="121"/>
      <c r="J819" s="121"/>
      <c r="K819" s="121"/>
      <c r="L819" s="121"/>
      <c r="M819" s="121"/>
      <c r="N819" s="121"/>
      <c r="O819" s="235"/>
      <c r="P819" s="121"/>
      <c r="Q819" s="121"/>
      <c r="R819" s="121"/>
      <c r="S819" s="121"/>
      <c r="T819" s="121"/>
      <c r="U819" s="121"/>
      <c r="V819" s="121"/>
      <c r="W819" s="121"/>
      <c r="X819" s="117"/>
      <c r="Y819" s="117"/>
      <c r="Z819" s="121"/>
      <c r="AA819" s="121"/>
      <c r="AB819" s="121"/>
      <c r="AC819" s="121"/>
      <c r="AD819" s="121"/>
      <c r="AE819" s="121"/>
      <c r="AF819" s="121"/>
      <c r="AG819" s="121"/>
      <c r="AH819" s="121"/>
      <c r="AI819" s="121"/>
      <c r="AJ819" s="121"/>
      <c r="AK819" s="121"/>
      <c r="AL819" s="121"/>
      <c r="AM819" s="121"/>
      <c r="AN819" s="121"/>
      <c r="AO819" s="121"/>
      <c r="AP819" s="121"/>
      <c r="AQ819" s="121"/>
      <c r="AR819" s="121"/>
      <c r="AS819" s="121"/>
      <c r="AT819" s="121"/>
      <c r="AU819" s="121"/>
      <c r="AV819" s="121"/>
      <c r="AW819" s="121"/>
      <c r="AX819" s="121"/>
      <c r="AY819" s="121"/>
      <c r="AZ819" s="121"/>
      <c r="BA819" s="121"/>
      <c r="BB819" s="121"/>
      <c r="BC819" s="121"/>
      <c r="BD819" s="121"/>
      <c r="BE819" s="121"/>
      <c r="BF819" s="121"/>
      <c r="BG819" s="121"/>
      <c r="BH819" s="121"/>
      <c r="BI819" s="121"/>
      <c r="BJ819" s="121"/>
      <c r="BK819" s="121"/>
      <c r="BL819" s="121"/>
      <c r="BM819" s="121"/>
      <c r="BN819" s="121"/>
      <c r="BO819" s="121"/>
      <c r="BP819" s="121"/>
      <c r="BQ819" s="121"/>
      <c r="BR819" s="121"/>
      <c r="BS819" s="121"/>
      <c r="BT819" s="121"/>
      <c r="BU819" s="121"/>
      <c r="BV819" s="121"/>
      <c r="BW819" s="121"/>
      <c r="BX819" s="121"/>
      <c r="BY819" s="121"/>
      <c r="BZ819" s="121"/>
      <c r="CA819" s="121"/>
      <c r="CB819" s="121"/>
      <c r="CC819" s="121"/>
      <c r="CD819" s="121"/>
      <c r="CE819" s="121"/>
      <c r="CF819" s="121"/>
      <c r="CG819" s="121"/>
      <c r="CH819" s="121"/>
      <c r="CI819" s="121"/>
      <c r="CJ819" s="121"/>
      <c r="CK819" s="121"/>
      <c r="CL819" s="121"/>
      <c r="CM819" s="121"/>
      <c r="CN819" s="121"/>
      <c r="CO819" s="121"/>
      <c r="CP819" s="121"/>
      <c r="CQ819" s="121"/>
      <c r="CR819" s="121"/>
      <c r="CS819" s="121"/>
      <c r="CT819" s="121"/>
      <c r="CU819" s="121"/>
      <c r="CV819" s="121"/>
      <c r="CW819" s="121"/>
      <c r="CX819" s="121"/>
      <c r="CY819" s="121"/>
      <c r="CZ819" s="121"/>
      <c r="DA819" s="121"/>
      <c r="DB819" s="121"/>
      <c r="DC819" s="121"/>
      <c r="DD819" s="121"/>
      <c r="DE819" s="121"/>
      <c r="DF819" s="121"/>
      <c r="DG819" s="121"/>
      <c r="DH819" s="121"/>
      <c r="DI819" s="121"/>
      <c r="DJ819" s="121"/>
      <c r="DK819" s="121"/>
      <c r="DL819" s="121"/>
      <c r="DM819" s="121"/>
      <c r="DN819" s="121"/>
      <c r="DO819" s="121"/>
      <c r="DP819" s="121"/>
      <c r="DQ819" s="121"/>
      <c r="DR819" s="121"/>
      <c r="DS819" s="121"/>
      <c r="DT819" s="240"/>
      <c r="DU819" s="240"/>
      <c r="DV819" s="240"/>
      <c r="DW819" s="240"/>
      <c r="DX819" s="240"/>
      <c r="DY819" s="240"/>
      <c r="DZ819" s="240"/>
      <c r="EA819" s="240"/>
      <c r="EB819" s="237">
        <f t="shared" si="96"/>
        <v>0</v>
      </c>
      <c r="EC819" s="237">
        <f t="shared" si="97"/>
        <v>0</v>
      </c>
      <c r="ED819" s="237">
        <f t="shared" si="98"/>
        <v>0</v>
      </c>
      <c r="EE819" s="237">
        <f t="shared" si="99"/>
        <v>0</v>
      </c>
      <c r="EF819" s="121"/>
      <c r="EG819" s="238">
        <f t="shared" si="100"/>
        <v>0</v>
      </c>
      <c r="EH819" s="121"/>
      <c r="EI819" s="237">
        <f t="shared" si="101"/>
        <v>0</v>
      </c>
      <c r="EJ819" s="121"/>
      <c r="EK819" s="237">
        <f t="shared" si="102"/>
        <v>0</v>
      </c>
      <c r="EL819" s="237"/>
      <c r="EM819" s="5"/>
      <c r="EN819" s="5"/>
      <c r="EO819" s="5"/>
      <c r="EP819" s="5"/>
      <c r="EQ819" s="237">
        <f t="shared" si="103"/>
        <v>0</v>
      </c>
      <c r="ER819" s="239">
        <v>23300</v>
      </c>
      <c r="ES819" s="5">
        <v>7.5</v>
      </c>
    </row>
    <row r="820" spans="1:149" x14ac:dyDescent="0.3">
      <c r="A820" s="124"/>
      <c r="B820" s="121"/>
      <c r="C820" s="121"/>
      <c r="D820" s="121"/>
      <c r="E820" s="121"/>
      <c r="F820" s="121"/>
      <c r="G820" s="121"/>
      <c r="H820" s="121"/>
      <c r="I820" s="121"/>
      <c r="J820" s="121"/>
      <c r="K820" s="121"/>
      <c r="L820" s="121"/>
      <c r="M820" s="121"/>
      <c r="N820" s="121"/>
      <c r="O820" s="235"/>
      <c r="P820" s="121"/>
      <c r="Q820" s="121"/>
      <c r="R820" s="121"/>
      <c r="S820" s="121"/>
      <c r="T820" s="121"/>
      <c r="U820" s="121"/>
      <c r="V820" s="121"/>
      <c r="W820" s="121"/>
      <c r="X820" s="117"/>
      <c r="Y820" s="117"/>
      <c r="Z820" s="121"/>
      <c r="AA820" s="121"/>
      <c r="AB820" s="121"/>
      <c r="AC820" s="121"/>
      <c r="AD820" s="121"/>
      <c r="AE820" s="121"/>
      <c r="AF820" s="121"/>
      <c r="AG820" s="121"/>
      <c r="AH820" s="121"/>
      <c r="AI820" s="121"/>
      <c r="AJ820" s="121"/>
      <c r="AK820" s="121"/>
      <c r="AL820" s="121"/>
      <c r="AM820" s="121"/>
      <c r="AN820" s="121"/>
      <c r="AO820" s="121"/>
      <c r="AP820" s="121"/>
      <c r="AQ820" s="121"/>
      <c r="AR820" s="121"/>
      <c r="AS820" s="121"/>
      <c r="AT820" s="121"/>
      <c r="AU820" s="121"/>
      <c r="AV820" s="121"/>
      <c r="AW820" s="121"/>
      <c r="AX820" s="121"/>
      <c r="AY820" s="121"/>
      <c r="AZ820" s="121"/>
      <c r="BA820" s="121"/>
      <c r="BB820" s="121"/>
      <c r="BC820" s="121"/>
      <c r="BD820" s="121"/>
      <c r="BE820" s="121"/>
      <c r="BF820" s="121"/>
      <c r="BG820" s="121"/>
      <c r="BH820" s="121"/>
      <c r="BI820" s="121"/>
      <c r="BJ820" s="121"/>
      <c r="BK820" s="121"/>
      <c r="BL820" s="121"/>
      <c r="BM820" s="121"/>
      <c r="BN820" s="121"/>
      <c r="BO820" s="121"/>
      <c r="BP820" s="121"/>
      <c r="BQ820" s="121"/>
      <c r="BR820" s="121"/>
      <c r="BS820" s="121"/>
      <c r="BT820" s="121"/>
      <c r="BU820" s="121"/>
      <c r="BV820" s="121"/>
      <c r="BW820" s="121"/>
      <c r="BX820" s="121"/>
      <c r="BY820" s="121"/>
      <c r="BZ820" s="121"/>
      <c r="CA820" s="121"/>
      <c r="CB820" s="121"/>
      <c r="CC820" s="121"/>
      <c r="CD820" s="121"/>
      <c r="CE820" s="121"/>
      <c r="CF820" s="121"/>
      <c r="CG820" s="121"/>
      <c r="CH820" s="121"/>
      <c r="CI820" s="121"/>
      <c r="CJ820" s="121"/>
      <c r="CK820" s="121"/>
      <c r="CL820" s="121"/>
      <c r="CM820" s="121"/>
      <c r="CN820" s="121"/>
      <c r="CO820" s="121"/>
      <c r="CP820" s="121"/>
      <c r="CQ820" s="121"/>
      <c r="CR820" s="121"/>
      <c r="CS820" s="121"/>
      <c r="CT820" s="121"/>
      <c r="CU820" s="121"/>
      <c r="CV820" s="121"/>
      <c r="CW820" s="121"/>
      <c r="CX820" s="121"/>
      <c r="CY820" s="121"/>
      <c r="CZ820" s="121"/>
      <c r="DA820" s="121"/>
      <c r="DB820" s="121"/>
      <c r="DC820" s="121"/>
      <c r="DD820" s="121"/>
      <c r="DE820" s="121"/>
      <c r="DF820" s="121"/>
      <c r="DG820" s="121"/>
      <c r="DH820" s="121"/>
      <c r="DI820" s="121"/>
      <c r="DJ820" s="121"/>
      <c r="DK820" s="121"/>
      <c r="DL820" s="121"/>
      <c r="DM820" s="121"/>
      <c r="DN820" s="121"/>
      <c r="DO820" s="121"/>
      <c r="DP820" s="121"/>
      <c r="DQ820" s="121"/>
      <c r="DR820" s="121"/>
      <c r="DS820" s="121"/>
      <c r="DT820" s="240"/>
      <c r="DU820" s="240"/>
      <c r="DV820" s="240"/>
      <c r="DW820" s="240"/>
      <c r="DX820" s="240"/>
      <c r="DY820" s="240"/>
      <c r="DZ820" s="240"/>
      <c r="EA820" s="240"/>
      <c r="EB820" s="237">
        <f t="shared" si="96"/>
        <v>0</v>
      </c>
      <c r="EC820" s="237">
        <f t="shared" si="97"/>
        <v>0</v>
      </c>
      <c r="ED820" s="237">
        <f t="shared" si="98"/>
        <v>0</v>
      </c>
      <c r="EE820" s="237">
        <f t="shared" si="99"/>
        <v>0</v>
      </c>
      <c r="EF820" s="121"/>
      <c r="EG820" s="238">
        <f t="shared" si="100"/>
        <v>0</v>
      </c>
      <c r="EH820" s="121"/>
      <c r="EI820" s="237">
        <f t="shared" si="101"/>
        <v>0</v>
      </c>
      <c r="EJ820" s="121"/>
      <c r="EK820" s="237">
        <f t="shared" si="102"/>
        <v>0</v>
      </c>
      <c r="EL820" s="237"/>
      <c r="EM820" s="5"/>
      <c r="EN820" s="5"/>
      <c r="EO820" s="5"/>
      <c r="EP820" s="5"/>
      <c r="EQ820" s="237">
        <f t="shared" si="103"/>
        <v>0</v>
      </c>
      <c r="ER820" s="239">
        <v>23300</v>
      </c>
      <c r="ES820" s="5">
        <v>7.5</v>
      </c>
    </row>
    <row r="821" spans="1:149" x14ac:dyDescent="0.3">
      <c r="A821" s="124"/>
      <c r="B821" s="121"/>
      <c r="C821" s="121"/>
      <c r="D821" s="121"/>
      <c r="E821" s="121"/>
      <c r="F821" s="121"/>
      <c r="G821" s="121"/>
      <c r="H821" s="121"/>
      <c r="I821" s="121"/>
      <c r="J821" s="121"/>
      <c r="K821" s="121"/>
      <c r="L821" s="121"/>
      <c r="M821" s="121"/>
      <c r="N821" s="121"/>
      <c r="O821" s="235"/>
      <c r="P821" s="121"/>
      <c r="Q821" s="121"/>
      <c r="R821" s="121"/>
      <c r="S821" s="121"/>
      <c r="T821" s="121"/>
      <c r="U821" s="121"/>
      <c r="V821" s="121"/>
      <c r="W821" s="121"/>
      <c r="X821" s="117"/>
      <c r="Y821" s="117"/>
      <c r="Z821" s="121"/>
      <c r="AA821" s="121"/>
      <c r="AB821" s="121"/>
      <c r="AC821" s="121"/>
      <c r="AD821" s="121"/>
      <c r="AE821" s="121"/>
      <c r="AF821" s="121"/>
      <c r="AG821" s="121"/>
      <c r="AH821" s="121"/>
      <c r="AI821" s="121"/>
      <c r="AJ821" s="121"/>
      <c r="AK821" s="121"/>
      <c r="AL821" s="121"/>
      <c r="AM821" s="121"/>
      <c r="AN821" s="121"/>
      <c r="AO821" s="121"/>
      <c r="AP821" s="121"/>
      <c r="AQ821" s="121"/>
      <c r="AR821" s="121"/>
      <c r="AS821" s="121"/>
      <c r="AT821" s="121"/>
      <c r="AU821" s="121"/>
      <c r="AV821" s="121"/>
      <c r="AW821" s="121"/>
      <c r="AX821" s="121"/>
      <c r="AY821" s="121"/>
      <c r="AZ821" s="121"/>
      <c r="BA821" s="121"/>
      <c r="BB821" s="121"/>
      <c r="BC821" s="121"/>
      <c r="BD821" s="121"/>
      <c r="BE821" s="121"/>
      <c r="BF821" s="121"/>
      <c r="BG821" s="121"/>
      <c r="BH821" s="121"/>
      <c r="BI821" s="121"/>
      <c r="BJ821" s="121"/>
      <c r="BK821" s="121"/>
      <c r="BL821" s="121"/>
      <c r="BM821" s="121"/>
      <c r="BN821" s="121"/>
      <c r="BO821" s="121"/>
      <c r="BP821" s="121"/>
      <c r="BQ821" s="121"/>
      <c r="BR821" s="121"/>
      <c r="BS821" s="121"/>
      <c r="BT821" s="121"/>
      <c r="BU821" s="121"/>
      <c r="BV821" s="121"/>
      <c r="BW821" s="121"/>
      <c r="BX821" s="121"/>
      <c r="BY821" s="121"/>
      <c r="BZ821" s="121"/>
      <c r="CA821" s="121"/>
      <c r="CB821" s="121"/>
      <c r="CC821" s="121"/>
      <c r="CD821" s="121"/>
      <c r="CE821" s="121"/>
      <c r="CF821" s="121"/>
      <c r="CG821" s="121"/>
      <c r="CH821" s="121"/>
      <c r="CI821" s="121"/>
      <c r="CJ821" s="121"/>
      <c r="CK821" s="121"/>
      <c r="CL821" s="121"/>
      <c r="CM821" s="121"/>
      <c r="CN821" s="121"/>
      <c r="CO821" s="121"/>
      <c r="CP821" s="121"/>
      <c r="CQ821" s="121"/>
      <c r="CR821" s="121"/>
      <c r="CS821" s="121"/>
      <c r="CT821" s="121"/>
      <c r="CU821" s="121"/>
      <c r="CV821" s="121"/>
      <c r="CW821" s="121"/>
      <c r="CX821" s="121"/>
      <c r="CY821" s="121"/>
      <c r="CZ821" s="121"/>
      <c r="DA821" s="121"/>
      <c r="DB821" s="121"/>
      <c r="DC821" s="121"/>
      <c r="DD821" s="121"/>
      <c r="DE821" s="121"/>
      <c r="DF821" s="121"/>
      <c r="DG821" s="121"/>
      <c r="DH821" s="121"/>
      <c r="DI821" s="121"/>
      <c r="DJ821" s="121"/>
      <c r="DK821" s="121"/>
      <c r="DL821" s="121"/>
      <c r="DM821" s="121"/>
      <c r="DN821" s="121"/>
      <c r="DO821" s="121"/>
      <c r="DP821" s="121"/>
      <c r="DQ821" s="121"/>
      <c r="DR821" s="121"/>
      <c r="DS821" s="121"/>
      <c r="DT821" s="240"/>
      <c r="DU821" s="240"/>
      <c r="DV821" s="240"/>
      <c r="DW821" s="240"/>
      <c r="DX821" s="240"/>
      <c r="DY821" s="240"/>
      <c r="DZ821" s="240"/>
      <c r="EA821" s="240"/>
      <c r="EB821" s="237">
        <f t="shared" si="96"/>
        <v>0</v>
      </c>
      <c r="EC821" s="237">
        <f t="shared" si="97"/>
        <v>0</v>
      </c>
      <c r="ED821" s="237">
        <f t="shared" si="98"/>
        <v>0</v>
      </c>
      <c r="EE821" s="237">
        <f t="shared" si="99"/>
        <v>0</v>
      </c>
      <c r="EF821" s="121"/>
      <c r="EG821" s="238">
        <f t="shared" si="100"/>
        <v>0</v>
      </c>
      <c r="EH821" s="121"/>
      <c r="EI821" s="237">
        <f t="shared" si="101"/>
        <v>0</v>
      </c>
      <c r="EJ821" s="121"/>
      <c r="EK821" s="237">
        <f t="shared" si="102"/>
        <v>0</v>
      </c>
      <c r="EL821" s="237"/>
      <c r="EM821" s="5"/>
      <c r="EN821" s="5"/>
      <c r="EO821" s="5"/>
      <c r="EP821" s="5"/>
      <c r="EQ821" s="237">
        <f t="shared" si="103"/>
        <v>0</v>
      </c>
      <c r="ER821" s="239">
        <v>23300</v>
      </c>
      <c r="ES821" s="5">
        <v>7.5</v>
      </c>
    </row>
    <row r="822" spans="1:149" x14ac:dyDescent="0.3">
      <c r="A822" s="124"/>
      <c r="B822" s="121"/>
      <c r="C822" s="121"/>
      <c r="D822" s="121"/>
      <c r="E822" s="121"/>
      <c r="F822" s="121"/>
      <c r="G822" s="121"/>
      <c r="H822" s="121"/>
      <c r="I822" s="121"/>
      <c r="J822" s="121"/>
      <c r="K822" s="121"/>
      <c r="L822" s="121"/>
      <c r="M822" s="121"/>
      <c r="N822" s="121"/>
      <c r="O822" s="235"/>
      <c r="P822" s="121"/>
      <c r="Q822" s="121"/>
      <c r="R822" s="121"/>
      <c r="S822" s="121"/>
      <c r="T822" s="121"/>
      <c r="U822" s="121"/>
      <c r="V822" s="121"/>
      <c r="W822" s="121"/>
      <c r="X822" s="117"/>
      <c r="Y822" s="117"/>
      <c r="Z822" s="121"/>
      <c r="AA822" s="121"/>
      <c r="AB822" s="121"/>
      <c r="AC822" s="121"/>
      <c r="AD822" s="121"/>
      <c r="AE822" s="121"/>
      <c r="AF822" s="121"/>
      <c r="AG822" s="121"/>
      <c r="AH822" s="121"/>
      <c r="AI822" s="121"/>
      <c r="AJ822" s="121"/>
      <c r="AK822" s="121"/>
      <c r="AL822" s="121"/>
      <c r="AM822" s="121"/>
      <c r="AN822" s="121"/>
      <c r="AO822" s="121"/>
      <c r="AP822" s="121"/>
      <c r="AQ822" s="121"/>
      <c r="AR822" s="121"/>
      <c r="AS822" s="121"/>
      <c r="AT822" s="121"/>
      <c r="AU822" s="121"/>
      <c r="AV822" s="121"/>
      <c r="AW822" s="121"/>
      <c r="AX822" s="121"/>
      <c r="AY822" s="121"/>
      <c r="AZ822" s="121"/>
      <c r="BA822" s="121"/>
      <c r="BB822" s="121"/>
      <c r="BC822" s="121"/>
      <c r="BD822" s="121"/>
      <c r="BE822" s="121"/>
      <c r="BF822" s="121"/>
      <c r="BG822" s="121"/>
      <c r="BH822" s="121"/>
      <c r="BI822" s="121"/>
      <c r="BJ822" s="121"/>
      <c r="BK822" s="121"/>
      <c r="BL822" s="121"/>
      <c r="BM822" s="121"/>
      <c r="BN822" s="121"/>
      <c r="BO822" s="121"/>
      <c r="BP822" s="121"/>
      <c r="BQ822" s="121"/>
      <c r="BR822" s="121"/>
      <c r="BS822" s="121"/>
      <c r="BT822" s="121"/>
      <c r="BU822" s="121"/>
      <c r="BV822" s="121"/>
      <c r="BW822" s="121"/>
      <c r="BX822" s="121"/>
      <c r="BY822" s="121"/>
      <c r="BZ822" s="121"/>
      <c r="CA822" s="121"/>
      <c r="CB822" s="121"/>
      <c r="CC822" s="121"/>
      <c r="CD822" s="121"/>
      <c r="CE822" s="121"/>
      <c r="CF822" s="121"/>
      <c r="CG822" s="121"/>
      <c r="CH822" s="121"/>
      <c r="CI822" s="121"/>
      <c r="CJ822" s="121"/>
      <c r="CK822" s="121"/>
      <c r="CL822" s="121"/>
      <c r="CM822" s="121"/>
      <c r="CN822" s="121"/>
      <c r="CO822" s="121"/>
      <c r="CP822" s="121"/>
      <c r="CQ822" s="121"/>
      <c r="CR822" s="121"/>
      <c r="CS822" s="121"/>
      <c r="CT822" s="121"/>
      <c r="CU822" s="121"/>
      <c r="CV822" s="121"/>
      <c r="CW822" s="121"/>
      <c r="CX822" s="121"/>
      <c r="CY822" s="121"/>
      <c r="CZ822" s="121"/>
      <c r="DA822" s="121"/>
      <c r="DB822" s="121"/>
      <c r="DC822" s="121"/>
      <c r="DD822" s="121"/>
      <c r="DE822" s="121"/>
      <c r="DF822" s="121"/>
      <c r="DG822" s="121"/>
      <c r="DH822" s="121"/>
      <c r="DI822" s="121"/>
      <c r="DJ822" s="121"/>
      <c r="DK822" s="121"/>
      <c r="DL822" s="121"/>
      <c r="DM822" s="121"/>
      <c r="DN822" s="121"/>
      <c r="DO822" s="121"/>
      <c r="DP822" s="121"/>
      <c r="DQ822" s="121"/>
      <c r="DR822" s="121"/>
      <c r="DS822" s="121"/>
      <c r="DT822" s="240"/>
      <c r="DU822" s="240"/>
      <c r="DV822" s="240"/>
      <c r="DW822" s="240"/>
      <c r="DX822" s="240"/>
      <c r="DY822" s="240"/>
      <c r="DZ822" s="240"/>
      <c r="EA822" s="240"/>
      <c r="EB822" s="237">
        <f t="shared" si="96"/>
        <v>0</v>
      </c>
      <c r="EC822" s="237">
        <f t="shared" si="97"/>
        <v>0</v>
      </c>
      <c r="ED822" s="237">
        <f t="shared" si="98"/>
        <v>0</v>
      </c>
      <c r="EE822" s="237">
        <f t="shared" si="99"/>
        <v>0</v>
      </c>
      <c r="EF822" s="121"/>
      <c r="EG822" s="238">
        <f t="shared" si="100"/>
        <v>0</v>
      </c>
      <c r="EH822" s="121"/>
      <c r="EI822" s="237">
        <f t="shared" si="101"/>
        <v>0</v>
      </c>
      <c r="EJ822" s="121"/>
      <c r="EK822" s="237">
        <f t="shared" si="102"/>
        <v>0</v>
      </c>
      <c r="EL822" s="237"/>
      <c r="EM822" s="5"/>
      <c r="EN822" s="5"/>
      <c r="EO822" s="5"/>
      <c r="EP822" s="5"/>
      <c r="EQ822" s="237">
        <f t="shared" si="103"/>
        <v>0</v>
      </c>
      <c r="ER822" s="239">
        <v>23300</v>
      </c>
      <c r="ES822" s="5">
        <v>7.5</v>
      </c>
    </row>
    <row r="823" spans="1:149" x14ac:dyDescent="0.3">
      <c r="A823" s="124"/>
      <c r="B823" s="121"/>
      <c r="C823" s="121"/>
      <c r="D823" s="121"/>
      <c r="E823" s="121"/>
      <c r="F823" s="121"/>
      <c r="G823" s="121"/>
      <c r="H823" s="121"/>
      <c r="I823" s="121"/>
      <c r="J823" s="121"/>
      <c r="K823" s="121"/>
      <c r="L823" s="121"/>
      <c r="M823" s="121"/>
      <c r="N823" s="121"/>
      <c r="O823" s="235"/>
      <c r="P823" s="121"/>
      <c r="Q823" s="121"/>
      <c r="R823" s="121"/>
      <c r="S823" s="121"/>
      <c r="T823" s="121"/>
      <c r="U823" s="121"/>
      <c r="V823" s="121"/>
      <c r="W823" s="121"/>
      <c r="X823" s="117"/>
      <c r="Y823" s="117"/>
      <c r="Z823" s="121"/>
      <c r="AA823" s="121"/>
      <c r="AB823" s="121"/>
      <c r="AC823" s="121"/>
      <c r="AD823" s="121"/>
      <c r="AE823" s="121"/>
      <c r="AF823" s="121"/>
      <c r="AG823" s="121"/>
      <c r="AH823" s="121"/>
      <c r="AI823" s="121"/>
      <c r="AJ823" s="121"/>
      <c r="AK823" s="121"/>
      <c r="AL823" s="121"/>
      <c r="AM823" s="121"/>
      <c r="AN823" s="121"/>
      <c r="AO823" s="121"/>
      <c r="AP823" s="121"/>
      <c r="AQ823" s="121"/>
      <c r="AR823" s="121"/>
      <c r="AS823" s="121"/>
      <c r="AT823" s="121"/>
      <c r="AU823" s="121"/>
      <c r="AV823" s="121"/>
      <c r="AW823" s="121"/>
      <c r="AX823" s="121"/>
      <c r="AY823" s="121"/>
      <c r="AZ823" s="121"/>
      <c r="BA823" s="121"/>
      <c r="BB823" s="121"/>
      <c r="BC823" s="121"/>
      <c r="BD823" s="121"/>
      <c r="BE823" s="121"/>
      <c r="BF823" s="121"/>
      <c r="BG823" s="121"/>
      <c r="BH823" s="121"/>
      <c r="BI823" s="121"/>
      <c r="BJ823" s="121"/>
      <c r="BK823" s="121"/>
      <c r="BL823" s="121"/>
      <c r="BM823" s="121"/>
      <c r="BN823" s="121"/>
      <c r="BO823" s="121"/>
      <c r="BP823" s="121"/>
      <c r="BQ823" s="121"/>
      <c r="BR823" s="121"/>
      <c r="BS823" s="121"/>
      <c r="BT823" s="121"/>
      <c r="BU823" s="121"/>
      <c r="BV823" s="121"/>
      <c r="BW823" s="121"/>
      <c r="BX823" s="121"/>
      <c r="BY823" s="121"/>
      <c r="BZ823" s="121"/>
      <c r="CA823" s="121"/>
      <c r="CB823" s="121"/>
      <c r="CC823" s="121"/>
      <c r="CD823" s="121"/>
      <c r="CE823" s="121"/>
      <c r="CF823" s="121"/>
      <c r="CG823" s="121"/>
      <c r="CH823" s="121"/>
      <c r="CI823" s="121"/>
      <c r="CJ823" s="121"/>
      <c r="CK823" s="121"/>
      <c r="CL823" s="121"/>
      <c r="CM823" s="121"/>
      <c r="CN823" s="121"/>
      <c r="CO823" s="121"/>
      <c r="CP823" s="121"/>
      <c r="CQ823" s="121"/>
      <c r="CR823" s="121"/>
      <c r="CS823" s="121"/>
      <c r="CT823" s="121"/>
      <c r="CU823" s="121"/>
      <c r="CV823" s="121"/>
      <c r="CW823" s="121"/>
      <c r="CX823" s="121"/>
      <c r="CY823" s="121"/>
      <c r="CZ823" s="121"/>
      <c r="DA823" s="121"/>
      <c r="DB823" s="121"/>
      <c r="DC823" s="121"/>
      <c r="DD823" s="121"/>
      <c r="DE823" s="121"/>
      <c r="DF823" s="121"/>
      <c r="DG823" s="121"/>
      <c r="DH823" s="121"/>
      <c r="DI823" s="121"/>
      <c r="DJ823" s="121"/>
      <c r="DK823" s="121"/>
      <c r="DL823" s="121"/>
      <c r="DM823" s="121"/>
      <c r="DN823" s="121"/>
      <c r="DO823" s="121"/>
      <c r="DP823" s="121"/>
      <c r="DQ823" s="121"/>
      <c r="DR823" s="121"/>
      <c r="DS823" s="121"/>
      <c r="DT823" s="240"/>
      <c r="DU823" s="240"/>
      <c r="DV823" s="240"/>
      <c r="DW823" s="240"/>
      <c r="DX823" s="240"/>
      <c r="DY823" s="240"/>
      <c r="DZ823" s="240"/>
      <c r="EA823" s="240"/>
      <c r="EB823" s="237">
        <f t="shared" si="96"/>
        <v>0</v>
      </c>
      <c r="EC823" s="237">
        <f t="shared" si="97"/>
        <v>0</v>
      </c>
      <c r="ED823" s="237">
        <f t="shared" si="98"/>
        <v>0</v>
      </c>
      <c r="EE823" s="237">
        <f t="shared" si="99"/>
        <v>0</v>
      </c>
      <c r="EF823" s="121"/>
      <c r="EG823" s="238">
        <f t="shared" si="100"/>
        <v>0</v>
      </c>
      <c r="EH823" s="121"/>
      <c r="EI823" s="237">
        <f t="shared" si="101"/>
        <v>0</v>
      </c>
      <c r="EJ823" s="121"/>
      <c r="EK823" s="237">
        <f t="shared" si="102"/>
        <v>0</v>
      </c>
      <c r="EL823" s="237"/>
      <c r="EM823" s="5"/>
      <c r="EN823" s="5"/>
      <c r="EO823" s="5"/>
      <c r="EP823" s="5"/>
      <c r="EQ823" s="237">
        <f t="shared" si="103"/>
        <v>0</v>
      </c>
      <c r="ER823" s="239">
        <v>23300</v>
      </c>
      <c r="ES823" s="5">
        <v>7.5</v>
      </c>
    </row>
    <row r="824" spans="1:149" x14ac:dyDescent="0.3">
      <c r="A824" s="124"/>
      <c r="B824" s="121"/>
      <c r="C824" s="121"/>
      <c r="D824" s="121"/>
      <c r="E824" s="121"/>
      <c r="F824" s="121"/>
      <c r="G824" s="121"/>
      <c r="H824" s="121"/>
      <c r="I824" s="121"/>
      <c r="J824" s="121"/>
      <c r="K824" s="121"/>
      <c r="L824" s="121"/>
      <c r="M824" s="121"/>
      <c r="N824" s="121"/>
      <c r="O824" s="235"/>
      <c r="P824" s="121"/>
      <c r="Q824" s="121"/>
      <c r="R824" s="121"/>
      <c r="S824" s="121"/>
      <c r="T824" s="121"/>
      <c r="U824" s="121"/>
      <c r="V824" s="121"/>
      <c r="W824" s="121"/>
      <c r="X824" s="117"/>
      <c r="Y824" s="117"/>
      <c r="Z824" s="121"/>
      <c r="AA824" s="121"/>
      <c r="AB824" s="121"/>
      <c r="AC824" s="121"/>
      <c r="AD824" s="121"/>
      <c r="AE824" s="121"/>
      <c r="AF824" s="121"/>
      <c r="AG824" s="121"/>
      <c r="AH824" s="121"/>
      <c r="AI824" s="121"/>
      <c r="AJ824" s="121"/>
      <c r="AK824" s="121"/>
      <c r="AL824" s="121"/>
      <c r="AM824" s="121"/>
      <c r="AN824" s="121"/>
      <c r="AO824" s="121"/>
      <c r="AP824" s="121"/>
      <c r="AQ824" s="121"/>
      <c r="AR824" s="121"/>
      <c r="AS824" s="121"/>
      <c r="AT824" s="121"/>
      <c r="AU824" s="121"/>
      <c r="AV824" s="121"/>
      <c r="AW824" s="121"/>
      <c r="AX824" s="121"/>
      <c r="AY824" s="121"/>
      <c r="AZ824" s="121"/>
      <c r="BA824" s="121"/>
      <c r="BB824" s="121"/>
      <c r="BC824" s="121"/>
      <c r="BD824" s="121"/>
      <c r="BE824" s="121"/>
      <c r="BF824" s="121"/>
      <c r="BG824" s="121"/>
      <c r="BH824" s="121"/>
      <c r="BI824" s="121"/>
      <c r="BJ824" s="121"/>
      <c r="BK824" s="121"/>
      <c r="BL824" s="121"/>
      <c r="BM824" s="121"/>
      <c r="BN824" s="121"/>
      <c r="BO824" s="121"/>
      <c r="BP824" s="121"/>
      <c r="BQ824" s="121"/>
      <c r="BR824" s="121"/>
      <c r="BS824" s="121"/>
      <c r="BT824" s="121"/>
      <c r="BU824" s="121"/>
      <c r="BV824" s="121"/>
      <c r="BW824" s="121"/>
      <c r="BX824" s="121"/>
      <c r="BY824" s="121"/>
      <c r="BZ824" s="121"/>
      <c r="CA824" s="121"/>
      <c r="CB824" s="121"/>
      <c r="CC824" s="121"/>
      <c r="CD824" s="121"/>
      <c r="CE824" s="121"/>
      <c r="CF824" s="121"/>
      <c r="CG824" s="121"/>
      <c r="CH824" s="121"/>
      <c r="CI824" s="121"/>
      <c r="CJ824" s="121"/>
      <c r="CK824" s="121"/>
      <c r="CL824" s="121"/>
      <c r="CM824" s="121"/>
      <c r="CN824" s="121"/>
      <c r="CO824" s="121"/>
      <c r="CP824" s="121"/>
      <c r="CQ824" s="121"/>
      <c r="CR824" s="121"/>
      <c r="CS824" s="121"/>
      <c r="CT824" s="121"/>
      <c r="CU824" s="121"/>
      <c r="CV824" s="121"/>
      <c r="CW824" s="121"/>
      <c r="CX824" s="121"/>
      <c r="CY824" s="121"/>
      <c r="CZ824" s="121"/>
      <c r="DA824" s="121"/>
      <c r="DB824" s="121"/>
      <c r="DC824" s="121"/>
      <c r="DD824" s="121"/>
      <c r="DE824" s="121"/>
      <c r="DF824" s="121"/>
      <c r="DG824" s="121"/>
      <c r="DH824" s="121"/>
      <c r="DI824" s="121"/>
      <c r="DJ824" s="121"/>
      <c r="DK824" s="121"/>
      <c r="DL824" s="121"/>
      <c r="DM824" s="121"/>
      <c r="DN824" s="121"/>
      <c r="DO824" s="121"/>
      <c r="DP824" s="121"/>
      <c r="DQ824" s="121"/>
      <c r="DR824" s="121"/>
      <c r="DS824" s="121"/>
      <c r="DT824" s="240"/>
      <c r="DU824" s="240"/>
      <c r="DV824" s="240"/>
      <c r="DW824" s="240"/>
      <c r="DX824" s="240"/>
      <c r="DY824" s="240"/>
      <c r="DZ824" s="240"/>
      <c r="EA824" s="240"/>
      <c r="EB824" s="237">
        <f t="shared" si="96"/>
        <v>0</v>
      </c>
      <c r="EC824" s="237">
        <f t="shared" si="97"/>
        <v>0</v>
      </c>
      <c r="ED824" s="237">
        <f t="shared" si="98"/>
        <v>0</v>
      </c>
      <c r="EE824" s="237">
        <f t="shared" si="99"/>
        <v>0</v>
      </c>
      <c r="EF824" s="121"/>
      <c r="EG824" s="238">
        <f t="shared" si="100"/>
        <v>0</v>
      </c>
      <c r="EH824" s="121"/>
      <c r="EI824" s="237">
        <f t="shared" si="101"/>
        <v>0</v>
      </c>
      <c r="EJ824" s="121"/>
      <c r="EK824" s="237">
        <f t="shared" si="102"/>
        <v>0</v>
      </c>
      <c r="EL824" s="237"/>
      <c r="EM824" s="5"/>
      <c r="EN824" s="5"/>
      <c r="EO824" s="5"/>
      <c r="EP824" s="5"/>
      <c r="EQ824" s="237">
        <f t="shared" si="103"/>
        <v>0</v>
      </c>
      <c r="ER824" s="239">
        <v>23300</v>
      </c>
      <c r="ES824" s="5">
        <v>7.5</v>
      </c>
    </row>
    <row r="825" spans="1:149" x14ac:dyDescent="0.3">
      <c r="A825" s="124"/>
      <c r="B825" s="121"/>
      <c r="C825" s="121"/>
      <c r="D825" s="121"/>
      <c r="E825" s="121"/>
      <c r="F825" s="121"/>
      <c r="G825" s="121"/>
      <c r="H825" s="121"/>
      <c r="I825" s="121"/>
      <c r="J825" s="121"/>
      <c r="K825" s="121"/>
      <c r="L825" s="121"/>
      <c r="M825" s="121"/>
      <c r="N825" s="121"/>
      <c r="O825" s="235"/>
      <c r="P825" s="121"/>
      <c r="Q825" s="121"/>
      <c r="R825" s="121"/>
      <c r="S825" s="121"/>
      <c r="T825" s="121"/>
      <c r="U825" s="121"/>
      <c r="V825" s="121"/>
      <c r="W825" s="121"/>
      <c r="X825" s="117"/>
      <c r="Y825" s="117"/>
      <c r="Z825" s="121"/>
      <c r="AA825" s="121"/>
      <c r="AB825" s="121"/>
      <c r="AC825" s="121"/>
      <c r="AD825" s="121"/>
      <c r="AE825" s="121"/>
      <c r="AF825" s="121"/>
      <c r="AG825" s="121"/>
      <c r="AH825" s="121"/>
      <c r="AI825" s="121"/>
      <c r="AJ825" s="121"/>
      <c r="AK825" s="121"/>
      <c r="AL825" s="121"/>
      <c r="AM825" s="121"/>
      <c r="AN825" s="121"/>
      <c r="AO825" s="121"/>
      <c r="AP825" s="121"/>
      <c r="AQ825" s="121"/>
      <c r="AR825" s="121"/>
      <c r="AS825" s="121"/>
      <c r="AT825" s="121"/>
      <c r="AU825" s="121"/>
      <c r="AV825" s="121"/>
      <c r="AW825" s="121"/>
      <c r="AX825" s="121"/>
      <c r="AY825" s="121"/>
      <c r="AZ825" s="121"/>
      <c r="BA825" s="121"/>
      <c r="BB825" s="121"/>
      <c r="BC825" s="121"/>
      <c r="BD825" s="121"/>
      <c r="BE825" s="121"/>
      <c r="BF825" s="121"/>
      <c r="BG825" s="121"/>
      <c r="BH825" s="121"/>
      <c r="BI825" s="121"/>
      <c r="BJ825" s="121"/>
      <c r="BK825" s="121"/>
      <c r="BL825" s="121"/>
      <c r="BM825" s="121"/>
      <c r="BN825" s="121"/>
      <c r="BO825" s="121"/>
      <c r="BP825" s="121"/>
      <c r="BQ825" s="121"/>
      <c r="BR825" s="121"/>
      <c r="BS825" s="121"/>
      <c r="BT825" s="121"/>
      <c r="BU825" s="121"/>
      <c r="BV825" s="121"/>
      <c r="BW825" s="121"/>
      <c r="BX825" s="121"/>
      <c r="BY825" s="121"/>
      <c r="BZ825" s="121"/>
      <c r="CA825" s="121"/>
      <c r="CB825" s="121"/>
      <c r="CC825" s="121"/>
      <c r="CD825" s="121"/>
      <c r="CE825" s="121"/>
      <c r="CF825" s="121"/>
      <c r="CG825" s="121"/>
      <c r="CH825" s="121"/>
      <c r="CI825" s="121"/>
      <c r="CJ825" s="121"/>
      <c r="CK825" s="121"/>
      <c r="CL825" s="121"/>
      <c r="CM825" s="121"/>
      <c r="CN825" s="121"/>
      <c r="CO825" s="121"/>
      <c r="CP825" s="121"/>
      <c r="CQ825" s="121"/>
      <c r="CR825" s="121"/>
      <c r="CS825" s="121"/>
      <c r="CT825" s="121"/>
      <c r="CU825" s="121"/>
      <c r="CV825" s="121"/>
      <c r="CW825" s="121"/>
      <c r="CX825" s="121"/>
      <c r="CY825" s="121"/>
      <c r="CZ825" s="121"/>
      <c r="DA825" s="121"/>
      <c r="DB825" s="121"/>
      <c r="DC825" s="121"/>
      <c r="DD825" s="121"/>
      <c r="DE825" s="121"/>
      <c r="DF825" s="121"/>
      <c r="DG825" s="121"/>
      <c r="DH825" s="121"/>
      <c r="DI825" s="121"/>
      <c r="DJ825" s="121"/>
      <c r="DK825" s="121"/>
      <c r="DL825" s="121"/>
      <c r="DM825" s="121"/>
      <c r="DN825" s="121"/>
      <c r="DO825" s="121"/>
      <c r="DP825" s="121"/>
      <c r="DQ825" s="121"/>
      <c r="DR825" s="121"/>
      <c r="DS825" s="121"/>
      <c r="DT825" s="240"/>
      <c r="DU825" s="240"/>
      <c r="DV825" s="240"/>
      <c r="DW825" s="240"/>
      <c r="DX825" s="240"/>
      <c r="DY825" s="240"/>
      <c r="DZ825" s="240"/>
      <c r="EA825" s="240"/>
      <c r="EB825" s="237">
        <f t="shared" si="96"/>
        <v>0</v>
      </c>
      <c r="EC825" s="237">
        <f t="shared" si="97"/>
        <v>0</v>
      </c>
      <c r="ED825" s="237">
        <f t="shared" si="98"/>
        <v>0</v>
      </c>
      <c r="EE825" s="237">
        <f t="shared" si="99"/>
        <v>0</v>
      </c>
      <c r="EF825" s="121"/>
      <c r="EG825" s="238">
        <f t="shared" si="100"/>
        <v>0</v>
      </c>
      <c r="EH825" s="121"/>
      <c r="EI825" s="237">
        <f t="shared" si="101"/>
        <v>0</v>
      </c>
      <c r="EJ825" s="121"/>
      <c r="EK825" s="237">
        <f t="shared" si="102"/>
        <v>0</v>
      </c>
      <c r="EL825" s="237"/>
      <c r="EM825" s="5"/>
      <c r="EN825" s="5"/>
      <c r="EO825" s="5"/>
      <c r="EP825" s="5"/>
      <c r="EQ825" s="237">
        <f t="shared" si="103"/>
        <v>0</v>
      </c>
      <c r="ER825" s="239">
        <v>23300</v>
      </c>
      <c r="ES825" s="5">
        <v>7.5</v>
      </c>
    </row>
    <row r="826" spans="1:149" x14ac:dyDescent="0.3">
      <c r="A826" s="124"/>
      <c r="B826" s="121"/>
      <c r="C826" s="121"/>
      <c r="D826" s="121"/>
      <c r="E826" s="121"/>
      <c r="F826" s="121"/>
      <c r="G826" s="121"/>
      <c r="H826" s="121"/>
      <c r="I826" s="121"/>
      <c r="J826" s="121"/>
      <c r="K826" s="121"/>
      <c r="L826" s="121"/>
      <c r="M826" s="121"/>
      <c r="N826" s="121"/>
      <c r="O826" s="235"/>
      <c r="P826" s="121"/>
      <c r="Q826" s="121"/>
      <c r="R826" s="121"/>
      <c r="S826" s="121"/>
      <c r="T826" s="121"/>
      <c r="U826" s="121"/>
      <c r="V826" s="121"/>
      <c r="W826" s="121"/>
      <c r="X826" s="117"/>
      <c r="Y826" s="117"/>
      <c r="Z826" s="121"/>
      <c r="AA826" s="121"/>
      <c r="AB826" s="121"/>
      <c r="AC826" s="121"/>
      <c r="AD826" s="121"/>
      <c r="AE826" s="121"/>
      <c r="AF826" s="121"/>
      <c r="AG826" s="121"/>
      <c r="AH826" s="121"/>
      <c r="AI826" s="121"/>
      <c r="AJ826" s="121"/>
      <c r="AK826" s="121"/>
      <c r="AL826" s="121"/>
      <c r="AM826" s="121"/>
      <c r="AN826" s="121"/>
      <c r="AO826" s="121"/>
      <c r="AP826" s="121"/>
      <c r="AQ826" s="121"/>
      <c r="AR826" s="121"/>
      <c r="AS826" s="121"/>
      <c r="AT826" s="121"/>
      <c r="AU826" s="121"/>
      <c r="AV826" s="121"/>
      <c r="AW826" s="121"/>
      <c r="AX826" s="121"/>
      <c r="AY826" s="121"/>
      <c r="AZ826" s="121"/>
      <c r="BA826" s="121"/>
      <c r="BB826" s="121"/>
      <c r="BC826" s="121"/>
      <c r="BD826" s="121"/>
      <c r="BE826" s="121"/>
      <c r="BF826" s="121"/>
      <c r="BG826" s="121"/>
      <c r="BH826" s="121"/>
      <c r="BI826" s="121"/>
      <c r="BJ826" s="121"/>
      <c r="BK826" s="121"/>
      <c r="BL826" s="121"/>
      <c r="BM826" s="121"/>
      <c r="BN826" s="121"/>
      <c r="BO826" s="121"/>
      <c r="BP826" s="121"/>
      <c r="BQ826" s="121"/>
      <c r="BR826" s="121"/>
      <c r="BS826" s="121"/>
      <c r="BT826" s="121"/>
      <c r="BU826" s="121"/>
      <c r="BV826" s="121"/>
      <c r="BW826" s="121"/>
      <c r="BX826" s="121"/>
      <c r="BY826" s="121"/>
      <c r="BZ826" s="121"/>
      <c r="CA826" s="121"/>
      <c r="CB826" s="121"/>
      <c r="CC826" s="121"/>
      <c r="CD826" s="121"/>
      <c r="CE826" s="121"/>
      <c r="CF826" s="121"/>
      <c r="CG826" s="121"/>
      <c r="CH826" s="121"/>
      <c r="CI826" s="121"/>
      <c r="CJ826" s="121"/>
      <c r="CK826" s="121"/>
      <c r="CL826" s="121"/>
      <c r="CM826" s="121"/>
      <c r="CN826" s="121"/>
      <c r="CO826" s="121"/>
      <c r="CP826" s="121"/>
      <c r="CQ826" s="121"/>
      <c r="CR826" s="121"/>
      <c r="CS826" s="121"/>
      <c r="CT826" s="121"/>
      <c r="CU826" s="121"/>
      <c r="CV826" s="121"/>
      <c r="CW826" s="121"/>
      <c r="CX826" s="121"/>
      <c r="CY826" s="121"/>
      <c r="CZ826" s="121"/>
      <c r="DA826" s="121"/>
      <c r="DB826" s="121"/>
      <c r="DC826" s="121"/>
      <c r="DD826" s="121"/>
      <c r="DE826" s="121"/>
      <c r="DF826" s="121"/>
      <c r="DG826" s="121"/>
      <c r="DH826" s="121"/>
      <c r="DI826" s="121"/>
      <c r="DJ826" s="121"/>
      <c r="DK826" s="121"/>
      <c r="DL826" s="121"/>
      <c r="DM826" s="121"/>
      <c r="DN826" s="121"/>
      <c r="DO826" s="121"/>
      <c r="DP826" s="121"/>
      <c r="DQ826" s="121"/>
      <c r="DR826" s="121"/>
      <c r="DS826" s="121"/>
      <c r="DT826" s="240"/>
      <c r="DU826" s="240"/>
      <c r="DV826" s="240"/>
      <c r="DW826" s="240"/>
      <c r="DX826" s="240"/>
      <c r="DY826" s="240"/>
      <c r="DZ826" s="240"/>
      <c r="EA826" s="240"/>
      <c r="EB826" s="237">
        <f t="shared" si="96"/>
        <v>0</v>
      </c>
      <c r="EC826" s="237">
        <f t="shared" si="97"/>
        <v>0</v>
      </c>
      <c r="ED826" s="237">
        <f t="shared" si="98"/>
        <v>0</v>
      </c>
      <c r="EE826" s="237">
        <f t="shared" si="99"/>
        <v>0</v>
      </c>
      <c r="EF826" s="121"/>
      <c r="EG826" s="238">
        <f t="shared" si="100"/>
        <v>0</v>
      </c>
      <c r="EH826" s="121"/>
      <c r="EI826" s="237">
        <f t="shared" si="101"/>
        <v>0</v>
      </c>
      <c r="EJ826" s="121"/>
      <c r="EK826" s="237">
        <f t="shared" si="102"/>
        <v>0</v>
      </c>
      <c r="EL826" s="237"/>
      <c r="EM826" s="5"/>
      <c r="EN826" s="5"/>
      <c r="EO826" s="5"/>
      <c r="EP826" s="5"/>
      <c r="EQ826" s="237">
        <f t="shared" si="103"/>
        <v>0</v>
      </c>
      <c r="ER826" s="239">
        <v>23300</v>
      </c>
      <c r="ES826" s="5">
        <v>7.5</v>
      </c>
    </row>
    <row r="827" spans="1:149" x14ac:dyDescent="0.3">
      <c r="A827" s="124"/>
      <c r="B827" s="121"/>
      <c r="C827" s="121"/>
      <c r="D827" s="121"/>
      <c r="E827" s="121"/>
      <c r="F827" s="121"/>
      <c r="G827" s="121"/>
      <c r="H827" s="121"/>
      <c r="I827" s="121"/>
      <c r="J827" s="121"/>
      <c r="K827" s="121"/>
      <c r="L827" s="121"/>
      <c r="M827" s="121"/>
      <c r="N827" s="121"/>
      <c r="O827" s="235"/>
      <c r="P827" s="121"/>
      <c r="Q827" s="121"/>
      <c r="R827" s="121"/>
      <c r="S827" s="121"/>
      <c r="T827" s="121"/>
      <c r="U827" s="121"/>
      <c r="V827" s="121"/>
      <c r="W827" s="121"/>
      <c r="X827" s="117"/>
      <c r="Y827" s="117"/>
      <c r="Z827" s="121"/>
      <c r="AA827" s="121"/>
      <c r="AB827" s="121"/>
      <c r="AC827" s="121"/>
      <c r="AD827" s="121"/>
      <c r="AE827" s="121"/>
      <c r="AF827" s="121"/>
      <c r="AG827" s="121"/>
      <c r="AH827" s="121"/>
      <c r="AI827" s="121"/>
      <c r="AJ827" s="121"/>
      <c r="AK827" s="121"/>
      <c r="AL827" s="121"/>
      <c r="AM827" s="121"/>
      <c r="AN827" s="121"/>
      <c r="AO827" s="121"/>
      <c r="AP827" s="121"/>
      <c r="AQ827" s="121"/>
      <c r="AR827" s="121"/>
      <c r="AS827" s="121"/>
      <c r="AT827" s="121"/>
      <c r="AU827" s="121"/>
      <c r="AV827" s="121"/>
      <c r="AW827" s="121"/>
      <c r="AX827" s="121"/>
      <c r="AY827" s="121"/>
      <c r="AZ827" s="121"/>
      <c r="BA827" s="121"/>
      <c r="BB827" s="121"/>
      <c r="BC827" s="121"/>
      <c r="BD827" s="121"/>
      <c r="BE827" s="121"/>
      <c r="BF827" s="121"/>
      <c r="BG827" s="121"/>
      <c r="BH827" s="121"/>
      <c r="BI827" s="121"/>
      <c r="BJ827" s="121"/>
      <c r="BK827" s="121"/>
      <c r="BL827" s="121"/>
      <c r="BM827" s="121"/>
      <c r="BN827" s="121"/>
      <c r="BO827" s="121"/>
      <c r="BP827" s="121"/>
      <c r="BQ827" s="121"/>
      <c r="BR827" s="121"/>
      <c r="BS827" s="121"/>
      <c r="BT827" s="121"/>
      <c r="BU827" s="121"/>
      <c r="BV827" s="121"/>
      <c r="BW827" s="121"/>
      <c r="BX827" s="121"/>
      <c r="BY827" s="121"/>
      <c r="BZ827" s="121"/>
      <c r="CA827" s="121"/>
      <c r="CB827" s="121"/>
      <c r="CC827" s="121"/>
      <c r="CD827" s="121"/>
      <c r="CE827" s="121"/>
      <c r="CF827" s="121"/>
      <c r="CG827" s="121"/>
      <c r="CH827" s="121"/>
      <c r="CI827" s="121"/>
      <c r="CJ827" s="121"/>
      <c r="CK827" s="121"/>
      <c r="CL827" s="121"/>
      <c r="CM827" s="121"/>
      <c r="CN827" s="121"/>
      <c r="CO827" s="121"/>
      <c r="CP827" s="121"/>
      <c r="CQ827" s="121"/>
      <c r="CR827" s="121"/>
      <c r="CS827" s="121"/>
      <c r="CT827" s="121"/>
      <c r="CU827" s="121"/>
      <c r="CV827" s="121"/>
      <c r="CW827" s="121"/>
      <c r="CX827" s="121"/>
      <c r="CY827" s="121"/>
      <c r="CZ827" s="121"/>
      <c r="DA827" s="121"/>
      <c r="DB827" s="121"/>
      <c r="DC827" s="121"/>
      <c r="DD827" s="121"/>
      <c r="DE827" s="121"/>
      <c r="DF827" s="121"/>
      <c r="DG827" s="121"/>
      <c r="DH827" s="121"/>
      <c r="DI827" s="121"/>
      <c r="DJ827" s="121"/>
      <c r="DK827" s="121"/>
      <c r="DL827" s="121"/>
      <c r="DM827" s="121"/>
      <c r="DN827" s="121"/>
      <c r="DO827" s="121"/>
      <c r="DP827" s="121"/>
      <c r="DQ827" s="121"/>
      <c r="DR827" s="121"/>
      <c r="DS827" s="121"/>
      <c r="DT827" s="240"/>
      <c r="DU827" s="240"/>
      <c r="DV827" s="240"/>
      <c r="DW827" s="240"/>
      <c r="DX827" s="240"/>
      <c r="DY827" s="240"/>
      <c r="DZ827" s="240"/>
      <c r="EA827" s="240"/>
      <c r="EB827" s="237">
        <f t="shared" si="96"/>
        <v>0</v>
      </c>
      <c r="EC827" s="237">
        <f t="shared" si="97"/>
        <v>0</v>
      </c>
      <c r="ED827" s="237">
        <f t="shared" si="98"/>
        <v>0</v>
      </c>
      <c r="EE827" s="237">
        <f t="shared" si="99"/>
        <v>0</v>
      </c>
      <c r="EF827" s="121"/>
      <c r="EG827" s="238">
        <f t="shared" si="100"/>
        <v>0</v>
      </c>
      <c r="EH827" s="121"/>
      <c r="EI827" s="237">
        <f t="shared" si="101"/>
        <v>0</v>
      </c>
      <c r="EJ827" s="121"/>
      <c r="EK827" s="237">
        <f t="shared" si="102"/>
        <v>0</v>
      </c>
      <c r="EL827" s="237"/>
      <c r="EM827" s="5"/>
      <c r="EN827" s="5"/>
      <c r="EO827" s="5"/>
      <c r="EP827" s="5"/>
      <c r="EQ827" s="237">
        <f t="shared" si="103"/>
        <v>0</v>
      </c>
      <c r="ER827" s="239">
        <v>23300</v>
      </c>
      <c r="ES827" s="5">
        <v>7.5</v>
      </c>
    </row>
    <row r="828" spans="1:149" x14ac:dyDescent="0.3">
      <c r="A828" s="124"/>
      <c r="B828" s="121"/>
      <c r="C828" s="121"/>
      <c r="D828" s="121"/>
      <c r="E828" s="121"/>
      <c r="F828" s="121"/>
      <c r="G828" s="121"/>
      <c r="H828" s="121"/>
      <c r="I828" s="121"/>
      <c r="J828" s="121"/>
      <c r="K828" s="121"/>
      <c r="L828" s="121"/>
      <c r="M828" s="121"/>
      <c r="N828" s="121"/>
      <c r="O828" s="235"/>
      <c r="P828" s="121"/>
      <c r="Q828" s="121"/>
      <c r="R828" s="121"/>
      <c r="S828" s="121"/>
      <c r="T828" s="121"/>
      <c r="U828" s="121"/>
      <c r="V828" s="121"/>
      <c r="W828" s="121"/>
      <c r="X828" s="117"/>
      <c r="Y828" s="117"/>
      <c r="Z828" s="121"/>
      <c r="AA828" s="121"/>
      <c r="AB828" s="121"/>
      <c r="AC828" s="121"/>
      <c r="AD828" s="121"/>
      <c r="AE828" s="121"/>
      <c r="AF828" s="121"/>
      <c r="AG828" s="121"/>
      <c r="AH828" s="121"/>
      <c r="AI828" s="121"/>
      <c r="AJ828" s="121"/>
      <c r="AK828" s="121"/>
      <c r="AL828" s="121"/>
      <c r="AM828" s="121"/>
      <c r="AN828" s="121"/>
      <c r="AO828" s="121"/>
      <c r="AP828" s="121"/>
      <c r="AQ828" s="121"/>
      <c r="AR828" s="121"/>
      <c r="AS828" s="121"/>
      <c r="AT828" s="121"/>
      <c r="AU828" s="121"/>
      <c r="AV828" s="121"/>
      <c r="AW828" s="121"/>
      <c r="AX828" s="121"/>
      <c r="AY828" s="121"/>
      <c r="AZ828" s="121"/>
      <c r="BA828" s="121"/>
      <c r="BB828" s="121"/>
      <c r="BC828" s="121"/>
      <c r="BD828" s="121"/>
      <c r="BE828" s="121"/>
      <c r="BF828" s="121"/>
      <c r="BG828" s="121"/>
      <c r="BH828" s="121"/>
      <c r="BI828" s="121"/>
      <c r="BJ828" s="121"/>
      <c r="BK828" s="121"/>
      <c r="BL828" s="121"/>
      <c r="BM828" s="121"/>
      <c r="BN828" s="121"/>
      <c r="BO828" s="121"/>
      <c r="BP828" s="121"/>
      <c r="BQ828" s="121"/>
      <c r="BR828" s="121"/>
      <c r="BS828" s="121"/>
      <c r="BT828" s="121"/>
      <c r="BU828" s="121"/>
      <c r="BV828" s="121"/>
      <c r="BW828" s="121"/>
      <c r="BX828" s="121"/>
      <c r="BY828" s="121"/>
      <c r="BZ828" s="121"/>
      <c r="CA828" s="121"/>
      <c r="CB828" s="121"/>
      <c r="CC828" s="121"/>
      <c r="CD828" s="121"/>
      <c r="CE828" s="121"/>
      <c r="CF828" s="121"/>
      <c r="CG828" s="121"/>
      <c r="CH828" s="121"/>
      <c r="CI828" s="121"/>
      <c r="CJ828" s="121"/>
      <c r="CK828" s="121"/>
      <c r="CL828" s="121"/>
      <c r="CM828" s="121"/>
      <c r="CN828" s="121"/>
      <c r="CO828" s="121"/>
      <c r="CP828" s="121"/>
      <c r="CQ828" s="121"/>
      <c r="CR828" s="121"/>
      <c r="CS828" s="121"/>
      <c r="CT828" s="121"/>
      <c r="CU828" s="121"/>
      <c r="CV828" s="121"/>
      <c r="CW828" s="121"/>
      <c r="CX828" s="121"/>
      <c r="CY828" s="121"/>
      <c r="CZ828" s="121"/>
      <c r="DA828" s="121"/>
      <c r="DB828" s="121"/>
      <c r="DC828" s="121"/>
      <c r="DD828" s="121"/>
      <c r="DE828" s="121"/>
      <c r="DF828" s="121"/>
      <c r="DG828" s="121"/>
      <c r="DH828" s="121"/>
      <c r="DI828" s="121"/>
      <c r="DJ828" s="121"/>
      <c r="DK828" s="121"/>
      <c r="DL828" s="121"/>
      <c r="DM828" s="121"/>
      <c r="DN828" s="121"/>
      <c r="DO828" s="121"/>
      <c r="DP828" s="121"/>
      <c r="DQ828" s="121"/>
      <c r="DR828" s="121"/>
      <c r="DS828" s="121"/>
      <c r="DT828" s="240"/>
      <c r="DU828" s="240"/>
      <c r="DV828" s="240"/>
      <c r="DW828" s="240"/>
      <c r="DX828" s="240"/>
      <c r="DY828" s="240"/>
      <c r="DZ828" s="240"/>
      <c r="EA828" s="240"/>
      <c r="EB828" s="237">
        <f t="shared" si="96"/>
        <v>0</v>
      </c>
      <c r="EC828" s="237">
        <f t="shared" si="97"/>
        <v>0</v>
      </c>
      <c r="ED828" s="237">
        <f t="shared" si="98"/>
        <v>0</v>
      </c>
      <c r="EE828" s="237">
        <f t="shared" si="99"/>
        <v>0</v>
      </c>
      <c r="EF828" s="121"/>
      <c r="EG828" s="238">
        <f t="shared" si="100"/>
        <v>0</v>
      </c>
      <c r="EH828" s="121"/>
      <c r="EI828" s="237">
        <f t="shared" si="101"/>
        <v>0</v>
      </c>
      <c r="EJ828" s="121"/>
      <c r="EK828" s="237">
        <f t="shared" si="102"/>
        <v>0</v>
      </c>
      <c r="EL828" s="237"/>
      <c r="EM828" s="5"/>
      <c r="EN828" s="5"/>
      <c r="EO828" s="5"/>
      <c r="EP828" s="5"/>
      <c r="EQ828" s="237">
        <f t="shared" si="103"/>
        <v>0</v>
      </c>
      <c r="ER828" s="239">
        <v>23300</v>
      </c>
      <c r="ES828" s="5">
        <v>7.5</v>
      </c>
    </row>
    <row r="829" spans="1:149" x14ac:dyDescent="0.3">
      <c r="A829" s="124"/>
      <c r="B829" s="121"/>
      <c r="C829" s="121"/>
      <c r="D829" s="121"/>
      <c r="E829" s="121"/>
      <c r="F829" s="121"/>
      <c r="G829" s="121"/>
      <c r="H829" s="121"/>
      <c r="I829" s="121"/>
      <c r="J829" s="121"/>
      <c r="K829" s="121"/>
      <c r="L829" s="121"/>
      <c r="M829" s="121"/>
      <c r="N829" s="121"/>
      <c r="O829" s="235"/>
      <c r="P829" s="121"/>
      <c r="Q829" s="121"/>
      <c r="R829" s="121"/>
      <c r="S829" s="121"/>
      <c r="T829" s="121"/>
      <c r="U829" s="121"/>
      <c r="V829" s="121"/>
      <c r="W829" s="121"/>
      <c r="X829" s="117"/>
      <c r="Y829" s="117"/>
      <c r="Z829" s="121"/>
      <c r="AA829" s="121"/>
      <c r="AB829" s="121"/>
      <c r="AC829" s="121"/>
      <c r="AD829" s="121"/>
      <c r="AE829" s="121"/>
      <c r="AF829" s="121"/>
      <c r="AG829" s="121"/>
      <c r="AH829" s="121"/>
      <c r="AI829" s="121"/>
      <c r="AJ829" s="121"/>
      <c r="AK829" s="121"/>
      <c r="AL829" s="121"/>
      <c r="AM829" s="121"/>
      <c r="AN829" s="121"/>
      <c r="AO829" s="121"/>
      <c r="AP829" s="121"/>
      <c r="AQ829" s="121"/>
      <c r="AR829" s="121"/>
      <c r="AS829" s="121"/>
      <c r="AT829" s="121"/>
      <c r="AU829" s="121"/>
      <c r="AV829" s="121"/>
      <c r="AW829" s="121"/>
      <c r="AX829" s="121"/>
      <c r="AY829" s="121"/>
      <c r="AZ829" s="121"/>
      <c r="BA829" s="121"/>
      <c r="BB829" s="121"/>
      <c r="BC829" s="121"/>
      <c r="BD829" s="121"/>
      <c r="BE829" s="121"/>
      <c r="BF829" s="121"/>
      <c r="BG829" s="121"/>
      <c r="BH829" s="121"/>
      <c r="BI829" s="121"/>
      <c r="BJ829" s="121"/>
      <c r="BK829" s="121"/>
      <c r="BL829" s="121"/>
      <c r="BM829" s="121"/>
      <c r="BN829" s="121"/>
      <c r="BO829" s="121"/>
      <c r="BP829" s="121"/>
      <c r="BQ829" s="121"/>
      <c r="BR829" s="121"/>
      <c r="BS829" s="121"/>
      <c r="BT829" s="121"/>
      <c r="BU829" s="121"/>
      <c r="BV829" s="121"/>
      <c r="BW829" s="121"/>
      <c r="BX829" s="121"/>
      <c r="BY829" s="121"/>
      <c r="BZ829" s="121"/>
      <c r="CA829" s="121"/>
      <c r="CB829" s="121"/>
      <c r="CC829" s="121"/>
      <c r="CD829" s="121"/>
      <c r="CE829" s="121"/>
      <c r="CF829" s="121"/>
      <c r="CG829" s="121"/>
      <c r="CH829" s="121"/>
      <c r="CI829" s="121"/>
      <c r="CJ829" s="121"/>
      <c r="CK829" s="121"/>
      <c r="CL829" s="121"/>
      <c r="CM829" s="121"/>
      <c r="CN829" s="121"/>
      <c r="CO829" s="121"/>
      <c r="CP829" s="121"/>
      <c r="CQ829" s="121"/>
      <c r="CR829" s="121"/>
      <c r="CS829" s="121"/>
      <c r="CT829" s="121"/>
      <c r="CU829" s="121"/>
      <c r="CV829" s="121"/>
      <c r="CW829" s="121"/>
      <c r="CX829" s="121"/>
      <c r="CY829" s="121"/>
      <c r="CZ829" s="121"/>
      <c r="DA829" s="121"/>
      <c r="DB829" s="121"/>
      <c r="DC829" s="121"/>
      <c r="DD829" s="121"/>
      <c r="DE829" s="121"/>
      <c r="DF829" s="121"/>
      <c r="DG829" s="121"/>
      <c r="DH829" s="121"/>
      <c r="DI829" s="121"/>
      <c r="DJ829" s="121"/>
      <c r="DK829" s="121"/>
      <c r="DL829" s="121"/>
      <c r="DM829" s="121"/>
      <c r="DN829" s="121"/>
      <c r="DO829" s="121"/>
      <c r="DP829" s="121"/>
      <c r="DQ829" s="121"/>
      <c r="DR829" s="121"/>
      <c r="DS829" s="121"/>
      <c r="DT829" s="240"/>
      <c r="DU829" s="240"/>
      <c r="DV829" s="240"/>
      <c r="DW829" s="240"/>
      <c r="DX829" s="240"/>
      <c r="DY829" s="240"/>
      <c r="DZ829" s="240"/>
      <c r="EA829" s="240"/>
      <c r="EB829" s="237">
        <f t="shared" si="96"/>
        <v>0</v>
      </c>
      <c r="EC829" s="237">
        <f t="shared" si="97"/>
        <v>0</v>
      </c>
      <c r="ED829" s="237">
        <f t="shared" si="98"/>
        <v>0</v>
      </c>
      <c r="EE829" s="237">
        <f t="shared" si="99"/>
        <v>0</v>
      </c>
      <c r="EF829" s="121"/>
      <c r="EG829" s="238">
        <f t="shared" si="100"/>
        <v>0</v>
      </c>
      <c r="EH829" s="121"/>
      <c r="EI829" s="237">
        <f t="shared" si="101"/>
        <v>0</v>
      </c>
      <c r="EJ829" s="121"/>
      <c r="EK829" s="237">
        <f t="shared" si="102"/>
        <v>0</v>
      </c>
      <c r="EL829" s="237"/>
      <c r="EM829" s="5"/>
      <c r="EN829" s="5"/>
      <c r="EO829" s="5"/>
      <c r="EP829" s="5"/>
      <c r="EQ829" s="237">
        <f t="shared" si="103"/>
        <v>0</v>
      </c>
      <c r="ER829" s="239">
        <v>23300</v>
      </c>
      <c r="ES829" s="5">
        <v>7.5</v>
      </c>
    </row>
    <row r="830" spans="1:149" x14ac:dyDescent="0.3">
      <c r="A830" s="124"/>
      <c r="B830" s="121"/>
      <c r="C830" s="121"/>
      <c r="D830" s="121"/>
      <c r="E830" s="121"/>
      <c r="F830" s="121"/>
      <c r="G830" s="121"/>
      <c r="H830" s="121"/>
      <c r="I830" s="121"/>
      <c r="J830" s="121"/>
      <c r="K830" s="121"/>
      <c r="L830" s="121"/>
      <c r="M830" s="121"/>
      <c r="N830" s="121"/>
      <c r="O830" s="235"/>
      <c r="P830" s="121"/>
      <c r="Q830" s="121"/>
      <c r="R830" s="121"/>
      <c r="S830" s="121"/>
      <c r="T830" s="121"/>
      <c r="U830" s="121"/>
      <c r="V830" s="121"/>
      <c r="W830" s="121"/>
      <c r="X830" s="117"/>
      <c r="Y830" s="117"/>
      <c r="Z830" s="121"/>
      <c r="AA830" s="121"/>
      <c r="AB830" s="121"/>
      <c r="AC830" s="121"/>
      <c r="AD830" s="121"/>
      <c r="AE830" s="121"/>
      <c r="AF830" s="121"/>
      <c r="AG830" s="121"/>
      <c r="AH830" s="121"/>
      <c r="AI830" s="121"/>
      <c r="AJ830" s="121"/>
      <c r="AK830" s="121"/>
      <c r="AL830" s="121"/>
      <c r="AM830" s="121"/>
      <c r="AN830" s="121"/>
      <c r="AO830" s="121"/>
      <c r="AP830" s="121"/>
      <c r="AQ830" s="121"/>
      <c r="AR830" s="121"/>
      <c r="AS830" s="121"/>
      <c r="AT830" s="121"/>
      <c r="AU830" s="121"/>
      <c r="AV830" s="121"/>
      <c r="AW830" s="121"/>
      <c r="AX830" s="121"/>
      <c r="AY830" s="121"/>
      <c r="AZ830" s="121"/>
      <c r="BA830" s="121"/>
      <c r="BB830" s="121"/>
      <c r="BC830" s="121"/>
      <c r="BD830" s="121"/>
      <c r="BE830" s="121"/>
      <c r="BF830" s="121"/>
      <c r="BG830" s="121"/>
      <c r="BH830" s="121"/>
      <c r="BI830" s="121"/>
      <c r="BJ830" s="121"/>
      <c r="BK830" s="121"/>
      <c r="BL830" s="121"/>
      <c r="BM830" s="121"/>
      <c r="BN830" s="121"/>
      <c r="BO830" s="121"/>
      <c r="BP830" s="121"/>
      <c r="BQ830" s="121"/>
      <c r="BR830" s="121"/>
      <c r="BS830" s="121"/>
      <c r="BT830" s="121"/>
      <c r="BU830" s="121"/>
      <c r="BV830" s="121"/>
      <c r="BW830" s="121"/>
      <c r="BX830" s="121"/>
      <c r="BY830" s="121"/>
      <c r="BZ830" s="121"/>
      <c r="CA830" s="121"/>
      <c r="CB830" s="121"/>
      <c r="CC830" s="121"/>
      <c r="CD830" s="121"/>
      <c r="CE830" s="121"/>
      <c r="CF830" s="121"/>
      <c r="CG830" s="121"/>
      <c r="CH830" s="121"/>
      <c r="CI830" s="121"/>
      <c r="CJ830" s="121"/>
      <c r="CK830" s="121"/>
      <c r="CL830" s="121"/>
      <c r="CM830" s="121"/>
      <c r="CN830" s="121"/>
      <c r="CO830" s="121"/>
      <c r="CP830" s="121"/>
      <c r="CQ830" s="121"/>
      <c r="CR830" s="121"/>
      <c r="CS830" s="121"/>
      <c r="CT830" s="121"/>
      <c r="CU830" s="121"/>
      <c r="CV830" s="121"/>
      <c r="CW830" s="121"/>
      <c r="CX830" s="121"/>
      <c r="CY830" s="121"/>
      <c r="CZ830" s="121"/>
      <c r="DA830" s="121"/>
      <c r="DB830" s="121"/>
      <c r="DC830" s="121"/>
      <c r="DD830" s="121"/>
      <c r="DE830" s="121"/>
      <c r="DF830" s="121"/>
      <c r="DG830" s="121"/>
      <c r="DH830" s="121"/>
      <c r="DI830" s="121"/>
      <c r="DJ830" s="121"/>
      <c r="DK830" s="121"/>
      <c r="DL830" s="121"/>
      <c r="DM830" s="121"/>
      <c r="DN830" s="121"/>
      <c r="DO830" s="121"/>
      <c r="DP830" s="121"/>
      <c r="DQ830" s="121"/>
      <c r="DR830" s="121"/>
      <c r="DS830" s="121"/>
      <c r="DT830" s="240"/>
      <c r="DU830" s="240"/>
      <c r="DV830" s="240"/>
      <c r="DW830" s="240"/>
      <c r="DX830" s="240"/>
      <c r="DY830" s="240"/>
      <c r="DZ830" s="240"/>
      <c r="EA830" s="240"/>
      <c r="EB830" s="237">
        <f t="shared" si="96"/>
        <v>0</v>
      </c>
      <c r="EC830" s="237">
        <f t="shared" si="97"/>
        <v>0</v>
      </c>
      <c r="ED830" s="237">
        <f t="shared" si="98"/>
        <v>0</v>
      </c>
      <c r="EE830" s="237">
        <f t="shared" si="99"/>
        <v>0</v>
      </c>
      <c r="EF830" s="121"/>
      <c r="EG830" s="238">
        <f t="shared" si="100"/>
        <v>0</v>
      </c>
      <c r="EH830" s="121"/>
      <c r="EI830" s="237">
        <f t="shared" si="101"/>
        <v>0</v>
      </c>
      <c r="EJ830" s="121"/>
      <c r="EK830" s="237">
        <f t="shared" si="102"/>
        <v>0</v>
      </c>
      <c r="EL830" s="237"/>
      <c r="EM830" s="5"/>
      <c r="EN830" s="5"/>
      <c r="EO830" s="5"/>
      <c r="EP830" s="5"/>
      <c r="EQ830" s="237">
        <f t="shared" si="103"/>
        <v>0</v>
      </c>
      <c r="ER830" s="239">
        <v>23300</v>
      </c>
      <c r="ES830" s="5">
        <v>7.5</v>
      </c>
    </row>
    <row r="831" spans="1:149" x14ac:dyDescent="0.3">
      <c r="A831" s="124"/>
      <c r="B831" s="121"/>
      <c r="C831" s="121"/>
      <c r="D831" s="121"/>
      <c r="E831" s="121"/>
      <c r="F831" s="121"/>
      <c r="G831" s="121"/>
      <c r="H831" s="121"/>
      <c r="I831" s="121"/>
      <c r="J831" s="121"/>
      <c r="K831" s="121"/>
      <c r="L831" s="121"/>
      <c r="M831" s="121"/>
      <c r="N831" s="121"/>
      <c r="O831" s="235"/>
      <c r="P831" s="121"/>
      <c r="Q831" s="121"/>
      <c r="R831" s="121"/>
      <c r="S831" s="121"/>
      <c r="T831" s="121"/>
      <c r="U831" s="121"/>
      <c r="V831" s="121"/>
      <c r="W831" s="121"/>
      <c r="X831" s="117"/>
      <c r="Y831" s="117"/>
      <c r="Z831" s="121"/>
      <c r="AA831" s="121"/>
      <c r="AB831" s="121"/>
      <c r="AC831" s="121"/>
      <c r="AD831" s="121"/>
      <c r="AE831" s="121"/>
      <c r="AF831" s="121"/>
      <c r="AG831" s="121"/>
      <c r="AH831" s="121"/>
      <c r="AI831" s="121"/>
      <c r="AJ831" s="121"/>
      <c r="AK831" s="121"/>
      <c r="AL831" s="121"/>
      <c r="AM831" s="121"/>
      <c r="AN831" s="121"/>
      <c r="AO831" s="121"/>
      <c r="AP831" s="121"/>
      <c r="AQ831" s="121"/>
      <c r="AR831" s="121"/>
      <c r="AS831" s="121"/>
      <c r="AT831" s="121"/>
      <c r="AU831" s="121"/>
      <c r="AV831" s="121"/>
      <c r="AW831" s="121"/>
      <c r="AX831" s="121"/>
      <c r="AY831" s="121"/>
      <c r="AZ831" s="121"/>
      <c r="BA831" s="121"/>
      <c r="BB831" s="121"/>
      <c r="BC831" s="121"/>
      <c r="BD831" s="121"/>
      <c r="BE831" s="121"/>
      <c r="BF831" s="121"/>
      <c r="BG831" s="121"/>
      <c r="BH831" s="121"/>
      <c r="BI831" s="121"/>
      <c r="BJ831" s="121"/>
      <c r="BK831" s="121"/>
      <c r="BL831" s="121"/>
      <c r="BM831" s="121"/>
      <c r="BN831" s="121"/>
      <c r="BO831" s="121"/>
      <c r="BP831" s="121"/>
      <c r="BQ831" s="121"/>
      <c r="BR831" s="121"/>
      <c r="BS831" s="121"/>
      <c r="BT831" s="121"/>
      <c r="BU831" s="121"/>
      <c r="BV831" s="121"/>
      <c r="BW831" s="121"/>
      <c r="BX831" s="121"/>
      <c r="BY831" s="121"/>
      <c r="BZ831" s="121"/>
      <c r="CA831" s="121"/>
      <c r="CB831" s="121"/>
      <c r="CC831" s="121"/>
      <c r="CD831" s="121"/>
      <c r="CE831" s="121"/>
      <c r="CF831" s="121"/>
      <c r="CG831" s="121"/>
      <c r="CH831" s="121"/>
      <c r="CI831" s="121"/>
      <c r="CJ831" s="121"/>
      <c r="CK831" s="121"/>
      <c r="CL831" s="121"/>
      <c r="CM831" s="121"/>
      <c r="CN831" s="121"/>
      <c r="CO831" s="121"/>
      <c r="CP831" s="121"/>
      <c r="CQ831" s="121"/>
      <c r="CR831" s="121"/>
      <c r="CS831" s="121"/>
      <c r="CT831" s="121"/>
      <c r="CU831" s="121"/>
      <c r="CV831" s="121"/>
      <c r="CW831" s="121"/>
      <c r="CX831" s="121"/>
      <c r="CY831" s="121"/>
      <c r="CZ831" s="121"/>
      <c r="DA831" s="121"/>
      <c r="DB831" s="121"/>
      <c r="DC831" s="121"/>
      <c r="DD831" s="121"/>
      <c r="DE831" s="121"/>
      <c r="DF831" s="121"/>
      <c r="DG831" s="121"/>
      <c r="DH831" s="121"/>
      <c r="DI831" s="121"/>
      <c r="DJ831" s="121"/>
      <c r="DK831" s="121"/>
      <c r="DL831" s="121"/>
      <c r="DM831" s="121"/>
      <c r="DN831" s="121"/>
      <c r="DO831" s="121"/>
      <c r="DP831" s="121"/>
      <c r="DQ831" s="121"/>
      <c r="DR831" s="121"/>
      <c r="DS831" s="121"/>
      <c r="DT831" s="240"/>
      <c r="DU831" s="240"/>
      <c r="DV831" s="240"/>
      <c r="DW831" s="240"/>
      <c r="DX831" s="240"/>
      <c r="DY831" s="240"/>
      <c r="DZ831" s="240"/>
      <c r="EA831" s="240"/>
      <c r="EB831" s="237">
        <f t="shared" si="96"/>
        <v>0</v>
      </c>
      <c r="EC831" s="237">
        <f t="shared" si="97"/>
        <v>0</v>
      </c>
      <c r="ED831" s="237">
        <f t="shared" si="98"/>
        <v>0</v>
      </c>
      <c r="EE831" s="237">
        <f t="shared" si="99"/>
        <v>0</v>
      </c>
      <c r="EF831" s="121"/>
      <c r="EG831" s="238">
        <f t="shared" si="100"/>
        <v>0</v>
      </c>
      <c r="EH831" s="121"/>
      <c r="EI831" s="237">
        <f t="shared" si="101"/>
        <v>0</v>
      </c>
      <c r="EJ831" s="121"/>
      <c r="EK831" s="237">
        <f t="shared" si="102"/>
        <v>0</v>
      </c>
      <c r="EL831" s="237"/>
      <c r="EM831" s="5"/>
      <c r="EN831" s="5"/>
      <c r="EO831" s="5"/>
      <c r="EP831" s="5"/>
      <c r="EQ831" s="237">
        <f t="shared" si="103"/>
        <v>0</v>
      </c>
      <c r="ER831" s="239">
        <v>23300</v>
      </c>
      <c r="ES831" s="5">
        <v>7.5</v>
      </c>
    </row>
    <row r="832" spans="1:149" x14ac:dyDescent="0.3">
      <c r="A832" s="124"/>
      <c r="B832" s="121"/>
      <c r="C832" s="121"/>
      <c r="D832" s="121"/>
      <c r="E832" s="121"/>
      <c r="F832" s="121"/>
      <c r="G832" s="121"/>
      <c r="H832" s="121"/>
      <c r="I832" s="121"/>
      <c r="J832" s="121"/>
      <c r="K832" s="121"/>
      <c r="L832" s="121"/>
      <c r="M832" s="121"/>
      <c r="N832" s="121"/>
      <c r="O832" s="235"/>
      <c r="P832" s="121"/>
      <c r="Q832" s="121"/>
      <c r="R832" s="121"/>
      <c r="S832" s="121"/>
      <c r="T832" s="121"/>
      <c r="U832" s="121"/>
      <c r="V832" s="121"/>
      <c r="W832" s="121"/>
      <c r="X832" s="117"/>
      <c r="Y832" s="117"/>
      <c r="Z832" s="121"/>
      <c r="AA832" s="121"/>
      <c r="AB832" s="121"/>
      <c r="AC832" s="121"/>
      <c r="AD832" s="121"/>
      <c r="AE832" s="121"/>
      <c r="AF832" s="121"/>
      <c r="AG832" s="121"/>
      <c r="AH832" s="121"/>
      <c r="AI832" s="121"/>
      <c r="AJ832" s="121"/>
      <c r="AK832" s="121"/>
      <c r="AL832" s="121"/>
      <c r="AM832" s="121"/>
      <c r="AN832" s="121"/>
      <c r="AO832" s="121"/>
      <c r="AP832" s="121"/>
      <c r="AQ832" s="121"/>
      <c r="AR832" s="121"/>
      <c r="AS832" s="121"/>
      <c r="AT832" s="121"/>
      <c r="AU832" s="121"/>
      <c r="AV832" s="121"/>
      <c r="AW832" s="121"/>
      <c r="AX832" s="121"/>
      <c r="AY832" s="121"/>
      <c r="AZ832" s="121"/>
      <c r="BA832" s="121"/>
      <c r="BB832" s="121"/>
      <c r="BC832" s="121"/>
      <c r="BD832" s="121"/>
      <c r="BE832" s="121"/>
      <c r="BF832" s="121"/>
      <c r="BG832" s="121"/>
      <c r="BH832" s="121"/>
      <c r="BI832" s="121"/>
      <c r="BJ832" s="121"/>
      <c r="BK832" s="121"/>
      <c r="BL832" s="121"/>
      <c r="BM832" s="121"/>
      <c r="BN832" s="121"/>
      <c r="BO832" s="121"/>
      <c r="BP832" s="121"/>
      <c r="BQ832" s="121"/>
      <c r="BR832" s="121"/>
      <c r="BS832" s="121"/>
      <c r="BT832" s="121"/>
      <c r="BU832" s="121"/>
      <c r="BV832" s="121"/>
      <c r="BW832" s="121"/>
      <c r="BX832" s="121"/>
      <c r="BY832" s="121"/>
      <c r="BZ832" s="121"/>
      <c r="CA832" s="121"/>
      <c r="CB832" s="121"/>
      <c r="CC832" s="121"/>
      <c r="CD832" s="121"/>
      <c r="CE832" s="121"/>
      <c r="CF832" s="121"/>
      <c r="CG832" s="121"/>
      <c r="CH832" s="121"/>
      <c r="CI832" s="121"/>
      <c r="CJ832" s="121"/>
      <c r="CK832" s="121"/>
      <c r="CL832" s="121"/>
      <c r="CM832" s="121"/>
      <c r="CN832" s="121"/>
      <c r="CO832" s="121"/>
      <c r="CP832" s="121"/>
      <c r="CQ832" s="121"/>
      <c r="CR832" s="121"/>
      <c r="CS832" s="121"/>
      <c r="CT832" s="121"/>
      <c r="CU832" s="121"/>
      <c r="CV832" s="121"/>
      <c r="CW832" s="121"/>
      <c r="CX832" s="121"/>
      <c r="CY832" s="121"/>
      <c r="CZ832" s="121"/>
      <c r="DA832" s="121"/>
      <c r="DB832" s="121"/>
      <c r="DC832" s="121"/>
      <c r="DD832" s="121"/>
      <c r="DE832" s="121"/>
      <c r="DF832" s="121"/>
      <c r="DG832" s="121"/>
      <c r="DH832" s="121"/>
      <c r="DI832" s="121"/>
      <c r="DJ832" s="121"/>
      <c r="DK832" s="121"/>
      <c r="DL832" s="121"/>
      <c r="DM832" s="121"/>
      <c r="DN832" s="121"/>
      <c r="DO832" s="121"/>
      <c r="DP832" s="121"/>
      <c r="DQ832" s="121"/>
      <c r="DR832" s="121"/>
      <c r="DS832" s="121"/>
      <c r="DT832" s="240"/>
      <c r="DU832" s="240"/>
      <c r="DV832" s="240"/>
      <c r="DW832" s="240"/>
      <c r="DX832" s="240"/>
      <c r="DY832" s="240"/>
      <c r="DZ832" s="240"/>
      <c r="EA832" s="240"/>
      <c r="EB832" s="237">
        <f t="shared" si="96"/>
        <v>0</v>
      </c>
      <c r="EC832" s="237">
        <f t="shared" si="97"/>
        <v>0</v>
      </c>
      <c r="ED832" s="237">
        <f t="shared" si="98"/>
        <v>0</v>
      </c>
      <c r="EE832" s="237">
        <f t="shared" si="99"/>
        <v>0</v>
      </c>
      <c r="EF832" s="121"/>
      <c r="EG832" s="238">
        <f t="shared" si="100"/>
        <v>0</v>
      </c>
      <c r="EH832" s="121"/>
      <c r="EI832" s="237">
        <f t="shared" si="101"/>
        <v>0</v>
      </c>
      <c r="EJ832" s="121"/>
      <c r="EK832" s="237">
        <f t="shared" si="102"/>
        <v>0</v>
      </c>
      <c r="EL832" s="237"/>
      <c r="EM832" s="5"/>
      <c r="EN832" s="5"/>
      <c r="EO832" s="5"/>
      <c r="EP832" s="5"/>
      <c r="EQ832" s="237">
        <f t="shared" si="103"/>
        <v>0</v>
      </c>
      <c r="ER832" s="239">
        <v>23300</v>
      </c>
      <c r="ES832" s="5">
        <v>7.5</v>
      </c>
    </row>
    <row r="833" spans="1:149" x14ac:dyDescent="0.3">
      <c r="A833" s="124"/>
      <c r="B833" s="121"/>
      <c r="C833" s="121"/>
      <c r="D833" s="121"/>
      <c r="E833" s="121"/>
      <c r="F833" s="121"/>
      <c r="G833" s="121"/>
      <c r="H833" s="121"/>
      <c r="I833" s="121"/>
      <c r="J833" s="121"/>
      <c r="K833" s="121"/>
      <c r="L833" s="121"/>
      <c r="M833" s="121"/>
      <c r="N833" s="121"/>
      <c r="O833" s="235"/>
      <c r="P833" s="121"/>
      <c r="Q833" s="121"/>
      <c r="R833" s="121"/>
      <c r="S833" s="121"/>
      <c r="T833" s="121"/>
      <c r="U833" s="121"/>
      <c r="V833" s="121"/>
      <c r="W833" s="121"/>
      <c r="X833" s="117"/>
      <c r="Y833" s="117"/>
      <c r="Z833" s="121"/>
      <c r="AA833" s="121"/>
      <c r="AB833" s="121"/>
      <c r="AC833" s="121"/>
      <c r="AD833" s="121"/>
      <c r="AE833" s="121"/>
      <c r="AF833" s="121"/>
      <c r="AG833" s="121"/>
      <c r="AH833" s="121"/>
      <c r="AI833" s="121"/>
      <c r="AJ833" s="121"/>
      <c r="AK833" s="121"/>
      <c r="AL833" s="121"/>
      <c r="AM833" s="121"/>
      <c r="AN833" s="121"/>
      <c r="AO833" s="121"/>
      <c r="AP833" s="121"/>
      <c r="AQ833" s="121"/>
      <c r="AR833" s="121"/>
      <c r="AS833" s="121"/>
      <c r="AT833" s="121"/>
      <c r="AU833" s="121"/>
      <c r="AV833" s="121"/>
      <c r="AW833" s="121"/>
      <c r="AX833" s="121"/>
      <c r="AY833" s="121"/>
      <c r="AZ833" s="121"/>
      <c r="BA833" s="121"/>
      <c r="BB833" s="121"/>
      <c r="BC833" s="121"/>
      <c r="BD833" s="121"/>
      <c r="BE833" s="121"/>
      <c r="BF833" s="121"/>
      <c r="BG833" s="121"/>
      <c r="BH833" s="121"/>
      <c r="BI833" s="121"/>
      <c r="BJ833" s="121"/>
      <c r="BK833" s="121"/>
      <c r="BL833" s="121"/>
      <c r="BM833" s="121"/>
      <c r="BN833" s="121"/>
      <c r="BO833" s="121"/>
      <c r="BP833" s="121"/>
      <c r="BQ833" s="121"/>
      <c r="BR833" s="121"/>
      <c r="BS833" s="121"/>
      <c r="BT833" s="121"/>
      <c r="BU833" s="121"/>
      <c r="BV833" s="121"/>
      <c r="BW833" s="121"/>
      <c r="BX833" s="121"/>
      <c r="BY833" s="121"/>
      <c r="BZ833" s="121"/>
      <c r="CA833" s="121"/>
      <c r="CB833" s="121"/>
      <c r="CC833" s="121"/>
      <c r="CD833" s="121"/>
      <c r="CE833" s="121"/>
      <c r="CF833" s="121"/>
      <c r="CG833" s="121"/>
      <c r="CH833" s="121"/>
      <c r="CI833" s="121"/>
      <c r="CJ833" s="121"/>
      <c r="CK833" s="121"/>
      <c r="CL833" s="121"/>
      <c r="CM833" s="121"/>
      <c r="CN833" s="121"/>
      <c r="CO833" s="121"/>
      <c r="CP833" s="121"/>
      <c r="CQ833" s="121"/>
      <c r="CR833" s="121"/>
      <c r="CS833" s="121"/>
      <c r="CT833" s="121"/>
      <c r="CU833" s="121"/>
      <c r="CV833" s="121"/>
      <c r="CW833" s="121"/>
      <c r="CX833" s="121"/>
      <c r="CY833" s="121"/>
      <c r="CZ833" s="121"/>
      <c r="DA833" s="121"/>
      <c r="DB833" s="121"/>
      <c r="DC833" s="121"/>
      <c r="DD833" s="121"/>
      <c r="DE833" s="121"/>
      <c r="DF833" s="121"/>
      <c r="DG833" s="121"/>
      <c r="DH833" s="121"/>
      <c r="DI833" s="121"/>
      <c r="DJ833" s="121"/>
      <c r="DK833" s="121"/>
      <c r="DL833" s="121"/>
      <c r="DM833" s="121"/>
      <c r="DN833" s="121"/>
      <c r="DO833" s="121"/>
      <c r="DP833" s="121"/>
      <c r="DQ833" s="121"/>
      <c r="DR833" s="121"/>
      <c r="DS833" s="121"/>
      <c r="DT833" s="240"/>
      <c r="DU833" s="240"/>
      <c r="DV833" s="240"/>
      <c r="DW833" s="240"/>
      <c r="DX833" s="240"/>
      <c r="DY833" s="240"/>
      <c r="DZ833" s="240"/>
      <c r="EA833" s="240"/>
      <c r="EB833" s="237">
        <f t="shared" si="96"/>
        <v>0</v>
      </c>
      <c r="EC833" s="237">
        <f t="shared" si="97"/>
        <v>0</v>
      </c>
      <c r="ED833" s="237">
        <f t="shared" si="98"/>
        <v>0</v>
      </c>
      <c r="EE833" s="237">
        <f t="shared" si="99"/>
        <v>0</v>
      </c>
      <c r="EF833" s="121"/>
      <c r="EG833" s="238">
        <f t="shared" si="100"/>
        <v>0</v>
      </c>
      <c r="EH833" s="121"/>
      <c r="EI833" s="237">
        <f t="shared" si="101"/>
        <v>0</v>
      </c>
      <c r="EJ833" s="121"/>
      <c r="EK833" s="237">
        <f t="shared" si="102"/>
        <v>0</v>
      </c>
      <c r="EL833" s="237"/>
      <c r="EM833" s="5"/>
      <c r="EN833" s="5"/>
      <c r="EO833" s="5"/>
      <c r="EP833" s="5"/>
      <c r="EQ833" s="237">
        <f t="shared" si="103"/>
        <v>0</v>
      </c>
      <c r="ER833" s="239">
        <v>23300</v>
      </c>
      <c r="ES833" s="5">
        <v>7.5</v>
      </c>
    </row>
    <row r="834" spans="1:149" x14ac:dyDescent="0.3">
      <c r="A834" s="124"/>
      <c r="B834" s="121"/>
      <c r="C834" s="121"/>
      <c r="D834" s="121"/>
      <c r="E834" s="121"/>
      <c r="F834" s="121"/>
      <c r="G834" s="121"/>
      <c r="H834" s="121"/>
      <c r="I834" s="121"/>
      <c r="J834" s="121"/>
      <c r="K834" s="121"/>
      <c r="L834" s="121"/>
      <c r="M834" s="121"/>
      <c r="N834" s="121"/>
      <c r="O834" s="235"/>
      <c r="P834" s="121"/>
      <c r="Q834" s="121"/>
      <c r="R834" s="121"/>
      <c r="S834" s="121"/>
      <c r="T834" s="121"/>
      <c r="U834" s="121"/>
      <c r="V834" s="121"/>
      <c r="W834" s="121"/>
      <c r="X834" s="117"/>
      <c r="Y834" s="117"/>
      <c r="Z834" s="121"/>
      <c r="AA834" s="121"/>
      <c r="AB834" s="121"/>
      <c r="AC834" s="121"/>
      <c r="AD834" s="121"/>
      <c r="AE834" s="121"/>
      <c r="AF834" s="121"/>
      <c r="AG834" s="121"/>
      <c r="AH834" s="121"/>
      <c r="AI834" s="121"/>
      <c r="AJ834" s="121"/>
      <c r="AK834" s="121"/>
      <c r="AL834" s="121"/>
      <c r="AM834" s="121"/>
      <c r="AN834" s="121"/>
      <c r="AO834" s="121"/>
      <c r="AP834" s="121"/>
      <c r="AQ834" s="121"/>
      <c r="AR834" s="121"/>
      <c r="AS834" s="121"/>
      <c r="AT834" s="121"/>
      <c r="AU834" s="121"/>
      <c r="AV834" s="121"/>
      <c r="AW834" s="121"/>
      <c r="AX834" s="121"/>
      <c r="AY834" s="121"/>
      <c r="AZ834" s="121"/>
      <c r="BA834" s="121"/>
      <c r="BB834" s="121"/>
      <c r="BC834" s="121"/>
      <c r="BD834" s="121"/>
      <c r="BE834" s="121"/>
      <c r="BF834" s="121"/>
      <c r="BG834" s="121"/>
      <c r="BH834" s="121"/>
      <c r="BI834" s="121"/>
      <c r="BJ834" s="121"/>
      <c r="BK834" s="121"/>
      <c r="BL834" s="121"/>
      <c r="BM834" s="121"/>
      <c r="BN834" s="121"/>
      <c r="BO834" s="121"/>
      <c r="BP834" s="121"/>
      <c r="BQ834" s="121"/>
      <c r="BR834" s="121"/>
      <c r="BS834" s="121"/>
      <c r="BT834" s="121"/>
      <c r="BU834" s="121"/>
      <c r="BV834" s="121"/>
      <c r="BW834" s="121"/>
      <c r="BX834" s="121"/>
      <c r="BY834" s="121"/>
      <c r="BZ834" s="121"/>
      <c r="CA834" s="121"/>
      <c r="CB834" s="121"/>
      <c r="CC834" s="121"/>
      <c r="CD834" s="121"/>
      <c r="CE834" s="121"/>
      <c r="CF834" s="121"/>
      <c r="CG834" s="121"/>
      <c r="CH834" s="121"/>
      <c r="CI834" s="121"/>
      <c r="CJ834" s="121"/>
      <c r="CK834" s="121"/>
      <c r="CL834" s="121"/>
      <c r="CM834" s="121"/>
      <c r="CN834" s="121"/>
      <c r="CO834" s="121"/>
      <c r="CP834" s="121"/>
      <c r="CQ834" s="121"/>
      <c r="CR834" s="121"/>
      <c r="CS834" s="121"/>
      <c r="CT834" s="121"/>
      <c r="CU834" s="121"/>
      <c r="CV834" s="121"/>
      <c r="CW834" s="121"/>
      <c r="CX834" s="121"/>
      <c r="CY834" s="121"/>
      <c r="CZ834" s="121"/>
      <c r="DA834" s="121"/>
      <c r="DB834" s="121"/>
      <c r="DC834" s="121"/>
      <c r="DD834" s="121"/>
      <c r="DE834" s="121"/>
      <c r="DF834" s="121"/>
      <c r="DG834" s="121"/>
      <c r="DH834" s="121"/>
      <c r="DI834" s="121"/>
      <c r="DJ834" s="121"/>
      <c r="DK834" s="121"/>
      <c r="DL834" s="121"/>
      <c r="DM834" s="121"/>
      <c r="DN834" s="121"/>
      <c r="DO834" s="121"/>
      <c r="DP834" s="121"/>
      <c r="DQ834" s="121"/>
      <c r="DR834" s="121"/>
      <c r="DS834" s="121"/>
      <c r="DT834" s="240"/>
      <c r="DU834" s="240"/>
      <c r="DV834" s="240"/>
      <c r="DW834" s="240"/>
      <c r="DX834" s="240"/>
      <c r="DY834" s="240"/>
      <c r="DZ834" s="240"/>
      <c r="EA834" s="240"/>
      <c r="EB834" s="237">
        <f t="shared" si="96"/>
        <v>0</v>
      </c>
      <c r="EC834" s="237">
        <f t="shared" si="97"/>
        <v>0</v>
      </c>
      <c r="ED834" s="237">
        <f t="shared" si="98"/>
        <v>0</v>
      </c>
      <c r="EE834" s="237">
        <f t="shared" si="99"/>
        <v>0</v>
      </c>
      <c r="EF834" s="121"/>
      <c r="EG834" s="238">
        <f t="shared" si="100"/>
        <v>0</v>
      </c>
      <c r="EH834" s="121"/>
      <c r="EI834" s="237">
        <f t="shared" si="101"/>
        <v>0</v>
      </c>
      <c r="EJ834" s="121"/>
      <c r="EK834" s="237">
        <f t="shared" si="102"/>
        <v>0</v>
      </c>
      <c r="EL834" s="237"/>
      <c r="EM834" s="5"/>
      <c r="EN834" s="5"/>
      <c r="EO834" s="5"/>
      <c r="EP834" s="5"/>
      <c r="EQ834" s="237">
        <f t="shared" si="103"/>
        <v>0</v>
      </c>
      <c r="ER834" s="239">
        <v>23300</v>
      </c>
      <c r="ES834" s="5">
        <v>7.5</v>
      </c>
    </row>
    <row r="835" spans="1:149" x14ac:dyDescent="0.3">
      <c r="A835" s="124"/>
      <c r="B835" s="121"/>
      <c r="C835" s="121"/>
      <c r="D835" s="121"/>
      <c r="E835" s="121"/>
      <c r="F835" s="121"/>
      <c r="G835" s="121"/>
      <c r="H835" s="121"/>
      <c r="I835" s="121"/>
      <c r="J835" s="121"/>
      <c r="K835" s="121"/>
      <c r="L835" s="121"/>
      <c r="M835" s="121"/>
      <c r="N835" s="121"/>
      <c r="O835" s="235"/>
      <c r="P835" s="121"/>
      <c r="Q835" s="121"/>
      <c r="R835" s="121"/>
      <c r="S835" s="121"/>
      <c r="T835" s="121"/>
      <c r="U835" s="121"/>
      <c r="V835" s="121"/>
      <c r="W835" s="121"/>
      <c r="X835" s="117"/>
      <c r="Y835" s="117"/>
      <c r="Z835" s="121"/>
      <c r="AA835" s="121"/>
      <c r="AB835" s="121"/>
      <c r="AC835" s="121"/>
      <c r="AD835" s="121"/>
      <c r="AE835" s="121"/>
      <c r="AF835" s="121"/>
      <c r="AG835" s="121"/>
      <c r="AH835" s="121"/>
      <c r="AI835" s="121"/>
      <c r="AJ835" s="121"/>
      <c r="AK835" s="121"/>
      <c r="AL835" s="121"/>
      <c r="AM835" s="121"/>
      <c r="AN835" s="121"/>
      <c r="AO835" s="121"/>
      <c r="AP835" s="121"/>
      <c r="AQ835" s="121"/>
      <c r="AR835" s="121"/>
      <c r="AS835" s="121"/>
      <c r="AT835" s="121"/>
      <c r="AU835" s="121"/>
      <c r="AV835" s="121"/>
      <c r="AW835" s="121"/>
      <c r="AX835" s="121"/>
      <c r="AY835" s="121"/>
      <c r="AZ835" s="121"/>
      <c r="BA835" s="121"/>
      <c r="BB835" s="121"/>
      <c r="BC835" s="121"/>
      <c r="BD835" s="121"/>
      <c r="BE835" s="121"/>
      <c r="BF835" s="121"/>
      <c r="BG835" s="121"/>
      <c r="BH835" s="121"/>
      <c r="BI835" s="121"/>
      <c r="BJ835" s="121"/>
      <c r="BK835" s="121"/>
      <c r="BL835" s="121"/>
      <c r="BM835" s="121"/>
      <c r="BN835" s="121"/>
      <c r="BO835" s="121"/>
      <c r="BP835" s="121"/>
      <c r="BQ835" s="121"/>
      <c r="BR835" s="121"/>
      <c r="BS835" s="121"/>
      <c r="BT835" s="121"/>
      <c r="BU835" s="121"/>
      <c r="BV835" s="121"/>
      <c r="BW835" s="121"/>
      <c r="BX835" s="121"/>
      <c r="BY835" s="121"/>
      <c r="BZ835" s="121"/>
      <c r="CA835" s="121"/>
      <c r="CB835" s="121"/>
      <c r="CC835" s="121"/>
      <c r="CD835" s="121"/>
      <c r="CE835" s="121"/>
      <c r="CF835" s="121"/>
      <c r="CG835" s="121"/>
      <c r="CH835" s="121"/>
      <c r="CI835" s="121"/>
      <c r="CJ835" s="121"/>
      <c r="CK835" s="121"/>
      <c r="CL835" s="121"/>
      <c r="CM835" s="121"/>
      <c r="CN835" s="121"/>
      <c r="CO835" s="121"/>
      <c r="CP835" s="121"/>
      <c r="CQ835" s="121"/>
      <c r="CR835" s="121"/>
      <c r="CS835" s="121"/>
      <c r="CT835" s="121"/>
      <c r="CU835" s="121"/>
      <c r="CV835" s="121"/>
      <c r="CW835" s="121"/>
      <c r="CX835" s="121"/>
      <c r="CY835" s="121"/>
      <c r="CZ835" s="121"/>
      <c r="DA835" s="121"/>
      <c r="DB835" s="121"/>
      <c r="DC835" s="121"/>
      <c r="DD835" s="121"/>
      <c r="DE835" s="121"/>
      <c r="DF835" s="121"/>
      <c r="DG835" s="121"/>
      <c r="DH835" s="121"/>
      <c r="DI835" s="121"/>
      <c r="DJ835" s="121"/>
      <c r="DK835" s="121"/>
      <c r="DL835" s="121"/>
      <c r="DM835" s="121"/>
      <c r="DN835" s="121"/>
      <c r="DO835" s="121"/>
      <c r="DP835" s="121"/>
      <c r="DQ835" s="121"/>
      <c r="DR835" s="121"/>
      <c r="DS835" s="121"/>
      <c r="DT835" s="240"/>
      <c r="DU835" s="240"/>
      <c r="DV835" s="240"/>
      <c r="DW835" s="240"/>
      <c r="DX835" s="240"/>
      <c r="DY835" s="240"/>
      <c r="DZ835" s="240"/>
      <c r="EA835" s="240"/>
      <c r="EB835" s="237">
        <f t="shared" si="96"/>
        <v>0</v>
      </c>
      <c r="EC835" s="237">
        <f t="shared" si="97"/>
        <v>0</v>
      </c>
      <c r="ED835" s="237">
        <f t="shared" si="98"/>
        <v>0</v>
      </c>
      <c r="EE835" s="237">
        <f t="shared" si="99"/>
        <v>0</v>
      </c>
      <c r="EF835" s="121"/>
      <c r="EG835" s="238">
        <f t="shared" si="100"/>
        <v>0</v>
      </c>
      <c r="EH835" s="121"/>
      <c r="EI835" s="237">
        <f t="shared" si="101"/>
        <v>0</v>
      </c>
      <c r="EJ835" s="121"/>
      <c r="EK835" s="237">
        <f t="shared" si="102"/>
        <v>0</v>
      </c>
      <c r="EL835" s="237"/>
      <c r="EM835" s="5"/>
      <c r="EN835" s="5"/>
      <c r="EO835" s="5"/>
      <c r="EP835" s="5"/>
      <c r="EQ835" s="237">
        <f t="shared" si="103"/>
        <v>0</v>
      </c>
      <c r="ER835" s="239">
        <v>23300</v>
      </c>
      <c r="ES835" s="5">
        <v>7.5</v>
      </c>
    </row>
    <row r="836" spans="1:149" x14ac:dyDescent="0.3">
      <c r="A836" s="124"/>
      <c r="B836" s="121"/>
      <c r="C836" s="121"/>
      <c r="D836" s="121"/>
      <c r="E836" s="121"/>
      <c r="F836" s="121"/>
      <c r="G836" s="121"/>
      <c r="H836" s="121"/>
      <c r="I836" s="121"/>
      <c r="J836" s="121"/>
      <c r="K836" s="121"/>
      <c r="L836" s="121"/>
      <c r="M836" s="121"/>
      <c r="N836" s="121"/>
      <c r="O836" s="235"/>
      <c r="P836" s="121"/>
      <c r="Q836" s="121"/>
      <c r="R836" s="121"/>
      <c r="S836" s="121"/>
      <c r="T836" s="121"/>
      <c r="U836" s="121"/>
      <c r="V836" s="121"/>
      <c r="W836" s="121"/>
      <c r="X836" s="117"/>
      <c r="Y836" s="117"/>
      <c r="Z836" s="121"/>
      <c r="AA836" s="121"/>
      <c r="AB836" s="121"/>
      <c r="AC836" s="121"/>
      <c r="AD836" s="121"/>
      <c r="AE836" s="121"/>
      <c r="AF836" s="121"/>
      <c r="AG836" s="121"/>
      <c r="AH836" s="121"/>
      <c r="AI836" s="121"/>
      <c r="AJ836" s="121"/>
      <c r="AK836" s="121"/>
      <c r="AL836" s="121"/>
      <c r="AM836" s="121"/>
      <c r="AN836" s="121"/>
      <c r="AO836" s="121"/>
      <c r="AP836" s="121"/>
      <c r="AQ836" s="121"/>
      <c r="AR836" s="121"/>
      <c r="AS836" s="121"/>
      <c r="AT836" s="121"/>
      <c r="AU836" s="121"/>
      <c r="AV836" s="121"/>
      <c r="AW836" s="121"/>
      <c r="AX836" s="121"/>
      <c r="AY836" s="121"/>
      <c r="AZ836" s="121"/>
      <c r="BA836" s="121"/>
      <c r="BB836" s="121"/>
      <c r="BC836" s="121"/>
      <c r="BD836" s="121"/>
      <c r="BE836" s="121"/>
      <c r="BF836" s="121"/>
      <c r="BG836" s="121"/>
      <c r="BH836" s="121"/>
      <c r="BI836" s="121"/>
      <c r="BJ836" s="121"/>
      <c r="BK836" s="121"/>
      <c r="BL836" s="121"/>
      <c r="BM836" s="121"/>
      <c r="BN836" s="121"/>
      <c r="BO836" s="121"/>
      <c r="BP836" s="121"/>
      <c r="BQ836" s="121"/>
      <c r="BR836" s="121"/>
      <c r="BS836" s="121"/>
      <c r="BT836" s="121"/>
      <c r="BU836" s="121"/>
      <c r="BV836" s="121"/>
      <c r="BW836" s="121"/>
      <c r="BX836" s="121"/>
      <c r="BY836" s="121"/>
      <c r="BZ836" s="121"/>
      <c r="CA836" s="121"/>
      <c r="CB836" s="121"/>
      <c r="CC836" s="121"/>
      <c r="CD836" s="121"/>
      <c r="CE836" s="121"/>
      <c r="CF836" s="121"/>
      <c r="CG836" s="121"/>
      <c r="CH836" s="121"/>
      <c r="CI836" s="121"/>
      <c r="CJ836" s="121"/>
      <c r="CK836" s="121"/>
      <c r="CL836" s="121"/>
      <c r="CM836" s="121"/>
      <c r="CN836" s="121"/>
      <c r="CO836" s="121"/>
      <c r="CP836" s="121"/>
      <c r="CQ836" s="121"/>
      <c r="CR836" s="121"/>
      <c r="CS836" s="121"/>
      <c r="CT836" s="121"/>
      <c r="CU836" s="121"/>
      <c r="CV836" s="121"/>
      <c r="CW836" s="121"/>
      <c r="CX836" s="121"/>
      <c r="CY836" s="121"/>
      <c r="CZ836" s="121"/>
      <c r="DA836" s="121"/>
      <c r="DB836" s="121"/>
      <c r="DC836" s="121"/>
      <c r="DD836" s="121"/>
      <c r="DE836" s="121"/>
      <c r="DF836" s="121"/>
      <c r="DG836" s="121"/>
      <c r="DH836" s="121"/>
      <c r="DI836" s="121"/>
      <c r="DJ836" s="121"/>
      <c r="DK836" s="121"/>
      <c r="DL836" s="121"/>
      <c r="DM836" s="121"/>
      <c r="DN836" s="121"/>
      <c r="DO836" s="121"/>
      <c r="DP836" s="121"/>
      <c r="DQ836" s="121"/>
      <c r="DR836" s="121"/>
      <c r="DS836" s="121"/>
      <c r="DT836" s="240"/>
      <c r="DU836" s="240"/>
      <c r="DV836" s="240"/>
      <c r="DW836" s="240"/>
      <c r="DX836" s="240"/>
      <c r="DY836" s="240"/>
      <c r="DZ836" s="240"/>
      <c r="EA836" s="240"/>
      <c r="EB836" s="237">
        <f t="shared" si="96"/>
        <v>0</v>
      </c>
      <c r="EC836" s="237">
        <f t="shared" si="97"/>
        <v>0</v>
      </c>
      <c r="ED836" s="237">
        <f t="shared" si="98"/>
        <v>0</v>
      </c>
      <c r="EE836" s="237">
        <f t="shared" si="99"/>
        <v>0</v>
      </c>
      <c r="EF836" s="121"/>
      <c r="EG836" s="238">
        <f t="shared" si="100"/>
        <v>0</v>
      </c>
      <c r="EH836" s="121"/>
      <c r="EI836" s="237">
        <f t="shared" si="101"/>
        <v>0</v>
      </c>
      <c r="EJ836" s="121"/>
      <c r="EK836" s="237">
        <f t="shared" si="102"/>
        <v>0</v>
      </c>
      <c r="EL836" s="237"/>
      <c r="EM836" s="5"/>
      <c r="EN836" s="5"/>
      <c r="EO836" s="5"/>
      <c r="EP836" s="5"/>
      <c r="EQ836" s="237">
        <f t="shared" si="103"/>
        <v>0</v>
      </c>
      <c r="ER836" s="239">
        <v>23300</v>
      </c>
      <c r="ES836" s="5">
        <v>7.5</v>
      </c>
    </row>
    <row r="837" spans="1:149" x14ac:dyDescent="0.3">
      <c r="A837" s="124"/>
      <c r="B837" s="121"/>
      <c r="C837" s="121"/>
      <c r="D837" s="121"/>
      <c r="E837" s="121"/>
      <c r="F837" s="121"/>
      <c r="G837" s="121"/>
      <c r="H837" s="121"/>
      <c r="I837" s="121"/>
      <c r="J837" s="121"/>
      <c r="K837" s="121"/>
      <c r="L837" s="121"/>
      <c r="M837" s="121"/>
      <c r="N837" s="121"/>
      <c r="O837" s="235"/>
      <c r="P837" s="121"/>
      <c r="Q837" s="121"/>
      <c r="R837" s="121"/>
      <c r="S837" s="121"/>
      <c r="T837" s="121"/>
      <c r="U837" s="121"/>
      <c r="V837" s="121"/>
      <c r="W837" s="121"/>
      <c r="X837" s="117"/>
      <c r="Y837" s="117"/>
      <c r="Z837" s="121"/>
      <c r="AA837" s="121"/>
      <c r="AB837" s="121"/>
      <c r="AC837" s="121"/>
      <c r="AD837" s="121"/>
      <c r="AE837" s="121"/>
      <c r="AF837" s="121"/>
      <c r="AG837" s="121"/>
      <c r="AH837" s="121"/>
      <c r="AI837" s="121"/>
      <c r="AJ837" s="121"/>
      <c r="AK837" s="121"/>
      <c r="AL837" s="121"/>
      <c r="AM837" s="121"/>
      <c r="AN837" s="121"/>
      <c r="AO837" s="121"/>
      <c r="AP837" s="121"/>
      <c r="AQ837" s="121"/>
      <c r="AR837" s="121"/>
      <c r="AS837" s="121"/>
      <c r="AT837" s="121"/>
      <c r="AU837" s="121"/>
      <c r="AV837" s="121"/>
      <c r="AW837" s="121"/>
      <c r="AX837" s="121"/>
      <c r="AY837" s="121"/>
      <c r="AZ837" s="121"/>
      <c r="BA837" s="121"/>
      <c r="BB837" s="121"/>
      <c r="BC837" s="121"/>
      <c r="BD837" s="121"/>
      <c r="BE837" s="121"/>
      <c r="BF837" s="121"/>
      <c r="BG837" s="121"/>
      <c r="BH837" s="121"/>
      <c r="BI837" s="121"/>
      <c r="BJ837" s="121"/>
      <c r="BK837" s="121"/>
      <c r="BL837" s="121"/>
      <c r="BM837" s="121"/>
      <c r="BN837" s="121"/>
      <c r="BO837" s="121"/>
      <c r="BP837" s="121"/>
      <c r="BQ837" s="121"/>
      <c r="BR837" s="121"/>
      <c r="BS837" s="121"/>
      <c r="BT837" s="121"/>
      <c r="BU837" s="121"/>
      <c r="BV837" s="121"/>
      <c r="BW837" s="121"/>
      <c r="BX837" s="121"/>
      <c r="BY837" s="121"/>
      <c r="BZ837" s="121"/>
      <c r="CA837" s="121"/>
      <c r="CB837" s="121"/>
      <c r="CC837" s="121"/>
      <c r="CD837" s="121"/>
      <c r="CE837" s="121"/>
      <c r="CF837" s="121"/>
      <c r="CG837" s="121"/>
      <c r="CH837" s="121"/>
      <c r="CI837" s="121"/>
      <c r="CJ837" s="121"/>
      <c r="CK837" s="121"/>
      <c r="CL837" s="121"/>
      <c r="CM837" s="121"/>
      <c r="CN837" s="121"/>
      <c r="CO837" s="121"/>
      <c r="CP837" s="121"/>
      <c r="CQ837" s="121"/>
      <c r="CR837" s="121"/>
      <c r="CS837" s="121"/>
      <c r="CT837" s="121"/>
      <c r="CU837" s="121"/>
      <c r="CV837" s="121"/>
      <c r="CW837" s="121"/>
      <c r="CX837" s="121"/>
      <c r="CY837" s="121"/>
      <c r="CZ837" s="121"/>
      <c r="DA837" s="121"/>
      <c r="DB837" s="121"/>
      <c r="DC837" s="121"/>
      <c r="DD837" s="121"/>
      <c r="DE837" s="121"/>
      <c r="DF837" s="121"/>
      <c r="DG837" s="121"/>
      <c r="DH837" s="121"/>
      <c r="DI837" s="121"/>
      <c r="DJ837" s="121"/>
      <c r="DK837" s="121"/>
      <c r="DL837" s="121"/>
      <c r="DM837" s="121"/>
      <c r="DN837" s="121"/>
      <c r="DO837" s="121"/>
      <c r="DP837" s="121"/>
      <c r="DQ837" s="121"/>
      <c r="DR837" s="121"/>
      <c r="DS837" s="121"/>
      <c r="DT837" s="240"/>
      <c r="DU837" s="240"/>
      <c r="DV837" s="240"/>
      <c r="DW837" s="240"/>
      <c r="DX837" s="240"/>
      <c r="DY837" s="240"/>
      <c r="DZ837" s="240"/>
      <c r="EA837" s="240"/>
      <c r="EB837" s="237">
        <f t="shared" si="96"/>
        <v>0</v>
      </c>
      <c r="EC837" s="237">
        <f t="shared" si="97"/>
        <v>0</v>
      </c>
      <c r="ED837" s="237">
        <f t="shared" si="98"/>
        <v>0</v>
      </c>
      <c r="EE837" s="237">
        <f t="shared" si="99"/>
        <v>0</v>
      </c>
      <c r="EF837" s="121"/>
      <c r="EG837" s="238">
        <f t="shared" si="100"/>
        <v>0</v>
      </c>
      <c r="EH837" s="121"/>
      <c r="EI837" s="237">
        <f t="shared" si="101"/>
        <v>0</v>
      </c>
      <c r="EJ837" s="121"/>
      <c r="EK837" s="237">
        <f t="shared" si="102"/>
        <v>0</v>
      </c>
      <c r="EL837" s="237"/>
      <c r="EM837" s="5"/>
      <c r="EN837" s="5"/>
      <c r="EO837" s="5"/>
      <c r="EP837" s="5"/>
      <c r="EQ837" s="237">
        <f t="shared" si="103"/>
        <v>0</v>
      </c>
      <c r="ER837" s="239">
        <v>23300</v>
      </c>
      <c r="ES837" s="5">
        <v>7.5</v>
      </c>
    </row>
    <row r="838" spans="1:149" x14ac:dyDescent="0.3">
      <c r="A838" s="124"/>
      <c r="B838" s="121"/>
      <c r="C838" s="121"/>
      <c r="D838" s="121"/>
      <c r="E838" s="121"/>
      <c r="F838" s="121"/>
      <c r="G838" s="121"/>
      <c r="H838" s="121"/>
      <c r="I838" s="121"/>
      <c r="J838" s="121"/>
      <c r="K838" s="121"/>
      <c r="L838" s="121"/>
      <c r="M838" s="121"/>
      <c r="N838" s="121"/>
      <c r="O838" s="235"/>
      <c r="P838" s="121"/>
      <c r="Q838" s="121"/>
      <c r="R838" s="121"/>
      <c r="S838" s="121"/>
      <c r="T838" s="121"/>
      <c r="U838" s="121"/>
      <c r="V838" s="121"/>
      <c r="W838" s="121"/>
      <c r="X838" s="117"/>
      <c r="Y838" s="117"/>
      <c r="Z838" s="121"/>
      <c r="AA838" s="121"/>
      <c r="AB838" s="121"/>
      <c r="AC838" s="121"/>
      <c r="AD838" s="121"/>
      <c r="AE838" s="121"/>
      <c r="AF838" s="121"/>
      <c r="AG838" s="121"/>
      <c r="AH838" s="121"/>
      <c r="AI838" s="121"/>
      <c r="AJ838" s="121"/>
      <c r="AK838" s="121"/>
      <c r="AL838" s="121"/>
      <c r="AM838" s="121"/>
      <c r="AN838" s="121"/>
      <c r="AO838" s="121"/>
      <c r="AP838" s="121"/>
      <c r="AQ838" s="121"/>
      <c r="AR838" s="121"/>
      <c r="AS838" s="121"/>
      <c r="AT838" s="121"/>
      <c r="AU838" s="121"/>
      <c r="AV838" s="121"/>
      <c r="AW838" s="121"/>
      <c r="AX838" s="121"/>
      <c r="AY838" s="121"/>
      <c r="AZ838" s="121"/>
      <c r="BA838" s="121"/>
      <c r="BB838" s="121"/>
      <c r="BC838" s="121"/>
      <c r="BD838" s="121"/>
      <c r="BE838" s="121"/>
      <c r="BF838" s="121"/>
      <c r="BG838" s="121"/>
      <c r="BH838" s="121"/>
      <c r="BI838" s="121"/>
      <c r="BJ838" s="121"/>
      <c r="BK838" s="121"/>
      <c r="BL838" s="121"/>
      <c r="BM838" s="121"/>
      <c r="BN838" s="121"/>
      <c r="BO838" s="121"/>
      <c r="BP838" s="121"/>
      <c r="BQ838" s="121"/>
      <c r="BR838" s="121"/>
      <c r="BS838" s="121"/>
      <c r="BT838" s="121"/>
      <c r="BU838" s="121"/>
      <c r="BV838" s="121"/>
      <c r="BW838" s="121"/>
      <c r="BX838" s="121"/>
      <c r="BY838" s="121"/>
      <c r="BZ838" s="121"/>
      <c r="CA838" s="121"/>
      <c r="CB838" s="121"/>
      <c r="CC838" s="121"/>
      <c r="CD838" s="121"/>
      <c r="CE838" s="121"/>
      <c r="CF838" s="121"/>
      <c r="CG838" s="121"/>
      <c r="CH838" s="121"/>
      <c r="CI838" s="121"/>
      <c r="CJ838" s="121"/>
      <c r="CK838" s="121"/>
      <c r="CL838" s="121"/>
      <c r="CM838" s="121"/>
      <c r="CN838" s="121"/>
      <c r="CO838" s="121"/>
      <c r="CP838" s="121"/>
      <c r="CQ838" s="121"/>
      <c r="CR838" s="121"/>
      <c r="CS838" s="121"/>
      <c r="CT838" s="121"/>
      <c r="CU838" s="121"/>
      <c r="CV838" s="121"/>
      <c r="CW838" s="121"/>
      <c r="CX838" s="121"/>
      <c r="CY838" s="121"/>
      <c r="CZ838" s="121"/>
      <c r="DA838" s="121"/>
      <c r="DB838" s="121"/>
      <c r="DC838" s="121"/>
      <c r="DD838" s="121"/>
      <c r="DE838" s="121"/>
      <c r="DF838" s="121"/>
      <c r="DG838" s="121"/>
      <c r="DH838" s="121"/>
      <c r="DI838" s="121"/>
      <c r="DJ838" s="121"/>
      <c r="DK838" s="121"/>
      <c r="DL838" s="121"/>
      <c r="DM838" s="121"/>
      <c r="DN838" s="121"/>
      <c r="DO838" s="121"/>
      <c r="DP838" s="121"/>
      <c r="DQ838" s="121"/>
      <c r="DR838" s="121"/>
      <c r="DS838" s="121"/>
      <c r="DT838" s="240"/>
      <c r="DU838" s="240"/>
      <c r="DV838" s="240"/>
      <c r="DW838" s="240"/>
      <c r="DX838" s="240"/>
      <c r="DY838" s="240"/>
      <c r="DZ838" s="240"/>
      <c r="EA838" s="240"/>
      <c r="EB838" s="237">
        <f t="shared" ref="EB838:EB901" si="104">AB838+AC838*K838+AD838*K838+((AF838+AG838+AH838+AJ838+AK838)*K838+AE838+AI838+AL838*K838+AM838*K838)+AP838+AQ838*L838+AR838*L838+((AT838+AU838+AV838+AX838+AY838)*L838+AS838+AW838+AZ838*L838+BA838*L838)+IF(AND(M838&gt;0,MAX(M838,N838/1000)&lt;1),BD838+1*(BE838+BF838)+(1*(BH838+BI838+BJ838+BL838+BM838)+BG838+BK838+BN838+BO838),IF(AND(M838&gt;0,MAX(M838,N838/1000)&gt;1),BD838+MAX(M838,N838/1000)*(BE838+BF838)+(MAX(M838,N838/1000)*(BH838+BI838+BJ838+BL838+BM838)+BG838+BK838+BN838+BO838),IF(AND(K838="",L838="",M838=""),BD838+N838*(BE838+BF838)+((BH838+BI838+BJ838+BL838+BM838)*N838+BG838+BK838+BN838+BO838),0)))</f>
        <v>0</v>
      </c>
      <c r="EC838" s="237">
        <f t="shared" ref="EC838:EC901" si="105">BR838+BS838*K838+BT838*K838+((BV838+BW838+BX838+BZ838+CA838)*K838+BU838+BY838+CB838*K838+CC838*K838)+CJ838+CK838*L838+CL838*L838+((CN838+CO838+CP838+CR838+CS838)*L838+CM838+CQ838+CT838*L838+CU838*L838)+IF(AND(M838&gt;0,MAX(M838,N838/1000)&lt;1),DB838+1*(DC838+DD838)+(1*(DF838+DG838+DH838+DJ838+DK838)+DE838+DI838+DL838+DM838),IF(AND(M838&gt;0,MAX(M838,N838/1000)&gt;1),DB838+MAX(M838,N838/1000)*(DC838+DD838)+(MAX(M838,N838/1000)*(DF838+DG838+DH838+DJ838+DK838)+DE838+DI838+DL838+DM838),IF(AND(K838="",L838="",M838=""),DB838+N838*(DC838+DD838)+((DF838+DG838+DH838+DJ838+DK838)*N838+DE838+DI838+DL838+DM838),0)))</f>
        <v>0</v>
      </c>
      <c r="ED838" s="237">
        <f t="shared" ref="ED838:ED901" si="106">AN838*K838*(1-AO838%)+BB838*L838*(1-BC838%)+BP838*IF(AND(M838&gt;0,M838&lt;1),1,IF(M838&gt;1,MAX(M838,N838/1000),N838))*(1-BQ838%)</f>
        <v>0</v>
      </c>
      <c r="EE838" s="237">
        <f t="shared" ref="EE838:EE901" si="107">(CD838+CE838*K838)*(1-CF838%)+(CG838+CH838*K838)*(1-CI838%)+(CV838+CW838*L838)*(1-CX838%)+(CY838+CZ838*L838)*(1-DA838%)+(DN838+DO838*IF(AND(M838&gt;0,M838&lt;1),1,IF(M838&gt;1,MAX(M838,N838/1000),N838)))*(1-DP838%)+(DQ838+DR838*IF(AND(M838&gt;0,M838&lt;1),1,IF(M838&gt;1,MAX(M838,N838/1000),N838)))*(1-DS838%)</f>
        <v>0</v>
      </c>
      <c r="EF838" s="121"/>
      <c r="EG838" s="238">
        <f t="shared" ref="EG838:EG901" si="108">((BR838+BS838*K838+BT838*K838)+(CJ838+CK838*L838*+CL838*L838)+IF(AND(M838&gt;0,MAX(M838,N838/1000)&lt;1),DB838+DC838+DD838,IF(AND(M838&gt;0,MAX(M838,N838/1000)&gt;1),DB838+DC838*M838+DD838*M838,IF(AND(M838&gt;0,MAX(M838,N838/1000)&gt;1),DB838+MAX(M838,N838/1000)*DC838+MAX(M838,N838/1000)*DD838+IF(AND(K838="",L838="",M838=""),DB838+DC838*N838+DD838*N838,0)))))*EF838/365*ES838%</f>
        <v>0</v>
      </c>
      <c r="EH838" s="121"/>
      <c r="EI838" s="237">
        <f t="shared" ref="EI838:EI901" si="109">(((BV838+BW838+BX838+BZ838+CA838)*K838+BU838+BY838)*1.08+CJ838+CK838*L838+CL838*L838+((CN838+CO838+CP838+CR838+CS838)*L838+CM838+CQ838)*1.08+IF(AND(M838&gt;0,MAX(M838,N838/1000)&lt;1),DB838+1*(DC838+DD838)+(1*(DF838+DG838+DH838+DJ838+DK838)+DE838+DI838)*1.08,IF(AND(M838&gt;0,MAX(M838,N838/1000)&gt;1),DB838+MAX(M838,N838/1000)*(DC838+DD838)+(MAX(M838,N838/1000)*(DF838+DG838+DH838+DJ838+DK838)+DE838+DI838)*1.08,IF(AND(K838="",L838="",M838=""),DB838+N838*(DC838+DD838)+((DF838+DG838+DH838+DJ838+DK838)*N838+DE838+DI838)*1.08,0))))*EH838/365*ES838%</f>
        <v>0</v>
      </c>
      <c r="EJ838" s="121"/>
      <c r="EK838" s="237">
        <f t="shared" ref="EK838:EK901" si="110">((CB838*K838+CC838*K838)*1.1+(CT838*L838+CU838*L838)*1.1+(DL838+DM838)*1.1)*EJ838/365*ES838%</f>
        <v>0</v>
      </c>
      <c r="EL838" s="237"/>
      <c r="EM838" s="5"/>
      <c r="EN838" s="5"/>
      <c r="EO838" s="5"/>
      <c r="EP838" s="5"/>
      <c r="EQ838" s="237">
        <f t="shared" ref="EQ838:EQ901" si="111">EC838-EB838-EG838-EI838-EK838-(AN838*K838+BB838*L838+BP838*IF(AND(M838&gt;0,M838&lt;1),1,IF(M838&gt;1,MAX(M838,N838/1000),N838))+CD838+CE838*K838+CV838+CW838*L838+DN838+DO838*IF(AND(M838&gt;0,M838&lt;1),1,IF(M838&gt;1,MAX(M838,N838/1000),N838))+CG838+CH838*K838+CY838+CZ838*L838+DQ838+DR838*IF(AND(M838&gt;0,M838&lt;1),1,IF(M838&gt;1,MAX(M838,N838/1000),N838)))-EL838-EM838*EN838/365*ES838%-EO838*EP838/365*ES838%</f>
        <v>0</v>
      </c>
      <c r="ER838" s="239">
        <v>23300</v>
      </c>
      <c r="ES838" s="5">
        <v>7.5</v>
      </c>
    </row>
    <row r="839" spans="1:149" x14ac:dyDescent="0.3">
      <c r="A839" s="124"/>
      <c r="B839" s="121"/>
      <c r="C839" s="121"/>
      <c r="D839" s="121"/>
      <c r="E839" s="121"/>
      <c r="F839" s="121"/>
      <c r="G839" s="121"/>
      <c r="H839" s="121"/>
      <c r="I839" s="121"/>
      <c r="J839" s="121"/>
      <c r="K839" s="121"/>
      <c r="L839" s="121"/>
      <c r="M839" s="121"/>
      <c r="N839" s="121"/>
      <c r="O839" s="235"/>
      <c r="P839" s="121"/>
      <c r="Q839" s="121"/>
      <c r="R839" s="121"/>
      <c r="S839" s="121"/>
      <c r="T839" s="121"/>
      <c r="U839" s="121"/>
      <c r="V839" s="121"/>
      <c r="W839" s="121"/>
      <c r="X839" s="117"/>
      <c r="Y839" s="117"/>
      <c r="Z839" s="121"/>
      <c r="AA839" s="121"/>
      <c r="AB839" s="121"/>
      <c r="AC839" s="121"/>
      <c r="AD839" s="121"/>
      <c r="AE839" s="121"/>
      <c r="AF839" s="121"/>
      <c r="AG839" s="121"/>
      <c r="AH839" s="121"/>
      <c r="AI839" s="121"/>
      <c r="AJ839" s="121"/>
      <c r="AK839" s="121"/>
      <c r="AL839" s="121"/>
      <c r="AM839" s="121"/>
      <c r="AN839" s="121"/>
      <c r="AO839" s="121"/>
      <c r="AP839" s="121"/>
      <c r="AQ839" s="121"/>
      <c r="AR839" s="121"/>
      <c r="AS839" s="121"/>
      <c r="AT839" s="121"/>
      <c r="AU839" s="121"/>
      <c r="AV839" s="121"/>
      <c r="AW839" s="121"/>
      <c r="AX839" s="121"/>
      <c r="AY839" s="121"/>
      <c r="AZ839" s="121"/>
      <c r="BA839" s="121"/>
      <c r="BB839" s="121"/>
      <c r="BC839" s="121"/>
      <c r="BD839" s="121"/>
      <c r="BE839" s="121"/>
      <c r="BF839" s="121"/>
      <c r="BG839" s="121"/>
      <c r="BH839" s="121"/>
      <c r="BI839" s="121"/>
      <c r="BJ839" s="121"/>
      <c r="BK839" s="121"/>
      <c r="BL839" s="121"/>
      <c r="BM839" s="121"/>
      <c r="BN839" s="121"/>
      <c r="BO839" s="121"/>
      <c r="BP839" s="121"/>
      <c r="BQ839" s="121"/>
      <c r="BR839" s="121"/>
      <c r="BS839" s="121"/>
      <c r="BT839" s="121"/>
      <c r="BU839" s="121"/>
      <c r="BV839" s="121"/>
      <c r="BW839" s="121"/>
      <c r="BX839" s="121"/>
      <c r="BY839" s="121"/>
      <c r="BZ839" s="121"/>
      <c r="CA839" s="121"/>
      <c r="CB839" s="121"/>
      <c r="CC839" s="121"/>
      <c r="CD839" s="121"/>
      <c r="CE839" s="121"/>
      <c r="CF839" s="121"/>
      <c r="CG839" s="121"/>
      <c r="CH839" s="121"/>
      <c r="CI839" s="121"/>
      <c r="CJ839" s="121"/>
      <c r="CK839" s="121"/>
      <c r="CL839" s="121"/>
      <c r="CM839" s="121"/>
      <c r="CN839" s="121"/>
      <c r="CO839" s="121"/>
      <c r="CP839" s="121"/>
      <c r="CQ839" s="121"/>
      <c r="CR839" s="121"/>
      <c r="CS839" s="121"/>
      <c r="CT839" s="121"/>
      <c r="CU839" s="121"/>
      <c r="CV839" s="121"/>
      <c r="CW839" s="121"/>
      <c r="CX839" s="121"/>
      <c r="CY839" s="121"/>
      <c r="CZ839" s="121"/>
      <c r="DA839" s="121"/>
      <c r="DB839" s="121"/>
      <c r="DC839" s="121"/>
      <c r="DD839" s="121"/>
      <c r="DE839" s="121"/>
      <c r="DF839" s="121"/>
      <c r="DG839" s="121"/>
      <c r="DH839" s="121"/>
      <c r="DI839" s="121"/>
      <c r="DJ839" s="121"/>
      <c r="DK839" s="121"/>
      <c r="DL839" s="121"/>
      <c r="DM839" s="121"/>
      <c r="DN839" s="121"/>
      <c r="DO839" s="121"/>
      <c r="DP839" s="121"/>
      <c r="DQ839" s="121"/>
      <c r="DR839" s="121"/>
      <c r="DS839" s="121"/>
      <c r="DT839" s="240"/>
      <c r="DU839" s="240"/>
      <c r="DV839" s="240"/>
      <c r="DW839" s="240"/>
      <c r="DX839" s="240"/>
      <c r="DY839" s="240"/>
      <c r="DZ839" s="240"/>
      <c r="EA839" s="240"/>
      <c r="EB839" s="237">
        <f t="shared" si="104"/>
        <v>0</v>
      </c>
      <c r="EC839" s="237">
        <f t="shared" si="105"/>
        <v>0</v>
      </c>
      <c r="ED839" s="237">
        <f t="shared" si="106"/>
        <v>0</v>
      </c>
      <c r="EE839" s="237">
        <f t="shared" si="107"/>
        <v>0</v>
      </c>
      <c r="EF839" s="121"/>
      <c r="EG839" s="238">
        <f t="shared" si="108"/>
        <v>0</v>
      </c>
      <c r="EH839" s="121"/>
      <c r="EI839" s="237">
        <f t="shared" si="109"/>
        <v>0</v>
      </c>
      <c r="EJ839" s="121"/>
      <c r="EK839" s="237">
        <f t="shared" si="110"/>
        <v>0</v>
      </c>
      <c r="EL839" s="237"/>
      <c r="EM839" s="5"/>
      <c r="EN839" s="5"/>
      <c r="EO839" s="5"/>
      <c r="EP839" s="5"/>
      <c r="EQ839" s="237">
        <f t="shared" si="111"/>
        <v>0</v>
      </c>
      <c r="ER839" s="239">
        <v>23300</v>
      </c>
      <c r="ES839" s="5">
        <v>7.5</v>
      </c>
    </row>
    <row r="840" spans="1:149" x14ac:dyDescent="0.3">
      <c r="A840" s="124"/>
      <c r="B840" s="121"/>
      <c r="C840" s="121"/>
      <c r="D840" s="121"/>
      <c r="E840" s="121"/>
      <c r="F840" s="121"/>
      <c r="G840" s="121"/>
      <c r="H840" s="121"/>
      <c r="I840" s="121"/>
      <c r="J840" s="121"/>
      <c r="K840" s="121"/>
      <c r="L840" s="121"/>
      <c r="M840" s="121"/>
      <c r="N840" s="121"/>
      <c r="O840" s="235"/>
      <c r="P840" s="121"/>
      <c r="Q840" s="121"/>
      <c r="R840" s="121"/>
      <c r="S840" s="121"/>
      <c r="T840" s="121"/>
      <c r="U840" s="121"/>
      <c r="V840" s="121"/>
      <c r="W840" s="121"/>
      <c r="X840" s="117"/>
      <c r="Y840" s="117"/>
      <c r="Z840" s="121"/>
      <c r="AA840" s="121"/>
      <c r="AB840" s="121"/>
      <c r="AC840" s="121"/>
      <c r="AD840" s="121"/>
      <c r="AE840" s="121"/>
      <c r="AF840" s="121"/>
      <c r="AG840" s="121"/>
      <c r="AH840" s="121"/>
      <c r="AI840" s="121"/>
      <c r="AJ840" s="121"/>
      <c r="AK840" s="121"/>
      <c r="AL840" s="121"/>
      <c r="AM840" s="121"/>
      <c r="AN840" s="121"/>
      <c r="AO840" s="121"/>
      <c r="AP840" s="121"/>
      <c r="AQ840" s="121"/>
      <c r="AR840" s="121"/>
      <c r="AS840" s="121"/>
      <c r="AT840" s="121"/>
      <c r="AU840" s="121"/>
      <c r="AV840" s="121"/>
      <c r="AW840" s="121"/>
      <c r="AX840" s="121"/>
      <c r="AY840" s="121"/>
      <c r="AZ840" s="121"/>
      <c r="BA840" s="121"/>
      <c r="BB840" s="121"/>
      <c r="BC840" s="121"/>
      <c r="BD840" s="121"/>
      <c r="BE840" s="121"/>
      <c r="BF840" s="121"/>
      <c r="BG840" s="121"/>
      <c r="BH840" s="121"/>
      <c r="BI840" s="121"/>
      <c r="BJ840" s="121"/>
      <c r="BK840" s="121"/>
      <c r="BL840" s="121"/>
      <c r="BM840" s="121"/>
      <c r="BN840" s="121"/>
      <c r="BO840" s="121"/>
      <c r="BP840" s="121"/>
      <c r="BQ840" s="121"/>
      <c r="BR840" s="121"/>
      <c r="BS840" s="121"/>
      <c r="BT840" s="121"/>
      <c r="BU840" s="121"/>
      <c r="BV840" s="121"/>
      <c r="BW840" s="121"/>
      <c r="BX840" s="121"/>
      <c r="BY840" s="121"/>
      <c r="BZ840" s="121"/>
      <c r="CA840" s="121"/>
      <c r="CB840" s="121"/>
      <c r="CC840" s="121"/>
      <c r="CD840" s="121"/>
      <c r="CE840" s="121"/>
      <c r="CF840" s="121"/>
      <c r="CG840" s="121"/>
      <c r="CH840" s="121"/>
      <c r="CI840" s="121"/>
      <c r="CJ840" s="121"/>
      <c r="CK840" s="121"/>
      <c r="CL840" s="121"/>
      <c r="CM840" s="121"/>
      <c r="CN840" s="121"/>
      <c r="CO840" s="121"/>
      <c r="CP840" s="121"/>
      <c r="CQ840" s="121"/>
      <c r="CR840" s="121"/>
      <c r="CS840" s="121"/>
      <c r="CT840" s="121"/>
      <c r="CU840" s="121"/>
      <c r="CV840" s="121"/>
      <c r="CW840" s="121"/>
      <c r="CX840" s="121"/>
      <c r="CY840" s="121"/>
      <c r="CZ840" s="121"/>
      <c r="DA840" s="121"/>
      <c r="DB840" s="121"/>
      <c r="DC840" s="121"/>
      <c r="DD840" s="121"/>
      <c r="DE840" s="121"/>
      <c r="DF840" s="121"/>
      <c r="DG840" s="121"/>
      <c r="DH840" s="121"/>
      <c r="DI840" s="121"/>
      <c r="DJ840" s="121"/>
      <c r="DK840" s="121"/>
      <c r="DL840" s="121"/>
      <c r="DM840" s="121"/>
      <c r="DN840" s="121"/>
      <c r="DO840" s="121"/>
      <c r="DP840" s="121"/>
      <c r="DQ840" s="121"/>
      <c r="DR840" s="121"/>
      <c r="DS840" s="121"/>
      <c r="DT840" s="240"/>
      <c r="DU840" s="240"/>
      <c r="DV840" s="240"/>
      <c r="DW840" s="240"/>
      <c r="DX840" s="240"/>
      <c r="DY840" s="240"/>
      <c r="DZ840" s="240"/>
      <c r="EA840" s="240"/>
      <c r="EB840" s="237">
        <f t="shared" si="104"/>
        <v>0</v>
      </c>
      <c r="EC840" s="237">
        <f t="shared" si="105"/>
        <v>0</v>
      </c>
      <c r="ED840" s="237">
        <f t="shared" si="106"/>
        <v>0</v>
      </c>
      <c r="EE840" s="237">
        <f t="shared" si="107"/>
        <v>0</v>
      </c>
      <c r="EF840" s="121"/>
      <c r="EG840" s="238">
        <f t="shared" si="108"/>
        <v>0</v>
      </c>
      <c r="EH840" s="121"/>
      <c r="EI840" s="237">
        <f t="shared" si="109"/>
        <v>0</v>
      </c>
      <c r="EJ840" s="121"/>
      <c r="EK840" s="237">
        <f t="shared" si="110"/>
        <v>0</v>
      </c>
      <c r="EL840" s="237"/>
      <c r="EM840" s="5"/>
      <c r="EN840" s="5"/>
      <c r="EO840" s="5"/>
      <c r="EP840" s="5"/>
      <c r="EQ840" s="237">
        <f t="shared" si="111"/>
        <v>0</v>
      </c>
      <c r="ER840" s="239">
        <v>23300</v>
      </c>
      <c r="ES840" s="5">
        <v>7.5</v>
      </c>
    </row>
    <row r="841" spans="1:149" x14ac:dyDescent="0.3">
      <c r="A841" s="124"/>
      <c r="B841" s="121"/>
      <c r="C841" s="121"/>
      <c r="D841" s="121"/>
      <c r="E841" s="121"/>
      <c r="F841" s="121"/>
      <c r="G841" s="121"/>
      <c r="H841" s="121"/>
      <c r="I841" s="121"/>
      <c r="J841" s="121"/>
      <c r="K841" s="121"/>
      <c r="L841" s="121"/>
      <c r="M841" s="121"/>
      <c r="N841" s="121"/>
      <c r="O841" s="235"/>
      <c r="P841" s="121"/>
      <c r="Q841" s="121"/>
      <c r="R841" s="121"/>
      <c r="S841" s="121"/>
      <c r="T841" s="121"/>
      <c r="U841" s="121"/>
      <c r="V841" s="121"/>
      <c r="W841" s="121"/>
      <c r="X841" s="117"/>
      <c r="Y841" s="117"/>
      <c r="Z841" s="121"/>
      <c r="AA841" s="121"/>
      <c r="AB841" s="121"/>
      <c r="AC841" s="121"/>
      <c r="AD841" s="121"/>
      <c r="AE841" s="121"/>
      <c r="AF841" s="121"/>
      <c r="AG841" s="121"/>
      <c r="AH841" s="121"/>
      <c r="AI841" s="121"/>
      <c r="AJ841" s="121"/>
      <c r="AK841" s="121"/>
      <c r="AL841" s="121"/>
      <c r="AM841" s="121"/>
      <c r="AN841" s="121"/>
      <c r="AO841" s="121"/>
      <c r="AP841" s="121"/>
      <c r="AQ841" s="121"/>
      <c r="AR841" s="121"/>
      <c r="AS841" s="121"/>
      <c r="AT841" s="121"/>
      <c r="AU841" s="121"/>
      <c r="AV841" s="121"/>
      <c r="AW841" s="121"/>
      <c r="AX841" s="121"/>
      <c r="AY841" s="121"/>
      <c r="AZ841" s="121"/>
      <c r="BA841" s="121"/>
      <c r="BB841" s="121"/>
      <c r="BC841" s="121"/>
      <c r="BD841" s="121"/>
      <c r="BE841" s="121"/>
      <c r="BF841" s="121"/>
      <c r="BG841" s="121"/>
      <c r="BH841" s="121"/>
      <c r="BI841" s="121"/>
      <c r="BJ841" s="121"/>
      <c r="BK841" s="121"/>
      <c r="BL841" s="121"/>
      <c r="BM841" s="121"/>
      <c r="BN841" s="121"/>
      <c r="BO841" s="121"/>
      <c r="BP841" s="121"/>
      <c r="BQ841" s="121"/>
      <c r="BR841" s="121"/>
      <c r="BS841" s="121"/>
      <c r="BT841" s="121"/>
      <c r="BU841" s="121"/>
      <c r="BV841" s="121"/>
      <c r="BW841" s="121"/>
      <c r="BX841" s="121"/>
      <c r="BY841" s="121"/>
      <c r="BZ841" s="121"/>
      <c r="CA841" s="121"/>
      <c r="CB841" s="121"/>
      <c r="CC841" s="121"/>
      <c r="CD841" s="121"/>
      <c r="CE841" s="121"/>
      <c r="CF841" s="121"/>
      <c r="CG841" s="121"/>
      <c r="CH841" s="121"/>
      <c r="CI841" s="121"/>
      <c r="CJ841" s="121"/>
      <c r="CK841" s="121"/>
      <c r="CL841" s="121"/>
      <c r="CM841" s="121"/>
      <c r="CN841" s="121"/>
      <c r="CO841" s="121"/>
      <c r="CP841" s="121"/>
      <c r="CQ841" s="121"/>
      <c r="CR841" s="121"/>
      <c r="CS841" s="121"/>
      <c r="CT841" s="121"/>
      <c r="CU841" s="121"/>
      <c r="CV841" s="121"/>
      <c r="CW841" s="121"/>
      <c r="CX841" s="121"/>
      <c r="CY841" s="121"/>
      <c r="CZ841" s="121"/>
      <c r="DA841" s="121"/>
      <c r="DB841" s="121"/>
      <c r="DC841" s="121"/>
      <c r="DD841" s="121"/>
      <c r="DE841" s="121"/>
      <c r="DF841" s="121"/>
      <c r="DG841" s="121"/>
      <c r="DH841" s="121"/>
      <c r="DI841" s="121"/>
      <c r="DJ841" s="121"/>
      <c r="DK841" s="121"/>
      <c r="DL841" s="121"/>
      <c r="DM841" s="121"/>
      <c r="DN841" s="121"/>
      <c r="DO841" s="121"/>
      <c r="DP841" s="121"/>
      <c r="DQ841" s="121"/>
      <c r="DR841" s="121"/>
      <c r="DS841" s="121"/>
      <c r="DT841" s="240"/>
      <c r="DU841" s="240"/>
      <c r="DV841" s="240"/>
      <c r="DW841" s="240"/>
      <c r="DX841" s="240"/>
      <c r="DY841" s="240"/>
      <c r="DZ841" s="240"/>
      <c r="EA841" s="240"/>
      <c r="EB841" s="237">
        <f t="shared" si="104"/>
        <v>0</v>
      </c>
      <c r="EC841" s="237">
        <f t="shared" si="105"/>
        <v>0</v>
      </c>
      <c r="ED841" s="237">
        <f t="shared" si="106"/>
        <v>0</v>
      </c>
      <c r="EE841" s="237">
        <f t="shared" si="107"/>
        <v>0</v>
      </c>
      <c r="EF841" s="121"/>
      <c r="EG841" s="238">
        <f t="shared" si="108"/>
        <v>0</v>
      </c>
      <c r="EH841" s="121"/>
      <c r="EI841" s="237">
        <f t="shared" si="109"/>
        <v>0</v>
      </c>
      <c r="EJ841" s="121"/>
      <c r="EK841" s="237">
        <f t="shared" si="110"/>
        <v>0</v>
      </c>
      <c r="EL841" s="237"/>
      <c r="EM841" s="5"/>
      <c r="EN841" s="5"/>
      <c r="EO841" s="5"/>
      <c r="EP841" s="5"/>
      <c r="EQ841" s="237">
        <f t="shared" si="111"/>
        <v>0</v>
      </c>
      <c r="ER841" s="239">
        <v>23300</v>
      </c>
      <c r="ES841" s="5">
        <v>7.5</v>
      </c>
    </row>
    <row r="842" spans="1:149" x14ac:dyDescent="0.3">
      <c r="A842" s="124"/>
      <c r="B842" s="121"/>
      <c r="C842" s="121"/>
      <c r="D842" s="121"/>
      <c r="E842" s="121"/>
      <c r="F842" s="121"/>
      <c r="G842" s="121"/>
      <c r="H842" s="121"/>
      <c r="I842" s="121"/>
      <c r="J842" s="121"/>
      <c r="K842" s="121"/>
      <c r="L842" s="121"/>
      <c r="M842" s="121"/>
      <c r="N842" s="121"/>
      <c r="O842" s="235"/>
      <c r="P842" s="121"/>
      <c r="Q842" s="121"/>
      <c r="R842" s="121"/>
      <c r="S842" s="121"/>
      <c r="T842" s="121"/>
      <c r="U842" s="121"/>
      <c r="V842" s="121"/>
      <c r="W842" s="121"/>
      <c r="X842" s="117"/>
      <c r="Y842" s="117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/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121"/>
      <c r="BJ842" s="121"/>
      <c r="BK842" s="121"/>
      <c r="BL842" s="121"/>
      <c r="BM842" s="121"/>
      <c r="BN842" s="121"/>
      <c r="BO842" s="121"/>
      <c r="BP842" s="121"/>
      <c r="BQ842" s="121"/>
      <c r="BR842" s="121"/>
      <c r="BS842" s="121"/>
      <c r="BT842" s="121"/>
      <c r="BU842" s="121"/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/>
      <c r="CP842" s="121"/>
      <c r="CQ842" s="121"/>
      <c r="CR842" s="121"/>
      <c r="CS842" s="121"/>
      <c r="CT842" s="121"/>
      <c r="CU842" s="121"/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/>
      <c r="DF842" s="121"/>
      <c r="DG842" s="121"/>
      <c r="DH842" s="121"/>
      <c r="DI842" s="121"/>
      <c r="DJ842" s="121"/>
      <c r="DK842" s="121"/>
      <c r="DL842" s="121"/>
      <c r="DM842" s="121"/>
      <c r="DN842" s="121"/>
      <c r="DO842" s="121"/>
      <c r="DP842" s="121"/>
      <c r="DQ842" s="121"/>
      <c r="DR842" s="121"/>
      <c r="DS842" s="121"/>
      <c r="DT842" s="240"/>
      <c r="DU842" s="240"/>
      <c r="DV842" s="240"/>
      <c r="DW842" s="240"/>
      <c r="DX842" s="240"/>
      <c r="DY842" s="240"/>
      <c r="DZ842" s="240"/>
      <c r="EA842" s="240"/>
      <c r="EB842" s="237">
        <f t="shared" si="104"/>
        <v>0</v>
      </c>
      <c r="EC842" s="237">
        <f t="shared" si="105"/>
        <v>0</v>
      </c>
      <c r="ED842" s="237">
        <f t="shared" si="106"/>
        <v>0</v>
      </c>
      <c r="EE842" s="237">
        <f t="shared" si="107"/>
        <v>0</v>
      </c>
      <c r="EF842" s="121"/>
      <c r="EG842" s="238">
        <f t="shared" si="108"/>
        <v>0</v>
      </c>
      <c r="EH842" s="121"/>
      <c r="EI842" s="237">
        <f t="shared" si="109"/>
        <v>0</v>
      </c>
      <c r="EJ842" s="121"/>
      <c r="EK842" s="237">
        <f t="shared" si="110"/>
        <v>0</v>
      </c>
      <c r="EL842" s="237"/>
      <c r="EM842" s="5"/>
      <c r="EN842" s="5"/>
      <c r="EO842" s="5"/>
      <c r="EP842" s="5"/>
      <c r="EQ842" s="237">
        <f t="shared" si="111"/>
        <v>0</v>
      </c>
      <c r="ER842" s="239">
        <v>23300</v>
      </c>
      <c r="ES842" s="5">
        <v>7.5</v>
      </c>
    </row>
    <row r="843" spans="1:149" x14ac:dyDescent="0.3">
      <c r="A843" s="124"/>
      <c r="B843" s="121"/>
      <c r="C843" s="121"/>
      <c r="D843" s="121"/>
      <c r="E843" s="121"/>
      <c r="F843" s="121"/>
      <c r="G843" s="121"/>
      <c r="H843" s="121"/>
      <c r="I843" s="121"/>
      <c r="J843" s="121"/>
      <c r="K843" s="121"/>
      <c r="L843" s="121"/>
      <c r="M843" s="121"/>
      <c r="N843" s="121"/>
      <c r="O843" s="235"/>
      <c r="P843" s="121"/>
      <c r="Q843" s="121"/>
      <c r="R843" s="121"/>
      <c r="S843" s="121"/>
      <c r="T843" s="121"/>
      <c r="U843" s="121"/>
      <c r="V843" s="121"/>
      <c r="W843" s="121"/>
      <c r="X843" s="117"/>
      <c r="Y843" s="117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21"/>
      <c r="BJ843" s="121"/>
      <c r="BK843" s="121"/>
      <c r="BL843" s="121"/>
      <c r="BM843" s="121"/>
      <c r="BN843" s="121"/>
      <c r="BO843" s="121"/>
      <c r="BP843" s="121"/>
      <c r="BQ843" s="121"/>
      <c r="BR843" s="121"/>
      <c r="BS843" s="121"/>
      <c r="BT843" s="121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21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  <c r="DK843" s="121"/>
      <c r="DL843" s="121"/>
      <c r="DM843" s="121"/>
      <c r="DN843" s="121"/>
      <c r="DO843" s="121"/>
      <c r="DP843" s="121"/>
      <c r="DQ843" s="121"/>
      <c r="DR843" s="121"/>
      <c r="DS843" s="121"/>
      <c r="DT843" s="240"/>
      <c r="DU843" s="240"/>
      <c r="DV843" s="240"/>
      <c r="DW843" s="240"/>
      <c r="DX843" s="240"/>
      <c r="DY843" s="240"/>
      <c r="DZ843" s="240"/>
      <c r="EA843" s="240"/>
      <c r="EB843" s="237">
        <f t="shared" si="104"/>
        <v>0</v>
      </c>
      <c r="EC843" s="237">
        <f t="shared" si="105"/>
        <v>0</v>
      </c>
      <c r="ED843" s="237">
        <f t="shared" si="106"/>
        <v>0</v>
      </c>
      <c r="EE843" s="237">
        <f t="shared" si="107"/>
        <v>0</v>
      </c>
      <c r="EF843" s="121"/>
      <c r="EG843" s="238">
        <f t="shared" si="108"/>
        <v>0</v>
      </c>
      <c r="EH843" s="121"/>
      <c r="EI843" s="237">
        <f t="shared" si="109"/>
        <v>0</v>
      </c>
      <c r="EJ843" s="121"/>
      <c r="EK843" s="237">
        <f t="shared" si="110"/>
        <v>0</v>
      </c>
      <c r="EL843" s="237"/>
      <c r="EM843" s="5"/>
      <c r="EN843" s="5"/>
      <c r="EO843" s="5"/>
      <c r="EP843" s="5"/>
      <c r="EQ843" s="237">
        <f t="shared" si="111"/>
        <v>0</v>
      </c>
      <c r="ER843" s="239">
        <v>23300</v>
      </c>
      <c r="ES843" s="5">
        <v>7.5</v>
      </c>
    </row>
    <row r="844" spans="1:149" x14ac:dyDescent="0.3">
      <c r="A844" s="124"/>
      <c r="B844" s="121"/>
      <c r="C844" s="121"/>
      <c r="D844" s="121"/>
      <c r="E844" s="121"/>
      <c r="F844" s="121"/>
      <c r="G844" s="121"/>
      <c r="H844" s="121"/>
      <c r="I844" s="121"/>
      <c r="J844" s="121"/>
      <c r="K844" s="121"/>
      <c r="L844" s="121"/>
      <c r="M844" s="121"/>
      <c r="N844" s="121"/>
      <c r="O844" s="235"/>
      <c r="P844" s="121"/>
      <c r="Q844" s="121"/>
      <c r="R844" s="121"/>
      <c r="S844" s="121"/>
      <c r="T844" s="121"/>
      <c r="U844" s="121"/>
      <c r="V844" s="121"/>
      <c r="W844" s="121"/>
      <c r="X844" s="117"/>
      <c r="Y844" s="117"/>
      <c r="Z844" s="121"/>
      <c r="AA844" s="121"/>
      <c r="AB844" s="121"/>
      <c r="AC844" s="121"/>
      <c r="AD844" s="121"/>
      <c r="AE844" s="121"/>
      <c r="AF844" s="121"/>
      <c r="AG844" s="121"/>
      <c r="AH844" s="121"/>
      <c r="AI844" s="121"/>
      <c r="AJ844" s="121"/>
      <c r="AK844" s="121"/>
      <c r="AL844" s="121"/>
      <c r="AM844" s="121"/>
      <c r="AN844" s="121"/>
      <c r="AO844" s="121"/>
      <c r="AP844" s="121"/>
      <c r="AQ844" s="121"/>
      <c r="AR844" s="121"/>
      <c r="AS844" s="121"/>
      <c r="AT844" s="121"/>
      <c r="AU844" s="121"/>
      <c r="AV844" s="121"/>
      <c r="AW844" s="121"/>
      <c r="AX844" s="121"/>
      <c r="AY844" s="121"/>
      <c r="AZ844" s="121"/>
      <c r="BA844" s="121"/>
      <c r="BB844" s="121"/>
      <c r="BC844" s="121"/>
      <c r="BD844" s="121"/>
      <c r="BE844" s="121"/>
      <c r="BF844" s="121"/>
      <c r="BG844" s="121"/>
      <c r="BH844" s="121"/>
      <c r="BI844" s="121"/>
      <c r="BJ844" s="121"/>
      <c r="BK844" s="121"/>
      <c r="BL844" s="121"/>
      <c r="BM844" s="121"/>
      <c r="BN844" s="121"/>
      <c r="BO844" s="121"/>
      <c r="BP844" s="121"/>
      <c r="BQ844" s="121"/>
      <c r="BR844" s="121"/>
      <c r="BS844" s="121"/>
      <c r="BT844" s="121"/>
      <c r="BU844" s="121"/>
      <c r="BV844" s="121"/>
      <c r="BW844" s="121"/>
      <c r="BX844" s="121"/>
      <c r="BY844" s="121"/>
      <c r="BZ844" s="121"/>
      <c r="CA844" s="121"/>
      <c r="CB844" s="121"/>
      <c r="CC844" s="121"/>
      <c r="CD844" s="121"/>
      <c r="CE844" s="121"/>
      <c r="CF844" s="121"/>
      <c r="CG844" s="121"/>
      <c r="CH844" s="121"/>
      <c r="CI844" s="121"/>
      <c r="CJ844" s="121"/>
      <c r="CK844" s="121"/>
      <c r="CL844" s="121"/>
      <c r="CM844" s="121"/>
      <c r="CN844" s="121"/>
      <c r="CO844" s="121"/>
      <c r="CP844" s="121"/>
      <c r="CQ844" s="121"/>
      <c r="CR844" s="121"/>
      <c r="CS844" s="121"/>
      <c r="CT844" s="121"/>
      <c r="CU844" s="121"/>
      <c r="CV844" s="121"/>
      <c r="CW844" s="121"/>
      <c r="CX844" s="121"/>
      <c r="CY844" s="121"/>
      <c r="CZ844" s="121"/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  <c r="DK844" s="121"/>
      <c r="DL844" s="121"/>
      <c r="DM844" s="121"/>
      <c r="DN844" s="121"/>
      <c r="DO844" s="121"/>
      <c r="DP844" s="121"/>
      <c r="DQ844" s="121"/>
      <c r="DR844" s="121"/>
      <c r="DS844" s="121"/>
      <c r="DT844" s="240"/>
      <c r="DU844" s="240"/>
      <c r="DV844" s="240"/>
      <c r="DW844" s="240"/>
      <c r="DX844" s="240"/>
      <c r="DY844" s="240"/>
      <c r="DZ844" s="240"/>
      <c r="EA844" s="240"/>
      <c r="EB844" s="237">
        <f t="shared" si="104"/>
        <v>0</v>
      </c>
      <c r="EC844" s="237">
        <f t="shared" si="105"/>
        <v>0</v>
      </c>
      <c r="ED844" s="237">
        <f t="shared" si="106"/>
        <v>0</v>
      </c>
      <c r="EE844" s="237">
        <f t="shared" si="107"/>
        <v>0</v>
      </c>
      <c r="EF844" s="121"/>
      <c r="EG844" s="238">
        <f t="shared" si="108"/>
        <v>0</v>
      </c>
      <c r="EH844" s="121"/>
      <c r="EI844" s="237">
        <f t="shared" si="109"/>
        <v>0</v>
      </c>
      <c r="EJ844" s="121"/>
      <c r="EK844" s="237">
        <f t="shared" si="110"/>
        <v>0</v>
      </c>
      <c r="EL844" s="237"/>
      <c r="EM844" s="5"/>
      <c r="EN844" s="5"/>
      <c r="EO844" s="5"/>
      <c r="EP844" s="5"/>
      <c r="EQ844" s="237">
        <f t="shared" si="111"/>
        <v>0</v>
      </c>
      <c r="ER844" s="239">
        <v>23300</v>
      </c>
      <c r="ES844" s="5">
        <v>7.5</v>
      </c>
    </row>
    <row r="845" spans="1:149" x14ac:dyDescent="0.3">
      <c r="A845" s="124"/>
      <c r="B845" s="121"/>
      <c r="C845" s="121"/>
      <c r="D845" s="121"/>
      <c r="E845" s="121"/>
      <c r="F845" s="121"/>
      <c r="G845" s="121"/>
      <c r="H845" s="121"/>
      <c r="I845" s="121"/>
      <c r="J845" s="121"/>
      <c r="K845" s="121"/>
      <c r="L845" s="121"/>
      <c r="M845" s="121"/>
      <c r="N845" s="121"/>
      <c r="O845" s="235"/>
      <c r="P845" s="121"/>
      <c r="Q845" s="121"/>
      <c r="R845" s="121"/>
      <c r="S845" s="121"/>
      <c r="T845" s="121"/>
      <c r="U845" s="121"/>
      <c r="V845" s="121"/>
      <c r="W845" s="121"/>
      <c r="X845" s="117"/>
      <c r="Y845" s="117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1"/>
      <c r="AL845" s="121"/>
      <c r="AM845" s="121"/>
      <c r="AN845" s="121"/>
      <c r="AO845" s="121"/>
      <c r="AP845" s="121"/>
      <c r="AQ845" s="121"/>
      <c r="AR845" s="121"/>
      <c r="AS845" s="121"/>
      <c r="AT845" s="121"/>
      <c r="AU845" s="121"/>
      <c r="AV845" s="121"/>
      <c r="AW845" s="121"/>
      <c r="AX845" s="121"/>
      <c r="AY845" s="121"/>
      <c r="AZ845" s="121"/>
      <c r="BA845" s="121"/>
      <c r="BB845" s="121"/>
      <c r="BC845" s="121"/>
      <c r="BD845" s="121"/>
      <c r="BE845" s="121"/>
      <c r="BF845" s="121"/>
      <c r="BG845" s="121"/>
      <c r="BH845" s="121"/>
      <c r="BI845" s="121"/>
      <c r="BJ845" s="121"/>
      <c r="BK845" s="121"/>
      <c r="BL845" s="121"/>
      <c r="BM845" s="121"/>
      <c r="BN845" s="121"/>
      <c r="BO845" s="121"/>
      <c r="BP845" s="121"/>
      <c r="BQ845" s="121"/>
      <c r="BR845" s="121"/>
      <c r="BS845" s="121"/>
      <c r="BT845" s="121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21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  <c r="DK845" s="121"/>
      <c r="DL845" s="121"/>
      <c r="DM845" s="121"/>
      <c r="DN845" s="121"/>
      <c r="DO845" s="121"/>
      <c r="DP845" s="121"/>
      <c r="DQ845" s="121"/>
      <c r="DR845" s="121"/>
      <c r="DS845" s="121"/>
      <c r="DT845" s="240"/>
      <c r="DU845" s="240"/>
      <c r="DV845" s="240"/>
      <c r="DW845" s="240"/>
      <c r="DX845" s="240"/>
      <c r="DY845" s="240"/>
      <c r="DZ845" s="240"/>
      <c r="EA845" s="240"/>
      <c r="EB845" s="237">
        <f t="shared" si="104"/>
        <v>0</v>
      </c>
      <c r="EC845" s="237">
        <f t="shared" si="105"/>
        <v>0</v>
      </c>
      <c r="ED845" s="237">
        <f t="shared" si="106"/>
        <v>0</v>
      </c>
      <c r="EE845" s="237">
        <f t="shared" si="107"/>
        <v>0</v>
      </c>
      <c r="EF845" s="121"/>
      <c r="EG845" s="238">
        <f t="shared" si="108"/>
        <v>0</v>
      </c>
      <c r="EH845" s="121"/>
      <c r="EI845" s="237">
        <f t="shared" si="109"/>
        <v>0</v>
      </c>
      <c r="EJ845" s="121"/>
      <c r="EK845" s="237">
        <f t="shared" si="110"/>
        <v>0</v>
      </c>
      <c r="EL845" s="237"/>
      <c r="EM845" s="5"/>
      <c r="EN845" s="5"/>
      <c r="EO845" s="5"/>
      <c r="EP845" s="5"/>
      <c r="EQ845" s="237">
        <f t="shared" si="111"/>
        <v>0</v>
      </c>
      <c r="ER845" s="239">
        <v>23300</v>
      </c>
      <c r="ES845" s="5">
        <v>7.5</v>
      </c>
    </row>
    <row r="846" spans="1:149" x14ac:dyDescent="0.3">
      <c r="A846" s="124"/>
      <c r="B846" s="121"/>
      <c r="C846" s="121"/>
      <c r="D846" s="121"/>
      <c r="E846" s="121"/>
      <c r="F846" s="121"/>
      <c r="G846" s="121"/>
      <c r="H846" s="121"/>
      <c r="I846" s="121"/>
      <c r="J846" s="121"/>
      <c r="K846" s="121"/>
      <c r="L846" s="121"/>
      <c r="M846" s="121"/>
      <c r="N846" s="121"/>
      <c r="O846" s="235"/>
      <c r="P846" s="121"/>
      <c r="Q846" s="121"/>
      <c r="R846" s="121"/>
      <c r="S846" s="121"/>
      <c r="T846" s="121"/>
      <c r="U846" s="121"/>
      <c r="V846" s="121"/>
      <c r="W846" s="121"/>
      <c r="X846" s="117"/>
      <c r="Y846" s="117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21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  <c r="DK846" s="121"/>
      <c r="DL846" s="121"/>
      <c r="DM846" s="121"/>
      <c r="DN846" s="121"/>
      <c r="DO846" s="121"/>
      <c r="DP846" s="121"/>
      <c r="DQ846" s="121"/>
      <c r="DR846" s="121"/>
      <c r="DS846" s="121"/>
      <c r="DT846" s="240"/>
      <c r="DU846" s="240"/>
      <c r="DV846" s="240"/>
      <c r="DW846" s="240"/>
      <c r="DX846" s="240"/>
      <c r="DY846" s="240"/>
      <c r="DZ846" s="240"/>
      <c r="EA846" s="240"/>
      <c r="EB846" s="237">
        <f t="shared" si="104"/>
        <v>0</v>
      </c>
      <c r="EC846" s="237">
        <f t="shared" si="105"/>
        <v>0</v>
      </c>
      <c r="ED846" s="237">
        <f t="shared" si="106"/>
        <v>0</v>
      </c>
      <c r="EE846" s="237">
        <f t="shared" si="107"/>
        <v>0</v>
      </c>
      <c r="EF846" s="121"/>
      <c r="EG846" s="238">
        <f t="shared" si="108"/>
        <v>0</v>
      </c>
      <c r="EH846" s="121"/>
      <c r="EI846" s="237">
        <f t="shared" si="109"/>
        <v>0</v>
      </c>
      <c r="EJ846" s="121"/>
      <c r="EK846" s="237">
        <f t="shared" si="110"/>
        <v>0</v>
      </c>
      <c r="EL846" s="237"/>
      <c r="EM846" s="5"/>
      <c r="EN846" s="5"/>
      <c r="EO846" s="5"/>
      <c r="EP846" s="5"/>
      <c r="EQ846" s="237">
        <f t="shared" si="111"/>
        <v>0</v>
      </c>
      <c r="ER846" s="239">
        <v>23300</v>
      </c>
      <c r="ES846" s="5">
        <v>7.5</v>
      </c>
    </row>
    <row r="847" spans="1:149" x14ac:dyDescent="0.3">
      <c r="A847" s="124"/>
      <c r="B847" s="121"/>
      <c r="C847" s="121"/>
      <c r="D847" s="121"/>
      <c r="E847" s="121"/>
      <c r="F847" s="121"/>
      <c r="G847" s="121"/>
      <c r="H847" s="121"/>
      <c r="I847" s="121"/>
      <c r="J847" s="121"/>
      <c r="K847" s="121"/>
      <c r="L847" s="121"/>
      <c r="M847" s="121"/>
      <c r="N847" s="121"/>
      <c r="O847" s="235"/>
      <c r="P847" s="121"/>
      <c r="Q847" s="121"/>
      <c r="R847" s="121"/>
      <c r="S847" s="121"/>
      <c r="T847" s="121"/>
      <c r="U847" s="121"/>
      <c r="V847" s="121"/>
      <c r="W847" s="121"/>
      <c r="X847" s="117"/>
      <c r="Y847" s="117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21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  <c r="DK847" s="121"/>
      <c r="DL847" s="121"/>
      <c r="DM847" s="121"/>
      <c r="DN847" s="121"/>
      <c r="DO847" s="121"/>
      <c r="DP847" s="121"/>
      <c r="DQ847" s="121"/>
      <c r="DR847" s="121"/>
      <c r="DS847" s="121"/>
      <c r="DT847" s="240"/>
      <c r="DU847" s="240"/>
      <c r="DV847" s="240"/>
      <c r="DW847" s="240"/>
      <c r="DX847" s="240"/>
      <c r="DY847" s="240"/>
      <c r="DZ847" s="240"/>
      <c r="EA847" s="240"/>
      <c r="EB847" s="237">
        <f t="shared" si="104"/>
        <v>0</v>
      </c>
      <c r="EC847" s="237">
        <f t="shared" si="105"/>
        <v>0</v>
      </c>
      <c r="ED847" s="237">
        <f t="shared" si="106"/>
        <v>0</v>
      </c>
      <c r="EE847" s="237">
        <f t="shared" si="107"/>
        <v>0</v>
      </c>
      <c r="EF847" s="121"/>
      <c r="EG847" s="238">
        <f t="shared" si="108"/>
        <v>0</v>
      </c>
      <c r="EH847" s="121"/>
      <c r="EI847" s="237">
        <f t="shared" si="109"/>
        <v>0</v>
      </c>
      <c r="EJ847" s="121"/>
      <c r="EK847" s="237">
        <f t="shared" si="110"/>
        <v>0</v>
      </c>
      <c r="EL847" s="237"/>
      <c r="EM847" s="5"/>
      <c r="EN847" s="5"/>
      <c r="EO847" s="5"/>
      <c r="EP847" s="5"/>
      <c r="EQ847" s="237">
        <f t="shared" si="111"/>
        <v>0</v>
      </c>
      <c r="ER847" s="239">
        <v>23300</v>
      </c>
      <c r="ES847" s="5">
        <v>7.5</v>
      </c>
    </row>
    <row r="848" spans="1:149" x14ac:dyDescent="0.3">
      <c r="A848" s="124"/>
      <c r="B848" s="121"/>
      <c r="C848" s="121"/>
      <c r="D848" s="121"/>
      <c r="E848" s="121"/>
      <c r="F848" s="121"/>
      <c r="G848" s="121"/>
      <c r="H848" s="121"/>
      <c r="I848" s="121"/>
      <c r="J848" s="121"/>
      <c r="K848" s="121"/>
      <c r="L848" s="121"/>
      <c r="M848" s="121"/>
      <c r="N848" s="121"/>
      <c r="O848" s="235"/>
      <c r="P848" s="121"/>
      <c r="Q848" s="121"/>
      <c r="R848" s="121"/>
      <c r="S848" s="121"/>
      <c r="T848" s="121"/>
      <c r="U848" s="121"/>
      <c r="V848" s="121"/>
      <c r="W848" s="121"/>
      <c r="X848" s="117"/>
      <c r="Y848" s="117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21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  <c r="DK848" s="121"/>
      <c r="DL848" s="121"/>
      <c r="DM848" s="121"/>
      <c r="DN848" s="121"/>
      <c r="DO848" s="121"/>
      <c r="DP848" s="121"/>
      <c r="DQ848" s="121"/>
      <c r="DR848" s="121"/>
      <c r="DS848" s="121"/>
      <c r="DT848" s="240"/>
      <c r="DU848" s="240"/>
      <c r="DV848" s="240"/>
      <c r="DW848" s="240"/>
      <c r="DX848" s="240"/>
      <c r="DY848" s="240"/>
      <c r="DZ848" s="240"/>
      <c r="EA848" s="240"/>
      <c r="EB848" s="237">
        <f t="shared" si="104"/>
        <v>0</v>
      </c>
      <c r="EC848" s="237">
        <f t="shared" si="105"/>
        <v>0</v>
      </c>
      <c r="ED848" s="237">
        <f t="shared" si="106"/>
        <v>0</v>
      </c>
      <c r="EE848" s="237">
        <f t="shared" si="107"/>
        <v>0</v>
      </c>
      <c r="EF848" s="121"/>
      <c r="EG848" s="238">
        <f t="shared" si="108"/>
        <v>0</v>
      </c>
      <c r="EH848" s="121"/>
      <c r="EI848" s="237">
        <f t="shared" si="109"/>
        <v>0</v>
      </c>
      <c r="EJ848" s="121"/>
      <c r="EK848" s="237">
        <f t="shared" si="110"/>
        <v>0</v>
      </c>
      <c r="EL848" s="237"/>
      <c r="EM848" s="5"/>
      <c r="EN848" s="5"/>
      <c r="EO848" s="5"/>
      <c r="EP848" s="5"/>
      <c r="EQ848" s="237">
        <f t="shared" si="111"/>
        <v>0</v>
      </c>
      <c r="ER848" s="239">
        <v>23300</v>
      </c>
      <c r="ES848" s="5">
        <v>7.5</v>
      </c>
    </row>
    <row r="849" spans="1:149" x14ac:dyDescent="0.3">
      <c r="A849" s="124"/>
      <c r="B849" s="121"/>
      <c r="C849" s="121"/>
      <c r="D849" s="121"/>
      <c r="E849" s="121"/>
      <c r="F849" s="121"/>
      <c r="G849" s="121"/>
      <c r="H849" s="121"/>
      <c r="I849" s="121"/>
      <c r="J849" s="121"/>
      <c r="K849" s="121"/>
      <c r="L849" s="121"/>
      <c r="M849" s="121"/>
      <c r="N849" s="121"/>
      <c r="O849" s="235"/>
      <c r="P849" s="121"/>
      <c r="Q849" s="121"/>
      <c r="R849" s="121"/>
      <c r="S849" s="121"/>
      <c r="T849" s="121"/>
      <c r="U849" s="121"/>
      <c r="V849" s="121"/>
      <c r="W849" s="121"/>
      <c r="X849" s="117"/>
      <c r="Y849" s="117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21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  <c r="DK849" s="121"/>
      <c r="DL849" s="121"/>
      <c r="DM849" s="121"/>
      <c r="DN849" s="121"/>
      <c r="DO849" s="121"/>
      <c r="DP849" s="121"/>
      <c r="DQ849" s="121"/>
      <c r="DR849" s="121"/>
      <c r="DS849" s="121"/>
      <c r="DT849" s="240"/>
      <c r="DU849" s="240"/>
      <c r="DV849" s="240"/>
      <c r="DW849" s="240"/>
      <c r="DX849" s="240"/>
      <c r="DY849" s="240"/>
      <c r="DZ849" s="240"/>
      <c r="EA849" s="240"/>
      <c r="EB849" s="237">
        <f t="shared" si="104"/>
        <v>0</v>
      </c>
      <c r="EC849" s="237">
        <f t="shared" si="105"/>
        <v>0</v>
      </c>
      <c r="ED849" s="237">
        <f t="shared" si="106"/>
        <v>0</v>
      </c>
      <c r="EE849" s="237">
        <f t="shared" si="107"/>
        <v>0</v>
      </c>
      <c r="EF849" s="121"/>
      <c r="EG849" s="238">
        <f t="shared" si="108"/>
        <v>0</v>
      </c>
      <c r="EH849" s="121"/>
      <c r="EI849" s="237">
        <f t="shared" si="109"/>
        <v>0</v>
      </c>
      <c r="EJ849" s="121"/>
      <c r="EK849" s="237">
        <f t="shared" si="110"/>
        <v>0</v>
      </c>
      <c r="EL849" s="237"/>
      <c r="EM849" s="5"/>
      <c r="EN849" s="5"/>
      <c r="EO849" s="5"/>
      <c r="EP849" s="5"/>
      <c r="EQ849" s="237">
        <f t="shared" si="111"/>
        <v>0</v>
      </c>
      <c r="ER849" s="239">
        <v>23300</v>
      </c>
      <c r="ES849" s="5">
        <v>7.5</v>
      </c>
    </row>
    <row r="850" spans="1:149" x14ac:dyDescent="0.3">
      <c r="A850" s="124"/>
      <c r="B850" s="121"/>
      <c r="C850" s="121"/>
      <c r="D850" s="121"/>
      <c r="E850" s="121"/>
      <c r="F850" s="121"/>
      <c r="G850" s="121"/>
      <c r="H850" s="121"/>
      <c r="I850" s="121"/>
      <c r="J850" s="121"/>
      <c r="K850" s="121"/>
      <c r="L850" s="121"/>
      <c r="M850" s="121"/>
      <c r="N850" s="121"/>
      <c r="O850" s="235"/>
      <c r="P850" s="121"/>
      <c r="Q850" s="121"/>
      <c r="R850" s="121"/>
      <c r="S850" s="121"/>
      <c r="T850" s="121"/>
      <c r="U850" s="121"/>
      <c r="V850" s="121"/>
      <c r="W850" s="121"/>
      <c r="X850" s="117"/>
      <c r="Y850" s="117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21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  <c r="DK850" s="121"/>
      <c r="DL850" s="121"/>
      <c r="DM850" s="121"/>
      <c r="DN850" s="121"/>
      <c r="DO850" s="121"/>
      <c r="DP850" s="121"/>
      <c r="DQ850" s="121"/>
      <c r="DR850" s="121"/>
      <c r="DS850" s="121"/>
      <c r="DT850" s="240"/>
      <c r="DU850" s="240"/>
      <c r="DV850" s="240"/>
      <c r="DW850" s="240"/>
      <c r="DX850" s="240"/>
      <c r="DY850" s="240"/>
      <c r="DZ850" s="240"/>
      <c r="EA850" s="240"/>
      <c r="EB850" s="237">
        <f t="shared" si="104"/>
        <v>0</v>
      </c>
      <c r="EC850" s="237">
        <f t="shared" si="105"/>
        <v>0</v>
      </c>
      <c r="ED850" s="237">
        <f t="shared" si="106"/>
        <v>0</v>
      </c>
      <c r="EE850" s="237">
        <f t="shared" si="107"/>
        <v>0</v>
      </c>
      <c r="EF850" s="121"/>
      <c r="EG850" s="238">
        <f t="shared" si="108"/>
        <v>0</v>
      </c>
      <c r="EH850" s="121"/>
      <c r="EI850" s="237">
        <f t="shared" si="109"/>
        <v>0</v>
      </c>
      <c r="EJ850" s="121"/>
      <c r="EK850" s="237">
        <f t="shared" si="110"/>
        <v>0</v>
      </c>
      <c r="EL850" s="237"/>
      <c r="EM850" s="5"/>
      <c r="EN850" s="5"/>
      <c r="EO850" s="5"/>
      <c r="EP850" s="5"/>
      <c r="EQ850" s="237">
        <f t="shared" si="111"/>
        <v>0</v>
      </c>
      <c r="ER850" s="239">
        <v>23300</v>
      </c>
      <c r="ES850" s="5">
        <v>7.5</v>
      </c>
    </row>
    <row r="851" spans="1:149" x14ac:dyDescent="0.3">
      <c r="A851" s="124"/>
      <c r="B851" s="121"/>
      <c r="C851" s="121"/>
      <c r="D851" s="121"/>
      <c r="E851" s="121"/>
      <c r="F851" s="121"/>
      <c r="G851" s="121"/>
      <c r="H851" s="121"/>
      <c r="I851" s="121"/>
      <c r="J851" s="121"/>
      <c r="K851" s="121"/>
      <c r="L851" s="121"/>
      <c r="M851" s="121"/>
      <c r="N851" s="121"/>
      <c r="O851" s="235"/>
      <c r="P851" s="121"/>
      <c r="Q851" s="121"/>
      <c r="R851" s="121"/>
      <c r="S851" s="121"/>
      <c r="T851" s="121"/>
      <c r="U851" s="121"/>
      <c r="V851" s="121"/>
      <c r="W851" s="121"/>
      <c r="X851" s="117"/>
      <c r="Y851" s="117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21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  <c r="DK851" s="121"/>
      <c r="DL851" s="121"/>
      <c r="DM851" s="121"/>
      <c r="DN851" s="121"/>
      <c r="DO851" s="121"/>
      <c r="DP851" s="121"/>
      <c r="DQ851" s="121"/>
      <c r="DR851" s="121"/>
      <c r="DS851" s="121"/>
      <c r="DT851" s="240"/>
      <c r="DU851" s="240"/>
      <c r="DV851" s="240"/>
      <c r="DW851" s="240"/>
      <c r="DX851" s="240"/>
      <c r="DY851" s="240"/>
      <c r="DZ851" s="240"/>
      <c r="EA851" s="240"/>
      <c r="EB851" s="237">
        <f t="shared" si="104"/>
        <v>0</v>
      </c>
      <c r="EC851" s="237">
        <f t="shared" si="105"/>
        <v>0</v>
      </c>
      <c r="ED851" s="237">
        <f t="shared" si="106"/>
        <v>0</v>
      </c>
      <c r="EE851" s="237">
        <f t="shared" si="107"/>
        <v>0</v>
      </c>
      <c r="EF851" s="121"/>
      <c r="EG851" s="238">
        <f t="shared" si="108"/>
        <v>0</v>
      </c>
      <c r="EH851" s="121"/>
      <c r="EI851" s="237">
        <f t="shared" si="109"/>
        <v>0</v>
      </c>
      <c r="EJ851" s="121"/>
      <c r="EK851" s="237">
        <f t="shared" si="110"/>
        <v>0</v>
      </c>
      <c r="EL851" s="237"/>
      <c r="EM851" s="5"/>
      <c r="EN851" s="5"/>
      <c r="EO851" s="5"/>
      <c r="EP851" s="5"/>
      <c r="EQ851" s="237">
        <f t="shared" si="111"/>
        <v>0</v>
      </c>
      <c r="ER851" s="239">
        <v>23300</v>
      </c>
      <c r="ES851" s="5">
        <v>7.5</v>
      </c>
    </row>
    <row r="852" spans="1:149" x14ac:dyDescent="0.3">
      <c r="A852" s="124"/>
      <c r="B852" s="121"/>
      <c r="C852" s="121"/>
      <c r="D852" s="121"/>
      <c r="E852" s="121"/>
      <c r="F852" s="121"/>
      <c r="G852" s="121"/>
      <c r="H852" s="121"/>
      <c r="I852" s="121"/>
      <c r="J852" s="121"/>
      <c r="K852" s="121"/>
      <c r="L852" s="121"/>
      <c r="M852" s="121"/>
      <c r="N852" s="121"/>
      <c r="O852" s="235"/>
      <c r="P852" s="121"/>
      <c r="Q852" s="121"/>
      <c r="R852" s="121"/>
      <c r="S852" s="121"/>
      <c r="T852" s="121"/>
      <c r="U852" s="121"/>
      <c r="V852" s="121"/>
      <c r="W852" s="121"/>
      <c r="X852" s="117"/>
      <c r="Y852" s="117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21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  <c r="DK852" s="121"/>
      <c r="DL852" s="121"/>
      <c r="DM852" s="121"/>
      <c r="DN852" s="121"/>
      <c r="DO852" s="121"/>
      <c r="DP852" s="121"/>
      <c r="DQ852" s="121"/>
      <c r="DR852" s="121"/>
      <c r="DS852" s="121"/>
      <c r="DT852" s="240"/>
      <c r="DU852" s="240"/>
      <c r="DV852" s="240"/>
      <c r="DW852" s="240"/>
      <c r="DX852" s="240"/>
      <c r="DY852" s="240"/>
      <c r="DZ852" s="240"/>
      <c r="EA852" s="240"/>
      <c r="EB852" s="237">
        <f t="shared" si="104"/>
        <v>0</v>
      </c>
      <c r="EC852" s="237">
        <f t="shared" si="105"/>
        <v>0</v>
      </c>
      <c r="ED852" s="237">
        <f t="shared" si="106"/>
        <v>0</v>
      </c>
      <c r="EE852" s="237">
        <f t="shared" si="107"/>
        <v>0</v>
      </c>
      <c r="EF852" s="121"/>
      <c r="EG852" s="238">
        <f t="shared" si="108"/>
        <v>0</v>
      </c>
      <c r="EH852" s="121"/>
      <c r="EI852" s="237">
        <f t="shared" si="109"/>
        <v>0</v>
      </c>
      <c r="EJ852" s="121"/>
      <c r="EK852" s="237">
        <f t="shared" si="110"/>
        <v>0</v>
      </c>
      <c r="EL852" s="237"/>
      <c r="EM852" s="5"/>
      <c r="EN852" s="5"/>
      <c r="EO852" s="5"/>
      <c r="EP852" s="5"/>
      <c r="EQ852" s="237">
        <f t="shared" si="111"/>
        <v>0</v>
      </c>
      <c r="ER852" s="239">
        <v>23300</v>
      </c>
      <c r="ES852" s="5">
        <v>7.5</v>
      </c>
    </row>
    <row r="853" spans="1:149" x14ac:dyDescent="0.3">
      <c r="A853" s="124"/>
      <c r="B853" s="121"/>
      <c r="C853" s="121"/>
      <c r="D853" s="121"/>
      <c r="E853" s="121"/>
      <c r="F853" s="121"/>
      <c r="G853" s="121"/>
      <c r="H853" s="121"/>
      <c r="I853" s="121"/>
      <c r="J853" s="121"/>
      <c r="K853" s="121"/>
      <c r="L853" s="121"/>
      <c r="M853" s="121"/>
      <c r="N853" s="121"/>
      <c r="O853" s="235"/>
      <c r="P853" s="121"/>
      <c r="Q853" s="121"/>
      <c r="R853" s="121"/>
      <c r="S853" s="121"/>
      <c r="T853" s="121"/>
      <c r="U853" s="121"/>
      <c r="V853" s="121"/>
      <c r="W853" s="121"/>
      <c r="X853" s="117"/>
      <c r="Y853" s="117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21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  <c r="DK853" s="121"/>
      <c r="DL853" s="121"/>
      <c r="DM853" s="121"/>
      <c r="DN853" s="121"/>
      <c r="DO853" s="121"/>
      <c r="DP853" s="121"/>
      <c r="DQ853" s="121"/>
      <c r="DR853" s="121"/>
      <c r="DS853" s="121"/>
      <c r="DT853" s="240"/>
      <c r="DU853" s="240"/>
      <c r="DV853" s="240"/>
      <c r="DW853" s="240"/>
      <c r="DX853" s="240"/>
      <c r="DY853" s="240"/>
      <c r="DZ853" s="240"/>
      <c r="EA853" s="240"/>
      <c r="EB853" s="237">
        <f t="shared" si="104"/>
        <v>0</v>
      </c>
      <c r="EC853" s="237">
        <f t="shared" si="105"/>
        <v>0</v>
      </c>
      <c r="ED853" s="237">
        <f t="shared" si="106"/>
        <v>0</v>
      </c>
      <c r="EE853" s="237">
        <f t="shared" si="107"/>
        <v>0</v>
      </c>
      <c r="EF853" s="121"/>
      <c r="EG853" s="238">
        <f t="shared" si="108"/>
        <v>0</v>
      </c>
      <c r="EH853" s="121"/>
      <c r="EI853" s="237">
        <f t="shared" si="109"/>
        <v>0</v>
      </c>
      <c r="EJ853" s="121"/>
      <c r="EK853" s="237">
        <f t="shared" si="110"/>
        <v>0</v>
      </c>
      <c r="EL853" s="237"/>
      <c r="EM853" s="5"/>
      <c r="EN853" s="5"/>
      <c r="EO853" s="5"/>
      <c r="EP853" s="5"/>
      <c r="EQ853" s="237">
        <f t="shared" si="111"/>
        <v>0</v>
      </c>
      <c r="ER853" s="239">
        <v>23300</v>
      </c>
      <c r="ES853" s="5">
        <v>7.5</v>
      </c>
    </row>
    <row r="854" spans="1:149" x14ac:dyDescent="0.3">
      <c r="A854" s="124"/>
      <c r="B854" s="121"/>
      <c r="C854" s="121"/>
      <c r="D854" s="121"/>
      <c r="E854" s="121"/>
      <c r="F854" s="121"/>
      <c r="G854" s="121"/>
      <c r="H854" s="121"/>
      <c r="I854" s="121"/>
      <c r="J854" s="121"/>
      <c r="K854" s="121"/>
      <c r="L854" s="121"/>
      <c r="M854" s="121"/>
      <c r="N854" s="121"/>
      <c r="O854" s="235"/>
      <c r="P854" s="121"/>
      <c r="Q854" s="121"/>
      <c r="R854" s="121"/>
      <c r="S854" s="121"/>
      <c r="T854" s="121"/>
      <c r="U854" s="121"/>
      <c r="V854" s="121"/>
      <c r="W854" s="121"/>
      <c r="X854" s="117"/>
      <c r="Y854" s="117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21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  <c r="DK854" s="121"/>
      <c r="DL854" s="121"/>
      <c r="DM854" s="121"/>
      <c r="DN854" s="121"/>
      <c r="DO854" s="121"/>
      <c r="DP854" s="121"/>
      <c r="DQ854" s="121"/>
      <c r="DR854" s="121"/>
      <c r="DS854" s="121"/>
      <c r="DT854" s="240"/>
      <c r="DU854" s="240"/>
      <c r="DV854" s="240"/>
      <c r="DW854" s="240"/>
      <c r="DX854" s="240"/>
      <c r="DY854" s="240"/>
      <c r="DZ854" s="240"/>
      <c r="EA854" s="240"/>
      <c r="EB854" s="237">
        <f t="shared" si="104"/>
        <v>0</v>
      </c>
      <c r="EC854" s="237">
        <f t="shared" si="105"/>
        <v>0</v>
      </c>
      <c r="ED854" s="237">
        <f t="shared" si="106"/>
        <v>0</v>
      </c>
      <c r="EE854" s="237">
        <f t="shared" si="107"/>
        <v>0</v>
      </c>
      <c r="EF854" s="121"/>
      <c r="EG854" s="238">
        <f t="shared" si="108"/>
        <v>0</v>
      </c>
      <c r="EH854" s="121"/>
      <c r="EI854" s="237">
        <f t="shared" si="109"/>
        <v>0</v>
      </c>
      <c r="EJ854" s="121"/>
      <c r="EK854" s="237">
        <f t="shared" si="110"/>
        <v>0</v>
      </c>
      <c r="EL854" s="237"/>
      <c r="EM854" s="5"/>
      <c r="EN854" s="5"/>
      <c r="EO854" s="5"/>
      <c r="EP854" s="5"/>
      <c r="EQ854" s="237">
        <f t="shared" si="111"/>
        <v>0</v>
      </c>
      <c r="ER854" s="239">
        <v>23300</v>
      </c>
      <c r="ES854" s="5">
        <v>7.5</v>
      </c>
    </row>
    <row r="855" spans="1:149" x14ac:dyDescent="0.3">
      <c r="A855" s="124"/>
      <c r="B855" s="121"/>
      <c r="C855" s="121"/>
      <c r="D855" s="121"/>
      <c r="E855" s="121"/>
      <c r="F855" s="121"/>
      <c r="G855" s="121"/>
      <c r="H855" s="121"/>
      <c r="I855" s="121"/>
      <c r="J855" s="121"/>
      <c r="K855" s="121"/>
      <c r="L855" s="121"/>
      <c r="M855" s="121"/>
      <c r="N855" s="121"/>
      <c r="O855" s="235"/>
      <c r="P855" s="121"/>
      <c r="Q855" s="121"/>
      <c r="R855" s="121"/>
      <c r="S855" s="121"/>
      <c r="T855" s="121"/>
      <c r="U855" s="121"/>
      <c r="V855" s="121"/>
      <c r="W855" s="121"/>
      <c r="X855" s="117"/>
      <c r="Y855" s="117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21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  <c r="DK855" s="121"/>
      <c r="DL855" s="121"/>
      <c r="DM855" s="121"/>
      <c r="DN855" s="121"/>
      <c r="DO855" s="121"/>
      <c r="DP855" s="121"/>
      <c r="DQ855" s="121"/>
      <c r="DR855" s="121"/>
      <c r="DS855" s="121"/>
      <c r="DT855" s="240"/>
      <c r="DU855" s="240"/>
      <c r="DV855" s="240"/>
      <c r="DW855" s="240"/>
      <c r="DX855" s="240"/>
      <c r="DY855" s="240"/>
      <c r="DZ855" s="240"/>
      <c r="EA855" s="240"/>
      <c r="EB855" s="237">
        <f t="shared" si="104"/>
        <v>0</v>
      </c>
      <c r="EC855" s="237">
        <f t="shared" si="105"/>
        <v>0</v>
      </c>
      <c r="ED855" s="237">
        <f t="shared" si="106"/>
        <v>0</v>
      </c>
      <c r="EE855" s="237">
        <f t="shared" si="107"/>
        <v>0</v>
      </c>
      <c r="EF855" s="121"/>
      <c r="EG855" s="238">
        <f t="shared" si="108"/>
        <v>0</v>
      </c>
      <c r="EH855" s="121"/>
      <c r="EI855" s="237">
        <f t="shared" si="109"/>
        <v>0</v>
      </c>
      <c r="EJ855" s="121"/>
      <c r="EK855" s="237">
        <f t="shared" si="110"/>
        <v>0</v>
      </c>
      <c r="EL855" s="237"/>
      <c r="EM855" s="5"/>
      <c r="EN855" s="5"/>
      <c r="EO855" s="5"/>
      <c r="EP855" s="5"/>
      <c r="EQ855" s="237">
        <f t="shared" si="111"/>
        <v>0</v>
      </c>
      <c r="ER855" s="239">
        <v>23300</v>
      </c>
      <c r="ES855" s="5">
        <v>7.5</v>
      </c>
    </row>
    <row r="856" spans="1:149" x14ac:dyDescent="0.3">
      <c r="A856" s="124"/>
      <c r="B856" s="121"/>
      <c r="C856" s="121"/>
      <c r="D856" s="121"/>
      <c r="E856" s="121"/>
      <c r="F856" s="121"/>
      <c r="G856" s="121"/>
      <c r="H856" s="121"/>
      <c r="I856" s="121"/>
      <c r="J856" s="121"/>
      <c r="K856" s="121"/>
      <c r="L856" s="121"/>
      <c r="M856" s="121"/>
      <c r="N856" s="121"/>
      <c r="O856" s="235"/>
      <c r="P856" s="121"/>
      <c r="Q856" s="121"/>
      <c r="R856" s="121"/>
      <c r="S856" s="121"/>
      <c r="T856" s="121"/>
      <c r="U856" s="121"/>
      <c r="V856" s="121"/>
      <c r="W856" s="121"/>
      <c r="X856" s="117"/>
      <c r="Y856" s="117"/>
      <c r="Z856" s="121"/>
      <c r="AA856" s="121"/>
      <c r="AB856" s="121"/>
      <c r="AC856" s="121"/>
      <c r="AD856" s="121"/>
      <c r="AE856" s="121"/>
      <c r="AF856" s="121"/>
      <c r="AG856" s="121"/>
      <c r="AH856" s="121"/>
      <c r="AI856" s="121"/>
      <c r="AJ856" s="121"/>
      <c r="AK856" s="121"/>
      <c r="AL856" s="121"/>
      <c r="AM856" s="121"/>
      <c r="AN856" s="121"/>
      <c r="AO856" s="121"/>
      <c r="AP856" s="121"/>
      <c r="AQ856" s="121"/>
      <c r="AR856" s="121"/>
      <c r="AS856" s="121"/>
      <c r="AT856" s="121"/>
      <c r="AU856" s="121"/>
      <c r="AV856" s="121"/>
      <c r="AW856" s="121"/>
      <c r="AX856" s="121"/>
      <c r="AY856" s="121"/>
      <c r="AZ856" s="121"/>
      <c r="BA856" s="121"/>
      <c r="BB856" s="121"/>
      <c r="BC856" s="121"/>
      <c r="BD856" s="121"/>
      <c r="BE856" s="121"/>
      <c r="BF856" s="121"/>
      <c r="BG856" s="121"/>
      <c r="BH856" s="121"/>
      <c r="BI856" s="121"/>
      <c r="BJ856" s="121"/>
      <c r="BK856" s="121"/>
      <c r="BL856" s="121"/>
      <c r="BM856" s="121"/>
      <c r="BN856" s="121"/>
      <c r="BO856" s="121"/>
      <c r="BP856" s="121"/>
      <c r="BQ856" s="121"/>
      <c r="BR856" s="121"/>
      <c r="BS856" s="121"/>
      <c r="BT856" s="121"/>
      <c r="BU856" s="121"/>
      <c r="BV856" s="121"/>
      <c r="BW856" s="121"/>
      <c r="BX856" s="121"/>
      <c r="BY856" s="121"/>
      <c r="BZ856" s="121"/>
      <c r="CA856" s="121"/>
      <c r="CB856" s="121"/>
      <c r="CC856" s="121"/>
      <c r="CD856" s="121"/>
      <c r="CE856" s="121"/>
      <c r="CF856" s="121"/>
      <c r="CG856" s="121"/>
      <c r="CH856" s="121"/>
      <c r="CI856" s="121"/>
      <c r="CJ856" s="121"/>
      <c r="CK856" s="121"/>
      <c r="CL856" s="121"/>
      <c r="CM856" s="121"/>
      <c r="CN856" s="121"/>
      <c r="CO856" s="121"/>
      <c r="CP856" s="121"/>
      <c r="CQ856" s="121"/>
      <c r="CR856" s="121"/>
      <c r="CS856" s="121"/>
      <c r="CT856" s="121"/>
      <c r="CU856" s="121"/>
      <c r="CV856" s="121"/>
      <c r="CW856" s="121"/>
      <c r="CX856" s="121"/>
      <c r="CY856" s="121"/>
      <c r="CZ856" s="121"/>
      <c r="DA856" s="121"/>
      <c r="DB856" s="121"/>
      <c r="DC856" s="121"/>
      <c r="DD856" s="121"/>
      <c r="DE856" s="121"/>
      <c r="DF856" s="121"/>
      <c r="DG856" s="121"/>
      <c r="DH856" s="121"/>
      <c r="DI856" s="121"/>
      <c r="DJ856" s="121"/>
      <c r="DK856" s="121"/>
      <c r="DL856" s="121"/>
      <c r="DM856" s="121"/>
      <c r="DN856" s="121"/>
      <c r="DO856" s="121"/>
      <c r="DP856" s="121"/>
      <c r="DQ856" s="121"/>
      <c r="DR856" s="121"/>
      <c r="DS856" s="121"/>
      <c r="DT856" s="240"/>
      <c r="DU856" s="240"/>
      <c r="DV856" s="240"/>
      <c r="DW856" s="240"/>
      <c r="DX856" s="240"/>
      <c r="DY856" s="240"/>
      <c r="DZ856" s="240"/>
      <c r="EA856" s="240"/>
      <c r="EB856" s="237">
        <f t="shared" si="104"/>
        <v>0</v>
      </c>
      <c r="EC856" s="237">
        <f t="shared" si="105"/>
        <v>0</v>
      </c>
      <c r="ED856" s="237">
        <f t="shared" si="106"/>
        <v>0</v>
      </c>
      <c r="EE856" s="237">
        <f t="shared" si="107"/>
        <v>0</v>
      </c>
      <c r="EF856" s="121"/>
      <c r="EG856" s="238">
        <f t="shared" si="108"/>
        <v>0</v>
      </c>
      <c r="EH856" s="121"/>
      <c r="EI856" s="237">
        <f t="shared" si="109"/>
        <v>0</v>
      </c>
      <c r="EJ856" s="121"/>
      <c r="EK856" s="237">
        <f t="shared" si="110"/>
        <v>0</v>
      </c>
      <c r="EL856" s="237"/>
      <c r="EM856" s="5"/>
      <c r="EN856" s="5"/>
      <c r="EO856" s="5"/>
      <c r="EP856" s="5"/>
      <c r="EQ856" s="237">
        <f t="shared" si="111"/>
        <v>0</v>
      </c>
      <c r="ER856" s="239">
        <v>23300</v>
      </c>
      <c r="ES856" s="5">
        <v>7.5</v>
      </c>
    </row>
    <row r="857" spans="1:149" x14ac:dyDescent="0.3">
      <c r="A857" s="124"/>
      <c r="B857" s="121"/>
      <c r="C857" s="121"/>
      <c r="D857" s="121"/>
      <c r="E857" s="121"/>
      <c r="F857" s="121"/>
      <c r="G857" s="121"/>
      <c r="H857" s="121"/>
      <c r="I857" s="121"/>
      <c r="J857" s="121"/>
      <c r="K857" s="121"/>
      <c r="L857" s="121"/>
      <c r="M857" s="121"/>
      <c r="N857" s="121"/>
      <c r="O857" s="235"/>
      <c r="P857" s="121"/>
      <c r="Q857" s="121"/>
      <c r="R857" s="121"/>
      <c r="S857" s="121"/>
      <c r="T857" s="121"/>
      <c r="U857" s="121"/>
      <c r="V857" s="121"/>
      <c r="W857" s="121"/>
      <c r="X857" s="117"/>
      <c r="Y857" s="117"/>
      <c r="Z857" s="121"/>
      <c r="AA857" s="121"/>
      <c r="AB857" s="121"/>
      <c r="AC857" s="121"/>
      <c r="AD857" s="121"/>
      <c r="AE857" s="121"/>
      <c r="AF857" s="121"/>
      <c r="AG857" s="121"/>
      <c r="AH857" s="121"/>
      <c r="AI857" s="121"/>
      <c r="AJ857" s="121"/>
      <c r="AK857" s="121"/>
      <c r="AL857" s="121"/>
      <c r="AM857" s="121"/>
      <c r="AN857" s="121"/>
      <c r="AO857" s="121"/>
      <c r="AP857" s="121"/>
      <c r="AQ857" s="121"/>
      <c r="AR857" s="121"/>
      <c r="AS857" s="121"/>
      <c r="AT857" s="121"/>
      <c r="AU857" s="121"/>
      <c r="AV857" s="121"/>
      <c r="AW857" s="121"/>
      <c r="AX857" s="121"/>
      <c r="AY857" s="121"/>
      <c r="AZ857" s="121"/>
      <c r="BA857" s="121"/>
      <c r="BB857" s="121"/>
      <c r="BC857" s="121"/>
      <c r="BD857" s="121"/>
      <c r="BE857" s="121"/>
      <c r="BF857" s="121"/>
      <c r="BG857" s="121"/>
      <c r="BH857" s="121"/>
      <c r="BI857" s="121"/>
      <c r="BJ857" s="121"/>
      <c r="BK857" s="121"/>
      <c r="BL857" s="121"/>
      <c r="BM857" s="121"/>
      <c r="BN857" s="121"/>
      <c r="BO857" s="121"/>
      <c r="BP857" s="121"/>
      <c r="BQ857" s="121"/>
      <c r="BR857" s="121"/>
      <c r="BS857" s="121"/>
      <c r="BT857" s="121"/>
      <c r="BU857" s="121"/>
      <c r="BV857" s="121"/>
      <c r="BW857" s="121"/>
      <c r="BX857" s="121"/>
      <c r="BY857" s="121"/>
      <c r="BZ857" s="121"/>
      <c r="CA857" s="121"/>
      <c r="CB857" s="121"/>
      <c r="CC857" s="121"/>
      <c r="CD857" s="121"/>
      <c r="CE857" s="121"/>
      <c r="CF857" s="121"/>
      <c r="CG857" s="121"/>
      <c r="CH857" s="121"/>
      <c r="CI857" s="121"/>
      <c r="CJ857" s="121"/>
      <c r="CK857" s="121"/>
      <c r="CL857" s="121"/>
      <c r="CM857" s="121"/>
      <c r="CN857" s="121"/>
      <c r="CO857" s="121"/>
      <c r="CP857" s="121"/>
      <c r="CQ857" s="121"/>
      <c r="CR857" s="121"/>
      <c r="CS857" s="121"/>
      <c r="CT857" s="121"/>
      <c r="CU857" s="121"/>
      <c r="CV857" s="121"/>
      <c r="CW857" s="121"/>
      <c r="CX857" s="121"/>
      <c r="CY857" s="121"/>
      <c r="CZ857" s="121"/>
      <c r="DA857" s="121"/>
      <c r="DB857" s="121"/>
      <c r="DC857" s="121"/>
      <c r="DD857" s="121"/>
      <c r="DE857" s="121"/>
      <c r="DF857" s="121"/>
      <c r="DG857" s="121"/>
      <c r="DH857" s="121"/>
      <c r="DI857" s="121"/>
      <c r="DJ857" s="121"/>
      <c r="DK857" s="121"/>
      <c r="DL857" s="121"/>
      <c r="DM857" s="121"/>
      <c r="DN857" s="121"/>
      <c r="DO857" s="121"/>
      <c r="DP857" s="121"/>
      <c r="DQ857" s="121"/>
      <c r="DR857" s="121"/>
      <c r="DS857" s="121"/>
      <c r="DT857" s="240"/>
      <c r="DU857" s="240"/>
      <c r="DV857" s="240"/>
      <c r="DW857" s="240"/>
      <c r="DX857" s="240"/>
      <c r="DY857" s="240"/>
      <c r="DZ857" s="240"/>
      <c r="EA857" s="240"/>
      <c r="EB857" s="237">
        <f t="shared" si="104"/>
        <v>0</v>
      </c>
      <c r="EC857" s="237">
        <f t="shared" si="105"/>
        <v>0</v>
      </c>
      <c r="ED857" s="237">
        <f t="shared" si="106"/>
        <v>0</v>
      </c>
      <c r="EE857" s="237">
        <f t="shared" si="107"/>
        <v>0</v>
      </c>
      <c r="EF857" s="121"/>
      <c r="EG857" s="238">
        <f t="shared" si="108"/>
        <v>0</v>
      </c>
      <c r="EH857" s="121"/>
      <c r="EI857" s="237">
        <f t="shared" si="109"/>
        <v>0</v>
      </c>
      <c r="EJ857" s="121"/>
      <c r="EK857" s="237">
        <f t="shared" si="110"/>
        <v>0</v>
      </c>
      <c r="EL857" s="237"/>
      <c r="EM857" s="5"/>
      <c r="EN857" s="5"/>
      <c r="EO857" s="5"/>
      <c r="EP857" s="5"/>
      <c r="EQ857" s="237">
        <f t="shared" si="111"/>
        <v>0</v>
      </c>
      <c r="ER857" s="239">
        <v>23300</v>
      </c>
      <c r="ES857" s="5">
        <v>7.5</v>
      </c>
    </row>
    <row r="858" spans="1:149" x14ac:dyDescent="0.3">
      <c r="A858" s="124"/>
      <c r="B858" s="121"/>
      <c r="C858" s="121"/>
      <c r="D858" s="121"/>
      <c r="E858" s="121"/>
      <c r="F858" s="121"/>
      <c r="G858" s="121"/>
      <c r="H858" s="121"/>
      <c r="I858" s="121"/>
      <c r="J858" s="121"/>
      <c r="K858" s="121"/>
      <c r="L858" s="121"/>
      <c r="M858" s="121"/>
      <c r="N858" s="121"/>
      <c r="O858" s="235"/>
      <c r="P858" s="121"/>
      <c r="Q858" s="121"/>
      <c r="R858" s="121"/>
      <c r="S858" s="121"/>
      <c r="T858" s="121"/>
      <c r="U858" s="121"/>
      <c r="V858" s="121"/>
      <c r="W858" s="121"/>
      <c r="X858" s="117"/>
      <c r="Y858" s="117"/>
      <c r="Z858" s="121"/>
      <c r="AA858" s="121"/>
      <c r="AB858" s="121"/>
      <c r="AC858" s="121"/>
      <c r="AD858" s="121"/>
      <c r="AE858" s="121"/>
      <c r="AF858" s="121"/>
      <c r="AG858" s="121"/>
      <c r="AH858" s="121"/>
      <c r="AI858" s="121"/>
      <c r="AJ858" s="121"/>
      <c r="AK858" s="121"/>
      <c r="AL858" s="121"/>
      <c r="AM858" s="121"/>
      <c r="AN858" s="121"/>
      <c r="AO858" s="121"/>
      <c r="AP858" s="121"/>
      <c r="AQ858" s="121"/>
      <c r="AR858" s="121"/>
      <c r="AS858" s="121"/>
      <c r="AT858" s="121"/>
      <c r="AU858" s="121"/>
      <c r="AV858" s="121"/>
      <c r="AW858" s="121"/>
      <c r="AX858" s="121"/>
      <c r="AY858" s="121"/>
      <c r="AZ858" s="121"/>
      <c r="BA858" s="121"/>
      <c r="BB858" s="121"/>
      <c r="BC858" s="121"/>
      <c r="BD858" s="121"/>
      <c r="BE858" s="121"/>
      <c r="BF858" s="121"/>
      <c r="BG858" s="121"/>
      <c r="BH858" s="121"/>
      <c r="BI858" s="121"/>
      <c r="BJ858" s="121"/>
      <c r="BK858" s="121"/>
      <c r="BL858" s="121"/>
      <c r="BM858" s="121"/>
      <c r="BN858" s="121"/>
      <c r="BO858" s="121"/>
      <c r="BP858" s="121"/>
      <c r="BQ858" s="121"/>
      <c r="BR858" s="121"/>
      <c r="BS858" s="121"/>
      <c r="BT858" s="121"/>
      <c r="BU858" s="121"/>
      <c r="BV858" s="121"/>
      <c r="BW858" s="121"/>
      <c r="BX858" s="121"/>
      <c r="BY858" s="121"/>
      <c r="BZ858" s="121"/>
      <c r="CA858" s="121"/>
      <c r="CB858" s="121"/>
      <c r="CC858" s="121"/>
      <c r="CD858" s="121"/>
      <c r="CE858" s="121"/>
      <c r="CF858" s="121"/>
      <c r="CG858" s="121"/>
      <c r="CH858" s="121"/>
      <c r="CI858" s="121"/>
      <c r="CJ858" s="121"/>
      <c r="CK858" s="121"/>
      <c r="CL858" s="121"/>
      <c r="CM858" s="121"/>
      <c r="CN858" s="121"/>
      <c r="CO858" s="121"/>
      <c r="CP858" s="121"/>
      <c r="CQ858" s="121"/>
      <c r="CR858" s="121"/>
      <c r="CS858" s="121"/>
      <c r="CT858" s="121"/>
      <c r="CU858" s="121"/>
      <c r="CV858" s="121"/>
      <c r="CW858" s="121"/>
      <c r="CX858" s="121"/>
      <c r="CY858" s="121"/>
      <c r="CZ858" s="121"/>
      <c r="DA858" s="121"/>
      <c r="DB858" s="121"/>
      <c r="DC858" s="121"/>
      <c r="DD858" s="121"/>
      <c r="DE858" s="121"/>
      <c r="DF858" s="121"/>
      <c r="DG858" s="121"/>
      <c r="DH858" s="121"/>
      <c r="DI858" s="121"/>
      <c r="DJ858" s="121"/>
      <c r="DK858" s="121"/>
      <c r="DL858" s="121"/>
      <c r="DM858" s="121"/>
      <c r="DN858" s="121"/>
      <c r="DO858" s="121"/>
      <c r="DP858" s="121"/>
      <c r="DQ858" s="121"/>
      <c r="DR858" s="121"/>
      <c r="DS858" s="121"/>
      <c r="DT858" s="240"/>
      <c r="DU858" s="240"/>
      <c r="DV858" s="240"/>
      <c r="DW858" s="240"/>
      <c r="DX858" s="240"/>
      <c r="DY858" s="240"/>
      <c r="DZ858" s="240"/>
      <c r="EA858" s="240"/>
      <c r="EB858" s="237">
        <f t="shared" si="104"/>
        <v>0</v>
      </c>
      <c r="EC858" s="237">
        <f t="shared" si="105"/>
        <v>0</v>
      </c>
      <c r="ED858" s="237">
        <f t="shared" si="106"/>
        <v>0</v>
      </c>
      <c r="EE858" s="237">
        <f t="shared" si="107"/>
        <v>0</v>
      </c>
      <c r="EF858" s="121"/>
      <c r="EG858" s="238">
        <f t="shared" si="108"/>
        <v>0</v>
      </c>
      <c r="EH858" s="121"/>
      <c r="EI858" s="237">
        <f t="shared" si="109"/>
        <v>0</v>
      </c>
      <c r="EJ858" s="121"/>
      <c r="EK858" s="237">
        <f t="shared" si="110"/>
        <v>0</v>
      </c>
      <c r="EL858" s="237"/>
      <c r="EM858" s="5"/>
      <c r="EN858" s="5"/>
      <c r="EO858" s="5"/>
      <c r="EP858" s="5"/>
      <c r="EQ858" s="237">
        <f t="shared" si="111"/>
        <v>0</v>
      </c>
      <c r="ER858" s="239">
        <v>23300</v>
      </c>
      <c r="ES858" s="5">
        <v>7.5</v>
      </c>
    </row>
    <row r="859" spans="1:149" x14ac:dyDescent="0.3">
      <c r="A859" s="124"/>
      <c r="B859" s="121"/>
      <c r="C859" s="121"/>
      <c r="D859" s="121"/>
      <c r="E859" s="121"/>
      <c r="F859" s="121"/>
      <c r="G859" s="121"/>
      <c r="H859" s="121"/>
      <c r="I859" s="121"/>
      <c r="J859" s="121"/>
      <c r="K859" s="121"/>
      <c r="L859" s="121"/>
      <c r="M859" s="121"/>
      <c r="N859" s="121"/>
      <c r="O859" s="235"/>
      <c r="P859" s="121"/>
      <c r="Q859" s="121"/>
      <c r="R859" s="121"/>
      <c r="S859" s="121"/>
      <c r="T859" s="121"/>
      <c r="U859" s="121"/>
      <c r="V859" s="121"/>
      <c r="W859" s="121"/>
      <c r="X859" s="117"/>
      <c r="Y859" s="117"/>
      <c r="Z859" s="121"/>
      <c r="AA859" s="121"/>
      <c r="AB859" s="121"/>
      <c r="AC859" s="121"/>
      <c r="AD859" s="121"/>
      <c r="AE859" s="121"/>
      <c r="AF859" s="121"/>
      <c r="AG859" s="121"/>
      <c r="AH859" s="121"/>
      <c r="AI859" s="121"/>
      <c r="AJ859" s="121"/>
      <c r="AK859" s="121"/>
      <c r="AL859" s="121"/>
      <c r="AM859" s="121"/>
      <c r="AN859" s="121"/>
      <c r="AO859" s="121"/>
      <c r="AP859" s="121"/>
      <c r="AQ859" s="121"/>
      <c r="AR859" s="121"/>
      <c r="AS859" s="121"/>
      <c r="AT859" s="121"/>
      <c r="AU859" s="121"/>
      <c r="AV859" s="121"/>
      <c r="AW859" s="121"/>
      <c r="AX859" s="121"/>
      <c r="AY859" s="121"/>
      <c r="AZ859" s="121"/>
      <c r="BA859" s="121"/>
      <c r="BB859" s="121"/>
      <c r="BC859" s="121"/>
      <c r="BD859" s="121"/>
      <c r="BE859" s="121"/>
      <c r="BF859" s="121"/>
      <c r="BG859" s="121"/>
      <c r="BH859" s="121"/>
      <c r="BI859" s="121"/>
      <c r="BJ859" s="121"/>
      <c r="BK859" s="121"/>
      <c r="BL859" s="121"/>
      <c r="BM859" s="121"/>
      <c r="BN859" s="121"/>
      <c r="BO859" s="121"/>
      <c r="BP859" s="121"/>
      <c r="BQ859" s="121"/>
      <c r="BR859" s="121"/>
      <c r="BS859" s="121"/>
      <c r="BT859" s="121"/>
      <c r="BU859" s="121"/>
      <c r="BV859" s="121"/>
      <c r="BW859" s="121"/>
      <c r="BX859" s="121"/>
      <c r="BY859" s="121"/>
      <c r="BZ859" s="121"/>
      <c r="CA859" s="121"/>
      <c r="CB859" s="121"/>
      <c r="CC859" s="121"/>
      <c r="CD859" s="121"/>
      <c r="CE859" s="121"/>
      <c r="CF859" s="121"/>
      <c r="CG859" s="121"/>
      <c r="CH859" s="121"/>
      <c r="CI859" s="121"/>
      <c r="CJ859" s="121"/>
      <c r="CK859" s="121"/>
      <c r="CL859" s="121"/>
      <c r="CM859" s="121"/>
      <c r="CN859" s="121"/>
      <c r="CO859" s="121"/>
      <c r="CP859" s="121"/>
      <c r="CQ859" s="121"/>
      <c r="CR859" s="121"/>
      <c r="CS859" s="121"/>
      <c r="CT859" s="121"/>
      <c r="CU859" s="121"/>
      <c r="CV859" s="121"/>
      <c r="CW859" s="121"/>
      <c r="CX859" s="121"/>
      <c r="CY859" s="121"/>
      <c r="CZ859" s="121"/>
      <c r="DA859" s="121"/>
      <c r="DB859" s="121"/>
      <c r="DC859" s="121"/>
      <c r="DD859" s="121"/>
      <c r="DE859" s="121"/>
      <c r="DF859" s="121"/>
      <c r="DG859" s="121"/>
      <c r="DH859" s="121"/>
      <c r="DI859" s="121"/>
      <c r="DJ859" s="121"/>
      <c r="DK859" s="121"/>
      <c r="DL859" s="121"/>
      <c r="DM859" s="121"/>
      <c r="DN859" s="121"/>
      <c r="DO859" s="121"/>
      <c r="DP859" s="121"/>
      <c r="DQ859" s="121"/>
      <c r="DR859" s="121"/>
      <c r="DS859" s="121"/>
      <c r="DT859" s="240"/>
      <c r="DU859" s="240"/>
      <c r="DV859" s="240"/>
      <c r="DW859" s="240"/>
      <c r="DX859" s="240"/>
      <c r="DY859" s="240"/>
      <c r="DZ859" s="240"/>
      <c r="EA859" s="240"/>
      <c r="EB859" s="237">
        <f t="shared" si="104"/>
        <v>0</v>
      </c>
      <c r="EC859" s="237">
        <f t="shared" si="105"/>
        <v>0</v>
      </c>
      <c r="ED859" s="237">
        <f t="shared" si="106"/>
        <v>0</v>
      </c>
      <c r="EE859" s="237">
        <f t="shared" si="107"/>
        <v>0</v>
      </c>
      <c r="EF859" s="121"/>
      <c r="EG859" s="238">
        <f t="shared" si="108"/>
        <v>0</v>
      </c>
      <c r="EH859" s="121"/>
      <c r="EI859" s="237">
        <f t="shared" si="109"/>
        <v>0</v>
      </c>
      <c r="EJ859" s="121"/>
      <c r="EK859" s="237">
        <f t="shared" si="110"/>
        <v>0</v>
      </c>
      <c r="EL859" s="237"/>
      <c r="EM859" s="5"/>
      <c r="EN859" s="5"/>
      <c r="EO859" s="5"/>
      <c r="EP859" s="5"/>
      <c r="EQ859" s="237">
        <f t="shared" si="111"/>
        <v>0</v>
      </c>
      <c r="ER859" s="239">
        <v>23300</v>
      </c>
      <c r="ES859" s="5">
        <v>7.5</v>
      </c>
    </row>
    <row r="860" spans="1:149" x14ac:dyDescent="0.3">
      <c r="A860" s="124"/>
      <c r="B860" s="121"/>
      <c r="C860" s="121"/>
      <c r="D860" s="121"/>
      <c r="E860" s="121"/>
      <c r="F860" s="121"/>
      <c r="G860" s="121"/>
      <c r="H860" s="121"/>
      <c r="I860" s="121"/>
      <c r="J860" s="121"/>
      <c r="K860" s="121"/>
      <c r="L860" s="121"/>
      <c r="M860" s="121"/>
      <c r="N860" s="121"/>
      <c r="O860" s="235"/>
      <c r="P860" s="121"/>
      <c r="Q860" s="121"/>
      <c r="R860" s="121"/>
      <c r="S860" s="121"/>
      <c r="T860" s="121"/>
      <c r="U860" s="121"/>
      <c r="V860" s="121"/>
      <c r="W860" s="121"/>
      <c r="X860" s="117"/>
      <c r="Y860" s="117"/>
      <c r="Z860" s="121"/>
      <c r="AA860" s="121"/>
      <c r="AB860" s="121"/>
      <c r="AC860" s="121"/>
      <c r="AD860" s="121"/>
      <c r="AE860" s="121"/>
      <c r="AF860" s="121"/>
      <c r="AG860" s="121"/>
      <c r="AH860" s="121"/>
      <c r="AI860" s="121"/>
      <c r="AJ860" s="121"/>
      <c r="AK860" s="121"/>
      <c r="AL860" s="121"/>
      <c r="AM860" s="121"/>
      <c r="AN860" s="121"/>
      <c r="AO860" s="121"/>
      <c r="AP860" s="121"/>
      <c r="AQ860" s="121"/>
      <c r="AR860" s="121"/>
      <c r="AS860" s="121"/>
      <c r="AT860" s="121"/>
      <c r="AU860" s="121"/>
      <c r="AV860" s="121"/>
      <c r="AW860" s="121"/>
      <c r="AX860" s="121"/>
      <c r="AY860" s="121"/>
      <c r="AZ860" s="121"/>
      <c r="BA860" s="121"/>
      <c r="BB860" s="121"/>
      <c r="BC860" s="121"/>
      <c r="BD860" s="121"/>
      <c r="BE860" s="121"/>
      <c r="BF860" s="121"/>
      <c r="BG860" s="121"/>
      <c r="BH860" s="121"/>
      <c r="BI860" s="121"/>
      <c r="BJ860" s="121"/>
      <c r="BK860" s="121"/>
      <c r="BL860" s="121"/>
      <c r="BM860" s="121"/>
      <c r="BN860" s="121"/>
      <c r="BO860" s="121"/>
      <c r="BP860" s="121"/>
      <c r="BQ860" s="121"/>
      <c r="BR860" s="121"/>
      <c r="BS860" s="121"/>
      <c r="BT860" s="121"/>
      <c r="BU860" s="121"/>
      <c r="BV860" s="121"/>
      <c r="BW860" s="121"/>
      <c r="BX860" s="121"/>
      <c r="BY860" s="121"/>
      <c r="BZ860" s="121"/>
      <c r="CA860" s="121"/>
      <c r="CB860" s="121"/>
      <c r="CC860" s="121"/>
      <c r="CD860" s="121"/>
      <c r="CE860" s="121"/>
      <c r="CF860" s="121"/>
      <c r="CG860" s="121"/>
      <c r="CH860" s="121"/>
      <c r="CI860" s="121"/>
      <c r="CJ860" s="121"/>
      <c r="CK860" s="121"/>
      <c r="CL860" s="121"/>
      <c r="CM860" s="121"/>
      <c r="CN860" s="121"/>
      <c r="CO860" s="121"/>
      <c r="CP860" s="121"/>
      <c r="CQ860" s="121"/>
      <c r="CR860" s="121"/>
      <c r="CS860" s="121"/>
      <c r="CT860" s="121"/>
      <c r="CU860" s="121"/>
      <c r="CV860" s="121"/>
      <c r="CW860" s="121"/>
      <c r="CX860" s="121"/>
      <c r="CY860" s="121"/>
      <c r="CZ860" s="121"/>
      <c r="DA860" s="121"/>
      <c r="DB860" s="121"/>
      <c r="DC860" s="121"/>
      <c r="DD860" s="121"/>
      <c r="DE860" s="121"/>
      <c r="DF860" s="121"/>
      <c r="DG860" s="121"/>
      <c r="DH860" s="121"/>
      <c r="DI860" s="121"/>
      <c r="DJ860" s="121"/>
      <c r="DK860" s="121"/>
      <c r="DL860" s="121"/>
      <c r="DM860" s="121"/>
      <c r="DN860" s="121"/>
      <c r="DO860" s="121"/>
      <c r="DP860" s="121"/>
      <c r="DQ860" s="121"/>
      <c r="DR860" s="121"/>
      <c r="DS860" s="121"/>
      <c r="DT860" s="240"/>
      <c r="DU860" s="240"/>
      <c r="DV860" s="240"/>
      <c r="DW860" s="240"/>
      <c r="DX860" s="240"/>
      <c r="DY860" s="240"/>
      <c r="DZ860" s="240"/>
      <c r="EA860" s="240"/>
      <c r="EB860" s="237">
        <f t="shared" si="104"/>
        <v>0</v>
      </c>
      <c r="EC860" s="237">
        <f t="shared" si="105"/>
        <v>0</v>
      </c>
      <c r="ED860" s="237">
        <f t="shared" si="106"/>
        <v>0</v>
      </c>
      <c r="EE860" s="237">
        <f t="shared" si="107"/>
        <v>0</v>
      </c>
      <c r="EF860" s="121"/>
      <c r="EG860" s="238">
        <f t="shared" si="108"/>
        <v>0</v>
      </c>
      <c r="EH860" s="121"/>
      <c r="EI860" s="237">
        <f t="shared" si="109"/>
        <v>0</v>
      </c>
      <c r="EJ860" s="121"/>
      <c r="EK860" s="237">
        <f t="shared" si="110"/>
        <v>0</v>
      </c>
      <c r="EL860" s="237"/>
      <c r="EM860" s="5"/>
      <c r="EN860" s="5"/>
      <c r="EO860" s="5"/>
      <c r="EP860" s="5"/>
      <c r="EQ860" s="237">
        <f t="shared" si="111"/>
        <v>0</v>
      </c>
      <c r="ER860" s="239">
        <v>23300</v>
      </c>
      <c r="ES860" s="5">
        <v>7.5</v>
      </c>
    </row>
    <row r="861" spans="1:149" x14ac:dyDescent="0.3">
      <c r="A861" s="124"/>
      <c r="B861" s="121"/>
      <c r="C861" s="121"/>
      <c r="D861" s="121"/>
      <c r="E861" s="121"/>
      <c r="F861" s="121"/>
      <c r="G861" s="121"/>
      <c r="H861" s="121"/>
      <c r="I861" s="121"/>
      <c r="J861" s="121"/>
      <c r="K861" s="121"/>
      <c r="L861" s="121"/>
      <c r="M861" s="121"/>
      <c r="N861" s="121"/>
      <c r="O861" s="235"/>
      <c r="P861" s="121"/>
      <c r="Q861" s="121"/>
      <c r="R861" s="121"/>
      <c r="S861" s="121"/>
      <c r="T861" s="121"/>
      <c r="U861" s="121"/>
      <c r="V861" s="121"/>
      <c r="W861" s="121"/>
      <c r="X861" s="117"/>
      <c r="Y861" s="117"/>
      <c r="Z861" s="121"/>
      <c r="AA861" s="121"/>
      <c r="AB861" s="121"/>
      <c r="AC861" s="121"/>
      <c r="AD861" s="121"/>
      <c r="AE861" s="121"/>
      <c r="AF861" s="121"/>
      <c r="AG861" s="121"/>
      <c r="AH861" s="121"/>
      <c r="AI861" s="121"/>
      <c r="AJ861" s="121"/>
      <c r="AK861" s="121"/>
      <c r="AL861" s="121"/>
      <c r="AM861" s="121"/>
      <c r="AN861" s="121"/>
      <c r="AO861" s="121"/>
      <c r="AP861" s="121"/>
      <c r="AQ861" s="121"/>
      <c r="AR861" s="121"/>
      <c r="AS861" s="121"/>
      <c r="AT861" s="121"/>
      <c r="AU861" s="121"/>
      <c r="AV861" s="121"/>
      <c r="AW861" s="121"/>
      <c r="AX861" s="121"/>
      <c r="AY861" s="121"/>
      <c r="AZ861" s="121"/>
      <c r="BA861" s="121"/>
      <c r="BB861" s="121"/>
      <c r="BC861" s="121"/>
      <c r="BD861" s="121"/>
      <c r="BE861" s="121"/>
      <c r="BF861" s="121"/>
      <c r="BG861" s="121"/>
      <c r="BH861" s="121"/>
      <c r="BI861" s="121"/>
      <c r="BJ861" s="121"/>
      <c r="BK861" s="121"/>
      <c r="BL861" s="121"/>
      <c r="BM861" s="121"/>
      <c r="BN861" s="121"/>
      <c r="BO861" s="121"/>
      <c r="BP861" s="121"/>
      <c r="BQ861" s="121"/>
      <c r="BR861" s="121"/>
      <c r="BS861" s="121"/>
      <c r="BT861" s="121"/>
      <c r="BU861" s="121"/>
      <c r="BV861" s="121"/>
      <c r="BW861" s="121"/>
      <c r="BX861" s="121"/>
      <c r="BY861" s="121"/>
      <c r="BZ861" s="121"/>
      <c r="CA861" s="121"/>
      <c r="CB861" s="121"/>
      <c r="CC861" s="121"/>
      <c r="CD861" s="121"/>
      <c r="CE861" s="121"/>
      <c r="CF861" s="121"/>
      <c r="CG861" s="121"/>
      <c r="CH861" s="121"/>
      <c r="CI861" s="121"/>
      <c r="CJ861" s="121"/>
      <c r="CK861" s="121"/>
      <c r="CL861" s="121"/>
      <c r="CM861" s="121"/>
      <c r="CN861" s="121"/>
      <c r="CO861" s="121"/>
      <c r="CP861" s="121"/>
      <c r="CQ861" s="121"/>
      <c r="CR861" s="121"/>
      <c r="CS861" s="121"/>
      <c r="CT861" s="121"/>
      <c r="CU861" s="121"/>
      <c r="CV861" s="121"/>
      <c r="CW861" s="121"/>
      <c r="CX861" s="121"/>
      <c r="CY861" s="121"/>
      <c r="CZ861" s="121"/>
      <c r="DA861" s="121"/>
      <c r="DB861" s="121"/>
      <c r="DC861" s="121"/>
      <c r="DD861" s="121"/>
      <c r="DE861" s="121"/>
      <c r="DF861" s="121"/>
      <c r="DG861" s="121"/>
      <c r="DH861" s="121"/>
      <c r="DI861" s="121"/>
      <c r="DJ861" s="121"/>
      <c r="DK861" s="121"/>
      <c r="DL861" s="121"/>
      <c r="DM861" s="121"/>
      <c r="DN861" s="121"/>
      <c r="DO861" s="121"/>
      <c r="DP861" s="121"/>
      <c r="DQ861" s="121"/>
      <c r="DR861" s="121"/>
      <c r="DS861" s="121"/>
      <c r="DT861" s="240"/>
      <c r="DU861" s="240"/>
      <c r="DV861" s="240"/>
      <c r="DW861" s="240"/>
      <c r="DX861" s="240"/>
      <c r="DY861" s="240"/>
      <c r="DZ861" s="240"/>
      <c r="EA861" s="240"/>
      <c r="EB861" s="237">
        <f t="shared" si="104"/>
        <v>0</v>
      </c>
      <c r="EC861" s="237">
        <f t="shared" si="105"/>
        <v>0</v>
      </c>
      <c r="ED861" s="237">
        <f t="shared" si="106"/>
        <v>0</v>
      </c>
      <c r="EE861" s="237">
        <f t="shared" si="107"/>
        <v>0</v>
      </c>
      <c r="EF861" s="121"/>
      <c r="EG861" s="238">
        <f t="shared" si="108"/>
        <v>0</v>
      </c>
      <c r="EH861" s="121"/>
      <c r="EI861" s="237">
        <f t="shared" si="109"/>
        <v>0</v>
      </c>
      <c r="EJ861" s="121"/>
      <c r="EK861" s="237">
        <f t="shared" si="110"/>
        <v>0</v>
      </c>
      <c r="EL861" s="237"/>
      <c r="EM861" s="5"/>
      <c r="EN861" s="5"/>
      <c r="EO861" s="5"/>
      <c r="EP861" s="5"/>
      <c r="EQ861" s="237">
        <f t="shared" si="111"/>
        <v>0</v>
      </c>
      <c r="ER861" s="239">
        <v>23300</v>
      </c>
      <c r="ES861" s="5">
        <v>7.5</v>
      </c>
    </row>
    <row r="862" spans="1:149" x14ac:dyDescent="0.3">
      <c r="A862" s="124"/>
      <c r="B862" s="121"/>
      <c r="C862" s="121"/>
      <c r="D862" s="121"/>
      <c r="E862" s="121"/>
      <c r="F862" s="121"/>
      <c r="G862" s="121"/>
      <c r="H862" s="121"/>
      <c r="I862" s="121"/>
      <c r="J862" s="121"/>
      <c r="K862" s="121"/>
      <c r="L862" s="121"/>
      <c r="M862" s="121"/>
      <c r="N862" s="121"/>
      <c r="O862" s="235"/>
      <c r="P862" s="121"/>
      <c r="Q862" s="121"/>
      <c r="R862" s="121"/>
      <c r="S862" s="121"/>
      <c r="T862" s="121"/>
      <c r="U862" s="121"/>
      <c r="V862" s="121"/>
      <c r="W862" s="121"/>
      <c r="X862" s="117"/>
      <c r="Y862" s="117"/>
      <c r="Z862" s="121"/>
      <c r="AA862" s="121"/>
      <c r="AB862" s="121"/>
      <c r="AC862" s="121"/>
      <c r="AD862" s="121"/>
      <c r="AE862" s="121"/>
      <c r="AF862" s="121"/>
      <c r="AG862" s="121"/>
      <c r="AH862" s="121"/>
      <c r="AI862" s="121"/>
      <c r="AJ862" s="121"/>
      <c r="AK862" s="121"/>
      <c r="AL862" s="121"/>
      <c r="AM862" s="121"/>
      <c r="AN862" s="121"/>
      <c r="AO862" s="121"/>
      <c r="AP862" s="121"/>
      <c r="AQ862" s="121"/>
      <c r="AR862" s="121"/>
      <c r="AS862" s="121"/>
      <c r="AT862" s="121"/>
      <c r="AU862" s="121"/>
      <c r="AV862" s="121"/>
      <c r="AW862" s="121"/>
      <c r="AX862" s="121"/>
      <c r="AY862" s="121"/>
      <c r="AZ862" s="121"/>
      <c r="BA862" s="121"/>
      <c r="BB862" s="121"/>
      <c r="BC862" s="121"/>
      <c r="BD862" s="121"/>
      <c r="BE862" s="121"/>
      <c r="BF862" s="121"/>
      <c r="BG862" s="121"/>
      <c r="BH862" s="121"/>
      <c r="BI862" s="121"/>
      <c r="BJ862" s="121"/>
      <c r="BK862" s="121"/>
      <c r="BL862" s="121"/>
      <c r="BM862" s="121"/>
      <c r="BN862" s="121"/>
      <c r="BO862" s="121"/>
      <c r="BP862" s="121"/>
      <c r="BQ862" s="121"/>
      <c r="BR862" s="121"/>
      <c r="BS862" s="121"/>
      <c r="BT862" s="121"/>
      <c r="BU862" s="121"/>
      <c r="BV862" s="121"/>
      <c r="BW862" s="121"/>
      <c r="BX862" s="121"/>
      <c r="BY862" s="121"/>
      <c r="BZ862" s="121"/>
      <c r="CA862" s="121"/>
      <c r="CB862" s="121"/>
      <c r="CC862" s="121"/>
      <c r="CD862" s="121"/>
      <c r="CE862" s="121"/>
      <c r="CF862" s="121"/>
      <c r="CG862" s="121"/>
      <c r="CH862" s="121"/>
      <c r="CI862" s="121"/>
      <c r="CJ862" s="121"/>
      <c r="CK862" s="121"/>
      <c r="CL862" s="121"/>
      <c r="CM862" s="121"/>
      <c r="CN862" s="121"/>
      <c r="CO862" s="121"/>
      <c r="CP862" s="121"/>
      <c r="CQ862" s="121"/>
      <c r="CR862" s="121"/>
      <c r="CS862" s="121"/>
      <c r="CT862" s="121"/>
      <c r="CU862" s="121"/>
      <c r="CV862" s="121"/>
      <c r="CW862" s="121"/>
      <c r="CX862" s="121"/>
      <c r="CY862" s="121"/>
      <c r="CZ862" s="121"/>
      <c r="DA862" s="121"/>
      <c r="DB862" s="121"/>
      <c r="DC862" s="121"/>
      <c r="DD862" s="121"/>
      <c r="DE862" s="121"/>
      <c r="DF862" s="121"/>
      <c r="DG862" s="121"/>
      <c r="DH862" s="121"/>
      <c r="DI862" s="121"/>
      <c r="DJ862" s="121"/>
      <c r="DK862" s="121"/>
      <c r="DL862" s="121"/>
      <c r="DM862" s="121"/>
      <c r="DN862" s="121"/>
      <c r="DO862" s="121"/>
      <c r="DP862" s="121"/>
      <c r="DQ862" s="121"/>
      <c r="DR862" s="121"/>
      <c r="DS862" s="121"/>
      <c r="DT862" s="240"/>
      <c r="DU862" s="240"/>
      <c r="DV862" s="240"/>
      <c r="DW862" s="240"/>
      <c r="DX862" s="240"/>
      <c r="DY862" s="240"/>
      <c r="DZ862" s="240"/>
      <c r="EA862" s="240"/>
      <c r="EB862" s="237">
        <f t="shared" si="104"/>
        <v>0</v>
      </c>
      <c r="EC862" s="237">
        <f t="shared" si="105"/>
        <v>0</v>
      </c>
      <c r="ED862" s="237">
        <f t="shared" si="106"/>
        <v>0</v>
      </c>
      <c r="EE862" s="237">
        <f t="shared" si="107"/>
        <v>0</v>
      </c>
      <c r="EF862" s="121"/>
      <c r="EG862" s="238">
        <f t="shared" si="108"/>
        <v>0</v>
      </c>
      <c r="EH862" s="121"/>
      <c r="EI862" s="237">
        <f t="shared" si="109"/>
        <v>0</v>
      </c>
      <c r="EJ862" s="121"/>
      <c r="EK862" s="237">
        <f t="shared" si="110"/>
        <v>0</v>
      </c>
      <c r="EL862" s="237"/>
      <c r="EM862" s="5"/>
      <c r="EN862" s="5"/>
      <c r="EO862" s="5"/>
      <c r="EP862" s="5"/>
      <c r="EQ862" s="237">
        <f t="shared" si="111"/>
        <v>0</v>
      </c>
      <c r="ER862" s="239">
        <v>23300</v>
      </c>
      <c r="ES862" s="5">
        <v>7.5</v>
      </c>
    </row>
    <row r="863" spans="1:149" x14ac:dyDescent="0.3">
      <c r="A863" s="124"/>
      <c r="B863" s="121"/>
      <c r="C863" s="121"/>
      <c r="D863" s="121"/>
      <c r="E863" s="121"/>
      <c r="F863" s="121"/>
      <c r="G863" s="121"/>
      <c r="H863" s="121"/>
      <c r="I863" s="121"/>
      <c r="J863" s="121"/>
      <c r="K863" s="121"/>
      <c r="L863" s="121"/>
      <c r="M863" s="121"/>
      <c r="N863" s="121"/>
      <c r="O863" s="235"/>
      <c r="P863" s="121"/>
      <c r="Q863" s="121"/>
      <c r="R863" s="121"/>
      <c r="S863" s="121"/>
      <c r="T863" s="121"/>
      <c r="U863" s="121"/>
      <c r="V863" s="121"/>
      <c r="W863" s="121"/>
      <c r="X863" s="117"/>
      <c r="Y863" s="117"/>
      <c r="Z863" s="121"/>
      <c r="AA863" s="121"/>
      <c r="AB863" s="121"/>
      <c r="AC863" s="121"/>
      <c r="AD863" s="121"/>
      <c r="AE863" s="121"/>
      <c r="AF863" s="121"/>
      <c r="AG863" s="121"/>
      <c r="AH863" s="121"/>
      <c r="AI863" s="121"/>
      <c r="AJ863" s="121"/>
      <c r="AK863" s="121"/>
      <c r="AL863" s="121"/>
      <c r="AM863" s="121"/>
      <c r="AN863" s="121"/>
      <c r="AO863" s="121"/>
      <c r="AP863" s="121"/>
      <c r="AQ863" s="121"/>
      <c r="AR863" s="121"/>
      <c r="AS863" s="121"/>
      <c r="AT863" s="121"/>
      <c r="AU863" s="121"/>
      <c r="AV863" s="121"/>
      <c r="AW863" s="121"/>
      <c r="AX863" s="121"/>
      <c r="AY863" s="121"/>
      <c r="AZ863" s="121"/>
      <c r="BA863" s="121"/>
      <c r="BB863" s="121"/>
      <c r="BC863" s="121"/>
      <c r="BD863" s="121"/>
      <c r="BE863" s="121"/>
      <c r="BF863" s="121"/>
      <c r="BG863" s="121"/>
      <c r="BH863" s="121"/>
      <c r="BI863" s="121"/>
      <c r="BJ863" s="121"/>
      <c r="BK863" s="121"/>
      <c r="BL863" s="121"/>
      <c r="BM863" s="121"/>
      <c r="BN863" s="121"/>
      <c r="BO863" s="121"/>
      <c r="BP863" s="121"/>
      <c r="BQ863" s="121"/>
      <c r="BR863" s="121"/>
      <c r="BS863" s="121"/>
      <c r="BT863" s="121"/>
      <c r="BU863" s="121"/>
      <c r="BV863" s="121"/>
      <c r="BW863" s="121"/>
      <c r="BX863" s="121"/>
      <c r="BY863" s="121"/>
      <c r="BZ863" s="121"/>
      <c r="CA863" s="121"/>
      <c r="CB863" s="121"/>
      <c r="CC863" s="121"/>
      <c r="CD863" s="121"/>
      <c r="CE863" s="121"/>
      <c r="CF863" s="121"/>
      <c r="CG863" s="121"/>
      <c r="CH863" s="121"/>
      <c r="CI863" s="121"/>
      <c r="CJ863" s="121"/>
      <c r="CK863" s="121"/>
      <c r="CL863" s="121"/>
      <c r="CM863" s="121"/>
      <c r="CN863" s="121"/>
      <c r="CO863" s="121"/>
      <c r="CP863" s="121"/>
      <c r="CQ863" s="121"/>
      <c r="CR863" s="121"/>
      <c r="CS863" s="121"/>
      <c r="CT863" s="121"/>
      <c r="CU863" s="121"/>
      <c r="CV863" s="121"/>
      <c r="CW863" s="121"/>
      <c r="CX863" s="121"/>
      <c r="CY863" s="121"/>
      <c r="CZ863" s="121"/>
      <c r="DA863" s="121"/>
      <c r="DB863" s="121"/>
      <c r="DC863" s="121"/>
      <c r="DD863" s="121"/>
      <c r="DE863" s="121"/>
      <c r="DF863" s="121"/>
      <c r="DG863" s="121"/>
      <c r="DH863" s="121"/>
      <c r="DI863" s="121"/>
      <c r="DJ863" s="121"/>
      <c r="DK863" s="121"/>
      <c r="DL863" s="121"/>
      <c r="DM863" s="121"/>
      <c r="DN863" s="121"/>
      <c r="DO863" s="121"/>
      <c r="DP863" s="121"/>
      <c r="DQ863" s="121"/>
      <c r="DR863" s="121"/>
      <c r="DS863" s="121"/>
      <c r="DT863" s="240"/>
      <c r="DU863" s="240"/>
      <c r="DV863" s="240"/>
      <c r="DW863" s="240"/>
      <c r="DX863" s="240"/>
      <c r="DY863" s="240"/>
      <c r="DZ863" s="240"/>
      <c r="EA863" s="240"/>
      <c r="EB863" s="237">
        <f t="shared" si="104"/>
        <v>0</v>
      </c>
      <c r="EC863" s="237">
        <f t="shared" si="105"/>
        <v>0</v>
      </c>
      <c r="ED863" s="237">
        <f t="shared" si="106"/>
        <v>0</v>
      </c>
      <c r="EE863" s="237">
        <f t="shared" si="107"/>
        <v>0</v>
      </c>
      <c r="EF863" s="121"/>
      <c r="EG863" s="238">
        <f t="shared" si="108"/>
        <v>0</v>
      </c>
      <c r="EH863" s="121"/>
      <c r="EI863" s="237">
        <f t="shared" si="109"/>
        <v>0</v>
      </c>
      <c r="EJ863" s="121"/>
      <c r="EK863" s="237">
        <f t="shared" si="110"/>
        <v>0</v>
      </c>
      <c r="EL863" s="237"/>
      <c r="EM863" s="5"/>
      <c r="EN863" s="5"/>
      <c r="EO863" s="5"/>
      <c r="EP863" s="5"/>
      <c r="EQ863" s="237">
        <f t="shared" si="111"/>
        <v>0</v>
      </c>
      <c r="ER863" s="239">
        <v>23300</v>
      </c>
      <c r="ES863" s="5">
        <v>7.5</v>
      </c>
    </row>
    <row r="864" spans="1:149" x14ac:dyDescent="0.3">
      <c r="A864" s="124"/>
      <c r="B864" s="121"/>
      <c r="C864" s="121"/>
      <c r="D864" s="121"/>
      <c r="E864" s="121"/>
      <c r="F864" s="121"/>
      <c r="G864" s="121"/>
      <c r="H864" s="121"/>
      <c r="I864" s="121"/>
      <c r="J864" s="121"/>
      <c r="K864" s="121"/>
      <c r="L864" s="121"/>
      <c r="M864" s="121"/>
      <c r="N864" s="121"/>
      <c r="O864" s="235"/>
      <c r="P864" s="121"/>
      <c r="Q864" s="121"/>
      <c r="R864" s="121"/>
      <c r="S864" s="121"/>
      <c r="T864" s="121"/>
      <c r="U864" s="121"/>
      <c r="V864" s="121"/>
      <c r="W864" s="121"/>
      <c r="X864" s="117"/>
      <c r="Y864" s="117"/>
      <c r="Z864" s="121"/>
      <c r="AA864" s="121"/>
      <c r="AB864" s="121"/>
      <c r="AC864" s="121"/>
      <c r="AD864" s="121"/>
      <c r="AE864" s="121"/>
      <c r="AF864" s="121"/>
      <c r="AG864" s="121"/>
      <c r="AH864" s="121"/>
      <c r="AI864" s="121"/>
      <c r="AJ864" s="121"/>
      <c r="AK864" s="121"/>
      <c r="AL864" s="121"/>
      <c r="AM864" s="121"/>
      <c r="AN864" s="121"/>
      <c r="AO864" s="121"/>
      <c r="AP864" s="121"/>
      <c r="AQ864" s="121"/>
      <c r="AR864" s="121"/>
      <c r="AS864" s="121"/>
      <c r="AT864" s="121"/>
      <c r="AU864" s="121"/>
      <c r="AV864" s="121"/>
      <c r="AW864" s="121"/>
      <c r="AX864" s="121"/>
      <c r="AY864" s="121"/>
      <c r="AZ864" s="121"/>
      <c r="BA864" s="121"/>
      <c r="BB864" s="121"/>
      <c r="BC864" s="121"/>
      <c r="BD864" s="121"/>
      <c r="BE864" s="121"/>
      <c r="BF864" s="121"/>
      <c r="BG864" s="121"/>
      <c r="BH864" s="121"/>
      <c r="BI864" s="121"/>
      <c r="BJ864" s="121"/>
      <c r="BK864" s="121"/>
      <c r="BL864" s="121"/>
      <c r="BM864" s="121"/>
      <c r="BN864" s="121"/>
      <c r="BO864" s="121"/>
      <c r="BP864" s="121"/>
      <c r="BQ864" s="121"/>
      <c r="BR864" s="121"/>
      <c r="BS864" s="121"/>
      <c r="BT864" s="121"/>
      <c r="BU864" s="121"/>
      <c r="BV864" s="121"/>
      <c r="BW864" s="121"/>
      <c r="BX864" s="121"/>
      <c r="BY864" s="121"/>
      <c r="BZ864" s="121"/>
      <c r="CA864" s="121"/>
      <c r="CB864" s="121"/>
      <c r="CC864" s="121"/>
      <c r="CD864" s="121"/>
      <c r="CE864" s="121"/>
      <c r="CF864" s="121"/>
      <c r="CG864" s="121"/>
      <c r="CH864" s="121"/>
      <c r="CI864" s="121"/>
      <c r="CJ864" s="121"/>
      <c r="CK864" s="121"/>
      <c r="CL864" s="121"/>
      <c r="CM864" s="121"/>
      <c r="CN864" s="121"/>
      <c r="CO864" s="121"/>
      <c r="CP864" s="121"/>
      <c r="CQ864" s="121"/>
      <c r="CR864" s="121"/>
      <c r="CS864" s="121"/>
      <c r="CT864" s="121"/>
      <c r="CU864" s="121"/>
      <c r="CV864" s="121"/>
      <c r="CW864" s="121"/>
      <c r="CX864" s="121"/>
      <c r="CY864" s="121"/>
      <c r="CZ864" s="121"/>
      <c r="DA864" s="121"/>
      <c r="DB864" s="121"/>
      <c r="DC864" s="121"/>
      <c r="DD864" s="121"/>
      <c r="DE864" s="121"/>
      <c r="DF864" s="121"/>
      <c r="DG864" s="121"/>
      <c r="DH864" s="121"/>
      <c r="DI864" s="121"/>
      <c r="DJ864" s="121"/>
      <c r="DK864" s="121"/>
      <c r="DL864" s="121"/>
      <c r="DM864" s="121"/>
      <c r="DN864" s="121"/>
      <c r="DO864" s="121"/>
      <c r="DP864" s="121"/>
      <c r="DQ864" s="121"/>
      <c r="DR864" s="121"/>
      <c r="DS864" s="121"/>
      <c r="DT864" s="240"/>
      <c r="DU864" s="240"/>
      <c r="DV864" s="240"/>
      <c r="DW864" s="240"/>
      <c r="DX864" s="240"/>
      <c r="DY864" s="240"/>
      <c r="DZ864" s="240"/>
      <c r="EA864" s="240"/>
      <c r="EB864" s="237">
        <f t="shared" si="104"/>
        <v>0</v>
      </c>
      <c r="EC864" s="237">
        <f t="shared" si="105"/>
        <v>0</v>
      </c>
      <c r="ED864" s="237">
        <f t="shared" si="106"/>
        <v>0</v>
      </c>
      <c r="EE864" s="237">
        <f t="shared" si="107"/>
        <v>0</v>
      </c>
      <c r="EF864" s="121"/>
      <c r="EG864" s="238">
        <f t="shared" si="108"/>
        <v>0</v>
      </c>
      <c r="EH864" s="121"/>
      <c r="EI864" s="237">
        <f t="shared" si="109"/>
        <v>0</v>
      </c>
      <c r="EJ864" s="121"/>
      <c r="EK864" s="237">
        <f t="shared" si="110"/>
        <v>0</v>
      </c>
      <c r="EL864" s="237"/>
      <c r="EM864" s="5"/>
      <c r="EN864" s="5"/>
      <c r="EO864" s="5"/>
      <c r="EP864" s="5"/>
      <c r="EQ864" s="237">
        <f t="shared" si="111"/>
        <v>0</v>
      </c>
      <c r="ER864" s="239">
        <v>23300</v>
      </c>
      <c r="ES864" s="5">
        <v>7.5</v>
      </c>
    </row>
    <row r="865" spans="1:149" x14ac:dyDescent="0.3">
      <c r="A865" s="124"/>
      <c r="B865" s="121"/>
      <c r="C865" s="121"/>
      <c r="D865" s="121"/>
      <c r="E865" s="121"/>
      <c r="F865" s="121"/>
      <c r="G865" s="121"/>
      <c r="H865" s="121"/>
      <c r="I865" s="121"/>
      <c r="J865" s="121"/>
      <c r="K865" s="121"/>
      <c r="L865" s="121"/>
      <c r="M865" s="121"/>
      <c r="N865" s="121"/>
      <c r="O865" s="235"/>
      <c r="P865" s="121"/>
      <c r="Q865" s="121"/>
      <c r="R865" s="121"/>
      <c r="S865" s="121"/>
      <c r="T865" s="121"/>
      <c r="U865" s="121"/>
      <c r="V865" s="121"/>
      <c r="W865" s="121"/>
      <c r="X865" s="117"/>
      <c r="Y865" s="117"/>
      <c r="Z865" s="121"/>
      <c r="AA865" s="121"/>
      <c r="AB865" s="121"/>
      <c r="AC865" s="121"/>
      <c r="AD865" s="121"/>
      <c r="AE865" s="121"/>
      <c r="AF865" s="121"/>
      <c r="AG865" s="121"/>
      <c r="AH865" s="121"/>
      <c r="AI865" s="121"/>
      <c r="AJ865" s="121"/>
      <c r="AK865" s="121"/>
      <c r="AL865" s="121"/>
      <c r="AM865" s="121"/>
      <c r="AN865" s="121"/>
      <c r="AO865" s="121"/>
      <c r="AP865" s="121"/>
      <c r="AQ865" s="121"/>
      <c r="AR865" s="121"/>
      <c r="AS865" s="121"/>
      <c r="AT865" s="121"/>
      <c r="AU865" s="121"/>
      <c r="AV865" s="121"/>
      <c r="AW865" s="121"/>
      <c r="AX865" s="121"/>
      <c r="AY865" s="121"/>
      <c r="AZ865" s="121"/>
      <c r="BA865" s="121"/>
      <c r="BB865" s="121"/>
      <c r="BC865" s="121"/>
      <c r="BD865" s="121"/>
      <c r="BE865" s="121"/>
      <c r="BF865" s="121"/>
      <c r="BG865" s="121"/>
      <c r="BH865" s="121"/>
      <c r="BI865" s="121"/>
      <c r="BJ865" s="121"/>
      <c r="BK865" s="121"/>
      <c r="BL865" s="121"/>
      <c r="BM865" s="121"/>
      <c r="BN865" s="121"/>
      <c r="BO865" s="121"/>
      <c r="BP865" s="121"/>
      <c r="BQ865" s="121"/>
      <c r="BR865" s="121"/>
      <c r="BS865" s="121"/>
      <c r="BT865" s="121"/>
      <c r="BU865" s="121"/>
      <c r="BV865" s="121"/>
      <c r="BW865" s="121"/>
      <c r="BX865" s="121"/>
      <c r="BY865" s="121"/>
      <c r="BZ865" s="121"/>
      <c r="CA865" s="121"/>
      <c r="CB865" s="121"/>
      <c r="CC865" s="121"/>
      <c r="CD865" s="121"/>
      <c r="CE865" s="121"/>
      <c r="CF865" s="121"/>
      <c r="CG865" s="121"/>
      <c r="CH865" s="121"/>
      <c r="CI865" s="121"/>
      <c r="CJ865" s="121"/>
      <c r="CK865" s="121"/>
      <c r="CL865" s="121"/>
      <c r="CM865" s="121"/>
      <c r="CN865" s="121"/>
      <c r="CO865" s="121"/>
      <c r="CP865" s="121"/>
      <c r="CQ865" s="121"/>
      <c r="CR865" s="121"/>
      <c r="CS865" s="121"/>
      <c r="CT865" s="121"/>
      <c r="CU865" s="121"/>
      <c r="CV865" s="121"/>
      <c r="CW865" s="121"/>
      <c r="CX865" s="121"/>
      <c r="CY865" s="121"/>
      <c r="CZ865" s="121"/>
      <c r="DA865" s="121"/>
      <c r="DB865" s="121"/>
      <c r="DC865" s="121"/>
      <c r="DD865" s="121"/>
      <c r="DE865" s="121"/>
      <c r="DF865" s="121"/>
      <c r="DG865" s="121"/>
      <c r="DH865" s="121"/>
      <c r="DI865" s="121"/>
      <c r="DJ865" s="121"/>
      <c r="DK865" s="121"/>
      <c r="DL865" s="121"/>
      <c r="DM865" s="121"/>
      <c r="DN865" s="121"/>
      <c r="DO865" s="121"/>
      <c r="DP865" s="121"/>
      <c r="DQ865" s="121"/>
      <c r="DR865" s="121"/>
      <c r="DS865" s="121"/>
      <c r="DT865" s="240"/>
      <c r="DU865" s="240"/>
      <c r="DV865" s="240"/>
      <c r="DW865" s="240"/>
      <c r="DX865" s="240"/>
      <c r="DY865" s="240"/>
      <c r="DZ865" s="240"/>
      <c r="EA865" s="240"/>
      <c r="EB865" s="237">
        <f t="shared" si="104"/>
        <v>0</v>
      </c>
      <c r="EC865" s="237">
        <f t="shared" si="105"/>
        <v>0</v>
      </c>
      <c r="ED865" s="237">
        <f t="shared" si="106"/>
        <v>0</v>
      </c>
      <c r="EE865" s="237">
        <f t="shared" si="107"/>
        <v>0</v>
      </c>
      <c r="EF865" s="121"/>
      <c r="EG865" s="238">
        <f t="shared" si="108"/>
        <v>0</v>
      </c>
      <c r="EH865" s="121"/>
      <c r="EI865" s="237">
        <f t="shared" si="109"/>
        <v>0</v>
      </c>
      <c r="EJ865" s="121"/>
      <c r="EK865" s="237">
        <f t="shared" si="110"/>
        <v>0</v>
      </c>
      <c r="EL865" s="237"/>
      <c r="EM865" s="5"/>
      <c r="EN865" s="5"/>
      <c r="EO865" s="5"/>
      <c r="EP865" s="5"/>
      <c r="EQ865" s="237">
        <f t="shared" si="111"/>
        <v>0</v>
      </c>
      <c r="ER865" s="239">
        <v>23300</v>
      </c>
      <c r="ES865" s="5">
        <v>7.5</v>
      </c>
    </row>
    <row r="866" spans="1:149" x14ac:dyDescent="0.3">
      <c r="A866" s="124"/>
      <c r="B866" s="121"/>
      <c r="C866" s="121"/>
      <c r="D866" s="121"/>
      <c r="E866" s="121"/>
      <c r="F866" s="121"/>
      <c r="G866" s="121"/>
      <c r="H866" s="121"/>
      <c r="I866" s="121"/>
      <c r="J866" s="121"/>
      <c r="K866" s="121"/>
      <c r="L866" s="121"/>
      <c r="M866" s="121"/>
      <c r="N866" s="121"/>
      <c r="O866" s="235"/>
      <c r="P866" s="121"/>
      <c r="Q866" s="121"/>
      <c r="R866" s="121"/>
      <c r="S866" s="121"/>
      <c r="T866" s="121"/>
      <c r="U866" s="121"/>
      <c r="V866" s="121"/>
      <c r="W866" s="121"/>
      <c r="X866" s="117"/>
      <c r="Y866" s="117"/>
      <c r="Z866" s="121"/>
      <c r="AA866" s="121"/>
      <c r="AB866" s="121"/>
      <c r="AC866" s="121"/>
      <c r="AD866" s="121"/>
      <c r="AE866" s="121"/>
      <c r="AF866" s="121"/>
      <c r="AG866" s="121"/>
      <c r="AH866" s="121"/>
      <c r="AI866" s="121"/>
      <c r="AJ866" s="121"/>
      <c r="AK866" s="121"/>
      <c r="AL866" s="121"/>
      <c r="AM866" s="121"/>
      <c r="AN866" s="121"/>
      <c r="AO866" s="121"/>
      <c r="AP866" s="121"/>
      <c r="AQ866" s="121"/>
      <c r="AR866" s="121"/>
      <c r="AS866" s="121"/>
      <c r="AT866" s="121"/>
      <c r="AU866" s="121"/>
      <c r="AV866" s="121"/>
      <c r="AW866" s="121"/>
      <c r="AX866" s="121"/>
      <c r="AY866" s="121"/>
      <c r="AZ866" s="121"/>
      <c r="BA866" s="121"/>
      <c r="BB866" s="121"/>
      <c r="BC866" s="121"/>
      <c r="BD866" s="121"/>
      <c r="BE866" s="121"/>
      <c r="BF866" s="121"/>
      <c r="BG866" s="121"/>
      <c r="BH866" s="121"/>
      <c r="BI866" s="121"/>
      <c r="BJ866" s="121"/>
      <c r="BK866" s="121"/>
      <c r="BL866" s="121"/>
      <c r="BM866" s="121"/>
      <c r="BN866" s="121"/>
      <c r="BO866" s="121"/>
      <c r="BP866" s="121"/>
      <c r="BQ866" s="121"/>
      <c r="BR866" s="121"/>
      <c r="BS866" s="121"/>
      <c r="BT866" s="121"/>
      <c r="BU866" s="121"/>
      <c r="BV866" s="121"/>
      <c r="BW866" s="121"/>
      <c r="BX866" s="121"/>
      <c r="BY866" s="121"/>
      <c r="BZ866" s="121"/>
      <c r="CA866" s="121"/>
      <c r="CB866" s="121"/>
      <c r="CC866" s="121"/>
      <c r="CD866" s="121"/>
      <c r="CE866" s="121"/>
      <c r="CF866" s="121"/>
      <c r="CG866" s="121"/>
      <c r="CH866" s="121"/>
      <c r="CI866" s="121"/>
      <c r="CJ866" s="121"/>
      <c r="CK866" s="121"/>
      <c r="CL866" s="121"/>
      <c r="CM866" s="121"/>
      <c r="CN866" s="121"/>
      <c r="CO866" s="121"/>
      <c r="CP866" s="121"/>
      <c r="CQ866" s="121"/>
      <c r="CR866" s="121"/>
      <c r="CS866" s="121"/>
      <c r="CT866" s="121"/>
      <c r="CU866" s="121"/>
      <c r="CV866" s="121"/>
      <c r="CW866" s="121"/>
      <c r="CX866" s="121"/>
      <c r="CY866" s="121"/>
      <c r="CZ866" s="121"/>
      <c r="DA866" s="121"/>
      <c r="DB866" s="121"/>
      <c r="DC866" s="121"/>
      <c r="DD866" s="121"/>
      <c r="DE866" s="121"/>
      <c r="DF866" s="121"/>
      <c r="DG866" s="121"/>
      <c r="DH866" s="121"/>
      <c r="DI866" s="121"/>
      <c r="DJ866" s="121"/>
      <c r="DK866" s="121"/>
      <c r="DL866" s="121"/>
      <c r="DM866" s="121"/>
      <c r="DN866" s="121"/>
      <c r="DO866" s="121"/>
      <c r="DP866" s="121"/>
      <c r="DQ866" s="121"/>
      <c r="DR866" s="121"/>
      <c r="DS866" s="121"/>
      <c r="DT866" s="240"/>
      <c r="DU866" s="240"/>
      <c r="DV866" s="240"/>
      <c r="DW866" s="240"/>
      <c r="DX866" s="240"/>
      <c r="DY866" s="240"/>
      <c r="DZ866" s="240"/>
      <c r="EA866" s="240"/>
      <c r="EB866" s="237">
        <f t="shared" si="104"/>
        <v>0</v>
      </c>
      <c r="EC866" s="237">
        <f t="shared" si="105"/>
        <v>0</v>
      </c>
      <c r="ED866" s="237">
        <f t="shared" si="106"/>
        <v>0</v>
      </c>
      <c r="EE866" s="237">
        <f t="shared" si="107"/>
        <v>0</v>
      </c>
      <c r="EF866" s="121"/>
      <c r="EG866" s="238">
        <f t="shared" si="108"/>
        <v>0</v>
      </c>
      <c r="EH866" s="121"/>
      <c r="EI866" s="237">
        <f t="shared" si="109"/>
        <v>0</v>
      </c>
      <c r="EJ866" s="121"/>
      <c r="EK866" s="237">
        <f t="shared" si="110"/>
        <v>0</v>
      </c>
      <c r="EL866" s="237"/>
      <c r="EM866" s="5"/>
      <c r="EN866" s="5"/>
      <c r="EO866" s="5"/>
      <c r="EP866" s="5"/>
      <c r="EQ866" s="237">
        <f t="shared" si="111"/>
        <v>0</v>
      </c>
      <c r="ER866" s="239">
        <v>23300</v>
      </c>
      <c r="ES866" s="5">
        <v>7.5</v>
      </c>
    </row>
    <row r="867" spans="1:149" x14ac:dyDescent="0.3">
      <c r="A867" s="124"/>
      <c r="B867" s="121"/>
      <c r="C867" s="121"/>
      <c r="D867" s="121"/>
      <c r="E867" s="121"/>
      <c r="F867" s="121"/>
      <c r="G867" s="121"/>
      <c r="H867" s="121"/>
      <c r="I867" s="121"/>
      <c r="J867" s="121"/>
      <c r="K867" s="121"/>
      <c r="L867" s="121"/>
      <c r="M867" s="121"/>
      <c r="N867" s="121"/>
      <c r="O867" s="235"/>
      <c r="P867" s="121"/>
      <c r="Q867" s="121"/>
      <c r="R867" s="121"/>
      <c r="S867" s="121"/>
      <c r="T867" s="121"/>
      <c r="U867" s="121"/>
      <c r="V867" s="121"/>
      <c r="W867" s="121"/>
      <c r="X867" s="117"/>
      <c r="Y867" s="117"/>
      <c r="Z867" s="121"/>
      <c r="AA867" s="121"/>
      <c r="AB867" s="121"/>
      <c r="AC867" s="121"/>
      <c r="AD867" s="121"/>
      <c r="AE867" s="121"/>
      <c r="AF867" s="121"/>
      <c r="AG867" s="121"/>
      <c r="AH867" s="121"/>
      <c r="AI867" s="121"/>
      <c r="AJ867" s="121"/>
      <c r="AK867" s="121"/>
      <c r="AL867" s="121"/>
      <c r="AM867" s="121"/>
      <c r="AN867" s="121"/>
      <c r="AO867" s="121"/>
      <c r="AP867" s="121"/>
      <c r="AQ867" s="121"/>
      <c r="AR867" s="121"/>
      <c r="AS867" s="121"/>
      <c r="AT867" s="121"/>
      <c r="AU867" s="121"/>
      <c r="AV867" s="121"/>
      <c r="AW867" s="121"/>
      <c r="AX867" s="121"/>
      <c r="AY867" s="121"/>
      <c r="AZ867" s="121"/>
      <c r="BA867" s="121"/>
      <c r="BB867" s="121"/>
      <c r="BC867" s="121"/>
      <c r="BD867" s="121"/>
      <c r="BE867" s="121"/>
      <c r="BF867" s="121"/>
      <c r="BG867" s="121"/>
      <c r="BH867" s="121"/>
      <c r="BI867" s="121"/>
      <c r="BJ867" s="121"/>
      <c r="BK867" s="121"/>
      <c r="BL867" s="121"/>
      <c r="BM867" s="121"/>
      <c r="BN867" s="121"/>
      <c r="BO867" s="121"/>
      <c r="BP867" s="121"/>
      <c r="BQ867" s="121"/>
      <c r="BR867" s="121"/>
      <c r="BS867" s="121"/>
      <c r="BT867" s="121"/>
      <c r="BU867" s="121"/>
      <c r="BV867" s="121"/>
      <c r="BW867" s="121"/>
      <c r="BX867" s="121"/>
      <c r="BY867" s="121"/>
      <c r="BZ867" s="121"/>
      <c r="CA867" s="121"/>
      <c r="CB867" s="121"/>
      <c r="CC867" s="121"/>
      <c r="CD867" s="121"/>
      <c r="CE867" s="121"/>
      <c r="CF867" s="121"/>
      <c r="CG867" s="121"/>
      <c r="CH867" s="121"/>
      <c r="CI867" s="121"/>
      <c r="CJ867" s="121"/>
      <c r="CK867" s="121"/>
      <c r="CL867" s="121"/>
      <c r="CM867" s="121"/>
      <c r="CN867" s="121"/>
      <c r="CO867" s="121"/>
      <c r="CP867" s="121"/>
      <c r="CQ867" s="121"/>
      <c r="CR867" s="121"/>
      <c r="CS867" s="121"/>
      <c r="CT867" s="121"/>
      <c r="CU867" s="121"/>
      <c r="CV867" s="121"/>
      <c r="CW867" s="121"/>
      <c r="CX867" s="121"/>
      <c r="CY867" s="121"/>
      <c r="CZ867" s="121"/>
      <c r="DA867" s="121"/>
      <c r="DB867" s="121"/>
      <c r="DC867" s="121"/>
      <c r="DD867" s="121"/>
      <c r="DE867" s="121"/>
      <c r="DF867" s="121"/>
      <c r="DG867" s="121"/>
      <c r="DH867" s="121"/>
      <c r="DI867" s="121"/>
      <c r="DJ867" s="121"/>
      <c r="DK867" s="121"/>
      <c r="DL867" s="121"/>
      <c r="DM867" s="121"/>
      <c r="DN867" s="121"/>
      <c r="DO867" s="121"/>
      <c r="DP867" s="121"/>
      <c r="DQ867" s="121"/>
      <c r="DR867" s="121"/>
      <c r="DS867" s="121"/>
      <c r="DT867" s="240"/>
      <c r="DU867" s="240"/>
      <c r="DV867" s="240"/>
      <c r="DW867" s="240"/>
      <c r="DX867" s="240"/>
      <c r="DY867" s="240"/>
      <c r="DZ867" s="240"/>
      <c r="EA867" s="240"/>
      <c r="EB867" s="237">
        <f t="shared" si="104"/>
        <v>0</v>
      </c>
      <c r="EC867" s="237">
        <f t="shared" si="105"/>
        <v>0</v>
      </c>
      <c r="ED867" s="237">
        <f t="shared" si="106"/>
        <v>0</v>
      </c>
      <c r="EE867" s="237">
        <f t="shared" si="107"/>
        <v>0</v>
      </c>
      <c r="EF867" s="121"/>
      <c r="EG867" s="238">
        <f t="shared" si="108"/>
        <v>0</v>
      </c>
      <c r="EH867" s="121"/>
      <c r="EI867" s="237">
        <f t="shared" si="109"/>
        <v>0</v>
      </c>
      <c r="EJ867" s="121"/>
      <c r="EK867" s="237">
        <f t="shared" si="110"/>
        <v>0</v>
      </c>
      <c r="EL867" s="237"/>
      <c r="EM867" s="5"/>
      <c r="EN867" s="5"/>
      <c r="EO867" s="5"/>
      <c r="EP867" s="5"/>
      <c r="EQ867" s="237">
        <f t="shared" si="111"/>
        <v>0</v>
      </c>
      <c r="ER867" s="239">
        <v>23300</v>
      </c>
      <c r="ES867" s="5">
        <v>7.5</v>
      </c>
    </row>
    <row r="868" spans="1:149" x14ac:dyDescent="0.3">
      <c r="A868" s="124"/>
      <c r="B868" s="121"/>
      <c r="C868" s="121"/>
      <c r="D868" s="121"/>
      <c r="E868" s="121"/>
      <c r="F868" s="121"/>
      <c r="G868" s="121"/>
      <c r="H868" s="121"/>
      <c r="I868" s="121"/>
      <c r="J868" s="121"/>
      <c r="K868" s="121"/>
      <c r="L868" s="121"/>
      <c r="M868" s="121"/>
      <c r="N868" s="121"/>
      <c r="O868" s="235"/>
      <c r="P868" s="121"/>
      <c r="Q868" s="121"/>
      <c r="R868" s="121"/>
      <c r="S868" s="121"/>
      <c r="T868" s="121"/>
      <c r="U868" s="121"/>
      <c r="V868" s="121"/>
      <c r="W868" s="121"/>
      <c r="X868" s="117"/>
      <c r="Y868" s="117"/>
      <c r="Z868" s="121"/>
      <c r="AA868" s="121"/>
      <c r="AB868" s="121"/>
      <c r="AC868" s="121"/>
      <c r="AD868" s="121"/>
      <c r="AE868" s="121"/>
      <c r="AF868" s="121"/>
      <c r="AG868" s="121"/>
      <c r="AH868" s="121"/>
      <c r="AI868" s="121"/>
      <c r="AJ868" s="121"/>
      <c r="AK868" s="121"/>
      <c r="AL868" s="121"/>
      <c r="AM868" s="121"/>
      <c r="AN868" s="121"/>
      <c r="AO868" s="121"/>
      <c r="AP868" s="121"/>
      <c r="AQ868" s="121"/>
      <c r="AR868" s="121"/>
      <c r="AS868" s="121"/>
      <c r="AT868" s="121"/>
      <c r="AU868" s="121"/>
      <c r="AV868" s="121"/>
      <c r="AW868" s="121"/>
      <c r="AX868" s="121"/>
      <c r="AY868" s="121"/>
      <c r="AZ868" s="121"/>
      <c r="BA868" s="121"/>
      <c r="BB868" s="121"/>
      <c r="BC868" s="121"/>
      <c r="BD868" s="121"/>
      <c r="BE868" s="121"/>
      <c r="BF868" s="121"/>
      <c r="BG868" s="121"/>
      <c r="BH868" s="121"/>
      <c r="BI868" s="121"/>
      <c r="BJ868" s="121"/>
      <c r="BK868" s="121"/>
      <c r="BL868" s="121"/>
      <c r="BM868" s="121"/>
      <c r="BN868" s="121"/>
      <c r="BO868" s="121"/>
      <c r="BP868" s="121"/>
      <c r="BQ868" s="121"/>
      <c r="BR868" s="121"/>
      <c r="BS868" s="121"/>
      <c r="BT868" s="121"/>
      <c r="BU868" s="121"/>
      <c r="BV868" s="121"/>
      <c r="BW868" s="121"/>
      <c r="BX868" s="121"/>
      <c r="BY868" s="121"/>
      <c r="BZ868" s="121"/>
      <c r="CA868" s="121"/>
      <c r="CB868" s="121"/>
      <c r="CC868" s="121"/>
      <c r="CD868" s="121"/>
      <c r="CE868" s="121"/>
      <c r="CF868" s="121"/>
      <c r="CG868" s="121"/>
      <c r="CH868" s="121"/>
      <c r="CI868" s="121"/>
      <c r="CJ868" s="121"/>
      <c r="CK868" s="121"/>
      <c r="CL868" s="121"/>
      <c r="CM868" s="121"/>
      <c r="CN868" s="121"/>
      <c r="CO868" s="121"/>
      <c r="CP868" s="121"/>
      <c r="CQ868" s="121"/>
      <c r="CR868" s="121"/>
      <c r="CS868" s="121"/>
      <c r="CT868" s="121"/>
      <c r="CU868" s="121"/>
      <c r="CV868" s="121"/>
      <c r="CW868" s="121"/>
      <c r="CX868" s="121"/>
      <c r="CY868" s="121"/>
      <c r="CZ868" s="121"/>
      <c r="DA868" s="121"/>
      <c r="DB868" s="121"/>
      <c r="DC868" s="121"/>
      <c r="DD868" s="121"/>
      <c r="DE868" s="121"/>
      <c r="DF868" s="121"/>
      <c r="DG868" s="121"/>
      <c r="DH868" s="121"/>
      <c r="DI868" s="121"/>
      <c r="DJ868" s="121"/>
      <c r="DK868" s="121"/>
      <c r="DL868" s="121"/>
      <c r="DM868" s="121"/>
      <c r="DN868" s="121"/>
      <c r="DO868" s="121"/>
      <c r="DP868" s="121"/>
      <c r="DQ868" s="121"/>
      <c r="DR868" s="121"/>
      <c r="DS868" s="121"/>
      <c r="DT868" s="240"/>
      <c r="DU868" s="240"/>
      <c r="DV868" s="240"/>
      <c r="DW868" s="240"/>
      <c r="DX868" s="240"/>
      <c r="DY868" s="240"/>
      <c r="DZ868" s="240"/>
      <c r="EA868" s="240"/>
      <c r="EB868" s="237">
        <f t="shared" si="104"/>
        <v>0</v>
      </c>
      <c r="EC868" s="237">
        <f t="shared" si="105"/>
        <v>0</v>
      </c>
      <c r="ED868" s="237">
        <f t="shared" si="106"/>
        <v>0</v>
      </c>
      <c r="EE868" s="237">
        <f t="shared" si="107"/>
        <v>0</v>
      </c>
      <c r="EF868" s="121"/>
      <c r="EG868" s="238">
        <f t="shared" si="108"/>
        <v>0</v>
      </c>
      <c r="EH868" s="121"/>
      <c r="EI868" s="237">
        <f t="shared" si="109"/>
        <v>0</v>
      </c>
      <c r="EJ868" s="121"/>
      <c r="EK868" s="237">
        <f t="shared" si="110"/>
        <v>0</v>
      </c>
      <c r="EL868" s="237"/>
      <c r="EM868" s="5"/>
      <c r="EN868" s="5"/>
      <c r="EO868" s="5"/>
      <c r="EP868" s="5"/>
      <c r="EQ868" s="237">
        <f t="shared" si="111"/>
        <v>0</v>
      </c>
      <c r="ER868" s="239">
        <v>23300</v>
      </c>
      <c r="ES868" s="5">
        <v>7.5</v>
      </c>
    </row>
    <row r="869" spans="1:149" x14ac:dyDescent="0.3">
      <c r="A869" s="124"/>
      <c r="B869" s="121"/>
      <c r="C869" s="121"/>
      <c r="D869" s="121"/>
      <c r="E869" s="121"/>
      <c r="F869" s="121"/>
      <c r="G869" s="121"/>
      <c r="H869" s="121"/>
      <c r="I869" s="121"/>
      <c r="J869" s="121"/>
      <c r="K869" s="121"/>
      <c r="L869" s="121"/>
      <c r="M869" s="121"/>
      <c r="N869" s="121"/>
      <c r="O869" s="235"/>
      <c r="P869" s="121"/>
      <c r="Q869" s="121"/>
      <c r="R869" s="121"/>
      <c r="S869" s="121"/>
      <c r="T869" s="121"/>
      <c r="U869" s="121"/>
      <c r="V869" s="121"/>
      <c r="W869" s="121"/>
      <c r="X869" s="117"/>
      <c r="Y869" s="117"/>
      <c r="Z869" s="121"/>
      <c r="AA869" s="121"/>
      <c r="AB869" s="121"/>
      <c r="AC869" s="121"/>
      <c r="AD869" s="121"/>
      <c r="AE869" s="121"/>
      <c r="AF869" s="121"/>
      <c r="AG869" s="121"/>
      <c r="AH869" s="121"/>
      <c r="AI869" s="121"/>
      <c r="AJ869" s="121"/>
      <c r="AK869" s="121"/>
      <c r="AL869" s="121"/>
      <c r="AM869" s="121"/>
      <c r="AN869" s="121"/>
      <c r="AO869" s="121"/>
      <c r="AP869" s="121"/>
      <c r="AQ869" s="121"/>
      <c r="AR869" s="121"/>
      <c r="AS869" s="121"/>
      <c r="AT869" s="121"/>
      <c r="AU869" s="121"/>
      <c r="AV869" s="121"/>
      <c r="AW869" s="121"/>
      <c r="AX869" s="121"/>
      <c r="AY869" s="121"/>
      <c r="AZ869" s="121"/>
      <c r="BA869" s="121"/>
      <c r="BB869" s="121"/>
      <c r="BC869" s="121"/>
      <c r="BD869" s="121"/>
      <c r="BE869" s="121"/>
      <c r="BF869" s="121"/>
      <c r="BG869" s="121"/>
      <c r="BH869" s="121"/>
      <c r="BI869" s="121"/>
      <c r="BJ869" s="121"/>
      <c r="BK869" s="121"/>
      <c r="BL869" s="121"/>
      <c r="BM869" s="121"/>
      <c r="BN869" s="121"/>
      <c r="BO869" s="121"/>
      <c r="BP869" s="121"/>
      <c r="BQ869" s="121"/>
      <c r="BR869" s="121"/>
      <c r="BS869" s="121"/>
      <c r="BT869" s="121"/>
      <c r="BU869" s="121"/>
      <c r="BV869" s="121"/>
      <c r="BW869" s="121"/>
      <c r="BX869" s="121"/>
      <c r="BY869" s="121"/>
      <c r="BZ869" s="121"/>
      <c r="CA869" s="121"/>
      <c r="CB869" s="121"/>
      <c r="CC869" s="121"/>
      <c r="CD869" s="121"/>
      <c r="CE869" s="121"/>
      <c r="CF869" s="121"/>
      <c r="CG869" s="121"/>
      <c r="CH869" s="121"/>
      <c r="CI869" s="121"/>
      <c r="CJ869" s="121"/>
      <c r="CK869" s="121"/>
      <c r="CL869" s="121"/>
      <c r="CM869" s="121"/>
      <c r="CN869" s="121"/>
      <c r="CO869" s="121"/>
      <c r="CP869" s="121"/>
      <c r="CQ869" s="121"/>
      <c r="CR869" s="121"/>
      <c r="CS869" s="121"/>
      <c r="CT869" s="121"/>
      <c r="CU869" s="121"/>
      <c r="CV869" s="121"/>
      <c r="CW869" s="121"/>
      <c r="CX869" s="121"/>
      <c r="CY869" s="121"/>
      <c r="CZ869" s="121"/>
      <c r="DA869" s="121"/>
      <c r="DB869" s="121"/>
      <c r="DC869" s="121"/>
      <c r="DD869" s="121"/>
      <c r="DE869" s="121"/>
      <c r="DF869" s="121"/>
      <c r="DG869" s="121"/>
      <c r="DH869" s="121"/>
      <c r="DI869" s="121"/>
      <c r="DJ869" s="121"/>
      <c r="DK869" s="121"/>
      <c r="DL869" s="121"/>
      <c r="DM869" s="121"/>
      <c r="DN869" s="121"/>
      <c r="DO869" s="121"/>
      <c r="DP869" s="121"/>
      <c r="DQ869" s="121"/>
      <c r="DR869" s="121"/>
      <c r="DS869" s="121"/>
      <c r="DT869" s="240"/>
      <c r="DU869" s="240"/>
      <c r="DV869" s="240"/>
      <c r="DW869" s="240"/>
      <c r="DX869" s="240"/>
      <c r="DY869" s="240"/>
      <c r="DZ869" s="240"/>
      <c r="EA869" s="240"/>
      <c r="EB869" s="237">
        <f t="shared" si="104"/>
        <v>0</v>
      </c>
      <c r="EC869" s="237">
        <f t="shared" si="105"/>
        <v>0</v>
      </c>
      <c r="ED869" s="237">
        <f t="shared" si="106"/>
        <v>0</v>
      </c>
      <c r="EE869" s="237">
        <f t="shared" si="107"/>
        <v>0</v>
      </c>
      <c r="EF869" s="121"/>
      <c r="EG869" s="238">
        <f t="shared" si="108"/>
        <v>0</v>
      </c>
      <c r="EH869" s="121"/>
      <c r="EI869" s="237">
        <f t="shared" si="109"/>
        <v>0</v>
      </c>
      <c r="EJ869" s="121"/>
      <c r="EK869" s="237">
        <f t="shared" si="110"/>
        <v>0</v>
      </c>
      <c r="EL869" s="237"/>
      <c r="EM869" s="5"/>
      <c r="EN869" s="5"/>
      <c r="EO869" s="5"/>
      <c r="EP869" s="5"/>
      <c r="EQ869" s="237">
        <f t="shared" si="111"/>
        <v>0</v>
      </c>
      <c r="ER869" s="239">
        <v>23300</v>
      </c>
      <c r="ES869" s="5">
        <v>7.5</v>
      </c>
    </row>
    <row r="870" spans="1:149" x14ac:dyDescent="0.3">
      <c r="A870" s="124"/>
      <c r="B870" s="121"/>
      <c r="C870" s="121"/>
      <c r="D870" s="121"/>
      <c r="E870" s="121"/>
      <c r="F870" s="121"/>
      <c r="G870" s="121"/>
      <c r="H870" s="121"/>
      <c r="I870" s="121"/>
      <c r="J870" s="121"/>
      <c r="K870" s="121"/>
      <c r="L870" s="121"/>
      <c r="M870" s="121"/>
      <c r="N870" s="121"/>
      <c r="O870" s="235"/>
      <c r="P870" s="121"/>
      <c r="Q870" s="121"/>
      <c r="R870" s="121"/>
      <c r="S870" s="121"/>
      <c r="T870" s="121"/>
      <c r="U870" s="121"/>
      <c r="V870" s="121"/>
      <c r="W870" s="121"/>
      <c r="X870" s="117"/>
      <c r="Y870" s="117"/>
      <c r="Z870" s="121"/>
      <c r="AA870" s="121"/>
      <c r="AB870" s="121"/>
      <c r="AC870" s="121"/>
      <c r="AD870" s="121"/>
      <c r="AE870" s="121"/>
      <c r="AF870" s="121"/>
      <c r="AG870" s="121"/>
      <c r="AH870" s="121"/>
      <c r="AI870" s="121"/>
      <c r="AJ870" s="121"/>
      <c r="AK870" s="121"/>
      <c r="AL870" s="121"/>
      <c r="AM870" s="121"/>
      <c r="AN870" s="121"/>
      <c r="AO870" s="121"/>
      <c r="AP870" s="121"/>
      <c r="AQ870" s="121"/>
      <c r="AR870" s="121"/>
      <c r="AS870" s="121"/>
      <c r="AT870" s="121"/>
      <c r="AU870" s="121"/>
      <c r="AV870" s="121"/>
      <c r="AW870" s="121"/>
      <c r="AX870" s="121"/>
      <c r="AY870" s="121"/>
      <c r="AZ870" s="121"/>
      <c r="BA870" s="121"/>
      <c r="BB870" s="121"/>
      <c r="BC870" s="121"/>
      <c r="BD870" s="121"/>
      <c r="BE870" s="121"/>
      <c r="BF870" s="121"/>
      <c r="BG870" s="121"/>
      <c r="BH870" s="121"/>
      <c r="BI870" s="121"/>
      <c r="BJ870" s="121"/>
      <c r="BK870" s="121"/>
      <c r="BL870" s="121"/>
      <c r="BM870" s="121"/>
      <c r="BN870" s="121"/>
      <c r="BO870" s="121"/>
      <c r="BP870" s="121"/>
      <c r="BQ870" s="121"/>
      <c r="BR870" s="121"/>
      <c r="BS870" s="121"/>
      <c r="BT870" s="121"/>
      <c r="BU870" s="121"/>
      <c r="BV870" s="121"/>
      <c r="BW870" s="121"/>
      <c r="BX870" s="121"/>
      <c r="BY870" s="121"/>
      <c r="BZ870" s="121"/>
      <c r="CA870" s="121"/>
      <c r="CB870" s="121"/>
      <c r="CC870" s="121"/>
      <c r="CD870" s="121"/>
      <c r="CE870" s="121"/>
      <c r="CF870" s="121"/>
      <c r="CG870" s="121"/>
      <c r="CH870" s="121"/>
      <c r="CI870" s="121"/>
      <c r="CJ870" s="121"/>
      <c r="CK870" s="121"/>
      <c r="CL870" s="121"/>
      <c r="CM870" s="121"/>
      <c r="CN870" s="121"/>
      <c r="CO870" s="121"/>
      <c r="CP870" s="121"/>
      <c r="CQ870" s="121"/>
      <c r="CR870" s="121"/>
      <c r="CS870" s="121"/>
      <c r="CT870" s="121"/>
      <c r="CU870" s="121"/>
      <c r="CV870" s="121"/>
      <c r="CW870" s="121"/>
      <c r="CX870" s="121"/>
      <c r="CY870" s="121"/>
      <c r="CZ870" s="121"/>
      <c r="DA870" s="121"/>
      <c r="DB870" s="121"/>
      <c r="DC870" s="121"/>
      <c r="DD870" s="121"/>
      <c r="DE870" s="121"/>
      <c r="DF870" s="121"/>
      <c r="DG870" s="121"/>
      <c r="DH870" s="121"/>
      <c r="DI870" s="121"/>
      <c r="DJ870" s="121"/>
      <c r="DK870" s="121"/>
      <c r="DL870" s="121"/>
      <c r="DM870" s="121"/>
      <c r="DN870" s="121"/>
      <c r="DO870" s="121"/>
      <c r="DP870" s="121"/>
      <c r="DQ870" s="121"/>
      <c r="DR870" s="121"/>
      <c r="DS870" s="121"/>
      <c r="DT870" s="240"/>
      <c r="DU870" s="240"/>
      <c r="DV870" s="240"/>
      <c r="DW870" s="240"/>
      <c r="DX870" s="240"/>
      <c r="DY870" s="240"/>
      <c r="DZ870" s="240"/>
      <c r="EA870" s="240"/>
      <c r="EB870" s="237">
        <f t="shared" si="104"/>
        <v>0</v>
      </c>
      <c r="EC870" s="237">
        <f t="shared" si="105"/>
        <v>0</v>
      </c>
      <c r="ED870" s="237">
        <f t="shared" si="106"/>
        <v>0</v>
      </c>
      <c r="EE870" s="237">
        <f t="shared" si="107"/>
        <v>0</v>
      </c>
      <c r="EF870" s="121"/>
      <c r="EG870" s="238">
        <f t="shared" si="108"/>
        <v>0</v>
      </c>
      <c r="EH870" s="121"/>
      <c r="EI870" s="237">
        <f t="shared" si="109"/>
        <v>0</v>
      </c>
      <c r="EJ870" s="121"/>
      <c r="EK870" s="237">
        <f t="shared" si="110"/>
        <v>0</v>
      </c>
      <c r="EL870" s="237"/>
      <c r="EM870" s="5"/>
      <c r="EN870" s="5"/>
      <c r="EO870" s="5"/>
      <c r="EP870" s="5"/>
      <c r="EQ870" s="237">
        <f t="shared" si="111"/>
        <v>0</v>
      </c>
      <c r="ER870" s="239">
        <v>23300</v>
      </c>
      <c r="ES870" s="5">
        <v>7.5</v>
      </c>
    </row>
    <row r="871" spans="1:149" x14ac:dyDescent="0.3">
      <c r="A871" s="124"/>
      <c r="B871" s="121"/>
      <c r="C871" s="121"/>
      <c r="D871" s="121"/>
      <c r="E871" s="121"/>
      <c r="F871" s="121"/>
      <c r="G871" s="121"/>
      <c r="H871" s="121"/>
      <c r="I871" s="121"/>
      <c r="J871" s="121"/>
      <c r="K871" s="121"/>
      <c r="L871" s="121"/>
      <c r="M871" s="121"/>
      <c r="N871" s="121"/>
      <c r="O871" s="235"/>
      <c r="P871" s="121"/>
      <c r="Q871" s="121"/>
      <c r="R871" s="121"/>
      <c r="S871" s="121"/>
      <c r="T871" s="121"/>
      <c r="U871" s="121"/>
      <c r="V871" s="121"/>
      <c r="W871" s="121"/>
      <c r="X871" s="117"/>
      <c r="Y871" s="117"/>
      <c r="Z871" s="121"/>
      <c r="AA871" s="121"/>
      <c r="AB871" s="121"/>
      <c r="AC871" s="121"/>
      <c r="AD871" s="121"/>
      <c r="AE871" s="121"/>
      <c r="AF871" s="121"/>
      <c r="AG871" s="121"/>
      <c r="AH871" s="121"/>
      <c r="AI871" s="121"/>
      <c r="AJ871" s="121"/>
      <c r="AK871" s="121"/>
      <c r="AL871" s="121"/>
      <c r="AM871" s="121"/>
      <c r="AN871" s="121"/>
      <c r="AO871" s="121"/>
      <c r="AP871" s="121"/>
      <c r="AQ871" s="121"/>
      <c r="AR871" s="121"/>
      <c r="AS871" s="121"/>
      <c r="AT871" s="121"/>
      <c r="AU871" s="121"/>
      <c r="AV871" s="121"/>
      <c r="AW871" s="121"/>
      <c r="AX871" s="121"/>
      <c r="AY871" s="121"/>
      <c r="AZ871" s="121"/>
      <c r="BA871" s="121"/>
      <c r="BB871" s="121"/>
      <c r="BC871" s="121"/>
      <c r="BD871" s="121"/>
      <c r="BE871" s="121"/>
      <c r="BF871" s="121"/>
      <c r="BG871" s="121"/>
      <c r="BH871" s="121"/>
      <c r="BI871" s="121"/>
      <c r="BJ871" s="121"/>
      <c r="BK871" s="121"/>
      <c r="BL871" s="121"/>
      <c r="BM871" s="121"/>
      <c r="BN871" s="121"/>
      <c r="BO871" s="121"/>
      <c r="BP871" s="121"/>
      <c r="BQ871" s="121"/>
      <c r="BR871" s="121"/>
      <c r="BS871" s="121"/>
      <c r="BT871" s="121"/>
      <c r="BU871" s="121"/>
      <c r="BV871" s="121"/>
      <c r="BW871" s="121"/>
      <c r="BX871" s="121"/>
      <c r="BY871" s="121"/>
      <c r="BZ871" s="121"/>
      <c r="CA871" s="121"/>
      <c r="CB871" s="121"/>
      <c r="CC871" s="121"/>
      <c r="CD871" s="121"/>
      <c r="CE871" s="121"/>
      <c r="CF871" s="121"/>
      <c r="CG871" s="121"/>
      <c r="CH871" s="121"/>
      <c r="CI871" s="121"/>
      <c r="CJ871" s="121"/>
      <c r="CK871" s="121"/>
      <c r="CL871" s="121"/>
      <c r="CM871" s="121"/>
      <c r="CN871" s="121"/>
      <c r="CO871" s="121"/>
      <c r="CP871" s="121"/>
      <c r="CQ871" s="121"/>
      <c r="CR871" s="121"/>
      <c r="CS871" s="121"/>
      <c r="CT871" s="121"/>
      <c r="CU871" s="121"/>
      <c r="CV871" s="121"/>
      <c r="CW871" s="121"/>
      <c r="CX871" s="121"/>
      <c r="CY871" s="121"/>
      <c r="CZ871" s="121"/>
      <c r="DA871" s="121"/>
      <c r="DB871" s="121"/>
      <c r="DC871" s="121"/>
      <c r="DD871" s="121"/>
      <c r="DE871" s="121"/>
      <c r="DF871" s="121"/>
      <c r="DG871" s="121"/>
      <c r="DH871" s="121"/>
      <c r="DI871" s="121"/>
      <c r="DJ871" s="121"/>
      <c r="DK871" s="121"/>
      <c r="DL871" s="121"/>
      <c r="DM871" s="121"/>
      <c r="DN871" s="121"/>
      <c r="DO871" s="121"/>
      <c r="DP871" s="121"/>
      <c r="DQ871" s="121"/>
      <c r="DR871" s="121"/>
      <c r="DS871" s="121"/>
      <c r="DT871" s="240"/>
      <c r="DU871" s="240"/>
      <c r="DV871" s="240"/>
      <c r="DW871" s="240"/>
      <c r="DX871" s="240"/>
      <c r="DY871" s="240"/>
      <c r="DZ871" s="240"/>
      <c r="EA871" s="240"/>
      <c r="EB871" s="237">
        <f t="shared" si="104"/>
        <v>0</v>
      </c>
      <c r="EC871" s="237">
        <f t="shared" si="105"/>
        <v>0</v>
      </c>
      <c r="ED871" s="237">
        <f t="shared" si="106"/>
        <v>0</v>
      </c>
      <c r="EE871" s="237">
        <f t="shared" si="107"/>
        <v>0</v>
      </c>
      <c r="EF871" s="121"/>
      <c r="EG871" s="238">
        <f t="shared" si="108"/>
        <v>0</v>
      </c>
      <c r="EH871" s="121"/>
      <c r="EI871" s="237">
        <f t="shared" si="109"/>
        <v>0</v>
      </c>
      <c r="EJ871" s="121"/>
      <c r="EK871" s="237">
        <f t="shared" si="110"/>
        <v>0</v>
      </c>
      <c r="EL871" s="237"/>
      <c r="EM871" s="5"/>
      <c r="EN871" s="5"/>
      <c r="EO871" s="5"/>
      <c r="EP871" s="5"/>
      <c r="EQ871" s="237">
        <f t="shared" si="111"/>
        <v>0</v>
      </c>
      <c r="ER871" s="239">
        <v>23300</v>
      </c>
      <c r="ES871" s="5">
        <v>7.5</v>
      </c>
    </row>
    <row r="872" spans="1:149" x14ac:dyDescent="0.3">
      <c r="A872" s="124"/>
      <c r="B872" s="121"/>
      <c r="C872" s="121"/>
      <c r="D872" s="121"/>
      <c r="E872" s="121"/>
      <c r="F872" s="121"/>
      <c r="G872" s="121"/>
      <c r="H872" s="121"/>
      <c r="I872" s="121"/>
      <c r="J872" s="121"/>
      <c r="K872" s="121"/>
      <c r="L872" s="121"/>
      <c r="M872" s="121"/>
      <c r="N872" s="121"/>
      <c r="O872" s="235"/>
      <c r="P872" s="121"/>
      <c r="Q872" s="121"/>
      <c r="R872" s="121"/>
      <c r="S872" s="121"/>
      <c r="T872" s="121"/>
      <c r="U872" s="121"/>
      <c r="V872" s="121"/>
      <c r="W872" s="121"/>
      <c r="X872" s="117"/>
      <c r="Y872" s="117"/>
      <c r="Z872" s="121"/>
      <c r="AA872" s="121"/>
      <c r="AB872" s="121"/>
      <c r="AC872" s="121"/>
      <c r="AD872" s="121"/>
      <c r="AE872" s="121"/>
      <c r="AF872" s="121"/>
      <c r="AG872" s="121"/>
      <c r="AH872" s="121"/>
      <c r="AI872" s="121"/>
      <c r="AJ872" s="121"/>
      <c r="AK872" s="121"/>
      <c r="AL872" s="121"/>
      <c r="AM872" s="121"/>
      <c r="AN872" s="121"/>
      <c r="AO872" s="121"/>
      <c r="AP872" s="121"/>
      <c r="AQ872" s="121"/>
      <c r="AR872" s="121"/>
      <c r="AS872" s="121"/>
      <c r="AT872" s="121"/>
      <c r="AU872" s="121"/>
      <c r="AV872" s="121"/>
      <c r="AW872" s="121"/>
      <c r="AX872" s="121"/>
      <c r="AY872" s="121"/>
      <c r="AZ872" s="121"/>
      <c r="BA872" s="121"/>
      <c r="BB872" s="121"/>
      <c r="BC872" s="121"/>
      <c r="BD872" s="121"/>
      <c r="BE872" s="121"/>
      <c r="BF872" s="121"/>
      <c r="BG872" s="121"/>
      <c r="BH872" s="121"/>
      <c r="BI872" s="121"/>
      <c r="BJ872" s="121"/>
      <c r="BK872" s="121"/>
      <c r="BL872" s="121"/>
      <c r="BM872" s="121"/>
      <c r="BN872" s="121"/>
      <c r="BO872" s="121"/>
      <c r="BP872" s="121"/>
      <c r="BQ872" s="121"/>
      <c r="BR872" s="121"/>
      <c r="BS872" s="121"/>
      <c r="BT872" s="121"/>
      <c r="BU872" s="121"/>
      <c r="BV872" s="121"/>
      <c r="BW872" s="121"/>
      <c r="BX872" s="121"/>
      <c r="BY872" s="121"/>
      <c r="BZ872" s="121"/>
      <c r="CA872" s="121"/>
      <c r="CB872" s="121"/>
      <c r="CC872" s="121"/>
      <c r="CD872" s="121"/>
      <c r="CE872" s="121"/>
      <c r="CF872" s="121"/>
      <c r="CG872" s="121"/>
      <c r="CH872" s="121"/>
      <c r="CI872" s="121"/>
      <c r="CJ872" s="121"/>
      <c r="CK872" s="121"/>
      <c r="CL872" s="121"/>
      <c r="CM872" s="121"/>
      <c r="CN872" s="121"/>
      <c r="CO872" s="121"/>
      <c r="CP872" s="121"/>
      <c r="CQ872" s="121"/>
      <c r="CR872" s="121"/>
      <c r="CS872" s="121"/>
      <c r="CT872" s="121"/>
      <c r="CU872" s="121"/>
      <c r="CV872" s="121"/>
      <c r="CW872" s="121"/>
      <c r="CX872" s="121"/>
      <c r="CY872" s="121"/>
      <c r="CZ872" s="121"/>
      <c r="DA872" s="121"/>
      <c r="DB872" s="121"/>
      <c r="DC872" s="121"/>
      <c r="DD872" s="121"/>
      <c r="DE872" s="121"/>
      <c r="DF872" s="121"/>
      <c r="DG872" s="121"/>
      <c r="DH872" s="121"/>
      <c r="DI872" s="121"/>
      <c r="DJ872" s="121"/>
      <c r="DK872" s="121"/>
      <c r="DL872" s="121"/>
      <c r="DM872" s="121"/>
      <c r="DN872" s="121"/>
      <c r="DO872" s="121"/>
      <c r="DP872" s="121"/>
      <c r="DQ872" s="121"/>
      <c r="DR872" s="121"/>
      <c r="DS872" s="121"/>
      <c r="DT872" s="240"/>
      <c r="DU872" s="240"/>
      <c r="DV872" s="240"/>
      <c r="DW872" s="240"/>
      <c r="DX872" s="240"/>
      <c r="DY872" s="240"/>
      <c r="DZ872" s="240"/>
      <c r="EA872" s="240"/>
      <c r="EB872" s="237">
        <f t="shared" si="104"/>
        <v>0</v>
      </c>
      <c r="EC872" s="237">
        <f t="shared" si="105"/>
        <v>0</v>
      </c>
      <c r="ED872" s="237">
        <f t="shared" si="106"/>
        <v>0</v>
      </c>
      <c r="EE872" s="237">
        <f t="shared" si="107"/>
        <v>0</v>
      </c>
      <c r="EF872" s="121"/>
      <c r="EG872" s="238">
        <f t="shared" si="108"/>
        <v>0</v>
      </c>
      <c r="EH872" s="121"/>
      <c r="EI872" s="237">
        <f t="shared" si="109"/>
        <v>0</v>
      </c>
      <c r="EJ872" s="121"/>
      <c r="EK872" s="237">
        <f t="shared" si="110"/>
        <v>0</v>
      </c>
      <c r="EL872" s="237"/>
      <c r="EM872" s="5"/>
      <c r="EN872" s="5"/>
      <c r="EO872" s="5"/>
      <c r="EP872" s="5"/>
      <c r="EQ872" s="237">
        <f t="shared" si="111"/>
        <v>0</v>
      </c>
      <c r="ER872" s="239">
        <v>23300</v>
      </c>
      <c r="ES872" s="5">
        <v>7.5</v>
      </c>
    </row>
    <row r="873" spans="1:149" x14ac:dyDescent="0.3">
      <c r="A873" s="124"/>
      <c r="B873" s="121"/>
      <c r="C873" s="121"/>
      <c r="D873" s="121"/>
      <c r="E873" s="121"/>
      <c r="F873" s="121"/>
      <c r="G873" s="121"/>
      <c r="H873" s="121"/>
      <c r="I873" s="121"/>
      <c r="J873" s="121"/>
      <c r="K873" s="121"/>
      <c r="L873" s="121"/>
      <c r="M873" s="121"/>
      <c r="N873" s="121"/>
      <c r="O873" s="235"/>
      <c r="P873" s="121"/>
      <c r="Q873" s="121"/>
      <c r="R873" s="121"/>
      <c r="S873" s="121"/>
      <c r="T873" s="121"/>
      <c r="U873" s="121"/>
      <c r="V873" s="121"/>
      <c r="W873" s="121"/>
      <c r="X873" s="117"/>
      <c r="Y873" s="117"/>
      <c r="Z873" s="121"/>
      <c r="AA873" s="121"/>
      <c r="AB873" s="121"/>
      <c r="AC873" s="121"/>
      <c r="AD873" s="121"/>
      <c r="AE873" s="121"/>
      <c r="AF873" s="121"/>
      <c r="AG873" s="121"/>
      <c r="AH873" s="121"/>
      <c r="AI873" s="121"/>
      <c r="AJ873" s="121"/>
      <c r="AK873" s="121"/>
      <c r="AL873" s="121"/>
      <c r="AM873" s="121"/>
      <c r="AN873" s="121"/>
      <c r="AO873" s="121"/>
      <c r="AP873" s="121"/>
      <c r="AQ873" s="121"/>
      <c r="AR873" s="121"/>
      <c r="AS873" s="121"/>
      <c r="AT873" s="121"/>
      <c r="AU873" s="121"/>
      <c r="AV873" s="121"/>
      <c r="AW873" s="121"/>
      <c r="AX873" s="121"/>
      <c r="AY873" s="121"/>
      <c r="AZ873" s="121"/>
      <c r="BA873" s="121"/>
      <c r="BB873" s="121"/>
      <c r="BC873" s="121"/>
      <c r="BD873" s="121"/>
      <c r="BE873" s="121"/>
      <c r="BF873" s="121"/>
      <c r="BG873" s="121"/>
      <c r="BH873" s="121"/>
      <c r="BI873" s="121"/>
      <c r="BJ873" s="121"/>
      <c r="BK873" s="121"/>
      <c r="BL873" s="121"/>
      <c r="BM873" s="121"/>
      <c r="BN873" s="121"/>
      <c r="BO873" s="121"/>
      <c r="BP873" s="121"/>
      <c r="BQ873" s="121"/>
      <c r="BR873" s="121"/>
      <c r="BS873" s="121"/>
      <c r="BT873" s="121"/>
      <c r="BU873" s="121"/>
      <c r="BV873" s="121"/>
      <c r="BW873" s="121"/>
      <c r="BX873" s="121"/>
      <c r="BY873" s="121"/>
      <c r="BZ873" s="121"/>
      <c r="CA873" s="121"/>
      <c r="CB873" s="121"/>
      <c r="CC873" s="121"/>
      <c r="CD873" s="121"/>
      <c r="CE873" s="121"/>
      <c r="CF873" s="121"/>
      <c r="CG873" s="121"/>
      <c r="CH873" s="121"/>
      <c r="CI873" s="121"/>
      <c r="CJ873" s="121"/>
      <c r="CK873" s="121"/>
      <c r="CL873" s="121"/>
      <c r="CM873" s="121"/>
      <c r="CN873" s="121"/>
      <c r="CO873" s="121"/>
      <c r="CP873" s="121"/>
      <c r="CQ873" s="121"/>
      <c r="CR873" s="121"/>
      <c r="CS873" s="121"/>
      <c r="CT873" s="121"/>
      <c r="CU873" s="121"/>
      <c r="CV873" s="121"/>
      <c r="CW873" s="121"/>
      <c r="CX873" s="121"/>
      <c r="CY873" s="121"/>
      <c r="CZ873" s="121"/>
      <c r="DA873" s="121"/>
      <c r="DB873" s="121"/>
      <c r="DC873" s="121"/>
      <c r="DD873" s="121"/>
      <c r="DE873" s="121"/>
      <c r="DF873" s="121"/>
      <c r="DG873" s="121"/>
      <c r="DH873" s="121"/>
      <c r="DI873" s="121"/>
      <c r="DJ873" s="121"/>
      <c r="DK873" s="121"/>
      <c r="DL873" s="121"/>
      <c r="DM873" s="121"/>
      <c r="DN873" s="121"/>
      <c r="DO873" s="121"/>
      <c r="DP873" s="121"/>
      <c r="DQ873" s="121"/>
      <c r="DR873" s="121"/>
      <c r="DS873" s="121"/>
      <c r="DT873" s="240"/>
      <c r="DU873" s="240"/>
      <c r="DV873" s="240"/>
      <c r="DW873" s="240"/>
      <c r="DX873" s="240"/>
      <c r="DY873" s="240"/>
      <c r="DZ873" s="240"/>
      <c r="EA873" s="240"/>
      <c r="EB873" s="237">
        <f t="shared" si="104"/>
        <v>0</v>
      </c>
      <c r="EC873" s="237">
        <f t="shared" si="105"/>
        <v>0</v>
      </c>
      <c r="ED873" s="237">
        <f t="shared" si="106"/>
        <v>0</v>
      </c>
      <c r="EE873" s="237">
        <f t="shared" si="107"/>
        <v>0</v>
      </c>
      <c r="EF873" s="121"/>
      <c r="EG873" s="238">
        <f t="shared" si="108"/>
        <v>0</v>
      </c>
      <c r="EH873" s="121"/>
      <c r="EI873" s="237">
        <f t="shared" si="109"/>
        <v>0</v>
      </c>
      <c r="EJ873" s="121"/>
      <c r="EK873" s="237">
        <f t="shared" si="110"/>
        <v>0</v>
      </c>
      <c r="EL873" s="237"/>
      <c r="EM873" s="5"/>
      <c r="EN873" s="5"/>
      <c r="EO873" s="5"/>
      <c r="EP873" s="5"/>
      <c r="EQ873" s="237">
        <f t="shared" si="111"/>
        <v>0</v>
      </c>
      <c r="ER873" s="239">
        <v>23300</v>
      </c>
      <c r="ES873" s="5">
        <v>7.5</v>
      </c>
    </row>
    <row r="874" spans="1:149" x14ac:dyDescent="0.3">
      <c r="A874" s="124"/>
      <c r="B874" s="121"/>
      <c r="C874" s="121"/>
      <c r="D874" s="121"/>
      <c r="E874" s="121"/>
      <c r="F874" s="121"/>
      <c r="G874" s="121"/>
      <c r="H874" s="121"/>
      <c r="I874" s="121"/>
      <c r="J874" s="121"/>
      <c r="K874" s="121"/>
      <c r="L874" s="121"/>
      <c r="M874" s="121"/>
      <c r="N874" s="121"/>
      <c r="O874" s="235"/>
      <c r="P874" s="121"/>
      <c r="Q874" s="121"/>
      <c r="R874" s="121"/>
      <c r="S874" s="121"/>
      <c r="T874" s="121"/>
      <c r="U874" s="121"/>
      <c r="V874" s="121"/>
      <c r="W874" s="121"/>
      <c r="X874" s="117"/>
      <c r="Y874" s="117"/>
      <c r="Z874" s="121"/>
      <c r="AA874" s="121"/>
      <c r="AB874" s="121"/>
      <c r="AC874" s="121"/>
      <c r="AD874" s="121"/>
      <c r="AE874" s="121"/>
      <c r="AF874" s="121"/>
      <c r="AG874" s="121"/>
      <c r="AH874" s="121"/>
      <c r="AI874" s="121"/>
      <c r="AJ874" s="121"/>
      <c r="AK874" s="121"/>
      <c r="AL874" s="121"/>
      <c r="AM874" s="121"/>
      <c r="AN874" s="121"/>
      <c r="AO874" s="121"/>
      <c r="AP874" s="121"/>
      <c r="AQ874" s="121"/>
      <c r="AR874" s="121"/>
      <c r="AS874" s="121"/>
      <c r="AT874" s="121"/>
      <c r="AU874" s="121"/>
      <c r="AV874" s="121"/>
      <c r="AW874" s="121"/>
      <c r="AX874" s="121"/>
      <c r="AY874" s="121"/>
      <c r="AZ874" s="121"/>
      <c r="BA874" s="121"/>
      <c r="BB874" s="121"/>
      <c r="BC874" s="121"/>
      <c r="BD874" s="121"/>
      <c r="BE874" s="121"/>
      <c r="BF874" s="121"/>
      <c r="BG874" s="121"/>
      <c r="BH874" s="121"/>
      <c r="BI874" s="121"/>
      <c r="BJ874" s="121"/>
      <c r="BK874" s="121"/>
      <c r="BL874" s="121"/>
      <c r="BM874" s="121"/>
      <c r="BN874" s="121"/>
      <c r="BO874" s="121"/>
      <c r="BP874" s="121"/>
      <c r="BQ874" s="121"/>
      <c r="BR874" s="121"/>
      <c r="BS874" s="121"/>
      <c r="BT874" s="121"/>
      <c r="BU874" s="121"/>
      <c r="BV874" s="121"/>
      <c r="BW874" s="121"/>
      <c r="BX874" s="121"/>
      <c r="BY874" s="121"/>
      <c r="BZ874" s="121"/>
      <c r="CA874" s="121"/>
      <c r="CB874" s="121"/>
      <c r="CC874" s="121"/>
      <c r="CD874" s="121"/>
      <c r="CE874" s="121"/>
      <c r="CF874" s="121"/>
      <c r="CG874" s="121"/>
      <c r="CH874" s="121"/>
      <c r="CI874" s="121"/>
      <c r="CJ874" s="121"/>
      <c r="CK874" s="121"/>
      <c r="CL874" s="121"/>
      <c r="CM874" s="121"/>
      <c r="CN874" s="121"/>
      <c r="CO874" s="121"/>
      <c r="CP874" s="121"/>
      <c r="CQ874" s="121"/>
      <c r="CR874" s="121"/>
      <c r="CS874" s="121"/>
      <c r="CT874" s="121"/>
      <c r="CU874" s="121"/>
      <c r="CV874" s="121"/>
      <c r="CW874" s="121"/>
      <c r="CX874" s="121"/>
      <c r="CY874" s="121"/>
      <c r="CZ874" s="121"/>
      <c r="DA874" s="121"/>
      <c r="DB874" s="121"/>
      <c r="DC874" s="121"/>
      <c r="DD874" s="121"/>
      <c r="DE874" s="121"/>
      <c r="DF874" s="121"/>
      <c r="DG874" s="121"/>
      <c r="DH874" s="121"/>
      <c r="DI874" s="121"/>
      <c r="DJ874" s="121"/>
      <c r="DK874" s="121"/>
      <c r="DL874" s="121"/>
      <c r="DM874" s="121"/>
      <c r="DN874" s="121"/>
      <c r="DO874" s="121"/>
      <c r="DP874" s="121"/>
      <c r="DQ874" s="121"/>
      <c r="DR874" s="121"/>
      <c r="DS874" s="121"/>
      <c r="DT874" s="240"/>
      <c r="DU874" s="240"/>
      <c r="DV874" s="240"/>
      <c r="DW874" s="240"/>
      <c r="DX874" s="240"/>
      <c r="DY874" s="240"/>
      <c r="DZ874" s="240"/>
      <c r="EA874" s="240"/>
      <c r="EB874" s="237">
        <f t="shared" si="104"/>
        <v>0</v>
      </c>
      <c r="EC874" s="237">
        <f t="shared" si="105"/>
        <v>0</v>
      </c>
      <c r="ED874" s="237">
        <f t="shared" si="106"/>
        <v>0</v>
      </c>
      <c r="EE874" s="237">
        <f t="shared" si="107"/>
        <v>0</v>
      </c>
      <c r="EF874" s="121"/>
      <c r="EG874" s="238">
        <f t="shared" si="108"/>
        <v>0</v>
      </c>
      <c r="EH874" s="121"/>
      <c r="EI874" s="237">
        <f t="shared" si="109"/>
        <v>0</v>
      </c>
      <c r="EJ874" s="121"/>
      <c r="EK874" s="237">
        <f t="shared" si="110"/>
        <v>0</v>
      </c>
      <c r="EL874" s="237"/>
      <c r="EM874" s="5"/>
      <c r="EN874" s="5"/>
      <c r="EO874" s="5"/>
      <c r="EP874" s="5"/>
      <c r="EQ874" s="237">
        <f t="shared" si="111"/>
        <v>0</v>
      </c>
      <c r="ER874" s="239">
        <v>23300</v>
      </c>
      <c r="ES874" s="5">
        <v>7.5</v>
      </c>
    </row>
    <row r="875" spans="1:149" x14ac:dyDescent="0.3">
      <c r="A875" s="124"/>
      <c r="B875" s="121"/>
      <c r="C875" s="121"/>
      <c r="D875" s="121"/>
      <c r="E875" s="121"/>
      <c r="F875" s="121"/>
      <c r="G875" s="121"/>
      <c r="H875" s="121"/>
      <c r="I875" s="121"/>
      <c r="J875" s="121"/>
      <c r="K875" s="121"/>
      <c r="L875" s="121"/>
      <c r="M875" s="121"/>
      <c r="N875" s="121"/>
      <c r="O875" s="235"/>
      <c r="P875" s="121"/>
      <c r="Q875" s="121"/>
      <c r="R875" s="121"/>
      <c r="S875" s="121"/>
      <c r="T875" s="121"/>
      <c r="U875" s="121"/>
      <c r="V875" s="121"/>
      <c r="W875" s="121"/>
      <c r="X875" s="117"/>
      <c r="Y875" s="117"/>
      <c r="Z875" s="121"/>
      <c r="AA875" s="121"/>
      <c r="AB875" s="121"/>
      <c r="AC875" s="121"/>
      <c r="AD875" s="121"/>
      <c r="AE875" s="121"/>
      <c r="AF875" s="121"/>
      <c r="AG875" s="121"/>
      <c r="AH875" s="121"/>
      <c r="AI875" s="121"/>
      <c r="AJ875" s="121"/>
      <c r="AK875" s="121"/>
      <c r="AL875" s="121"/>
      <c r="AM875" s="121"/>
      <c r="AN875" s="121"/>
      <c r="AO875" s="121"/>
      <c r="AP875" s="121"/>
      <c r="AQ875" s="121"/>
      <c r="AR875" s="121"/>
      <c r="AS875" s="121"/>
      <c r="AT875" s="121"/>
      <c r="AU875" s="121"/>
      <c r="AV875" s="121"/>
      <c r="AW875" s="121"/>
      <c r="AX875" s="121"/>
      <c r="AY875" s="121"/>
      <c r="AZ875" s="121"/>
      <c r="BA875" s="121"/>
      <c r="BB875" s="121"/>
      <c r="BC875" s="121"/>
      <c r="BD875" s="121"/>
      <c r="BE875" s="121"/>
      <c r="BF875" s="121"/>
      <c r="BG875" s="121"/>
      <c r="BH875" s="121"/>
      <c r="BI875" s="121"/>
      <c r="BJ875" s="121"/>
      <c r="BK875" s="121"/>
      <c r="BL875" s="121"/>
      <c r="BM875" s="121"/>
      <c r="BN875" s="121"/>
      <c r="BO875" s="121"/>
      <c r="BP875" s="121"/>
      <c r="BQ875" s="121"/>
      <c r="BR875" s="121"/>
      <c r="BS875" s="121"/>
      <c r="BT875" s="121"/>
      <c r="BU875" s="121"/>
      <c r="BV875" s="121"/>
      <c r="BW875" s="121"/>
      <c r="BX875" s="121"/>
      <c r="BY875" s="121"/>
      <c r="BZ875" s="121"/>
      <c r="CA875" s="121"/>
      <c r="CB875" s="121"/>
      <c r="CC875" s="121"/>
      <c r="CD875" s="121"/>
      <c r="CE875" s="121"/>
      <c r="CF875" s="121"/>
      <c r="CG875" s="121"/>
      <c r="CH875" s="121"/>
      <c r="CI875" s="121"/>
      <c r="CJ875" s="121"/>
      <c r="CK875" s="121"/>
      <c r="CL875" s="121"/>
      <c r="CM875" s="121"/>
      <c r="CN875" s="121"/>
      <c r="CO875" s="121"/>
      <c r="CP875" s="121"/>
      <c r="CQ875" s="121"/>
      <c r="CR875" s="121"/>
      <c r="CS875" s="121"/>
      <c r="CT875" s="121"/>
      <c r="CU875" s="121"/>
      <c r="CV875" s="121"/>
      <c r="CW875" s="121"/>
      <c r="CX875" s="121"/>
      <c r="CY875" s="121"/>
      <c r="CZ875" s="121"/>
      <c r="DA875" s="121"/>
      <c r="DB875" s="121"/>
      <c r="DC875" s="121"/>
      <c r="DD875" s="121"/>
      <c r="DE875" s="121"/>
      <c r="DF875" s="121"/>
      <c r="DG875" s="121"/>
      <c r="DH875" s="121"/>
      <c r="DI875" s="121"/>
      <c r="DJ875" s="121"/>
      <c r="DK875" s="121"/>
      <c r="DL875" s="121"/>
      <c r="DM875" s="121"/>
      <c r="DN875" s="121"/>
      <c r="DO875" s="121"/>
      <c r="DP875" s="121"/>
      <c r="DQ875" s="121"/>
      <c r="DR875" s="121"/>
      <c r="DS875" s="121"/>
      <c r="DT875" s="240"/>
      <c r="DU875" s="240"/>
      <c r="DV875" s="240"/>
      <c r="DW875" s="240"/>
      <c r="DX875" s="240"/>
      <c r="DY875" s="240"/>
      <c r="DZ875" s="240"/>
      <c r="EA875" s="240"/>
      <c r="EB875" s="237">
        <f t="shared" si="104"/>
        <v>0</v>
      </c>
      <c r="EC875" s="237">
        <f t="shared" si="105"/>
        <v>0</v>
      </c>
      <c r="ED875" s="237">
        <f t="shared" si="106"/>
        <v>0</v>
      </c>
      <c r="EE875" s="237">
        <f t="shared" si="107"/>
        <v>0</v>
      </c>
      <c r="EF875" s="121"/>
      <c r="EG875" s="238">
        <f t="shared" si="108"/>
        <v>0</v>
      </c>
      <c r="EH875" s="121"/>
      <c r="EI875" s="237">
        <f t="shared" si="109"/>
        <v>0</v>
      </c>
      <c r="EJ875" s="121"/>
      <c r="EK875" s="237">
        <f t="shared" si="110"/>
        <v>0</v>
      </c>
      <c r="EL875" s="237"/>
      <c r="EM875" s="5"/>
      <c r="EN875" s="5"/>
      <c r="EO875" s="5"/>
      <c r="EP875" s="5"/>
      <c r="EQ875" s="237">
        <f t="shared" si="111"/>
        <v>0</v>
      </c>
      <c r="ER875" s="239">
        <v>23300</v>
      </c>
      <c r="ES875" s="5">
        <v>7.5</v>
      </c>
    </row>
    <row r="876" spans="1:149" x14ac:dyDescent="0.3">
      <c r="A876" s="124"/>
      <c r="B876" s="121"/>
      <c r="C876" s="121"/>
      <c r="D876" s="121"/>
      <c r="E876" s="121"/>
      <c r="F876" s="121"/>
      <c r="G876" s="121"/>
      <c r="H876" s="121"/>
      <c r="I876" s="121"/>
      <c r="J876" s="121"/>
      <c r="K876" s="121"/>
      <c r="L876" s="121"/>
      <c r="M876" s="121"/>
      <c r="N876" s="121"/>
      <c r="O876" s="235"/>
      <c r="P876" s="121"/>
      <c r="Q876" s="121"/>
      <c r="R876" s="121"/>
      <c r="S876" s="121"/>
      <c r="T876" s="121"/>
      <c r="U876" s="121"/>
      <c r="V876" s="121"/>
      <c r="W876" s="121"/>
      <c r="X876" s="117"/>
      <c r="Y876" s="117"/>
      <c r="Z876" s="121"/>
      <c r="AA876" s="121"/>
      <c r="AB876" s="121"/>
      <c r="AC876" s="121"/>
      <c r="AD876" s="121"/>
      <c r="AE876" s="121"/>
      <c r="AF876" s="121"/>
      <c r="AG876" s="121"/>
      <c r="AH876" s="121"/>
      <c r="AI876" s="121"/>
      <c r="AJ876" s="121"/>
      <c r="AK876" s="121"/>
      <c r="AL876" s="121"/>
      <c r="AM876" s="121"/>
      <c r="AN876" s="121"/>
      <c r="AO876" s="121"/>
      <c r="AP876" s="121"/>
      <c r="AQ876" s="121"/>
      <c r="AR876" s="121"/>
      <c r="AS876" s="121"/>
      <c r="AT876" s="121"/>
      <c r="AU876" s="121"/>
      <c r="AV876" s="121"/>
      <c r="AW876" s="121"/>
      <c r="AX876" s="121"/>
      <c r="AY876" s="121"/>
      <c r="AZ876" s="121"/>
      <c r="BA876" s="121"/>
      <c r="BB876" s="121"/>
      <c r="BC876" s="121"/>
      <c r="BD876" s="121"/>
      <c r="BE876" s="121"/>
      <c r="BF876" s="121"/>
      <c r="BG876" s="121"/>
      <c r="BH876" s="121"/>
      <c r="BI876" s="121"/>
      <c r="BJ876" s="121"/>
      <c r="BK876" s="121"/>
      <c r="BL876" s="121"/>
      <c r="BM876" s="121"/>
      <c r="BN876" s="121"/>
      <c r="BO876" s="121"/>
      <c r="BP876" s="121"/>
      <c r="BQ876" s="121"/>
      <c r="BR876" s="121"/>
      <c r="BS876" s="121"/>
      <c r="BT876" s="121"/>
      <c r="BU876" s="121"/>
      <c r="BV876" s="121"/>
      <c r="BW876" s="121"/>
      <c r="BX876" s="121"/>
      <c r="BY876" s="121"/>
      <c r="BZ876" s="121"/>
      <c r="CA876" s="121"/>
      <c r="CB876" s="121"/>
      <c r="CC876" s="121"/>
      <c r="CD876" s="121"/>
      <c r="CE876" s="121"/>
      <c r="CF876" s="121"/>
      <c r="CG876" s="121"/>
      <c r="CH876" s="121"/>
      <c r="CI876" s="121"/>
      <c r="CJ876" s="121"/>
      <c r="CK876" s="121"/>
      <c r="CL876" s="121"/>
      <c r="CM876" s="121"/>
      <c r="CN876" s="121"/>
      <c r="CO876" s="121"/>
      <c r="CP876" s="121"/>
      <c r="CQ876" s="121"/>
      <c r="CR876" s="121"/>
      <c r="CS876" s="121"/>
      <c r="CT876" s="121"/>
      <c r="CU876" s="121"/>
      <c r="CV876" s="121"/>
      <c r="CW876" s="121"/>
      <c r="CX876" s="121"/>
      <c r="CY876" s="121"/>
      <c r="CZ876" s="121"/>
      <c r="DA876" s="121"/>
      <c r="DB876" s="121"/>
      <c r="DC876" s="121"/>
      <c r="DD876" s="121"/>
      <c r="DE876" s="121"/>
      <c r="DF876" s="121"/>
      <c r="DG876" s="121"/>
      <c r="DH876" s="121"/>
      <c r="DI876" s="121"/>
      <c r="DJ876" s="121"/>
      <c r="DK876" s="121"/>
      <c r="DL876" s="121"/>
      <c r="DM876" s="121"/>
      <c r="DN876" s="121"/>
      <c r="DO876" s="121"/>
      <c r="DP876" s="121"/>
      <c r="DQ876" s="121"/>
      <c r="DR876" s="121"/>
      <c r="DS876" s="121"/>
      <c r="DT876" s="240"/>
      <c r="DU876" s="240"/>
      <c r="DV876" s="240"/>
      <c r="DW876" s="240"/>
      <c r="DX876" s="240"/>
      <c r="DY876" s="240"/>
      <c r="DZ876" s="240"/>
      <c r="EA876" s="240"/>
      <c r="EB876" s="237">
        <f t="shared" si="104"/>
        <v>0</v>
      </c>
      <c r="EC876" s="237">
        <f t="shared" si="105"/>
        <v>0</v>
      </c>
      <c r="ED876" s="237">
        <f t="shared" si="106"/>
        <v>0</v>
      </c>
      <c r="EE876" s="237">
        <f t="shared" si="107"/>
        <v>0</v>
      </c>
      <c r="EF876" s="121"/>
      <c r="EG876" s="238">
        <f t="shared" si="108"/>
        <v>0</v>
      </c>
      <c r="EH876" s="121"/>
      <c r="EI876" s="237">
        <f t="shared" si="109"/>
        <v>0</v>
      </c>
      <c r="EJ876" s="121"/>
      <c r="EK876" s="237">
        <f t="shared" si="110"/>
        <v>0</v>
      </c>
      <c r="EL876" s="237"/>
      <c r="EM876" s="5"/>
      <c r="EN876" s="5"/>
      <c r="EO876" s="5"/>
      <c r="EP876" s="5"/>
      <c r="EQ876" s="237">
        <f t="shared" si="111"/>
        <v>0</v>
      </c>
      <c r="ER876" s="239">
        <v>23300</v>
      </c>
      <c r="ES876" s="5">
        <v>7.5</v>
      </c>
    </row>
    <row r="877" spans="1:149" x14ac:dyDescent="0.3">
      <c r="A877" s="124"/>
      <c r="B877" s="121"/>
      <c r="C877" s="121"/>
      <c r="D877" s="121"/>
      <c r="E877" s="121"/>
      <c r="F877" s="121"/>
      <c r="G877" s="121"/>
      <c r="H877" s="121"/>
      <c r="I877" s="121"/>
      <c r="J877" s="121"/>
      <c r="K877" s="121"/>
      <c r="L877" s="121"/>
      <c r="M877" s="121"/>
      <c r="N877" s="121"/>
      <c r="O877" s="235"/>
      <c r="P877" s="121"/>
      <c r="Q877" s="121"/>
      <c r="R877" s="121"/>
      <c r="S877" s="121"/>
      <c r="T877" s="121"/>
      <c r="U877" s="121"/>
      <c r="V877" s="121"/>
      <c r="W877" s="121"/>
      <c r="X877" s="117"/>
      <c r="Y877" s="117"/>
      <c r="Z877" s="121"/>
      <c r="AA877" s="121"/>
      <c r="AB877" s="121"/>
      <c r="AC877" s="121"/>
      <c r="AD877" s="121"/>
      <c r="AE877" s="121"/>
      <c r="AF877" s="121"/>
      <c r="AG877" s="121"/>
      <c r="AH877" s="121"/>
      <c r="AI877" s="121"/>
      <c r="AJ877" s="121"/>
      <c r="AK877" s="121"/>
      <c r="AL877" s="121"/>
      <c r="AM877" s="121"/>
      <c r="AN877" s="121"/>
      <c r="AO877" s="121"/>
      <c r="AP877" s="121"/>
      <c r="AQ877" s="121"/>
      <c r="AR877" s="121"/>
      <c r="AS877" s="121"/>
      <c r="AT877" s="121"/>
      <c r="AU877" s="121"/>
      <c r="AV877" s="121"/>
      <c r="AW877" s="121"/>
      <c r="AX877" s="121"/>
      <c r="AY877" s="121"/>
      <c r="AZ877" s="121"/>
      <c r="BA877" s="121"/>
      <c r="BB877" s="121"/>
      <c r="BC877" s="121"/>
      <c r="BD877" s="121"/>
      <c r="BE877" s="121"/>
      <c r="BF877" s="121"/>
      <c r="BG877" s="121"/>
      <c r="BH877" s="121"/>
      <c r="BI877" s="121"/>
      <c r="BJ877" s="121"/>
      <c r="BK877" s="121"/>
      <c r="BL877" s="121"/>
      <c r="BM877" s="121"/>
      <c r="BN877" s="121"/>
      <c r="BO877" s="121"/>
      <c r="BP877" s="121"/>
      <c r="BQ877" s="121"/>
      <c r="BR877" s="121"/>
      <c r="BS877" s="121"/>
      <c r="BT877" s="121"/>
      <c r="BU877" s="121"/>
      <c r="BV877" s="121"/>
      <c r="BW877" s="121"/>
      <c r="BX877" s="121"/>
      <c r="BY877" s="121"/>
      <c r="BZ877" s="121"/>
      <c r="CA877" s="121"/>
      <c r="CB877" s="121"/>
      <c r="CC877" s="121"/>
      <c r="CD877" s="121"/>
      <c r="CE877" s="121"/>
      <c r="CF877" s="121"/>
      <c r="CG877" s="121"/>
      <c r="CH877" s="121"/>
      <c r="CI877" s="121"/>
      <c r="CJ877" s="121"/>
      <c r="CK877" s="121"/>
      <c r="CL877" s="121"/>
      <c r="CM877" s="121"/>
      <c r="CN877" s="121"/>
      <c r="CO877" s="121"/>
      <c r="CP877" s="121"/>
      <c r="CQ877" s="121"/>
      <c r="CR877" s="121"/>
      <c r="CS877" s="121"/>
      <c r="CT877" s="121"/>
      <c r="CU877" s="121"/>
      <c r="CV877" s="121"/>
      <c r="CW877" s="121"/>
      <c r="CX877" s="121"/>
      <c r="CY877" s="121"/>
      <c r="CZ877" s="121"/>
      <c r="DA877" s="121"/>
      <c r="DB877" s="121"/>
      <c r="DC877" s="121"/>
      <c r="DD877" s="121"/>
      <c r="DE877" s="121"/>
      <c r="DF877" s="121"/>
      <c r="DG877" s="121"/>
      <c r="DH877" s="121"/>
      <c r="DI877" s="121"/>
      <c r="DJ877" s="121"/>
      <c r="DK877" s="121"/>
      <c r="DL877" s="121"/>
      <c r="DM877" s="121"/>
      <c r="DN877" s="121"/>
      <c r="DO877" s="121"/>
      <c r="DP877" s="121"/>
      <c r="DQ877" s="121"/>
      <c r="DR877" s="121"/>
      <c r="DS877" s="121"/>
      <c r="DT877" s="240"/>
      <c r="DU877" s="240"/>
      <c r="DV877" s="240"/>
      <c r="DW877" s="240"/>
      <c r="DX877" s="240"/>
      <c r="DY877" s="240"/>
      <c r="DZ877" s="240"/>
      <c r="EA877" s="240"/>
      <c r="EB877" s="237">
        <f t="shared" si="104"/>
        <v>0</v>
      </c>
      <c r="EC877" s="237">
        <f t="shared" si="105"/>
        <v>0</v>
      </c>
      <c r="ED877" s="237">
        <f t="shared" si="106"/>
        <v>0</v>
      </c>
      <c r="EE877" s="237">
        <f t="shared" si="107"/>
        <v>0</v>
      </c>
      <c r="EF877" s="121"/>
      <c r="EG877" s="238">
        <f t="shared" si="108"/>
        <v>0</v>
      </c>
      <c r="EH877" s="121"/>
      <c r="EI877" s="237">
        <f t="shared" si="109"/>
        <v>0</v>
      </c>
      <c r="EJ877" s="121"/>
      <c r="EK877" s="237">
        <f t="shared" si="110"/>
        <v>0</v>
      </c>
      <c r="EL877" s="237"/>
      <c r="EM877" s="5"/>
      <c r="EN877" s="5"/>
      <c r="EO877" s="5"/>
      <c r="EP877" s="5"/>
      <c r="EQ877" s="237">
        <f t="shared" si="111"/>
        <v>0</v>
      </c>
      <c r="ER877" s="239">
        <v>23300</v>
      </c>
      <c r="ES877" s="5">
        <v>7.5</v>
      </c>
    </row>
    <row r="878" spans="1:149" x14ac:dyDescent="0.3">
      <c r="A878" s="124"/>
      <c r="B878" s="121"/>
      <c r="C878" s="121"/>
      <c r="D878" s="121"/>
      <c r="E878" s="121"/>
      <c r="F878" s="121"/>
      <c r="G878" s="121"/>
      <c r="H878" s="121"/>
      <c r="I878" s="121"/>
      <c r="J878" s="121"/>
      <c r="K878" s="121"/>
      <c r="L878" s="121"/>
      <c r="M878" s="121"/>
      <c r="N878" s="121"/>
      <c r="O878" s="235"/>
      <c r="P878" s="121"/>
      <c r="Q878" s="121"/>
      <c r="R878" s="121"/>
      <c r="S878" s="121"/>
      <c r="T878" s="121"/>
      <c r="U878" s="121"/>
      <c r="V878" s="121"/>
      <c r="W878" s="121"/>
      <c r="X878" s="117"/>
      <c r="Y878" s="117"/>
      <c r="Z878" s="121"/>
      <c r="AA878" s="121"/>
      <c r="AB878" s="121"/>
      <c r="AC878" s="121"/>
      <c r="AD878" s="121"/>
      <c r="AE878" s="121"/>
      <c r="AF878" s="121"/>
      <c r="AG878" s="121"/>
      <c r="AH878" s="121"/>
      <c r="AI878" s="121"/>
      <c r="AJ878" s="121"/>
      <c r="AK878" s="121"/>
      <c r="AL878" s="121"/>
      <c r="AM878" s="121"/>
      <c r="AN878" s="121"/>
      <c r="AO878" s="121"/>
      <c r="AP878" s="121"/>
      <c r="AQ878" s="121"/>
      <c r="AR878" s="121"/>
      <c r="AS878" s="121"/>
      <c r="AT878" s="121"/>
      <c r="AU878" s="121"/>
      <c r="AV878" s="121"/>
      <c r="AW878" s="121"/>
      <c r="AX878" s="121"/>
      <c r="AY878" s="121"/>
      <c r="AZ878" s="121"/>
      <c r="BA878" s="121"/>
      <c r="BB878" s="121"/>
      <c r="BC878" s="121"/>
      <c r="BD878" s="121"/>
      <c r="BE878" s="121"/>
      <c r="BF878" s="121"/>
      <c r="BG878" s="121"/>
      <c r="BH878" s="121"/>
      <c r="BI878" s="121"/>
      <c r="BJ878" s="121"/>
      <c r="BK878" s="121"/>
      <c r="BL878" s="121"/>
      <c r="BM878" s="121"/>
      <c r="BN878" s="121"/>
      <c r="BO878" s="121"/>
      <c r="BP878" s="121"/>
      <c r="BQ878" s="121"/>
      <c r="BR878" s="121"/>
      <c r="BS878" s="121"/>
      <c r="BT878" s="121"/>
      <c r="BU878" s="121"/>
      <c r="BV878" s="121"/>
      <c r="BW878" s="121"/>
      <c r="BX878" s="121"/>
      <c r="BY878" s="121"/>
      <c r="BZ878" s="121"/>
      <c r="CA878" s="121"/>
      <c r="CB878" s="121"/>
      <c r="CC878" s="121"/>
      <c r="CD878" s="121"/>
      <c r="CE878" s="121"/>
      <c r="CF878" s="121"/>
      <c r="CG878" s="121"/>
      <c r="CH878" s="121"/>
      <c r="CI878" s="121"/>
      <c r="CJ878" s="121"/>
      <c r="CK878" s="121"/>
      <c r="CL878" s="121"/>
      <c r="CM878" s="121"/>
      <c r="CN878" s="121"/>
      <c r="CO878" s="121"/>
      <c r="CP878" s="121"/>
      <c r="CQ878" s="121"/>
      <c r="CR878" s="121"/>
      <c r="CS878" s="121"/>
      <c r="CT878" s="121"/>
      <c r="CU878" s="121"/>
      <c r="CV878" s="121"/>
      <c r="CW878" s="121"/>
      <c r="CX878" s="121"/>
      <c r="CY878" s="121"/>
      <c r="CZ878" s="121"/>
      <c r="DA878" s="121"/>
      <c r="DB878" s="121"/>
      <c r="DC878" s="121"/>
      <c r="DD878" s="121"/>
      <c r="DE878" s="121"/>
      <c r="DF878" s="121"/>
      <c r="DG878" s="121"/>
      <c r="DH878" s="121"/>
      <c r="DI878" s="121"/>
      <c r="DJ878" s="121"/>
      <c r="DK878" s="121"/>
      <c r="DL878" s="121"/>
      <c r="DM878" s="121"/>
      <c r="DN878" s="121"/>
      <c r="DO878" s="121"/>
      <c r="DP878" s="121"/>
      <c r="DQ878" s="121"/>
      <c r="DR878" s="121"/>
      <c r="DS878" s="121"/>
      <c r="DT878" s="240"/>
      <c r="DU878" s="240"/>
      <c r="DV878" s="240"/>
      <c r="DW878" s="240"/>
      <c r="DX878" s="240"/>
      <c r="DY878" s="240"/>
      <c r="DZ878" s="240"/>
      <c r="EA878" s="240"/>
      <c r="EB878" s="237">
        <f t="shared" si="104"/>
        <v>0</v>
      </c>
      <c r="EC878" s="237">
        <f t="shared" si="105"/>
        <v>0</v>
      </c>
      <c r="ED878" s="237">
        <f t="shared" si="106"/>
        <v>0</v>
      </c>
      <c r="EE878" s="237">
        <f t="shared" si="107"/>
        <v>0</v>
      </c>
      <c r="EF878" s="121"/>
      <c r="EG878" s="238">
        <f t="shared" si="108"/>
        <v>0</v>
      </c>
      <c r="EH878" s="121"/>
      <c r="EI878" s="237">
        <f t="shared" si="109"/>
        <v>0</v>
      </c>
      <c r="EJ878" s="121"/>
      <c r="EK878" s="237">
        <f t="shared" si="110"/>
        <v>0</v>
      </c>
      <c r="EL878" s="237"/>
      <c r="EM878" s="5"/>
      <c r="EN878" s="5"/>
      <c r="EO878" s="5"/>
      <c r="EP878" s="5"/>
      <c r="EQ878" s="237">
        <f t="shared" si="111"/>
        <v>0</v>
      </c>
      <c r="ER878" s="239">
        <v>23300</v>
      </c>
      <c r="ES878" s="5">
        <v>7.5</v>
      </c>
    </row>
    <row r="879" spans="1:149" x14ac:dyDescent="0.3">
      <c r="A879" s="124"/>
      <c r="B879" s="121"/>
      <c r="C879" s="121"/>
      <c r="D879" s="121"/>
      <c r="E879" s="121"/>
      <c r="F879" s="121"/>
      <c r="G879" s="121"/>
      <c r="H879" s="121"/>
      <c r="I879" s="121"/>
      <c r="J879" s="121"/>
      <c r="K879" s="121"/>
      <c r="L879" s="121"/>
      <c r="M879" s="121"/>
      <c r="N879" s="121"/>
      <c r="O879" s="235"/>
      <c r="P879" s="121"/>
      <c r="Q879" s="121"/>
      <c r="R879" s="121"/>
      <c r="S879" s="121"/>
      <c r="T879" s="121"/>
      <c r="U879" s="121"/>
      <c r="V879" s="121"/>
      <c r="W879" s="121"/>
      <c r="X879" s="117"/>
      <c r="Y879" s="117"/>
      <c r="Z879" s="121"/>
      <c r="AA879" s="121"/>
      <c r="AB879" s="121"/>
      <c r="AC879" s="121"/>
      <c r="AD879" s="121"/>
      <c r="AE879" s="121"/>
      <c r="AF879" s="121"/>
      <c r="AG879" s="121"/>
      <c r="AH879" s="121"/>
      <c r="AI879" s="121"/>
      <c r="AJ879" s="121"/>
      <c r="AK879" s="121"/>
      <c r="AL879" s="121"/>
      <c r="AM879" s="121"/>
      <c r="AN879" s="121"/>
      <c r="AO879" s="121"/>
      <c r="AP879" s="121"/>
      <c r="AQ879" s="121"/>
      <c r="AR879" s="121"/>
      <c r="AS879" s="121"/>
      <c r="AT879" s="121"/>
      <c r="AU879" s="121"/>
      <c r="AV879" s="121"/>
      <c r="AW879" s="121"/>
      <c r="AX879" s="121"/>
      <c r="AY879" s="121"/>
      <c r="AZ879" s="121"/>
      <c r="BA879" s="121"/>
      <c r="BB879" s="121"/>
      <c r="BC879" s="121"/>
      <c r="BD879" s="121"/>
      <c r="BE879" s="121"/>
      <c r="BF879" s="121"/>
      <c r="BG879" s="121"/>
      <c r="BH879" s="121"/>
      <c r="BI879" s="121"/>
      <c r="BJ879" s="121"/>
      <c r="BK879" s="121"/>
      <c r="BL879" s="121"/>
      <c r="BM879" s="121"/>
      <c r="BN879" s="121"/>
      <c r="BO879" s="121"/>
      <c r="BP879" s="121"/>
      <c r="BQ879" s="121"/>
      <c r="BR879" s="121"/>
      <c r="BS879" s="121"/>
      <c r="BT879" s="121"/>
      <c r="BU879" s="121"/>
      <c r="BV879" s="121"/>
      <c r="BW879" s="121"/>
      <c r="BX879" s="121"/>
      <c r="BY879" s="121"/>
      <c r="BZ879" s="121"/>
      <c r="CA879" s="121"/>
      <c r="CB879" s="121"/>
      <c r="CC879" s="121"/>
      <c r="CD879" s="121"/>
      <c r="CE879" s="121"/>
      <c r="CF879" s="121"/>
      <c r="CG879" s="121"/>
      <c r="CH879" s="121"/>
      <c r="CI879" s="121"/>
      <c r="CJ879" s="121"/>
      <c r="CK879" s="121"/>
      <c r="CL879" s="121"/>
      <c r="CM879" s="121"/>
      <c r="CN879" s="121"/>
      <c r="CO879" s="121"/>
      <c r="CP879" s="121"/>
      <c r="CQ879" s="121"/>
      <c r="CR879" s="121"/>
      <c r="CS879" s="121"/>
      <c r="CT879" s="121"/>
      <c r="CU879" s="121"/>
      <c r="CV879" s="121"/>
      <c r="CW879" s="121"/>
      <c r="CX879" s="121"/>
      <c r="CY879" s="121"/>
      <c r="CZ879" s="121"/>
      <c r="DA879" s="121"/>
      <c r="DB879" s="121"/>
      <c r="DC879" s="121"/>
      <c r="DD879" s="121"/>
      <c r="DE879" s="121"/>
      <c r="DF879" s="121"/>
      <c r="DG879" s="121"/>
      <c r="DH879" s="121"/>
      <c r="DI879" s="121"/>
      <c r="DJ879" s="121"/>
      <c r="DK879" s="121"/>
      <c r="DL879" s="121"/>
      <c r="DM879" s="121"/>
      <c r="DN879" s="121"/>
      <c r="DO879" s="121"/>
      <c r="DP879" s="121"/>
      <c r="DQ879" s="121"/>
      <c r="DR879" s="121"/>
      <c r="DS879" s="121"/>
      <c r="DT879" s="240"/>
      <c r="DU879" s="240"/>
      <c r="DV879" s="240"/>
      <c r="DW879" s="240"/>
      <c r="DX879" s="240"/>
      <c r="DY879" s="240"/>
      <c r="DZ879" s="240"/>
      <c r="EA879" s="240"/>
      <c r="EB879" s="237">
        <f t="shared" si="104"/>
        <v>0</v>
      </c>
      <c r="EC879" s="237">
        <f t="shared" si="105"/>
        <v>0</v>
      </c>
      <c r="ED879" s="237">
        <f t="shared" si="106"/>
        <v>0</v>
      </c>
      <c r="EE879" s="237">
        <f t="shared" si="107"/>
        <v>0</v>
      </c>
      <c r="EF879" s="121"/>
      <c r="EG879" s="238">
        <f t="shared" si="108"/>
        <v>0</v>
      </c>
      <c r="EH879" s="121"/>
      <c r="EI879" s="237">
        <f t="shared" si="109"/>
        <v>0</v>
      </c>
      <c r="EJ879" s="121"/>
      <c r="EK879" s="237">
        <f t="shared" si="110"/>
        <v>0</v>
      </c>
      <c r="EL879" s="237"/>
      <c r="EM879" s="5"/>
      <c r="EN879" s="5"/>
      <c r="EO879" s="5"/>
      <c r="EP879" s="5"/>
      <c r="EQ879" s="237">
        <f t="shared" si="111"/>
        <v>0</v>
      </c>
      <c r="ER879" s="239">
        <v>23300</v>
      </c>
      <c r="ES879" s="5">
        <v>7.5</v>
      </c>
    </row>
    <row r="880" spans="1:149" x14ac:dyDescent="0.3">
      <c r="A880" s="124"/>
      <c r="B880" s="121"/>
      <c r="C880" s="121"/>
      <c r="D880" s="121"/>
      <c r="E880" s="121"/>
      <c r="F880" s="121"/>
      <c r="G880" s="121"/>
      <c r="H880" s="121"/>
      <c r="I880" s="121"/>
      <c r="J880" s="121"/>
      <c r="K880" s="121"/>
      <c r="L880" s="121"/>
      <c r="M880" s="121"/>
      <c r="N880" s="121"/>
      <c r="O880" s="235"/>
      <c r="P880" s="121"/>
      <c r="Q880" s="121"/>
      <c r="R880" s="121"/>
      <c r="S880" s="121"/>
      <c r="T880" s="121"/>
      <c r="U880" s="121"/>
      <c r="V880" s="121"/>
      <c r="W880" s="121"/>
      <c r="X880" s="117"/>
      <c r="Y880" s="117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/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121"/>
      <c r="BJ880" s="121"/>
      <c r="BK880" s="121"/>
      <c r="BL880" s="121"/>
      <c r="BM880" s="121"/>
      <c r="BN880" s="121"/>
      <c r="BO880" s="121"/>
      <c r="BP880" s="121"/>
      <c r="BQ880" s="121"/>
      <c r="BR880" s="121"/>
      <c r="BS880" s="121"/>
      <c r="BT880" s="121"/>
      <c r="BU880" s="121"/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/>
      <c r="CP880" s="121"/>
      <c r="CQ880" s="121"/>
      <c r="CR880" s="121"/>
      <c r="CS880" s="121"/>
      <c r="CT880" s="121"/>
      <c r="CU880" s="121"/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/>
      <c r="DF880" s="121"/>
      <c r="DG880" s="121"/>
      <c r="DH880" s="121"/>
      <c r="DI880" s="121"/>
      <c r="DJ880" s="121"/>
      <c r="DK880" s="121"/>
      <c r="DL880" s="121"/>
      <c r="DM880" s="121"/>
      <c r="DN880" s="121"/>
      <c r="DO880" s="121"/>
      <c r="DP880" s="121"/>
      <c r="DQ880" s="121"/>
      <c r="DR880" s="121"/>
      <c r="DS880" s="121"/>
      <c r="DT880" s="240"/>
      <c r="DU880" s="240"/>
      <c r="DV880" s="240"/>
      <c r="DW880" s="240"/>
      <c r="DX880" s="240"/>
      <c r="DY880" s="240"/>
      <c r="DZ880" s="240"/>
      <c r="EA880" s="240"/>
      <c r="EB880" s="237">
        <f t="shared" si="104"/>
        <v>0</v>
      </c>
      <c r="EC880" s="237">
        <f t="shared" si="105"/>
        <v>0</v>
      </c>
      <c r="ED880" s="237">
        <f t="shared" si="106"/>
        <v>0</v>
      </c>
      <c r="EE880" s="237">
        <f t="shared" si="107"/>
        <v>0</v>
      </c>
      <c r="EF880" s="121"/>
      <c r="EG880" s="238">
        <f t="shared" si="108"/>
        <v>0</v>
      </c>
      <c r="EH880" s="121"/>
      <c r="EI880" s="237">
        <f t="shared" si="109"/>
        <v>0</v>
      </c>
      <c r="EJ880" s="121"/>
      <c r="EK880" s="237">
        <f t="shared" si="110"/>
        <v>0</v>
      </c>
      <c r="EL880" s="237"/>
      <c r="EM880" s="5"/>
      <c r="EN880" s="5"/>
      <c r="EO880" s="5"/>
      <c r="EP880" s="5"/>
      <c r="EQ880" s="237">
        <f t="shared" si="111"/>
        <v>0</v>
      </c>
      <c r="ER880" s="239">
        <v>23300</v>
      </c>
      <c r="ES880" s="5">
        <v>7.5</v>
      </c>
    </row>
    <row r="881" spans="1:149" x14ac:dyDescent="0.3">
      <c r="A881" s="124"/>
      <c r="B881" s="121"/>
      <c r="C881" s="121"/>
      <c r="D881" s="121"/>
      <c r="E881" s="121"/>
      <c r="F881" s="121"/>
      <c r="G881" s="121"/>
      <c r="H881" s="121"/>
      <c r="I881" s="121"/>
      <c r="J881" s="121"/>
      <c r="K881" s="121"/>
      <c r="L881" s="121"/>
      <c r="M881" s="121"/>
      <c r="N881" s="121"/>
      <c r="O881" s="235"/>
      <c r="P881" s="121"/>
      <c r="Q881" s="121"/>
      <c r="R881" s="121"/>
      <c r="S881" s="121"/>
      <c r="T881" s="121"/>
      <c r="U881" s="121"/>
      <c r="V881" s="121"/>
      <c r="W881" s="121"/>
      <c r="X881" s="117"/>
      <c r="Y881" s="117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21"/>
      <c r="BJ881" s="121"/>
      <c r="BK881" s="121"/>
      <c r="BL881" s="121"/>
      <c r="BM881" s="121"/>
      <c r="BN881" s="121"/>
      <c r="BO881" s="121"/>
      <c r="BP881" s="121"/>
      <c r="BQ881" s="121"/>
      <c r="BR881" s="121"/>
      <c r="BS881" s="121"/>
      <c r="BT881" s="121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21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  <c r="DK881" s="121"/>
      <c r="DL881" s="121"/>
      <c r="DM881" s="121"/>
      <c r="DN881" s="121"/>
      <c r="DO881" s="121"/>
      <c r="DP881" s="121"/>
      <c r="DQ881" s="121"/>
      <c r="DR881" s="121"/>
      <c r="DS881" s="121"/>
      <c r="DT881" s="240"/>
      <c r="DU881" s="240"/>
      <c r="DV881" s="240"/>
      <c r="DW881" s="240"/>
      <c r="DX881" s="240"/>
      <c r="DY881" s="240"/>
      <c r="DZ881" s="240"/>
      <c r="EA881" s="240"/>
      <c r="EB881" s="237">
        <f t="shared" si="104"/>
        <v>0</v>
      </c>
      <c r="EC881" s="237">
        <f t="shared" si="105"/>
        <v>0</v>
      </c>
      <c r="ED881" s="237">
        <f t="shared" si="106"/>
        <v>0</v>
      </c>
      <c r="EE881" s="237">
        <f t="shared" si="107"/>
        <v>0</v>
      </c>
      <c r="EF881" s="121"/>
      <c r="EG881" s="238">
        <f t="shared" si="108"/>
        <v>0</v>
      </c>
      <c r="EH881" s="121"/>
      <c r="EI881" s="237">
        <f t="shared" si="109"/>
        <v>0</v>
      </c>
      <c r="EJ881" s="121"/>
      <c r="EK881" s="237">
        <f t="shared" si="110"/>
        <v>0</v>
      </c>
      <c r="EL881" s="237"/>
      <c r="EM881" s="5"/>
      <c r="EN881" s="5"/>
      <c r="EO881" s="5"/>
      <c r="EP881" s="5"/>
      <c r="EQ881" s="237">
        <f t="shared" si="111"/>
        <v>0</v>
      </c>
      <c r="ER881" s="239">
        <v>23300</v>
      </c>
      <c r="ES881" s="5">
        <v>7.5</v>
      </c>
    </row>
    <row r="882" spans="1:149" x14ac:dyDescent="0.3">
      <c r="A882" s="124"/>
      <c r="B882" s="121"/>
      <c r="C882" s="121"/>
      <c r="D882" s="121"/>
      <c r="E882" s="121"/>
      <c r="F882" s="121"/>
      <c r="G882" s="121"/>
      <c r="H882" s="121"/>
      <c r="I882" s="121"/>
      <c r="J882" s="121"/>
      <c r="K882" s="121"/>
      <c r="L882" s="121"/>
      <c r="M882" s="121"/>
      <c r="N882" s="121"/>
      <c r="O882" s="235"/>
      <c r="P882" s="121"/>
      <c r="Q882" s="121"/>
      <c r="R882" s="121"/>
      <c r="S882" s="121"/>
      <c r="T882" s="121"/>
      <c r="U882" s="121"/>
      <c r="V882" s="121"/>
      <c r="W882" s="121"/>
      <c r="X882" s="117"/>
      <c r="Y882" s="117"/>
      <c r="Z882" s="121"/>
      <c r="AA882" s="121"/>
      <c r="AB882" s="121"/>
      <c r="AC882" s="121"/>
      <c r="AD882" s="121"/>
      <c r="AE882" s="121"/>
      <c r="AF882" s="121"/>
      <c r="AG882" s="121"/>
      <c r="AH882" s="121"/>
      <c r="AI882" s="121"/>
      <c r="AJ882" s="121"/>
      <c r="AK882" s="121"/>
      <c r="AL882" s="121"/>
      <c r="AM882" s="121"/>
      <c r="AN882" s="121"/>
      <c r="AO882" s="121"/>
      <c r="AP882" s="121"/>
      <c r="AQ882" s="121"/>
      <c r="AR882" s="121"/>
      <c r="AS882" s="121"/>
      <c r="AT882" s="121"/>
      <c r="AU882" s="121"/>
      <c r="AV882" s="121"/>
      <c r="AW882" s="121"/>
      <c r="AX882" s="121"/>
      <c r="AY882" s="121"/>
      <c r="AZ882" s="121"/>
      <c r="BA882" s="121"/>
      <c r="BB882" s="121"/>
      <c r="BC882" s="121"/>
      <c r="BD882" s="121"/>
      <c r="BE882" s="121"/>
      <c r="BF882" s="121"/>
      <c r="BG882" s="121"/>
      <c r="BH882" s="121"/>
      <c r="BI882" s="121"/>
      <c r="BJ882" s="121"/>
      <c r="BK882" s="121"/>
      <c r="BL882" s="121"/>
      <c r="BM882" s="121"/>
      <c r="BN882" s="121"/>
      <c r="BO882" s="121"/>
      <c r="BP882" s="121"/>
      <c r="BQ882" s="121"/>
      <c r="BR882" s="121"/>
      <c r="BS882" s="121"/>
      <c r="BT882" s="121"/>
      <c r="BU882" s="121"/>
      <c r="BV882" s="121"/>
      <c r="BW882" s="121"/>
      <c r="BX882" s="121"/>
      <c r="BY882" s="121"/>
      <c r="BZ882" s="121"/>
      <c r="CA882" s="121"/>
      <c r="CB882" s="121"/>
      <c r="CC882" s="121"/>
      <c r="CD882" s="121"/>
      <c r="CE882" s="121"/>
      <c r="CF882" s="121"/>
      <c r="CG882" s="121"/>
      <c r="CH882" s="121"/>
      <c r="CI882" s="121"/>
      <c r="CJ882" s="121"/>
      <c r="CK882" s="121"/>
      <c r="CL882" s="121"/>
      <c r="CM882" s="121"/>
      <c r="CN882" s="121"/>
      <c r="CO882" s="121"/>
      <c r="CP882" s="121"/>
      <c r="CQ882" s="121"/>
      <c r="CR882" s="121"/>
      <c r="CS882" s="121"/>
      <c r="CT882" s="121"/>
      <c r="CU882" s="121"/>
      <c r="CV882" s="121"/>
      <c r="CW882" s="121"/>
      <c r="CX882" s="121"/>
      <c r="CY882" s="121"/>
      <c r="CZ882" s="121"/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  <c r="DK882" s="121"/>
      <c r="DL882" s="121"/>
      <c r="DM882" s="121"/>
      <c r="DN882" s="121"/>
      <c r="DO882" s="121"/>
      <c r="DP882" s="121"/>
      <c r="DQ882" s="121"/>
      <c r="DR882" s="121"/>
      <c r="DS882" s="121"/>
      <c r="DT882" s="240"/>
      <c r="DU882" s="240"/>
      <c r="DV882" s="240"/>
      <c r="DW882" s="240"/>
      <c r="DX882" s="240"/>
      <c r="DY882" s="240"/>
      <c r="DZ882" s="240"/>
      <c r="EA882" s="240"/>
      <c r="EB882" s="237">
        <f t="shared" si="104"/>
        <v>0</v>
      </c>
      <c r="EC882" s="237">
        <f t="shared" si="105"/>
        <v>0</v>
      </c>
      <c r="ED882" s="237">
        <f t="shared" si="106"/>
        <v>0</v>
      </c>
      <c r="EE882" s="237">
        <f t="shared" si="107"/>
        <v>0</v>
      </c>
      <c r="EF882" s="121"/>
      <c r="EG882" s="238">
        <f t="shared" si="108"/>
        <v>0</v>
      </c>
      <c r="EH882" s="121"/>
      <c r="EI882" s="237">
        <f t="shared" si="109"/>
        <v>0</v>
      </c>
      <c r="EJ882" s="121"/>
      <c r="EK882" s="237">
        <f t="shared" si="110"/>
        <v>0</v>
      </c>
      <c r="EL882" s="237"/>
      <c r="EM882" s="5"/>
      <c r="EN882" s="5"/>
      <c r="EO882" s="5"/>
      <c r="EP882" s="5"/>
      <c r="EQ882" s="237">
        <f t="shared" si="111"/>
        <v>0</v>
      </c>
      <c r="ER882" s="239">
        <v>23300</v>
      </c>
      <c r="ES882" s="5">
        <v>7.5</v>
      </c>
    </row>
    <row r="883" spans="1:149" x14ac:dyDescent="0.3">
      <c r="A883" s="124"/>
      <c r="B883" s="121"/>
      <c r="C883" s="121"/>
      <c r="D883" s="121"/>
      <c r="E883" s="121"/>
      <c r="F883" s="121"/>
      <c r="G883" s="121"/>
      <c r="H883" s="121"/>
      <c r="I883" s="121"/>
      <c r="J883" s="121"/>
      <c r="K883" s="121"/>
      <c r="L883" s="121"/>
      <c r="M883" s="121"/>
      <c r="N883" s="121"/>
      <c r="O883" s="235"/>
      <c r="P883" s="121"/>
      <c r="Q883" s="121"/>
      <c r="R883" s="121"/>
      <c r="S883" s="121"/>
      <c r="T883" s="121"/>
      <c r="U883" s="121"/>
      <c r="V883" s="121"/>
      <c r="W883" s="121"/>
      <c r="X883" s="117"/>
      <c r="Y883" s="117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1"/>
      <c r="AL883" s="121"/>
      <c r="AM883" s="121"/>
      <c r="AN883" s="121"/>
      <c r="AO883" s="121"/>
      <c r="AP883" s="121"/>
      <c r="AQ883" s="121"/>
      <c r="AR883" s="121"/>
      <c r="AS883" s="121"/>
      <c r="AT883" s="121"/>
      <c r="AU883" s="121"/>
      <c r="AV883" s="121"/>
      <c r="AW883" s="121"/>
      <c r="AX883" s="121"/>
      <c r="AY883" s="121"/>
      <c r="AZ883" s="121"/>
      <c r="BA883" s="121"/>
      <c r="BB883" s="121"/>
      <c r="BC883" s="121"/>
      <c r="BD883" s="121"/>
      <c r="BE883" s="121"/>
      <c r="BF883" s="121"/>
      <c r="BG883" s="121"/>
      <c r="BH883" s="121"/>
      <c r="BI883" s="121"/>
      <c r="BJ883" s="121"/>
      <c r="BK883" s="121"/>
      <c r="BL883" s="121"/>
      <c r="BM883" s="121"/>
      <c r="BN883" s="121"/>
      <c r="BO883" s="121"/>
      <c r="BP883" s="121"/>
      <c r="BQ883" s="121"/>
      <c r="BR883" s="121"/>
      <c r="BS883" s="121"/>
      <c r="BT883" s="121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21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  <c r="DK883" s="121"/>
      <c r="DL883" s="121"/>
      <c r="DM883" s="121"/>
      <c r="DN883" s="121"/>
      <c r="DO883" s="121"/>
      <c r="DP883" s="121"/>
      <c r="DQ883" s="121"/>
      <c r="DR883" s="121"/>
      <c r="DS883" s="121"/>
      <c r="DT883" s="240"/>
      <c r="DU883" s="240"/>
      <c r="DV883" s="240"/>
      <c r="DW883" s="240"/>
      <c r="DX883" s="240"/>
      <c r="DY883" s="240"/>
      <c r="DZ883" s="240"/>
      <c r="EA883" s="240"/>
      <c r="EB883" s="237">
        <f t="shared" si="104"/>
        <v>0</v>
      </c>
      <c r="EC883" s="237">
        <f t="shared" si="105"/>
        <v>0</v>
      </c>
      <c r="ED883" s="237">
        <f t="shared" si="106"/>
        <v>0</v>
      </c>
      <c r="EE883" s="237">
        <f t="shared" si="107"/>
        <v>0</v>
      </c>
      <c r="EF883" s="121"/>
      <c r="EG883" s="238">
        <f t="shared" si="108"/>
        <v>0</v>
      </c>
      <c r="EH883" s="121"/>
      <c r="EI883" s="237">
        <f t="shared" si="109"/>
        <v>0</v>
      </c>
      <c r="EJ883" s="121"/>
      <c r="EK883" s="237">
        <f t="shared" si="110"/>
        <v>0</v>
      </c>
      <c r="EL883" s="237"/>
      <c r="EM883" s="5"/>
      <c r="EN883" s="5"/>
      <c r="EO883" s="5"/>
      <c r="EP883" s="5"/>
      <c r="EQ883" s="237">
        <f t="shared" si="111"/>
        <v>0</v>
      </c>
      <c r="ER883" s="239">
        <v>23300</v>
      </c>
      <c r="ES883" s="5">
        <v>7.5</v>
      </c>
    </row>
    <row r="884" spans="1:149" x14ac:dyDescent="0.3">
      <c r="A884" s="124"/>
      <c r="B884" s="121"/>
      <c r="C884" s="121"/>
      <c r="D884" s="121"/>
      <c r="E884" s="121"/>
      <c r="F884" s="121"/>
      <c r="G884" s="121"/>
      <c r="H884" s="121"/>
      <c r="I884" s="121"/>
      <c r="J884" s="121"/>
      <c r="K884" s="121"/>
      <c r="L884" s="121"/>
      <c r="M884" s="121"/>
      <c r="N884" s="121"/>
      <c r="O884" s="235"/>
      <c r="P884" s="121"/>
      <c r="Q884" s="121"/>
      <c r="R884" s="121"/>
      <c r="S884" s="121"/>
      <c r="T884" s="121"/>
      <c r="U884" s="121"/>
      <c r="V884" s="121"/>
      <c r="W884" s="121"/>
      <c r="X884" s="117"/>
      <c r="Y884" s="117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21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  <c r="DK884" s="121"/>
      <c r="DL884" s="121"/>
      <c r="DM884" s="121"/>
      <c r="DN884" s="121"/>
      <c r="DO884" s="121"/>
      <c r="DP884" s="121"/>
      <c r="DQ884" s="121"/>
      <c r="DR884" s="121"/>
      <c r="DS884" s="121"/>
      <c r="DT884" s="240"/>
      <c r="DU884" s="240"/>
      <c r="DV884" s="240"/>
      <c r="DW884" s="240"/>
      <c r="DX884" s="240"/>
      <c r="DY884" s="240"/>
      <c r="DZ884" s="240"/>
      <c r="EA884" s="240"/>
      <c r="EB884" s="237">
        <f t="shared" si="104"/>
        <v>0</v>
      </c>
      <c r="EC884" s="237">
        <f t="shared" si="105"/>
        <v>0</v>
      </c>
      <c r="ED884" s="237">
        <f t="shared" si="106"/>
        <v>0</v>
      </c>
      <c r="EE884" s="237">
        <f t="shared" si="107"/>
        <v>0</v>
      </c>
      <c r="EF884" s="121"/>
      <c r="EG884" s="238">
        <f t="shared" si="108"/>
        <v>0</v>
      </c>
      <c r="EH884" s="121"/>
      <c r="EI884" s="237">
        <f t="shared" si="109"/>
        <v>0</v>
      </c>
      <c r="EJ884" s="121"/>
      <c r="EK884" s="237">
        <f t="shared" si="110"/>
        <v>0</v>
      </c>
      <c r="EL884" s="237"/>
      <c r="EM884" s="5"/>
      <c r="EN884" s="5"/>
      <c r="EO884" s="5"/>
      <c r="EP884" s="5"/>
      <c r="EQ884" s="237">
        <f t="shared" si="111"/>
        <v>0</v>
      </c>
      <c r="ER884" s="239">
        <v>23300</v>
      </c>
      <c r="ES884" s="5">
        <v>7.5</v>
      </c>
    </row>
    <row r="885" spans="1:149" x14ac:dyDescent="0.3">
      <c r="A885" s="124"/>
      <c r="B885" s="121"/>
      <c r="C885" s="121"/>
      <c r="D885" s="121"/>
      <c r="E885" s="121"/>
      <c r="F885" s="121"/>
      <c r="G885" s="121"/>
      <c r="H885" s="121"/>
      <c r="I885" s="121"/>
      <c r="J885" s="121"/>
      <c r="K885" s="121"/>
      <c r="L885" s="121"/>
      <c r="M885" s="121"/>
      <c r="N885" s="121"/>
      <c r="O885" s="235"/>
      <c r="P885" s="121"/>
      <c r="Q885" s="121"/>
      <c r="R885" s="121"/>
      <c r="S885" s="121"/>
      <c r="T885" s="121"/>
      <c r="U885" s="121"/>
      <c r="V885" s="121"/>
      <c r="W885" s="121"/>
      <c r="X885" s="117"/>
      <c r="Y885" s="117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21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  <c r="DK885" s="121"/>
      <c r="DL885" s="121"/>
      <c r="DM885" s="121"/>
      <c r="DN885" s="121"/>
      <c r="DO885" s="121"/>
      <c r="DP885" s="121"/>
      <c r="DQ885" s="121"/>
      <c r="DR885" s="121"/>
      <c r="DS885" s="121"/>
      <c r="DT885" s="240"/>
      <c r="DU885" s="240"/>
      <c r="DV885" s="240"/>
      <c r="DW885" s="240"/>
      <c r="DX885" s="240"/>
      <c r="DY885" s="240"/>
      <c r="DZ885" s="240"/>
      <c r="EA885" s="240"/>
      <c r="EB885" s="237">
        <f t="shared" si="104"/>
        <v>0</v>
      </c>
      <c r="EC885" s="237">
        <f t="shared" si="105"/>
        <v>0</v>
      </c>
      <c r="ED885" s="237">
        <f t="shared" si="106"/>
        <v>0</v>
      </c>
      <c r="EE885" s="237">
        <f t="shared" si="107"/>
        <v>0</v>
      </c>
      <c r="EF885" s="121"/>
      <c r="EG885" s="238">
        <f t="shared" si="108"/>
        <v>0</v>
      </c>
      <c r="EH885" s="121"/>
      <c r="EI885" s="237">
        <f t="shared" si="109"/>
        <v>0</v>
      </c>
      <c r="EJ885" s="121"/>
      <c r="EK885" s="237">
        <f t="shared" si="110"/>
        <v>0</v>
      </c>
      <c r="EL885" s="237"/>
      <c r="EM885" s="5"/>
      <c r="EN885" s="5"/>
      <c r="EO885" s="5"/>
      <c r="EP885" s="5"/>
      <c r="EQ885" s="237">
        <f t="shared" si="111"/>
        <v>0</v>
      </c>
      <c r="ER885" s="239">
        <v>23300</v>
      </c>
      <c r="ES885" s="5">
        <v>7.5</v>
      </c>
    </row>
    <row r="886" spans="1:149" x14ac:dyDescent="0.3">
      <c r="A886" s="124"/>
      <c r="B886" s="121"/>
      <c r="C886" s="121"/>
      <c r="D886" s="121"/>
      <c r="E886" s="121"/>
      <c r="F886" s="121"/>
      <c r="G886" s="121"/>
      <c r="H886" s="121"/>
      <c r="I886" s="121"/>
      <c r="J886" s="121"/>
      <c r="K886" s="121"/>
      <c r="L886" s="121"/>
      <c r="M886" s="121"/>
      <c r="N886" s="121"/>
      <c r="O886" s="235"/>
      <c r="P886" s="121"/>
      <c r="Q886" s="121"/>
      <c r="R886" s="121"/>
      <c r="S886" s="121"/>
      <c r="T886" s="121"/>
      <c r="U886" s="121"/>
      <c r="V886" s="121"/>
      <c r="W886" s="121"/>
      <c r="X886" s="117"/>
      <c r="Y886" s="117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21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  <c r="DK886" s="121"/>
      <c r="DL886" s="121"/>
      <c r="DM886" s="121"/>
      <c r="DN886" s="121"/>
      <c r="DO886" s="121"/>
      <c r="DP886" s="121"/>
      <c r="DQ886" s="121"/>
      <c r="DR886" s="121"/>
      <c r="DS886" s="121"/>
      <c r="DT886" s="240"/>
      <c r="DU886" s="240"/>
      <c r="DV886" s="240"/>
      <c r="DW886" s="240"/>
      <c r="DX886" s="240"/>
      <c r="DY886" s="240"/>
      <c r="DZ886" s="240"/>
      <c r="EA886" s="240"/>
      <c r="EB886" s="237">
        <f t="shared" si="104"/>
        <v>0</v>
      </c>
      <c r="EC886" s="237">
        <f t="shared" si="105"/>
        <v>0</v>
      </c>
      <c r="ED886" s="237">
        <f t="shared" si="106"/>
        <v>0</v>
      </c>
      <c r="EE886" s="237">
        <f t="shared" si="107"/>
        <v>0</v>
      </c>
      <c r="EF886" s="121"/>
      <c r="EG886" s="238">
        <f t="shared" si="108"/>
        <v>0</v>
      </c>
      <c r="EH886" s="121"/>
      <c r="EI886" s="237">
        <f t="shared" si="109"/>
        <v>0</v>
      </c>
      <c r="EJ886" s="121"/>
      <c r="EK886" s="237">
        <f t="shared" si="110"/>
        <v>0</v>
      </c>
      <c r="EL886" s="237"/>
      <c r="EM886" s="5"/>
      <c r="EN886" s="5"/>
      <c r="EO886" s="5"/>
      <c r="EP886" s="5"/>
      <c r="EQ886" s="237">
        <f t="shared" si="111"/>
        <v>0</v>
      </c>
      <c r="ER886" s="239">
        <v>23300</v>
      </c>
      <c r="ES886" s="5">
        <v>7.5</v>
      </c>
    </row>
    <row r="887" spans="1:149" x14ac:dyDescent="0.3">
      <c r="A887" s="124"/>
      <c r="B887" s="121"/>
      <c r="C887" s="121"/>
      <c r="D887" s="121"/>
      <c r="E887" s="121"/>
      <c r="F887" s="121"/>
      <c r="G887" s="121"/>
      <c r="H887" s="121"/>
      <c r="I887" s="121"/>
      <c r="J887" s="121"/>
      <c r="K887" s="121"/>
      <c r="L887" s="121"/>
      <c r="M887" s="121"/>
      <c r="N887" s="121"/>
      <c r="O887" s="235"/>
      <c r="P887" s="121"/>
      <c r="Q887" s="121"/>
      <c r="R887" s="121"/>
      <c r="S887" s="121"/>
      <c r="T887" s="121"/>
      <c r="U887" s="121"/>
      <c r="V887" s="121"/>
      <c r="W887" s="121"/>
      <c r="X887" s="117"/>
      <c r="Y887" s="117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21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  <c r="DK887" s="121"/>
      <c r="DL887" s="121"/>
      <c r="DM887" s="121"/>
      <c r="DN887" s="121"/>
      <c r="DO887" s="121"/>
      <c r="DP887" s="121"/>
      <c r="DQ887" s="121"/>
      <c r="DR887" s="121"/>
      <c r="DS887" s="121"/>
      <c r="DT887" s="240"/>
      <c r="DU887" s="240"/>
      <c r="DV887" s="240"/>
      <c r="DW887" s="240"/>
      <c r="DX887" s="240"/>
      <c r="DY887" s="240"/>
      <c r="DZ887" s="240"/>
      <c r="EA887" s="240"/>
      <c r="EB887" s="237">
        <f t="shared" si="104"/>
        <v>0</v>
      </c>
      <c r="EC887" s="237">
        <f t="shared" si="105"/>
        <v>0</v>
      </c>
      <c r="ED887" s="237">
        <f t="shared" si="106"/>
        <v>0</v>
      </c>
      <c r="EE887" s="237">
        <f t="shared" si="107"/>
        <v>0</v>
      </c>
      <c r="EF887" s="121"/>
      <c r="EG887" s="238">
        <f t="shared" si="108"/>
        <v>0</v>
      </c>
      <c r="EH887" s="121"/>
      <c r="EI887" s="237">
        <f t="shared" si="109"/>
        <v>0</v>
      </c>
      <c r="EJ887" s="121"/>
      <c r="EK887" s="237">
        <f t="shared" si="110"/>
        <v>0</v>
      </c>
      <c r="EL887" s="237"/>
      <c r="EM887" s="5"/>
      <c r="EN887" s="5"/>
      <c r="EO887" s="5"/>
      <c r="EP887" s="5"/>
      <c r="EQ887" s="237">
        <f t="shared" si="111"/>
        <v>0</v>
      </c>
      <c r="ER887" s="239">
        <v>23300</v>
      </c>
      <c r="ES887" s="5">
        <v>7.5</v>
      </c>
    </row>
    <row r="888" spans="1:149" x14ac:dyDescent="0.3">
      <c r="A888" s="124"/>
      <c r="B888" s="121"/>
      <c r="C888" s="121"/>
      <c r="D888" s="121"/>
      <c r="E888" s="121"/>
      <c r="F888" s="121"/>
      <c r="G888" s="121"/>
      <c r="H888" s="121"/>
      <c r="I888" s="121"/>
      <c r="J888" s="121"/>
      <c r="K888" s="121"/>
      <c r="L888" s="121"/>
      <c r="M888" s="121"/>
      <c r="N888" s="121"/>
      <c r="O888" s="235"/>
      <c r="P888" s="121"/>
      <c r="Q888" s="121"/>
      <c r="R888" s="121"/>
      <c r="S888" s="121"/>
      <c r="T888" s="121"/>
      <c r="U888" s="121"/>
      <c r="V888" s="121"/>
      <c r="W888" s="121"/>
      <c r="X888" s="117"/>
      <c r="Y888" s="117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21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  <c r="DK888" s="121"/>
      <c r="DL888" s="121"/>
      <c r="DM888" s="121"/>
      <c r="DN888" s="121"/>
      <c r="DO888" s="121"/>
      <c r="DP888" s="121"/>
      <c r="DQ888" s="121"/>
      <c r="DR888" s="121"/>
      <c r="DS888" s="121"/>
      <c r="DT888" s="240"/>
      <c r="DU888" s="240"/>
      <c r="DV888" s="240"/>
      <c r="DW888" s="240"/>
      <c r="DX888" s="240"/>
      <c r="DY888" s="240"/>
      <c r="DZ888" s="240"/>
      <c r="EA888" s="240"/>
      <c r="EB888" s="237">
        <f t="shared" si="104"/>
        <v>0</v>
      </c>
      <c r="EC888" s="237">
        <f t="shared" si="105"/>
        <v>0</v>
      </c>
      <c r="ED888" s="237">
        <f t="shared" si="106"/>
        <v>0</v>
      </c>
      <c r="EE888" s="237">
        <f t="shared" si="107"/>
        <v>0</v>
      </c>
      <c r="EF888" s="121"/>
      <c r="EG888" s="238">
        <f t="shared" si="108"/>
        <v>0</v>
      </c>
      <c r="EH888" s="121"/>
      <c r="EI888" s="237">
        <f t="shared" si="109"/>
        <v>0</v>
      </c>
      <c r="EJ888" s="121"/>
      <c r="EK888" s="237">
        <f t="shared" si="110"/>
        <v>0</v>
      </c>
      <c r="EL888" s="237"/>
      <c r="EM888" s="5"/>
      <c r="EN888" s="5"/>
      <c r="EO888" s="5"/>
      <c r="EP888" s="5"/>
      <c r="EQ888" s="237">
        <f t="shared" si="111"/>
        <v>0</v>
      </c>
      <c r="ER888" s="239">
        <v>23300</v>
      </c>
      <c r="ES888" s="5">
        <v>7.5</v>
      </c>
    </row>
    <row r="889" spans="1:149" x14ac:dyDescent="0.3">
      <c r="A889" s="124"/>
      <c r="B889" s="121"/>
      <c r="C889" s="121"/>
      <c r="D889" s="121"/>
      <c r="E889" s="121"/>
      <c r="F889" s="121"/>
      <c r="G889" s="121"/>
      <c r="H889" s="121"/>
      <c r="I889" s="121"/>
      <c r="J889" s="121"/>
      <c r="K889" s="121"/>
      <c r="L889" s="121"/>
      <c r="M889" s="121"/>
      <c r="N889" s="121"/>
      <c r="O889" s="235"/>
      <c r="P889" s="121"/>
      <c r="Q889" s="121"/>
      <c r="R889" s="121"/>
      <c r="S889" s="121"/>
      <c r="T889" s="121"/>
      <c r="U889" s="121"/>
      <c r="V889" s="121"/>
      <c r="W889" s="121"/>
      <c r="X889" s="117"/>
      <c r="Y889" s="117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21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  <c r="DK889" s="121"/>
      <c r="DL889" s="121"/>
      <c r="DM889" s="121"/>
      <c r="DN889" s="121"/>
      <c r="DO889" s="121"/>
      <c r="DP889" s="121"/>
      <c r="DQ889" s="121"/>
      <c r="DR889" s="121"/>
      <c r="DS889" s="121"/>
      <c r="DT889" s="240"/>
      <c r="DU889" s="240"/>
      <c r="DV889" s="240"/>
      <c r="DW889" s="240"/>
      <c r="DX889" s="240"/>
      <c r="DY889" s="240"/>
      <c r="DZ889" s="240"/>
      <c r="EA889" s="240"/>
      <c r="EB889" s="237">
        <f t="shared" si="104"/>
        <v>0</v>
      </c>
      <c r="EC889" s="237">
        <f t="shared" si="105"/>
        <v>0</v>
      </c>
      <c r="ED889" s="237">
        <f t="shared" si="106"/>
        <v>0</v>
      </c>
      <c r="EE889" s="237">
        <f t="shared" si="107"/>
        <v>0</v>
      </c>
      <c r="EF889" s="121"/>
      <c r="EG889" s="238">
        <f t="shared" si="108"/>
        <v>0</v>
      </c>
      <c r="EH889" s="121"/>
      <c r="EI889" s="237">
        <f t="shared" si="109"/>
        <v>0</v>
      </c>
      <c r="EJ889" s="121"/>
      <c r="EK889" s="237">
        <f t="shared" si="110"/>
        <v>0</v>
      </c>
      <c r="EL889" s="237"/>
      <c r="EM889" s="5"/>
      <c r="EN889" s="5"/>
      <c r="EO889" s="5"/>
      <c r="EP889" s="5"/>
      <c r="EQ889" s="237">
        <f t="shared" si="111"/>
        <v>0</v>
      </c>
      <c r="ER889" s="239">
        <v>23300</v>
      </c>
      <c r="ES889" s="5">
        <v>7.5</v>
      </c>
    </row>
    <row r="890" spans="1:149" x14ac:dyDescent="0.3">
      <c r="A890" s="124"/>
      <c r="B890" s="121"/>
      <c r="C890" s="121"/>
      <c r="D890" s="121"/>
      <c r="E890" s="121"/>
      <c r="F890" s="121"/>
      <c r="G890" s="121"/>
      <c r="H890" s="121"/>
      <c r="I890" s="121"/>
      <c r="J890" s="121"/>
      <c r="K890" s="121"/>
      <c r="L890" s="121"/>
      <c r="M890" s="121"/>
      <c r="N890" s="121"/>
      <c r="O890" s="235"/>
      <c r="P890" s="121"/>
      <c r="Q890" s="121"/>
      <c r="R890" s="121"/>
      <c r="S890" s="121"/>
      <c r="T890" s="121"/>
      <c r="U890" s="121"/>
      <c r="V890" s="121"/>
      <c r="W890" s="121"/>
      <c r="X890" s="117"/>
      <c r="Y890" s="117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21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  <c r="DK890" s="121"/>
      <c r="DL890" s="121"/>
      <c r="DM890" s="121"/>
      <c r="DN890" s="121"/>
      <c r="DO890" s="121"/>
      <c r="DP890" s="121"/>
      <c r="DQ890" s="121"/>
      <c r="DR890" s="121"/>
      <c r="DS890" s="121"/>
      <c r="DT890" s="240"/>
      <c r="DU890" s="240"/>
      <c r="DV890" s="240"/>
      <c r="DW890" s="240"/>
      <c r="DX890" s="240"/>
      <c r="DY890" s="240"/>
      <c r="DZ890" s="240"/>
      <c r="EA890" s="240"/>
      <c r="EB890" s="237">
        <f t="shared" si="104"/>
        <v>0</v>
      </c>
      <c r="EC890" s="237">
        <f t="shared" si="105"/>
        <v>0</v>
      </c>
      <c r="ED890" s="237">
        <f t="shared" si="106"/>
        <v>0</v>
      </c>
      <c r="EE890" s="237">
        <f t="shared" si="107"/>
        <v>0</v>
      </c>
      <c r="EF890" s="121"/>
      <c r="EG890" s="238">
        <f t="shared" si="108"/>
        <v>0</v>
      </c>
      <c r="EH890" s="121"/>
      <c r="EI890" s="237">
        <f t="shared" si="109"/>
        <v>0</v>
      </c>
      <c r="EJ890" s="121"/>
      <c r="EK890" s="237">
        <f t="shared" si="110"/>
        <v>0</v>
      </c>
      <c r="EL890" s="237"/>
      <c r="EM890" s="5"/>
      <c r="EN890" s="5"/>
      <c r="EO890" s="5"/>
      <c r="EP890" s="5"/>
      <c r="EQ890" s="237">
        <f t="shared" si="111"/>
        <v>0</v>
      </c>
      <c r="ER890" s="239">
        <v>23300</v>
      </c>
      <c r="ES890" s="5">
        <v>7.5</v>
      </c>
    </row>
    <row r="891" spans="1:149" x14ac:dyDescent="0.3">
      <c r="A891" s="124"/>
      <c r="B891" s="121"/>
      <c r="C891" s="121"/>
      <c r="D891" s="121"/>
      <c r="E891" s="121"/>
      <c r="F891" s="121"/>
      <c r="G891" s="121"/>
      <c r="H891" s="121"/>
      <c r="I891" s="121"/>
      <c r="J891" s="121"/>
      <c r="K891" s="121"/>
      <c r="L891" s="121"/>
      <c r="M891" s="121"/>
      <c r="N891" s="121"/>
      <c r="O891" s="235"/>
      <c r="P891" s="121"/>
      <c r="Q891" s="121"/>
      <c r="R891" s="121"/>
      <c r="S891" s="121"/>
      <c r="T891" s="121"/>
      <c r="U891" s="121"/>
      <c r="V891" s="121"/>
      <c r="W891" s="121"/>
      <c r="X891" s="117"/>
      <c r="Y891" s="117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21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  <c r="DK891" s="121"/>
      <c r="DL891" s="121"/>
      <c r="DM891" s="121"/>
      <c r="DN891" s="121"/>
      <c r="DO891" s="121"/>
      <c r="DP891" s="121"/>
      <c r="DQ891" s="121"/>
      <c r="DR891" s="121"/>
      <c r="DS891" s="121"/>
      <c r="DT891" s="240"/>
      <c r="DU891" s="240"/>
      <c r="DV891" s="240"/>
      <c r="DW891" s="240"/>
      <c r="DX891" s="240"/>
      <c r="DY891" s="240"/>
      <c r="DZ891" s="240"/>
      <c r="EA891" s="240"/>
      <c r="EB891" s="237">
        <f t="shared" si="104"/>
        <v>0</v>
      </c>
      <c r="EC891" s="237">
        <f t="shared" si="105"/>
        <v>0</v>
      </c>
      <c r="ED891" s="237">
        <f t="shared" si="106"/>
        <v>0</v>
      </c>
      <c r="EE891" s="237">
        <f t="shared" si="107"/>
        <v>0</v>
      </c>
      <c r="EF891" s="121"/>
      <c r="EG891" s="238">
        <f t="shared" si="108"/>
        <v>0</v>
      </c>
      <c r="EH891" s="121"/>
      <c r="EI891" s="237">
        <f t="shared" si="109"/>
        <v>0</v>
      </c>
      <c r="EJ891" s="121"/>
      <c r="EK891" s="237">
        <f t="shared" si="110"/>
        <v>0</v>
      </c>
      <c r="EL891" s="237"/>
      <c r="EM891" s="5"/>
      <c r="EN891" s="5"/>
      <c r="EO891" s="5"/>
      <c r="EP891" s="5"/>
      <c r="EQ891" s="237">
        <f t="shared" si="111"/>
        <v>0</v>
      </c>
      <c r="ER891" s="239">
        <v>23300</v>
      </c>
      <c r="ES891" s="5">
        <v>7.5</v>
      </c>
    </row>
    <row r="892" spans="1:149" x14ac:dyDescent="0.3">
      <c r="A892" s="124"/>
      <c r="B892" s="121"/>
      <c r="C892" s="121"/>
      <c r="D892" s="121"/>
      <c r="E892" s="121"/>
      <c r="F892" s="121"/>
      <c r="G892" s="121"/>
      <c r="H892" s="121"/>
      <c r="I892" s="121"/>
      <c r="J892" s="121"/>
      <c r="K892" s="121"/>
      <c r="L892" s="121"/>
      <c r="M892" s="121"/>
      <c r="N892" s="121"/>
      <c r="O892" s="235"/>
      <c r="P892" s="121"/>
      <c r="Q892" s="121"/>
      <c r="R892" s="121"/>
      <c r="S892" s="121"/>
      <c r="T892" s="121"/>
      <c r="U892" s="121"/>
      <c r="V892" s="121"/>
      <c r="W892" s="121"/>
      <c r="X892" s="117"/>
      <c r="Y892" s="117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21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  <c r="DK892" s="121"/>
      <c r="DL892" s="121"/>
      <c r="DM892" s="121"/>
      <c r="DN892" s="121"/>
      <c r="DO892" s="121"/>
      <c r="DP892" s="121"/>
      <c r="DQ892" s="121"/>
      <c r="DR892" s="121"/>
      <c r="DS892" s="121"/>
      <c r="DT892" s="240"/>
      <c r="DU892" s="240"/>
      <c r="DV892" s="240"/>
      <c r="DW892" s="240"/>
      <c r="DX892" s="240"/>
      <c r="DY892" s="240"/>
      <c r="DZ892" s="240"/>
      <c r="EA892" s="240"/>
      <c r="EB892" s="237">
        <f t="shared" si="104"/>
        <v>0</v>
      </c>
      <c r="EC892" s="237">
        <f t="shared" si="105"/>
        <v>0</v>
      </c>
      <c r="ED892" s="237">
        <f t="shared" si="106"/>
        <v>0</v>
      </c>
      <c r="EE892" s="237">
        <f t="shared" si="107"/>
        <v>0</v>
      </c>
      <c r="EF892" s="121"/>
      <c r="EG892" s="238">
        <f t="shared" si="108"/>
        <v>0</v>
      </c>
      <c r="EH892" s="121"/>
      <c r="EI892" s="237">
        <f t="shared" si="109"/>
        <v>0</v>
      </c>
      <c r="EJ892" s="121"/>
      <c r="EK892" s="237">
        <f t="shared" si="110"/>
        <v>0</v>
      </c>
      <c r="EL892" s="237"/>
      <c r="EM892" s="5"/>
      <c r="EN892" s="5"/>
      <c r="EO892" s="5"/>
      <c r="EP892" s="5"/>
      <c r="EQ892" s="237">
        <f t="shared" si="111"/>
        <v>0</v>
      </c>
      <c r="ER892" s="239">
        <v>23300</v>
      </c>
      <c r="ES892" s="5">
        <v>7.5</v>
      </c>
    </row>
    <row r="893" spans="1:149" x14ac:dyDescent="0.3">
      <c r="A893" s="124"/>
      <c r="B893" s="121"/>
      <c r="C893" s="121"/>
      <c r="D893" s="121"/>
      <c r="E893" s="121"/>
      <c r="F893" s="121"/>
      <c r="G893" s="121"/>
      <c r="H893" s="121"/>
      <c r="I893" s="121"/>
      <c r="J893" s="121"/>
      <c r="K893" s="121"/>
      <c r="L893" s="121"/>
      <c r="M893" s="121"/>
      <c r="N893" s="121"/>
      <c r="O893" s="235"/>
      <c r="P893" s="121"/>
      <c r="Q893" s="121"/>
      <c r="R893" s="121"/>
      <c r="S893" s="121"/>
      <c r="T893" s="121"/>
      <c r="U893" s="121"/>
      <c r="V893" s="121"/>
      <c r="W893" s="121"/>
      <c r="X893" s="117"/>
      <c r="Y893" s="117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21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  <c r="DK893" s="121"/>
      <c r="DL893" s="121"/>
      <c r="DM893" s="121"/>
      <c r="DN893" s="121"/>
      <c r="DO893" s="121"/>
      <c r="DP893" s="121"/>
      <c r="DQ893" s="121"/>
      <c r="DR893" s="121"/>
      <c r="DS893" s="121"/>
      <c r="DT893" s="240"/>
      <c r="DU893" s="240"/>
      <c r="DV893" s="240"/>
      <c r="DW893" s="240"/>
      <c r="DX893" s="240"/>
      <c r="DY893" s="240"/>
      <c r="DZ893" s="240"/>
      <c r="EA893" s="240"/>
      <c r="EB893" s="237">
        <f t="shared" si="104"/>
        <v>0</v>
      </c>
      <c r="EC893" s="237">
        <f t="shared" si="105"/>
        <v>0</v>
      </c>
      <c r="ED893" s="237">
        <f t="shared" si="106"/>
        <v>0</v>
      </c>
      <c r="EE893" s="237">
        <f t="shared" si="107"/>
        <v>0</v>
      </c>
      <c r="EF893" s="121"/>
      <c r="EG893" s="238">
        <f t="shared" si="108"/>
        <v>0</v>
      </c>
      <c r="EH893" s="121"/>
      <c r="EI893" s="237">
        <f t="shared" si="109"/>
        <v>0</v>
      </c>
      <c r="EJ893" s="121"/>
      <c r="EK893" s="237">
        <f t="shared" si="110"/>
        <v>0</v>
      </c>
      <c r="EL893" s="237"/>
      <c r="EM893" s="5"/>
      <c r="EN893" s="5"/>
      <c r="EO893" s="5"/>
      <c r="EP893" s="5"/>
      <c r="EQ893" s="237">
        <f t="shared" si="111"/>
        <v>0</v>
      </c>
      <c r="ER893" s="239">
        <v>23300</v>
      </c>
      <c r="ES893" s="5">
        <v>7.5</v>
      </c>
    </row>
    <row r="894" spans="1:149" x14ac:dyDescent="0.3">
      <c r="A894" s="124"/>
      <c r="B894" s="121"/>
      <c r="C894" s="121"/>
      <c r="D894" s="121"/>
      <c r="E894" s="121"/>
      <c r="F894" s="121"/>
      <c r="G894" s="121"/>
      <c r="H894" s="121"/>
      <c r="I894" s="121"/>
      <c r="J894" s="121"/>
      <c r="K894" s="121"/>
      <c r="L894" s="121"/>
      <c r="M894" s="121"/>
      <c r="N894" s="121"/>
      <c r="O894" s="235"/>
      <c r="P894" s="121"/>
      <c r="Q894" s="121"/>
      <c r="R894" s="121"/>
      <c r="S894" s="121"/>
      <c r="T894" s="121"/>
      <c r="U894" s="121"/>
      <c r="V894" s="121"/>
      <c r="W894" s="121"/>
      <c r="X894" s="117"/>
      <c r="Y894" s="117"/>
      <c r="Z894" s="121"/>
      <c r="AA894" s="121"/>
      <c r="AB894" s="121"/>
      <c r="AC894" s="121"/>
      <c r="AD894" s="121"/>
      <c r="AE894" s="121"/>
      <c r="AF894" s="121"/>
      <c r="AG894" s="121"/>
      <c r="AH894" s="121"/>
      <c r="AI894" s="121"/>
      <c r="AJ894" s="121"/>
      <c r="AK894" s="121"/>
      <c r="AL894" s="121"/>
      <c r="AM894" s="121"/>
      <c r="AN894" s="121"/>
      <c r="AO894" s="121"/>
      <c r="AP894" s="121"/>
      <c r="AQ894" s="121"/>
      <c r="AR894" s="121"/>
      <c r="AS894" s="121"/>
      <c r="AT894" s="121"/>
      <c r="AU894" s="121"/>
      <c r="AV894" s="121"/>
      <c r="AW894" s="121"/>
      <c r="AX894" s="121"/>
      <c r="AY894" s="121"/>
      <c r="AZ894" s="121"/>
      <c r="BA894" s="121"/>
      <c r="BB894" s="121"/>
      <c r="BC894" s="121"/>
      <c r="BD894" s="121"/>
      <c r="BE894" s="121"/>
      <c r="BF894" s="121"/>
      <c r="BG894" s="121"/>
      <c r="BH894" s="121"/>
      <c r="BI894" s="121"/>
      <c r="BJ894" s="121"/>
      <c r="BK894" s="121"/>
      <c r="BL894" s="121"/>
      <c r="BM894" s="121"/>
      <c r="BN894" s="121"/>
      <c r="BO894" s="121"/>
      <c r="BP894" s="121"/>
      <c r="BQ894" s="121"/>
      <c r="BR894" s="121"/>
      <c r="BS894" s="121"/>
      <c r="BT894" s="121"/>
      <c r="BU894" s="121"/>
      <c r="BV894" s="121"/>
      <c r="BW894" s="121"/>
      <c r="BX894" s="121"/>
      <c r="BY894" s="121"/>
      <c r="BZ894" s="121"/>
      <c r="CA894" s="121"/>
      <c r="CB894" s="121"/>
      <c r="CC894" s="121"/>
      <c r="CD894" s="121"/>
      <c r="CE894" s="121"/>
      <c r="CF894" s="121"/>
      <c r="CG894" s="121"/>
      <c r="CH894" s="121"/>
      <c r="CI894" s="121"/>
      <c r="CJ894" s="121"/>
      <c r="CK894" s="121"/>
      <c r="CL894" s="121"/>
      <c r="CM894" s="121"/>
      <c r="CN894" s="121"/>
      <c r="CO894" s="121"/>
      <c r="CP894" s="121"/>
      <c r="CQ894" s="121"/>
      <c r="CR894" s="121"/>
      <c r="CS894" s="121"/>
      <c r="CT894" s="121"/>
      <c r="CU894" s="121"/>
      <c r="CV894" s="121"/>
      <c r="CW894" s="121"/>
      <c r="CX894" s="121"/>
      <c r="CY894" s="121"/>
      <c r="CZ894" s="121"/>
      <c r="DA894" s="121"/>
      <c r="DB894" s="121"/>
      <c r="DC894" s="121"/>
      <c r="DD894" s="121"/>
      <c r="DE894" s="121"/>
      <c r="DF894" s="121"/>
      <c r="DG894" s="121"/>
      <c r="DH894" s="121"/>
      <c r="DI894" s="121"/>
      <c r="DJ894" s="121"/>
      <c r="DK894" s="121"/>
      <c r="DL894" s="121"/>
      <c r="DM894" s="121"/>
      <c r="DN894" s="121"/>
      <c r="DO894" s="121"/>
      <c r="DP894" s="121"/>
      <c r="DQ894" s="121"/>
      <c r="DR894" s="121"/>
      <c r="DS894" s="121"/>
      <c r="DT894" s="240"/>
      <c r="DU894" s="240"/>
      <c r="DV894" s="240"/>
      <c r="DW894" s="240"/>
      <c r="DX894" s="240"/>
      <c r="DY894" s="240"/>
      <c r="DZ894" s="240"/>
      <c r="EA894" s="240"/>
      <c r="EB894" s="237">
        <f t="shared" si="104"/>
        <v>0</v>
      </c>
      <c r="EC894" s="237">
        <f t="shared" si="105"/>
        <v>0</v>
      </c>
      <c r="ED894" s="237">
        <f t="shared" si="106"/>
        <v>0</v>
      </c>
      <c r="EE894" s="237">
        <f t="shared" si="107"/>
        <v>0</v>
      </c>
      <c r="EF894" s="121"/>
      <c r="EG894" s="238">
        <f t="shared" si="108"/>
        <v>0</v>
      </c>
      <c r="EH894" s="121"/>
      <c r="EI894" s="237">
        <f t="shared" si="109"/>
        <v>0</v>
      </c>
      <c r="EJ894" s="121"/>
      <c r="EK894" s="237">
        <f t="shared" si="110"/>
        <v>0</v>
      </c>
      <c r="EL894" s="237"/>
      <c r="EM894" s="5"/>
      <c r="EN894" s="5"/>
      <c r="EO894" s="5"/>
      <c r="EP894" s="5"/>
      <c r="EQ894" s="237">
        <f t="shared" si="111"/>
        <v>0</v>
      </c>
      <c r="ER894" s="239">
        <v>23300</v>
      </c>
      <c r="ES894" s="5">
        <v>7.5</v>
      </c>
    </row>
    <row r="895" spans="1:149" x14ac:dyDescent="0.3">
      <c r="A895" s="124"/>
      <c r="B895" s="121"/>
      <c r="C895" s="121"/>
      <c r="D895" s="121"/>
      <c r="E895" s="121"/>
      <c r="F895" s="121"/>
      <c r="G895" s="121"/>
      <c r="H895" s="121"/>
      <c r="I895" s="121"/>
      <c r="J895" s="121"/>
      <c r="K895" s="121"/>
      <c r="L895" s="121"/>
      <c r="M895" s="121"/>
      <c r="N895" s="121"/>
      <c r="O895" s="235"/>
      <c r="P895" s="121"/>
      <c r="Q895" s="121"/>
      <c r="R895" s="121"/>
      <c r="S895" s="121"/>
      <c r="T895" s="121"/>
      <c r="U895" s="121"/>
      <c r="V895" s="121"/>
      <c r="W895" s="121"/>
      <c r="X895" s="117"/>
      <c r="Y895" s="117"/>
      <c r="Z895" s="121"/>
      <c r="AA895" s="121"/>
      <c r="AB895" s="121"/>
      <c r="AC895" s="121"/>
      <c r="AD895" s="121"/>
      <c r="AE895" s="121"/>
      <c r="AF895" s="121"/>
      <c r="AG895" s="121"/>
      <c r="AH895" s="121"/>
      <c r="AI895" s="121"/>
      <c r="AJ895" s="121"/>
      <c r="AK895" s="121"/>
      <c r="AL895" s="121"/>
      <c r="AM895" s="121"/>
      <c r="AN895" s="121"/>
      <c r="AO895" s="121"/>
      <c r="AP895" s="121"/>
      <c r="AQ895" s="121"/>
      <c r="AR895" s="121"/>
      <c r="AS895" s="121"/>
      <c r="AT895" s="121"/>
      <c r="AU895" s="121"/>
      <c r="AV895" s="121"/>
      <c r="AW895" s="121"/>
      <c r="AX895" s="121"/>
      <c r="AY895" s="121"/>
      <c r="AZ895" s="121"/>
      <c r="BA895" s="121"/>
      <c r="BB895" s="121"/>
      <c r="BC895" s="121"/>
      <c r="BD895" s="121"/>
      <c r="BE895" s="121"/>
      <c r="BF895" s="121"/>
      <c r="BG895" s="121"/>
      <c r="BH895" s="121"/>
      <c r="BI895" s="121"/>
      <c r="BJ895" s="121"/>
      <c r="BK895" s="121"/>
      <c r="BL895" s="121"/>
      <c r="BM895" s="121"/>
      <c r="BN895" s="121"/>
      <c r="BO895" s="121"/>
      <c r="BP895" s="121"/>
      <c r="BQ895" s="121"/>
      <c r="BR895" s="121"/>
      <c r="BS895" s="121"/>
      <c r="BT895" s="121"/>
      <c r="BU895" s="121"/>
      <c r="BV895" s="121"/>
      <c r="BW895" s="121"/>
      <c r="BX895" s="121"/>
      <c r="BY895" s="121"/>
      <c r="BZ895" s="121"/>
      <c r="CA895" s="121"/>
      <c r="CB895" s="121"/>
      <c r="CC895" s="121"/>
      <c r="CD895" s="121"/>
      <c r="CE895" s="121"/>
      <c r="CF895" s="121"/>
      <c r="CG895" s="121"/>
      <c r="CH895" s="121"/>
      <c r="CI895" s="121"/>
      <c r="CJ895" s="121"/>
      <c r="CK895" s="121"/>
      <c r="CL895" s="121"/>
      <c r="CM895" s="121"/>
      <c r="CN895" s="121"/>
      <c r="CO895" s="121"/>
      <c r="CP895" s="121"/>
      <c r="CQ895" s="121"/>
      <c r="CR895" s="121"/>
      <c r="CS895" s="121"/>
      <c r="CT895" s="121"/>
      <c r="CU895" s="121"/>
      <c r="CV895" s="121"/>
      <c r="CW895" s="121"/>
      <c r="CX895" s="121"/>
      <c r="CY895" s="121"/>
      <c r="CZ895" s="121"/>
      <c r="DA895" s="121"/>
      <c r="DB895" s="121"/>
      <c r="DC895" s="121"/>
      <c r="DD895" s="121"/>
      <c r="DE895" s="121"/>
      <c r="DF895" s="121"/>
      <c r="DG895" s="121"/>
      <c r="DH895" s="121"/>
      <c r="DI895" s="121"/>
      <c r="DJ895" s="121"/>
      <c r="DK895" s="121"/>
      <c r="DL895" s="121"/>
      <c r="DM895" s="121"/>
      <c r="DN895" s="121"/>
      <c r="DO895" s="121"/>
      <c r="DP895" s="121"/>
      <c r="DQ895" s="121"/>
      <c r="DR895" s="121"/>
      <c r="DS895" s="121"/>
      <c r="DT895" s="240"/>
      <c r="DU895" s="240"/>
      <c r="DV895" s="240"/>
      <c r="DW895" s="240"/>
      <c r="DX895" s="240"/>
      <c r="DY895" s="240"/>
      <c r="DZ895" s="240"/>
      <c r="EA895" s="240"/>
      <c r="EB895" s="237">
        <f t="shared" si="104"/>
        <v>0</v>
      </c>
      <c r="EC895" s="237">
        <f t="shared" si="105"/>
        <v>0</v>
      </c>
      <c r="ED895" s="237">
        <f t="shared" si="106"/>
        <v>0</v>
      </c>
      <c r="EE895" s="237">
        <f t="shared" si="107"/>
        <v>0</v>
      </c>
      <c r="EF895" s="121"/>
      <c r="EG895" s="238">
        <f t="shared" si="108"/>
        <v>0</v>
      </c>
      <c r="EH895" s="121"/>
      <c r="EI895" s="237">
        <f t="shared" si="109"/>
        <v>0</v>
      </c>
      <c r="EJ895" s="121"/>
      <c r="EK895" s="237">
        <f t="shared" si="110"/>
        <v>0</v>
      </c>
      <c r="EL895" s="237"/>
      <c r="EM895" s="5"/>
      <c r="EN895" s="5"/>
      <c r="EO895" s="5"/>
      <c r="EP895" s="5"/>
      <c r="EQ895" s="237">
        <f t="shared" si="111"/>
        <v>0</v>
      </c>
      <c r="ER895" s="239">
        <v>23300</v>
      </c>
      <c r="ES895" s="5">
        <v>7.5</v>
      </c>
    </row>
    <row r="896" spans="1:149" x14ac:dyDescent="0.3">
      <c r="A896" s="124"/>
      <c r="B896" s="121"/>
      <c r="C896" s="121"/>
      <c r="D896" s="121"/>
      <c r="E896" s="121"/>
      <c r="F896" s="121"/>
      <c r="G896" s="121"/>
      <c r="H896" s="121"/>
      <c r="I896" s="121"/>
      <c r="J896" s="121"/>
      <c r="K896" s="121"/>
      <c r="L896" s="121"/>
      <c r="M896" s="121"/>
      <c r="N896" s="121"/>
      <c r="O896" s="235"/>
      <c r="P896" s="121"/>
      <c r="Q896" s="121"/>
      <c r="R896" s="121"/>
      <c r="S896" s="121"/>
      <c r="T896" s="121"/>
      <c r="U896" s="121"/>
      <c r="V896" s="121"/>
      <c r="W896" s="121"/>
      <c r="X896" s="117"/>
      <c r="Y896" s="117"/>
      <c r="Z896" s="121"/>
      <c r="AA896" s="121"/>
      <c r="AB896" s="121"/>
      <c r="AC896" s="121"/>
      <c r="AD896" s="121"/>
      <c r="AE896" s="121"/>
      <c r="AF896" s="121"/>
      <c r="AG896" s="121"/>
      <c r="AH896" s="121"/>
      <c r="AI896" s="121"/>
      <c r="AJ896" s="121"/>
      <c r="AK896" s="121"/>
      <c r="AL896" s="121"/>
      <c r="AM896" s="121"/>
      <c r="AN896" s="121"/>
      <c r="AO896" s="121"/>
      <c r="AP896" s="121"/>
      <c r="AQ896" s="121"/>
      <c r="AR896" s="121"/>
      <c r="AS896" s="121"/>
      <c r="AT896" s="121"/>
      <c r="AU896" s="121"/>
      <c r="AV896" s="121"/>
      <c r="AW896" s="121"/>
      <c r="AX896" s="121"/>
      <c r="AY896" s="121"/>
      <c r="AZ896" s="121"/>
      <c r="BA896" s="121"/>
      <c r="BB896" s="121"/>
      <c r="BC896" s="121"/>
      <c r="BD896" s="121"/>
      <c r="BE896" s="121"/>
      <c r="BF896" s="121"/>
      <c r="BG896" s="121"/>
      <c r="BH896" s="121"/>
      <c r="BI896" s="121"/>
      <c r="BJ896" s="121"/>
      <c r="BK896" s="121"/>
      <c r="BL896" s="121"/>
      <c r="BM896" s="121"/>
      <c r="BN896" s="121"/>
      <c r="BO896" s="121"/>
      <c r="BP896" s="121"/>
      <c r="BQ896" s="121"/>
      <c r="BR896" s="121"/>
      <c r="BS896" s="121"/>
      <c r="BT896" s="121"/>
      <c r="BU896" s="121"/>
      <c r="BV896" s="121"/>
      <c r="BW896" s="121"/>
      <c r="BX896" s="121"/>
      <c r="BY896" s="121"/>
      <c r="BZ896" s="121"/>
      <c r="CA896" s="121"/>
      <c r="CB896" s="121"/>
      <c r="CC896" s="121"/>
      <c r="CD896" s="121"/>
      <c r="CE896" s="121"/>
      <c r="CF896" s="121"/>
      <c r="CG896" s="121"/>
      <c r="CH896" s="121"/>
      <c r="CI896" s="121"/>
      <c r="CJ896" s="121"/>
      <c r="CK896" s="121"/>
      <c r="CL896" s="121"/>
      <c r="CM896" s="121"/>
      <c r="CN896" s="121"/>
      <c r="CO896" s="121"/>
      <c r="CP896" s="121"/>
      <c r="CQ896" s="121"/>
      <c r="CR896" s="121"/>
      <c r="CS896" s="121"/>
      <c r="CT896" s="121"/>
      <c r="CU896" s="121"/>
      <c r="CV896" s="121"/>
      <c r="CW896" s="121"/>
      <c r="CX896" s="121"/>
      <c r="CY896" s="121"/>
      <c r="CZ896" s="121"/>
      <c r="DA896" s="121"/>
      <c r="DB896" s="121"/>
      <c r="DC896" s="121"/>
      <c r="DD896" s="121"/>
      <c r="DE896" s="121"/>
      <c r="DF896" s="121"/>
      <c r="DG896" s="121"/>
      <c r="DH896" s="121"/>
      <c r="DI896" s="121"/>
      <c r="DJ896" s="121"/>
      <c r="DK896" s="121"/>
      <c r="DL896" s="121"/>
      <c r="DM896" s="121"/>
      <c r="DN896" s="121"/>
      <c r="DO896" s="121"/>
      <c r="DP896" s="121"/>
      <c r="DQ896" s="121"/>
      <c r="DR896" s="121"/>
      <c r="DS896" s="121"/>
      <c r="DT896" s="240"/>
      <c r="DU896" s="240"/>
      <c r="DV896" s="240"/>
      <c r="DW896" s="240"/>
      <c r="DX896" s="240"/>
      <c r="DY896" s="240"/>
      <c r="DZ896" s="240"/>
      <c r="EA896" s="240"/>
      <c r="EB896" s="237">
        <f t="shared" si="104"/>
        <v>0</v>
      </c>
      <c r="EC896" s="237">
        <f t="shared" si="105"/>
        <v>0</v>
      </c>
      <c r="ED896" s="237">
        <f t="shared" si="106"/>
        <v>0</v>
      </c>
      <c r="EE896" s="237">
        <f t="shared" si="107"/>
        <v>0</v>
      </c>
      <c r="EF896" s="121"/>
      <c r="EG896" s="238">
        <f t="shared" si="108"/>
        <v>0</v>
      </c>
      <c r="EH896" s="121"/>
      <c r="EI896" s="237">
        <f t="shared" si="109"/>
        <v>0</v>
      </c>
      <c r="EJ896" s="121"/>
      <c r="EK896" s="237">
        <f t="shared" si="110"/>
        <v>0</v>
      </c>
      <c r="EL896" s="237"/>
      <c r="EM896" s="5"/>
      <c r="EN896" s="5"/>
      <c r="EO896" s="5"/>
      <c r="EP896" s="5"/>
      <c r="EQ896" s="237">
        <f t="shared" si="111"/>
        <v>0</v>
      </c>
      <c r="ER896" s="239">
        <v>23300</v>
      </c>
      <c r="ES896" s="5">
        <v>7.5</v>
      </c>
    </row>
    <row r="897" spans="1:149" x14ac:dyDescent="0.3">
      <c r="A897" s="124"/>
      <c r="B897" s="121"/>
      <c r="C897" s="121"/>
      <c r="D897" s="121"/>
      <c r="E897" s="121"/>
      <c r="F897" s="121"/>
      <c r="G897" s="121"/>
      <c r="H897" s="121"/>
      <c r="I897" s="121"/>
      <c r="J897" s="121"/>
      <c r="K897" s="121"/>
      <c r="L897" s="121"/>
      <c r="M897" s="121"/>
      <c r="N897" s="121"/>
      <c r="O897" s="235"/>
      <c r="P897" s="121"/>
      <c r="Q897" s="121"/>
      <c r="R897" s="121"/>
      <c r="S897" s="121"/>
      <c r="T897" s="121"/>
      <c r="U897" s="121"/>
      <c r="V897" s="121"/>
      <c r="W897" s="121"/>
      <c r="X897" s="117"/>
      <c r="Y897" s="117"/>
      <c r="Z897" s="121"/>
      <c r="AA897" s="121"/>
      <c r="AB897" s="121"/>
      <c r="AC897" s="121"/>
      <c r="AD897" s="121"/>
      <c r="AE897" s="121"/>
      <c r="AF897" s="121"/>
      <c r="AG897" s="121"/>
      <c r="AH897" s="121"/>
      <c r="AI897" s="121"/>
      <c r="AJ897" s="121"/>
      <c r="AK897" s="121"/>
      <c r="AL897" s="121"/>
      <c r="AM897" s="121"/>
      <c r="AN897" s="121"/>
      <c r="AO897" s="121"/>
      <c r="AP897" s="121"/>
      <c r="AQ897" s="121"/>
      <c r="AR897" s="121"/>
      <c r="AS897" s="121"/>
      <c r="AT897" s="121"/>
      <c r="AU897" s="121"/>
      <c r="AV897" s="121"/>
      <c r="AW897" s="121"/>
      <c r="AX897" s="121"/>
      <c r="AY897" s="121"/>
      <c r="AZ897" s="121"/>
      <c r="BA897" s="121"/>
      <c r="BB897" s="121"/>
      <c r="BC897" s="121"/>
      <c r="BD897" s="121"/>
      <c r="BE897" s="121"/>
      <c r="BF897" s="121"/>
      <c r="BG897" s="121"/>
      <c r="BH897" s="121"/>
      <c r="BI897" s="121"/>
      <c r="BJ897" s="121"/>
      <c r="BK897" s="121"/>
      <c r="BL897" s="121"/>
      <c r="BM897" s="121"/>
      <c r="BN897" s="121"/>
      <c r="BO897" s="121"/>
      <c r="BP897" s="121"/>
      <c r="BQ897" s="121"/>
      <c r="BR897" s="121"/>
      <c r="BS897" s="121"/>
      <c r="BT897" s="121"/>
      <c r="BU897" s="121"/>
      <c r="BV897" s="121"/>
      <c r="BW897" s="121"/>
      <c r="BX897" s="121"/>
      <c r="BY897" s="121"/>
      <c r="BZ897" s="121"/>
      <c r="CA897" s="121"/>
      <c r="CB897" s="121"/>
      <c r="CC897" s="121"/>
      <c r="CD897" s="121"/>
      <c r="CE897" s="121"/>
      <c r="CF897" s="121"/>
      <c r="CG897" s="121"/>
      <c r="CH897" s="121"/>
      <c r="CI897" s="121"/>
      <c r="CJ897" s="121"/>
      <c r="CK897" s="121"/>
      <c r="CL897" s="121"/>
      <c r="CM897" s="121"/>
      <c r="CN897" s="121"/>
      <c r="CO897" s="121"/>
      <c r="CP897" s="121"/>
      <c r="CQ897" s="121"/>
      <c r="CR897" s="121"/>
      <c r="CS897" s="121"/>
      <c r="CT897" s="121"/>
      <c r="CU897" s="121"/>
      <c r="CV897" s="121"/>
      <c r="CW897" s="121"/>
      <c r="CX897" s="121"/>
      <c r="CY897" s="121"/>
      <c r="CZ897" s="121"/>
      <c r="DA897" s="121"/>
      <c r="DB897" s="121"/>
      <c r="DC897" s="121"/>
      <c r="DD897" s="121"/>
      <c r="DE897" s="121"/>
      <c r="DF897" s="121"/>
      <c r="DG897" s="121"/>
      <c r="DH897" s="121"/>
      <c r="DI897" s="121"/>
      <c r="DJ897" s="121"/>
      <c r="DK897" s="121"/>
      <c r="DL897" s="121"/>
      <c r="DM897" s="121"/>
      <c r="DN897" s="121"/>
      <c r="DO897" s="121"/>
      <c r="DP897" s="121"/>
      <c r="DQ897" s="121"/>
      <c r="DR897" s="121"/>
      <c r="DS897" s="121"/>
      <c r="DT897" s="240"/>
      <c r="DU897" s="240"/>
      <c r="DV897" s="240"/>
      <c r="DW897" s="240"/>
      <c r="DX897" s="240"/>
      <c r="DY897" s="240"/>
      <c r="DZ897" s="240"/>
      <c r="EA897" s="240"/>
      <c r="EB897" s="237">
        <f t="shared" si="104"/>
        <v>0</v>
      </c>
      <c r="EC897" s="237">
        <f t="shared" si="105"/>
        <v>0</v>
      </c>
      <c r="ED897" s="237">
        <f t="shared" si="106"/>
        <v>0</v>
      </c>
      <c r="EE897" s="237">
        <f t="shared" si="107"/>
        <v>0</v>
      </c>
      <c r="EF897" s="121"/>
      <c r="EG897" s="238">
        <f t="shared" si="108"/>
        <v>0</v>
      </c>
      <c r="EH897" s="121"/>
      <c r="EI897" s="237">
        <f t="shared" si="109"/>
        <v>0</v>
      </c>
      <c r="EJ897" s="121"/>
      <c r="EK897" s="237">
        <f t="shared" si="110"/>
        <v>0</v>
      </c>
      <c r="EL897" s="237"/>
      <c r="EM897" s="5"/>
      <c r="EN897" s="5"/>
      <c r="EO897" s="5"/>
      <c r="EP897" s="5"/>
      <c r="EQ897" s="237">
        <f t="shared" si="111"/>
        <v>0</v>
      </c>
      <c r="ER897" s="239">
        <v>23300</v>
      </c>
      <c r="ES897" s="5">
        <v>7.5</v>
      </c>
    </row>
    <row r="898" spans="1:149" x14ac:dyDescent="0.3">
      <c r="A898" s="124"/>
      <c r="B898" s="121"/>
      <c r="C898" s="121"/>
      <c r="D898" s="121"/>
      <c r="E898" s="121"/>
      <c r="F898" s="121"/>
      <c r="G898" s="121"/>
      <c r="H898" s="121"/>
      <c r="I898" s="121"/>
      <c r="J898" s="121"/>
      <c r="K898" s="121"/>
      <c r="L898" s="121"/>
      <c r="M898" s="121"/>
      <c r="N898" s="121"/>
      <c r="O898" s="235"/>
      <c r="P898" s="121"/>
      <c r="Q898" s="121"/>
      <c r="R898" s="121"/>
      <c r="S898" s="121"/>
      <c r="T898" s="121"/>
      <c r="U898" s="121"/>
      <c r="V898" s="121"/>
      <c r="W898" s="121"/>
      <c r="X898" s="117"/>
      <c r="Y898" s="117"/>
      <c r="Z898" s="121"/>
      <c r="AA898" s="121"/>
      <c r="AB898" s="121"/>
      <c r="AC898" s="121"/>
      <c r="AD898" s="121"/>
      <c r="AE898" s="121"/>
      <c r="AF898" s="121"/>
      <c r="AG898" s="121"/>
      <c r="AH898" s="121"/>
      <c r="AI898" s="121"/>
      <c r="AJ898" s="121"/>
      <c r="AK898" s="121"/>
      <c r="AL898" s="121"/>
      <c r="AM898" s="121"/>
      <c r="AN898" s="121"/>
      <c r="AO898" s="121"/>
      <c r="AP898" s="121"/>
      <c r="AQ898" s="121"/>
      <c r="AR898" s="121"/>
      <c r="AS898" s="121"/>
      <c r="AT898" s="121"/>
      <c r="AU898" s="121"/>
      <c r="AV898" s="121"/>
      <c r="AW898" s="121"/>
      <c r="AX898" s="121"/>
      <c r="AY898" s="121"/>
      <c r="AZ898" s="121"/>
      <c r="BA898" s="121"/>
      <c r="BB898" s="121"/>
      <c r="BC898" s="121"/>
      <c r="BD898" s="121"/>
      <c r="BE898" s="121"/>
      <c r="BF898" s="121"/>
      <c r="BG898" s="121"/>
      <c r="BH898" s="121"/>
      <c r="BI898" s="121"/>
      <c r="BJ898" s="121"/>
      <c r="BK898" s="121"/>
      <c r="BL898" s="121"/>
      <c r="BM898" s="121"/>
      <c r="BN898" s="121"/>
      <c r="BO898" s="121"/>
      <c r="BP898" s="121"/>
      <c r="BQ898" s="121"/>
      <c r="BR898" s="121"/>
      <c r="BS898" s="121"/>
      <c r="BT898" s="121"/>
      <c r="BU898" s="121"/>
      <c r="BV898" s="121"/>
      <c r="BW898" s="121"/>
      <c r="BX898" s="121"/>
      <c r="BY898" s="121"/>
      <c r="BZ898" s="121"/>
      <c r="CA898" s="121"/>
      <c r="CB898" s="121"/>
      <c r="CC898" s="121"/>
      <c r="CD898" s="121"/>
      <c r="CE898" s="121"/>
      <c r="CF898" s="121"/>
      <c r="CG898" s="121"/>
      <c r="CH898" s="121"/>
      <c r="CI898" s="121"/>
      <c r="CJ898" s="121"/>
      <c r="CK898" s="121"/>
      <c r="CL898" s="121"/>
      <c r="CM898" s="121"/>
      <c r="CN898" s="121"/>
      <c r="CO898" s="121"/>
      <c r="CP898" s="121"/>
      <c r="CQ898" s="121"/>
      <c r="CR898" s="121"/>
      <c r="CS898" s="121"/>
      <c r="CT898" s="121"/>
      <c r="CU898" s="121"/>
      <c r="CV898" s="121"/>
      <c r="CW898" s="121"/>
      <c r="CX898" s="121"/>
      <c r="CY898" s="121"/>
      <c r="CZ898" s="121"/>
      <c r="DA898" s="121"/>
      <c r="DB898" s="121"/>
      <c r="DC898" s="121"/>
      <c r="DD898" s="121"/>
      <c r="DE898" s="121"/>
      <c r="DF898" s="121"/>
      <c r="DG898" s="121"/>
      <c r="DH898" s="121"/>
      <c r="DI898" s="121"/>
      <c r="DJ898" s="121"/>
      <c r="DK898" s="121"/>
      <c r="DL898" s="121"/>
      <c r="DM898" s="121"/>
      <c r="DN898" s="121"/>
      <c r="DO898" s="121"/>
      <c r="DP898" s="121"/>
      <c r="DQ898" s="121"/>
      <c r="DR898" s="121"/>
      <c r="DS898" s="121"/>
      <c r="DT898" s="240"/>
      <c r="DU898" s="240"/>
      <c r="DV898" s="240"/>
      <c r="DW898" s="240"/>
      <c r="DX898" s="240"/>
      <c r="DY898" s="240"/>
      <c r="DZ898" s="240"/>
      <c r="EA898" s="240"/>
      <c r="EB898" s="237">
        <f t="shared" si="104"/>
        <v>0</v>
      </c>
      <c r="EC898" s="237">
        <f t="shared" si="105"/>
        <v>0</v>
      </c>
      <c r="ED898" s="237">
        <f t="shared" si="106"/>
        <v>0</v>
      </c>
      <c r="EE898" s="237">
        <f t="shared" si="107"/>
        <v>0</v>
      </c>
      <c r="EF898" s="121"/>
      <c r="EG898" s="238">
        <f t="shared" si="108"/>
        <v>0</v>
      </c>
      <c r="EH898" s="121"/>
      <c r="EI898" s="237">
        <f t="shared" si="109"/>
        <v>0</v>
      </c>
      <c r="EJ898" s="121"/>
      <c r="EK898" s="237">
        <f t="shared" si="110"/>
        <v>0</v>
      </c>
      <c r="EL898" s="237"/>
      <c r="EM898" s="5"/>
      <c r="EN898" s="5"/>
      <c r="EO898" s="5"/>
      <c r="EP898" s="5"/>
      <c r="EQ898" s="237">
        <f t="shared" si="111"/>
        <v>0</v>
      </c>
      <c r="ER898" s="239">
        <v>23300</v>
      </c>
      <c r="ES898" s="5">
        <v>7.5</v>
      </c>
    </row>
    <row r="899" spans="1:149" x14ac:dyDescent="0.3">
      <c r="A899" s="124"/>
      <c r="B899" s="121"/>
      <c r="C899" s="121"/>
      <c r="D899" s="121"/>
      <c r="E899" s="121"/>
      <c r="F899" s="121"/>
      <c r="G899" s="121"/>
      <c r="H899" s="121"/>
      <c r="I899" s="121"/>
      <c r="J899" s="121"/>
      <c r="K899" s="121"/>
      <c r="L899" s="121"/>
      <c r="M899" s="121"/>
      <c r="N899" s="121"/>
      <c r="O899" s="235"/>
      <c r="P899" s="121"/>
      <c r="Q899" s="121"/>
      <c r="R899" s="121"/>
      <c r="S899" s="121"/>
      <c r="T899" s="121"/>
      <c r="U899" s="121"/>
      <c r="V899" s="121"/>
      <c r="W899" s="121"/>
      <c r="X899" s="117"/>
      <c r="Y899" s="117"/>
      <c r="Z899" s="121"/>
      <c r="AA899" s="121"/>
      <c r="AB899" s="121"/>
      <c r="AC899" s="121"/>
      <c r="AD899" s="121"/>
      <c r="AE899" s="121"/>
      <c r="AF899" s="121"/>
      <c r="AG899" s="121"/>
      <c r="AH899" s="121"/>
      <c r="AI899" s="121"/>
      <c r="AJ899" s="121"/>
      <c r="AK899" s="121"/>
      <c r="AL899" s="121"/>
      <c r="AM899" s="121"/>
      <c r="AN899" s="121"/>
      <c r="AO899" s="121"/>
      <c r="AP899" s="121"/>
      <c r="AQ899" s="121"/>
      <c r="AR899" s="121"/>
      <c r="AS899" s="121"/>
      <c r="AT899" s="121"/>
      <c r="AU899" s="121"/>
      <c r="AV899" s="121"/>
      <c r="AW899" s="121"/>
      <c r="AX899" s="121"/>
      <c r="AY899" s="121"/>
      <c r="AZ899" s="121"/>
      <c r="BA899" s="121"/>
      <c r="BB899" s="121"/>
      <c r="BC899" s="121"/>
      <c r="BD899" s="121"/>
      <c r="BE899" s="121"/>
      <c r="BF899" s="121"/>
      <c r="BG899" s="121"/>
      <c r="BH899" s="121"/>
      <c r="BI899" s="121"/>
      <c r="BJ899" s="121"/>
      <c r="BK899" s="121"/>
      <c r="BL899" s="121"/>
      <c r="BM899" s="121"/>
      <c r="BN899" s="121"/>
      <c r="BO899" s="121"/>
      <c r="BP899" s="121"/>
      <c r="BQ899" s="121"/>
      <c r="BR899" s="121"/>
      <c r="BS899" s="121"/>
      <c r="BT899" s="121"/>
      <c r="BU899" s="121"/>
      <c r="BV899" s="121"/>
      <c r="BW899" s="121"/>
      <c r="BX899" s="121"/>
      <c r="BY899" s="121"/>
      <c r="BZ899" s="121"/>
      <c r="CA899" s="121"/>
      <c r="CB899" s="121"/>
      <c r="CC899" s="121"/>
      <c r="CD899" s="121"/>
      <c r="CE899" s="121"/>
      <c r="CF899" s="121"/>
      <c r="CG899" s="121"/>
      <c r="CH899" s="121"/>
      <c r="CI899" s="121"/>
      <c r="CJ899" s="121"/>
      <c r="CK899" s="121"/>
      <c r="CL899" s="121"/>
      <c r="CM899" s="121"/>
      <c r="CN899" s="121"/>
      <c r="CO899" s="121"/>
      <c r="CP899" s="121"/>
      <c r="CQ899" s="121"/>
      <c r="CR899" s="121"/>
      <c r="CS899" s="121"/>
      <c r="CT899" s="121"/>
      <c r="CU899" s="121"/>
      <c r="CV899" s="121"/>
      <c r="CW899" s="121"/>
      <c r="CX899" s="121"/>
      <c r="CY899" s="121"/>
      <c r="CZ899" s="121"/>
      <c r="DA899" s="121"/>
      <c r="DB899" s="121"/>
      <c r="DC899" s="121"/>
      <c r="DD899" s="121"/>
      <c r="DE899" s="121"/>
      <c r="DF899" s="121"/>
      <c r="DG899" s="121"/>
      <c r="DH899" s="121"/>
      <c r="DI899" s="121"/>
      <c r="DJ899" s="121"/>
      <c r="DK899" s="121"/>
      <c r="DL899" s="121"/>
      <c r="DM899" s="121"/>
      <c r="DN899" s="121"/>
      <c r="DO899" s="121"/>
      <c r="DP899" s="121"/>
      <c r="DQ899" s="121"/>
      <c r="DR899" s="121"/>
      <c r="DS899" s="121"/>
      <c r="DT899" s="240"/>
      <c r="DU899" s="240"/>
      <c r="DV899" s="240"/>
      <c r="DW899" s="240"/>
      <c r="DX899" s="240"/>
      <c r="DY899" s="240"/>
      <c r="DZ899" s="240"/>
      <c r="EA899" s="240"/>
      <c r="EB899" s="237">
        <f t="shared" si="104"/>
        <v>0</v>
      </c>
      <c r="EC899" s="237">
        <f t="shared" si="105"/>
        <v>0</v>
      </c>
      <c r="ED899" s="237">
        <f t="shared" si="106"/>
        <v>0</v>
      </c>
      <c r="EE899" s="237">
        <f t="shared" si="107"/>
        <v>0</v>
      </c>
      <c r="EF899" s="121"/>
      <c r="EG899" s="238">
        <f t="shared" si="108"/>
        <v>0</v>
      </c>
      <c r="EH899" s="121"/>
      <c r="EI899" s="237">
        <f t="shared" si="109"/>
        <v>0</v>
      </c>
      <c r="EJ899" s="121"/>
      <c r="EK899" s="237">
        <f t="shared" si="110"/>
        <v>0</v>
      </c>
      <c r="EL899" s="237"/>
      <c r="EM899" s="5"/>
      <c r="EN899" s="5"/>
      <c r="EO899" s="5"/>
      <c r="EP899" s="5"/>
      <c r="EQ899" s="237">
        <f t="shared" si="111"/>
        <v>0</v>
      </c>
      <c r="ER899" s="239">
        <v>23300</v>
      </c>
      <c r="ES899" s="5">
        <v>7.5</v>
      </c>
    </row>
    <row r="900" spans="1:149" x14ac:dyDescent="0.3">
      <c r="A900" s="124"/>
      <c r="B900" s="121"/>
      <c r="C900" s="121"/>
      <c r="D900" s="121"/>
      <c r="E900" s="121"/>
      <c r="F900" s="121"/>
      <c r="G900" s="121"/>
      <c r="H900" s="121"/>
      <c r="I900" s="121"/>
      <c r="J900" s="121"/>
      <c r="K900" s="121"/>
      <c r="L900" s="121"/>
      <c r="M900" s="121"/>
      <c r="N900" s="121"/>
      <c r="O900" s="235"/>
      <c r="P900" s="121"/>
      <c r="Q900" s="121"/>
      <c r="R900" s="121"/>
      <c r="S900" s="121"/>
      <c r="T900" s="121"/>
      <c r="U900" s="121"/>
      <c r="V900" s="121"/>
      <c r="W900" s="121"/>
      <c r="X900" s="117"/>
      <c r="Y900" s="117"/>
      <c r="Z900" s="121"/>
      <c r="AA900" s="121"/>
      <c r="AB900" s="121"/>
      <c r="AC900" s="121"/>
      <c r="AD900" s="121"/>
      <c r="AE900" s="121"/>
      <c r="AF900" s="121"/>
      <c r="AG900" s="121"/>
      <c r="AH900" s="121"/>
      <c r="AI900" s="121"/>
      <c r="AJ900" s="121"/>
      <c r="AK900" s="121"/>
      <c r="AL900" s="121"/>
      <c r="AM900" s="121"/>
      <c r="AN900" s="121"/>
      <c r="AO900" s="121"/>
      <c r="AP900" s="121"/>
      <c r="AQ900" s="121"/>
      <c r="AR900" s="121"/>
      <c r="AS900" s="121"/>
      <c r="AT900" s="121"/>
      <c r="AU900" s="121"/>
      <c r="AV900" s="121"/>
      <c r="AW900" s="121"/>
      <c r="AX900" s="121"/>
      <c r="AY900" s="121"/>
      <c r="AZ900" s="121"/>
      <c r="BA900" s="121"/>
      <c r="BB900" s="121"/>
      <c r="BC900" s="121"/>
      <c r="BD900" s="121"/>
      <c r="BE900" s="121"/>
      <c r="BF900" s="121"/>
      <c r="BG900" s="121"/>
      <c r="BH900" s="121"/>
      <c r="BI900" s="121"/>
      <c r="BJ900" s="121"/>
      <c r="BK900" s="121"/>
      <c r="BL900" s="121"/>
      <c r="BM900" s="121"/>
      <c r="BN900" s="121"/>
      <c r="BO900" s="121"/>
      <c r="BP900" s="121"/>
      <c r="BQ900" s="121"/>
      <c r="BR900" s="121"/>
      <c r="BS900" s="121"/>
      <c r="BT900" s="121"/>
      <c r="BU900" s="121"/>
      <c r="BV900" s="121"/>
      <c r="BW900" s="121"/>
      <c r="BX900" s="121"/>
      <c r="BY900" s="121"/>
      <c r="BZ900" s="121"/>
      <c r="CA900" s="121"/>
      <c r="CB900" s="121"/>
      <c r="CC900" s="121"/>
      <c r="CD900" s="121"/>
      <c r="CE900" s="121"/>
      <c r="CF900" s="121"/>
      <c r="CG900" s="121"/>
      <c r="CH900" s="121"/>
      <c r="CI900" s="121"/>
      <c r="CJ900" s="121"/>
      <c r="CK900" s="121"/>
      <c r="CL900" s="121"/>
      <c r="CM900" s="121"/>
      <c r="CN900" s="121"/>
      <c r="CO900" s="121"/>
      <c r="CP900" s="121"/>
      <c r="CQ900" s="121"/>
      <c r="CR900" s="121"/>
      <c r="CS900" s="121"/>
      <c r="CT900" s="121"/>
      <c r="CU900" s="121"/>
      <c r="CV900" s="121"/>
      <c r="CW900" s="121"/>
      <c r="CX900" s="121"/>
      <c r="CY900" s="121"/>
      <c r="CZ900" s="121"/>
      <c r="DA900" s="121"/>
      <c r="DB900" s="121"/>
      <c r="DC900" s="121"/>
      <c r="DD900" s="121"/>
      <c r="DE900" s="121"/>
      <c r="DF900" s="121"/>
      <c r="DG900" s="121"/>
      <c r="DH900" s="121"/>
      <c r="DI900" s="121"/>
      <c r="DJ900" s="121"/>
      <c r="DK900" s="121"/>
      <c r="DL900" s="121"/>
      <c r="DM900" s="121"/>
      <c r="DN900" s="121"/>
      <c r="DO900" s="121"/>
      <c r="DP900" s="121"/>
      <c r="DQ900" s="121"/>
      <c r="DR900" s="121"/>
      <c r="DS900" s="121"/>
      <c r="DT900" s="240"/>
      <c r="DU900" s="240"/>
      <c r="DV900" s="240"/>
      <c r="DW900" s="240"/>
      <c r="DX900" s="240"/>
      <c r="DY900" s="240"/>
      <c r="DZ900" s="240"/>
      <c r="EA900" s="240"/>
      <c r="EB900" s="237">
        <f t="shared" si="104"/>
        <v>0</v>
      </c>
      <c r="EC900" s="237">
        <f t="shared" si="105"/>
        <v>0</v>
      </c>
      <c r="ED900" s="237">
        <f t="shared" si="106"/>
        <v>0</v>
      </c>
      <c r="EE900" s="237">
        <f t="shared" si="107"/>
        <v>0</v>
      </c>
      <c r="EF900" s="121"/>
      <c r="EG900" s="238">
        <f t="shared" si="108"/>
        <v>0</v>
      </c>
      <c r="EH900" s="121"/>
      <c r="EI900" s="237">
        <f t="shared" si="109"/>
        <v>0</v>
      </c>
      <c r="EJ900" s="121"/>
      <c r="EK900" s="237">
        <f t="shared" si="110"/>
        <v>0</v>
      </c>
      <c r="EL900" s="237"/>
      <c r="EM900" s="5"/>
      <c r="EN900" s="5"/>
      <c r="EO900" s="5"/>
      <c r="EP900" s="5"/>
      <c r="EQ900" s="237">
        <f t="shared" si="111"/>
        <v>0</v>
      </c>
      <c r="ER900" s="239">
        <v>23300</v>
      </c>
      <c r="ES900" s="5">
        <v>7.5</v>
      </c>
    </row>
    <row r="901" spans="1:149" x14ac:dyDescent="0.3">
      <c r="A901" s="124"/>
      <c r="B901" s="121"/>
      <c r="C901" s="121"/>
      <c r="D901" s="121"/>
      <c r="E901" s="121"/>
      <c r="F901" s="121"/>
      <c r="G901" s="121"/>
      <c r="H901" s="121"/>
      <c r="I901" s="121"/>
      <c r="J901" s="121"/>
      <c r="K901" s="121"/>
      <c r="L901" s="121"/>
      <c r="M901" s="121"/>
      <c r="N901" s="121"/>
      <c r="O901" s="235"/>
      <c r="P901" s="121"/>
      <c r="Q901" s="121"/>
      <c r="R901" s="121"/>
      <c r="S901" s="121"/>
      <c r="T901" s="121"/>
      <c r="U901" s="121"/>
      <c r="V901" s="121"/>
      <c r="W901" s="121"/>
      <c r="X901" s="117"/>
      <c r="Y901" s="117"/>
      <c r="Z901" s="121"/>
      <c r="AA901" s="121"/>
      <c r="AB901" s="121"/>
      <c r="AC901" s="121"/>
      <c r="AD901" s="121"/>
      <c r="AE901" s="121"/>
      <c r="AF901" s="121"/>
      <c r="AG901" s="121"/>
      <c r="AH901" s="121"/>
      <c r="AI901" s="121"/>
      <c r="AJ901" s="121"/>
      <c r="AK901" s="121"/>
      <c r="AL901" s="121"/>
      <c r="AM901" s="121"/>
      <c r="AN901" s="121"/>
      <c r="AO901" s="121"/>
      <c r="AP901" s="121"/>
      <c r="AQ901" s="121"/>
      <c r="AR901" s="121"/>
      <c r="AS901" s="121"/>
      <c r="AT901" s="121"/>
      <c r="AU901" s="121"/>
      <c r="AV901" s="121"/>
      <c r="AW901" s="121"/>
      <c r="AX901" s="121"/>
      <c r="AY901" s="121"/>
      <c r="AZ901" s="121"/>
      <c r="BA901" s="121"/>
      <c r="BB901" s="121"/>
      <c r="BC901" s="121"/>
      <c r="BD901" s="121"/>
      <c r="BE901" s="121"/>
      <c r="BF901" s="121"/>
      <c r="BG901" s="121"/>
      <c r="BH901" s="121"/>
      <c r="BI901" s="121"/>
      <c r="BJ901" s="121"/>
      <c r="BK901" s="121"/>
      <c r="BL901" s="121"/>
      <c r="BM901" s="121"/>
      <c r="BN901" s="121"/>
      <c r="BO901" s="121"/>
      <c r="BP901" s="121"/>
      <c r="BQ901" s="121"/>
      <c r="BR901" s="121"/>
      <c r="BS901" s="121"/>
      <c r="BT901" s="121"/>
      <c r="BU901" s="121"/>
      <c r="BV901" s="121"/>
      <c r="BW901" s="121"/>
      <c r="BX901" s="121"/>
      <c r="BY901" s="121"/>
      <c r="BZ901" s="121"/>
      <c r="CA901" s="121"/>
      <c r="CB901" s="121"/>
      <c r="CC901" s="121"/>
      <c r="CD901" s="121"/>
      <c r="CE901" s="121"/>
      <c r="CF901" s="121"/>
      <c r="CG901" s="121"/>
      <c r="CH901" s="121"/>
      <c r="CI901" s="121"/>
      <c r="CJ901" s="121"/>
      <c r="CK901" s="121"/>
      <c r="CL901" s="121"/>
      <c r="CM901" s="121"/>
      <c r="CN901" s="121"/>
      <c r="CO901" s="121"/>
      <c r="CP901" s="121"/>
      <c r="CQ901" s="121"/>
      <c r="CR901" s="121"/>
      <c r="CS901" s="121"/>
      <c r="CT901" s="121"/>
      <c r="CU901" s="121"/>
      <c r="CV901" s="121"/>
      <c r="CW901" s="121"/>
      <c r="CX901" s="121"/>
      <c r="CY901" s="121"/>
      <c r="CZ901" s="121"/>
      <c r="DA901" s="121"/>
      <c r="DB901" s="121"/>
      <c r="DC901" s="121"/>
      <c r="DD901" s="121"/>
      <c r="DE901" s="121"/>
      <c r="DF901" s="121"/>
      <c r="DG901" s="121"/>
      <c r="DH901" s="121"/>
      <c r="DI901" s="121"/>
      <c r="DJ901" s="121"/>
      <c r="DK901" s="121"/>
      <c r="DL901" s="121"/>
      <c r="DM901" s="121"/>
      <c r="DN901" s="121"/>
      <c r="DO901" s="121"/>
      <c r="DP901" s="121"/>
      <c r="DQ901" s="121"/>
      <c r="DR901" s="121"/>
      <c r="DS901" s="121"/>
      <c r="DT901" s="240"/>
      <c r="DU901" s="240"/>
      <c r="DV901" s="240"/>
      <c r="DW901" s="240"/>
      <c r="DX901" s="240"/>
      <c r="DY901" s="240"/>
      <c r="DZ901" s="240"/>
      <c r="EA901" s="240"/>
      <c r="EB901" s="237">
        <f t="shared" si="104"/>
        <v>0</v>
      </c>
      <c r="EC901" s="237">
        <f t="shared" si="105"/>
        <v>0</v>
      </c>
      <c r="ED901" s="237">
        <f t="shared" si="106"/>
        <v>0</v>
      </c>
      <c r="EE901" s="237">
        <f t="shared" si="107"/>
        <v>0</v>
      </c>
      <c r="EF901" s="121"/>
      <c r="EG901" s="238">
        <f t="shared" si="108"/>
        <v>0</v>
      </c>
      <c r="EH901" s="121"/>
      <c r="EI901" s="237">
        <f t="shared" si="109"/>
        <v>0</v>
      </c>
      <c r="EJ901" s="121"/>
      <c r="EK901" s="237">
        <f t="shared" si="110"/>
        <v>0</v>
      </c>
      <c r="EL901" s="237"/>
      <c r="EM901" s="5"/>
      <c r="EN901" s="5"/>
      <c r="EO901" s="5"/>
      <c r="EP901" s="5"/>
      <c r="EQ901" s="237">
        <f t="shared" si="111"/>
        <v>0</v>
      </c>
      <c r="ER901" s="239">
        <v>23300</v>
      </c>
      <c r="ES901" s="5">
        <v>7.5</v>
      </c>
    </row>
    <row r="902" spans="1:149" x14ac:dyDescent="0.3">
      <c r="A902" s="124"/>
      <c r="B902" s="121"/>
      <c r="C902" s="121"/>
      <c r="D902" s="121"/>
      <c r="E902" s="121"/>
      <c r="F902" s="121"/>
      <c r="G902" s="121"/>
      <c r="H902" s="121"/>
      <c r="I902" s="121"/>
      <c r="J902" s="121"/>
      <c r="K902" s="121"/>
      <c r="L902" s="121"/>
      <c r="M902" s="121"/>
      <c r="N902" s="121"/>
      <c r="O902" s="235"/>
      <c r="P902" s="121"/>
      <c r="Q902" s="121"/>
      <c r="R902" s="121"/>
      <c r="S902" s="121"/>
      <c r="T902" s="121"/>
      <c r="U902" s="121"/>
      <c r="V902" s="121"/>
      <c r="W902" s="121"/>
      <c r="X902" s="117"/>
      <c r="Y902" s="117"/>
      <c r="Z902" s="121"/>
      <c r="AA902" s="121"/>
      <c r="AB902" s="121"/>
      <c r="AC902" s="121"/>
      <c r="AD902" s="121"/>
      <c r="AE902" s="121"/>
      <c r="AF902" s="121"/>
      <c r="AG902" s="121"/>
      <c r="AH902" s="121"/>
      <c r="AI902" s="121"/>
      <c r="AJ902" s="121"/>
      <c r="AK902" s="121"/>
      <c r="AL902" s="121"/>
      <c r="AM902" s="121"/>
      <c r="AN902" s="121"/>
      <c r="AO902" s="121"/>
      <c r="AP902" s="121"/>
      <c r="AQ902" s="121"/>
      <c r="AR902" s="121"/>
      <c r="AS902" s="121"/>
      <c r="AT902" s="121"/>
      <c r="AU902" s="121"/>
      <c r="AV902" s="121"/>
      <c r="AW902" s="121"/>
      <c r="AX902" s="121"/>
      <c r="AY902" s="121"/>
      <c r="AZ902" s="121"/>
      <c r="BA902" s="121"/>
      <c r="BB902" s="121"/>
      <c r="BC902" s="121"/>
      <c r="BD902" s="121"/>
      <c r="BE902" s="121"/>
      <c r="BF902" s="121"/>
      <c r="BG902" s="121"/>
      <c r="BH902" s="121"/>
      <c r="BI902" s="121"/>
      <c r="BJ902" s="121"/>
      <c r="BK902" s="121"/>
      <c r="BL902" s="121"/>
      <c r="BM902" s="121"/>
      <c r="BN902" s="121"/>
      <c r="BO902" s="121"/>
      <c r="BP902" s="121"/>
      <c r="BQ902" s="121"/>
      <c r="BR902" s="121"/>
      <c r="BS902" s="121"/>
      <c r="BT902" s="121"/>
      <c r="BU902" s="121"/>
      <c r="BV902" s="121"/>
      <c r="BW902" s="121"/>
      <c r="BX902" s="121"/>
      <c r="BY902" s="121"/>
      <c r="BZ902" s="121"/>
      <c r="CA902" s="121"/>
      <c r="CB902" s="121"/>
      <c r="CC902" s="121"/>
      <c r="CD902" s="121"/>
      <c r="CE902" s="121"/>
      <c r="CF902" s="121"/>
      <c r="CG902" s="121"/>
      <c r="CH902" s="121"/>
      <c r="CI902" s="121"/>
      <c r="CJ902" s="121"/>
      <c r="CK902" s="121"/>
      <c r="CL902" s="121"/>
      <c r="CM902" s="121"/>
      <c r="CN902" s="121"/>
      <c r="CO902" s="121"/>
      <c r="CP902" s="121"/>
      <c r="CQ902" s="121"/>
      <c r="CR902" s="121"/>
      <c r="CS902" s="121"/>
      <c r="CT902" s="121"/>
      <c r="CU902" s="121"/>
      <c r="CV902" s="121"/>
      <c r="CW902" s="121"/>
      <c r="CX902" s="121"/>
      <c r="CY902" s="121"/>
      <c r="CZ902" s="121"/>
      <c r="DA902" s="121"/>
      <c r="DB902" s="121"/>
      <c r="DC902" s="121"/>
      <c r="DD902" s="121"/>
      <c r="DE902" s="121"/>
      <c r="DF902" s="121"/>
      <c r="DG902" s="121"/>
      <c r="DH902" s="121"/>
      <c r="DI902" s="121"/>
      <c r="DJ902" s="121"/>
      <c r="DK902" s="121"/>
      <c r="DL902" s="121"/>
      <c r="DM902" s="121"/>
      <c r="DN902" s="121"/>
      <c r="DO902" s="121"/>
      <c r="DP902" s="121"/>
      <c r="DQ902" s="121"/>
      <c r="DR902" s="121"/>
      <c r="DS902" s="121"/>
      <c r="DT902" s="240"/>
      <c r="DU902" s="240"/>
      <c r="DV902" s="240"/>
      <c r="DW902" s="240"/>
      <c r="DX902" s="240"/>
      <c r="DY902" s="240"/>
      <c r="DZ902" s="240"/>
      <c r="EA902" s="240"/>
      <c r="EB902" s="237">
        <f t="shared" ref="EB902:EB932" si="112">AB902+AC902*K902+AD902*K902+((AF902+AG902+AH902+AJ902+AK902)*K902+AE902+AI902+AL902*K902+AM902*K902)+AP902+AQ902*L902+AR902*L902+((AT902+AU902+AV902+AX902+AY902)*L902+AS902+AW902+AZ902*L902+BA902*L902)+IF(AND(M902&gt;0,MAX(M902,N902/1000)&lt;1),BD902+1*(BE902+BF902)+(1*(BH902+BI902+BJ902+BL902+BM902)+BG902+BK902+BN902+BO902),IF(AND(M902&gt;0,MAX(M902,N902/1000)&gt;1),BD902+MAX(M902,N902/1000)*(BE902+BF902)+(MAX(M902,N902/1000)*(BH902+BI902+BJ902+BL902+BM902)+BG902+BK902+BN902+BO902),IF(AND(K902="",L902="",M902=""),BD902+N902*(BE902+BF902)+((BH902+BI902+BJ902+BL902+BM902)*N902+BG902+BK902+BN902+BO902),0)))</f>
        <v>0</v>
      </c>
      <c r="EC902" s="237">
        <f t="shared" ref="EC902:EC932" si="113">BR902+BS902*K902+BT902*K902+((BV902+BW902+BX902+BZ902+CA902)*K902+BU902+BY902+CB902*K902+CC902*K902)+CJ902+CK902*L902+CL902*L902+((CN902+CO902+CP902+CR902+CS902)*L902+CM902+CQ902+CT902*L902+CU902*L902)+IF(AND(M902&gt;0,MAX(M902,N902/1000)&lt;1),DB902+1*(DC902+DD902)+(1*(DF902+DG902+DH902+DJ902+DK902)+DE902+DI902+DL902+DM902),IF(AND(M902&gt;0,MAX(M902,N902/1000)&gt;1),DB902+MAX(M902,N902/1000)*(DC902+DD902)+(MAX(M902,N902/1000)*(DF902+DG902+DH902+DJ902+DK902)+DE902+DI902+DL902+DM902),IF(AND(K902="",L902="",M902=""),DB902+N902*(DC902+DD902)+((DF902+DG902+DH902+DJ902+DK902)*N902+DE902+DI902+DL902+DM902),0)))</f>
        <v>0</v>
      </c>
      <c r="ED902" s="237">
        <f t="shared" ref="ED902:ED932" si="114">AN902*K902*(1-AO902%)+BB902*L902*(1-BC902%)+BP902*IF(AND(M902&gt;0,M902&lt;1),1,IF(M902&gt;1,MAX(M902,N902/1000),N902))*(1-BQ902%)</f>
        <v>0</v>
      </c>
      <c r="EE902" s="237">
        <f t="shared" ref="EE902:EE932" si="115">(CD902+CE902*K902)*(1-CF902%)+(CG902+CH902*K902)*(1-CI902%)+(CV902+CW902*L902)*(1-CX902%)+(CY902+CZ902*L902)*(1-DA902%)+(DN902+DO902*IF(AND(M902&gt;0,M902&lt;1),1,IF(M902&gt;1,MAX(M902,N902/1000),N902)))*(1-DP902%)+(DQ902+DR902*IF(AND(M902&gt;0,M902&lt;1),1,IF(M902&gt;1,MAX(M902,N902/1000),N902)))*(1-DS902%)</f>
        <v>0</v>
      </c>
      <c r="EF902" s="121"/>
      <c r="EG902" s="238">
        <f t="shared" ref="EG902:EG932" si="116">((BR902+BS902*K902+BT902*K902)+(CJ902+CK902*L902*+CL902*L902)+IF(AND(M902&gt;0,MAX(M902,N902/1000)&lt;1),DB902+DC902+DD902,IF(AND(M902&gt;0,MAX(M902,N902/1000)&gt;1),DB902+DC902*M902+DD902*M902,IF(AND(M902&gt;0,MAX(M902,N902/1000)&gt;1),DB902+MAX(M902,N902/1000)*DC902+MAX(M902,N902/1000)*DD902+IF(AND(K902="",L902="",M902=""),DB902+DC902*N902+DD902*N902,0)))))*EF902/365*ES902%</f>
        <v>0</v>
      </c>
      <c r="EH902" s="121"/>
      <c r="EI902" s="237">
        <f t="shared" ref="EI902:EI932" si="117">(((BV902+BW902+BX902+BZ902+CA902)*K902+BU902+BY902)*1.08+CJ902+CK902*L902+CL902*L902+((CN902+CO902+CP902+CR902+CS902)*L902+CM902+CQ902)*1.08+IF(AND(M902&gt;0,MAX(M902,N902/1000)&lt;1),DB902+1*(DC902+DD902)+(1*(DF902+DG902+DH902+DJ902+DK902)+DE902+DI902)*1.08,IF(AND(M902&gt;0,MAX(M902,N902/1000)&gt;1),DB902+MAX(M902,N902/1000)*(DC902+DD902)+(MAX(M902,N902/1000)*(DF902+DG902+DH902+DJ902+DK902)+DE902+DI902)*1.08,IF(AND(K902="",L902="",M902=""),DB902+N902*(DC902+DD902)+((DF902+DG902+DH902+DJ902+DK902)*N902+DE902+DI902)*1.08,0))))*EH902/365*ES902%</f>
        <v>0</v>
      </c>
      <c r="EJ902" s="121"/>
      <c r="EK902" s="237">
        <f t="shared" ref="EK902:EK932" si="118">((CB902*K902+CC902*K902)*1.1+(CT902*L902+CU902*L902)*1.1+(DL902+DM902)*1.1)*EJ902/365*ES902%</f>
        <v>0</v>
      </c>
      <c r="EL902" s="237"/>
      <c r="EM902" s="5"/>
      <c r="EN902" s="5"/>
      <c r="EO902" s="5"/>
      <c r="EP902" s="5"/>
      <c r="EQ902" s="237">
        <f t="shared" ref="EQ902:EQ932" si="119">EC902-EB902-EG902-EI902-EK902-(AN902*K902+BB902*L902+BP902*IF(AND(M902&gt;0,M902&lt;1),1,IF(M902&gt;1,MAX(M902,N902/1000),N902))+CD902+CE902*K902+CV902+CW902*L902+DN902+DO902*IF(AND(M902&gt;0,M902&lt;1),1,IF(M902&gt;1,MAX(M902,N902/1000),N902))+CG902+CH902*K902+CY902+CZ902*L902+DQ902+DR902*IF(AND(M902&gt;0,M902&lt;1),1,IF(M902&gt;1,MAX(M902,N902/1000),N902)))-EL902-EM902*EN902/365*ES902%-EO902*EP902/365*ES902%</f>
        <v>0</v>
      </c>
      <c r="ER902" s="239">
        <v>23300</v>
      </c>
      <c r="ES902" s="5">
        <v>7.5</v>
      </c>
    </row>
    <row r="903" spans="1:149" x14ac:dyDescent="0.3">
      <c r="A903" s="124"/>
      <c r="B903" s="121"/>
      <c r="C903" s="121"/>
      <c r="D903" s="121"/>
      <c r="E903" s="121"/>
      <c r="F903" s="121"/>
      <c r="G903" s="121"/>
      <c r="H903" s="121"/>
      <c r="I903" s="121"/>
      <c r="J903" s="121"/>
      <c r="K903" s="121"/>
      <c r="L903" s="121"/>
      <c r="M903" s="121"/>
      <c r="N903" s="121"/>
      <c r="O903" s="235"/>
      <c r="P903" s="121"/>
      <c r="Q903" s="121"/>
      <c r="R903" s="121"/>
      <c r="S903" s="121"/>
      <c r="T903" s="121"/>
      <c r="U903" s="121"/>
      <c r="V903" s="121"/>
      <c r="W903" s="121"/>
      <c r="X903" s="117"/>
      <c r="Y903" s="117"/>
      <c r="Z903" s="121"/>
      <c r="AA903" s="121"/>
      <c r="AB903" s="121"/>
      <c r="AC903" s="121"/>
      <c r="AD903" s="121"/>
      <c r="AE903" s="121"/>
      <c r="AF903" s="121"/>
      <c r="AG903" s="121"/>
      <c r="AH903" s="121"/>
      <c r="AI903" s="121"/>
      <c r="AJ903" s="121"/>
      <c r="AK903" s="121"/>
      <c r="AL903" s="121"/>
      <c r="AM903" s="121"/>
      <c r="AN903" s="121"/>
      <c r="AO903" s="121"/>
      <c r="AP903" s="121"/>
      <c r="AQ903" s="121"/>
      <c r="AR903" s="121"/>
      <c r="AS903" s="121"/>
      <c r="AT903" s="121"/>
      <c r="AU903" s="121"/>
      <c r="AV903" s="121"/>
      <c r="AW903" s="121"/>
      <c r="AX903" s="121"/>
      <c r="AY903" s="121"/>
      <c r="AZ903" s="121"/>
      <c r="BA903" s="121"/>
      <c r="BB903" s="121"/>
      <c r="BC903" s="121"/>
      <c r="BD903" s="121"/>
      <c r="BE903" s="121"/>
      <c r="BF903" s="121"/>
      <c r="BG903" s="121"/>
      <c r="BH903" s="121"/>
      <c r="BI903" s="121"/>
      <c r="BJ903" s="121"/>
      <c r="BK903" s="121"/>
      <c r="BL903" s="121"/>
      <c r="BM903" s="121"/>
      <c r="BN903" s="121"/>
      <c r="BO903" s="121"/>
      <c r="BP903" s="121"/>
      <c r="BQ903" s="121"/>
      <c r="BR903" s="121"/>
      <c r="BS903" s="121"/>
      <c r="BT903" s="121"/>
      <c r="BU903" s="121"/>
      <c r="BV903" s="121"/>
      <c r="BW903" s="121"/>
      <c r="BX903" s="121"/>
      <c r="BY903" s="121"/>
      <c r="BZ903" s="121"/>
      <c r="CA903" s="121"/>
      <c r="CB903" s="121"/>
      <c r="CC903" s="121"/>
      <c r="CD903" s="121"/>
      <c r="CE903" s="121"/>
      <c r="CF903" s="121"/>
      <c r="CG903" s="121"/>
      <c r="CH903" s="121"/>
      <c r="CI903" s="121"/>
      <c r="CJ903" s="121"/>
      <c r="CK903" s="121"/>
      <c r="CL903" s="121"/>
      <c r="CM903" s="121"/>
      <c r="CN903" s="121"/>
      <c r="CO903" s="121"/>
      <c r="CP903" s="121"/>
      <c r="CQ903" s="121"/>
      <c r="CR903" s="121"/>
      <c r="CS903" s="121"/>
      <c r="CT903" s="121"/>
      <c r="CU903" s="121"/>
      <c r="CV903" s="121"/>
      <c r="CW903" s="121"/>
      <c r="CX903" s="121"/>
      <c r="CY903" s="121"/>
      <c r="CZ903" s="121"/>
      <c r="DA903" s="121"/>
      <c r="DB903" s="121"/>
      <c r="DC903" s="121"/>
      <c r="DD903" s="121"/>
      <c r="DE903" s="121"/>
      <c r="DF903" s="121"/>
      <c r="DG903" s="121"/>
      <c r="DH903" s="121"/>
      <c r="DI903" s="121"/>
      <c r="DJ903" s="121"/>
      <c r="DK903" s="121"/>
      <c r="DL903" s="121"/>
      <c r="DM903" s="121"/>
      <c r="DN903" s="121"/>
      <c r="DO903" s="121"/>
      <c r="DP903" s="121"/>
      <c r="DQ903" s="121"/>
      <c r="DR903" s="121"/>
      <c r="DS903" s="121"/>
      <c r="DT903" s="240"/>
      <c r="DU903" s="240"/>
      <c r="DV903" s="240"/>
      <c r="DW903" s="240"/>
      <c r="DX903" s="240"/>
      <c r="DY903" s="240"/>
      <c r="DZ903" s="240"/>
      <c r="EA903" s="240"/>
      <c r="EB903" s="237">
        <f t="shared" si="112"/>
        <v>0</v>
      </c>
      <c r="EC903" s="237">
        <f t="shared" si="113"/>
        <v>0</v>
      </c>
      <c r="ED903" s="237">
        <f t="shared" si="114"/>
        <v>0</v>
      </c>
      <c r="EE903" s="237">
        <f t="shared" si="115"/>
        <v>0</v>
      </c>
      <c r="EF903" s="121"/>
      <c r="EG903" s="238">
        <f t="shared" si="116"/>
        <v>0</v>
      </c>
      <c r="EH903" s="121"/>
      <c r="EI903" s="237">
        <f t="shared" si="117"/>
        <v>0</v>
      </c>
      <c r="EJ903" s="121"/>
      <c r="EK903" s="237">
        <f t="shared" si="118"/>
        <v>0</v>
      </c>
      <c r="EL903" s="237"/>
      <c r="EM903" s="5"/>
      <c r="EN903" s="5"/>
      <c r="EO903" s="5"/>
      <c r="EP903" s="5"/>
      <c r="EQ903" s="237">
        <f t="shared" si="119"/>
        <v>0</v>
      </c>
      <c r="ER903" s="239">
        <v>23300</v>
      </c>
      <c r="ES903" s="5">
        <v>7.5</v>
      </c>
    </row>
    <row r="904" spans="1:149" x14ac:dyDescent="0.3">
      <c r="A904" s="124"/>
      <c r="B904" s="121"/>
      <c r="C904" s="121"/>
      <c r="D904" s="121"/>
      <c r="E904" s="121"/>
      <c r="F904" s="121"/>
      <c r="G904" s="121"/>
      <c r="H904" s="121"/>
      <c r="I904" s="121"/>
      <c r="J904" s="121"/>
      <c r="K904" s="121"/>
      <c r="L904" s="121"/>
      <c r="M904" s="121"/>
      <c r="N904" s="121"/>
      <c r="O904" s="235"/>
      <c r="P904" s="121"/>
      <c r="Q904" s="121"/>
      <c r="R904" s="121"/>
      <c r="S904" s="121"/>
      <c r="T904" s="121"/>
      <c r="U904" s="121"/>
      <c r="V904" s="121"/>
      <c r="W904" s="121"/>
      <c r="X904" s="117"/>
      <c r="Y904" s="117"/>
      <c r="Z904" s="121"/>
      <c r="AA904" s="121"/>
      <c r="AB904" s="121"/>
      <c r="AC904" s="121"/>
      <c r="AD904" s="121"/>
      <c r="AE904" s="121"/>
      <c r="AF904" s="121"/>
      <c r="AG904" s="121"/>
      <c r="AH904" s="121"/>
      <c r="AI904" s="121"/>
      <c r="AJ904" s="121"/>
      <c r="AK904" s="121"/>
      <c r="AL904" s="121"/>
      <c r="AM904" s="121"/>
      <c r="AN904" s="121"/>
      <c r="AO904" s="121"/>
      <c r="AP904" s="121"/>
      <c r="AQ904" s="121"/>
      <c r="AR904" s="121"/>
      <c r="AS904" s="121"/>
      <c r="AT904" s="121"/>
      <c r="AU904" s="121"/>
      <c r="AV904" s="121"/>
      <c r="AW904" s="121"/>
      <c r="AX904" s="121"/>
      <c r="AY904" s="121"/>
      <c r="AZ904" s="121"/>
      <c r="BA904" s="121"/>
      <c r="BB904" s="121"/>
      <c r="BC904" s="121"/>
      <c r="BD904" s="121"/>
      <c r="BE904" s="121"/>
      <c r="BF904" s="121"/>
      <c r="BG904" s="121"/>
      <c r="BH904" s="121"/>
      <c r="BI904" s="121"/>
      <c r="BJ904" s="121"/>
      <c r="BK904" s="121"/>
      <c r="BL904" s="121"/>
      <c r="BM904" s="121"/>
      <c r="BN904" s="121"/>
      <c r="BO904" s="121"/>
      <c r="BP904" s="121"/>
      <c r="BQ904" s="121"/>
      <c r="BR904" s="121"/>
      <c r="BS904" s="121"/>
      <c r="BT904" s="121"/>
      <c r="BU904" s="121"/>
      <c r="BV904" s="121"/>
      <c r="BW904" s="121"/>
      <c r="BX904" s="121"/>
      <c r="BY904" s="121"/>
      <c r="BZ904" s="121"/>
      <c r="CA904" s="121"/>
      <c r="CB904" s="121"/>
      <c r="CC904" s="121"/>
      <c r="CD904" s="121"/>
      <c r="CE904" s="121"/>
      <c r="CF904" s="121"/>
      <c r="CG904" s="121"/>
      <c r="CH904" s="121"/>
      <c r="CI904" s="121"/>
      <c r="CJ904" s="121"/>
      <c r="CK904" s="121"/>
      <c r="CL904" s="121"/>
      <c r="CM904" s="121"/>
      <c r="CN904" s="121"/>
      <c r="CO904" s="121"/>
      <c r="CP904" s="121"/>
      <c r="CQ904" s="121"/>
      <c r="CR904" s="121"/>
      <c r="CS904" s="121"/>
      <c r="CT904" s="121"/>
      <c r="CU904" s="121"/>
      <c r="CV904" s="121"/>
      <c r="CW904" s="121"/>
      <c r="CX904" s="121"/>
      <c r="CY904" s="121"/>
      <c r="CZ904" s="121"/>
      <c r="DA904" s="121"/>
      <c r="DB904" s="121"/>
      <c r="DC904" s="121"/>
      <c r="DD904" s="121"/>
      <c r="DE904" s="121"/>
      <c r="DF904" s="121"/>
      <c r="DG904" s="121"/>
      <c r="DH904" s="121"/>
      <c r="DI904" s="121"/>
      <c r="DJ904" s="121"/>
      <c r="DK904" s="121"/>
      <c r="DL904" s="121"/>
      <c r="DM904" s="121"/>
      <c r="DN904" s="121"/>
      <c r="DO904" s="121"/>
      <c r="DP904" s="121"/>
      <c r="DQ904" s="121"/>
      <c r="DR904" s="121"/>
      <c r="DS904" s="121"/>
      <c r="DT904" s="240"/>
      <c r="DU904" s="240"/>
      <c r="DV904" s="240"/>
      <c r="DW904" s="240"/>
      <c r="DX904" s="240"/>
      <c r="DY904" s="240"/>
      <c r="DZ904" s="240"/>
      <c r="EA904" s="240"/>
      <c r="EB904" s="237">
        <f t="shared" si="112"/>
        <v>0</v>
      </c>
      <c r="EC904" s="237">
        <f t="shared" si="113"/>
        <v>0</v>
      </c>
      <c r="ED904" s="237">
        <f t="shared" si="114"/>
        <v>0</v>
      </c>
      <c r="EE904" s="237">
        <f t="shared" si="115"/>
        <v>0</v>
      </c>
      <c r="EF904" s="121"/>
      <c r="EG904" s="238">
        <f t="shared" si="116"/>
        <v>0</v>
      </c>
      <c r="EH904" s="121"/>
      <c r="EI904" s="237">
        <f t="shared" si="117"/>
        <v>0</v>
      </c>
      <c r="EJ904" s="121"/>
      <c r="EK904" s="237">
        <f t="shared" si="118"/>
        <v>0</v>
      </c>
      <c r="EL904" s="237"/>
      <c r="EM904" s="5"/>
      <c r="EN904" s="5"/>
      <c r="EO904" s="5"/>
      <c r="EP904" s="5"/>
      <c r="EQ904" s="237">
        <f t="shared" si="119"/>
        <v>0</v>
      </c>
      <c r="ER904" s="239">
        <v>23300</v>
      </c>
      <c r="ES904" s="5">
        <v>7.5</v>
      </c>
    </row>
    <row r="905" spans="1:149" x14ac:dyDescent="0.3">
      <c r="A905" s="124"/>
      <c r="B905" s="121"/>
      <c r="C905" s="121"/>
      <c r="D905" s="121"/>
      <c r="E905" s="121"/>
      <c r="F905" s="121"/>
      <c r="G905" s="121"/>
      <c r="H905" s="121"/>
      <c r="I905" s="121"/>
      <c r="J905" s="121"/>
      <c r="K905" s="121"/>
      <c r="L905" s="121"/>
      <c r="M905" s="121"/>
      <c r="N905" s="121"/>
      <c r="O905" s="235"/>
      <c r="P905" s="121"/>
      <c r="Q905" s="121"/>
      <c r="R905" s="121"/>
      <c r="S905" s="121"/>
      <c r="T905" s="121"/>
      <c r="U905" s="121"/>
      <c r="V905" s="121"/>
      <c r="W905" s="121"/>
      <c r="X905" s="117"/>
      <c r="Y905" s="117"/>
      <c r="Z905" s="121"/>
      <c r="AA905" s="121"/>
      <c r="AB905" s="121"/>
      <c r="AC905" s="121"/>
      <c r="AD905" s="121"/>
      <c r="AE905" s="121"/>
      <c r="AF905" s="121"/>
      <c r="AG905" s="121"/>
      <c r="AH905" s="121"/>
      <c r="AI905" s="121"/>
      <c r="AJ905" s="121"/>
      <c r="AK905" s="121"/>
      <c r="AL905" s="121"/>
      <c r="AM905" s="121"/>
      <c r="AN905" s="121"/>
      <c r="AO905" s="121"/>
      <c r="AP905" s="121"/>
      <c r="AQ905" s="121"/>
      <c r="AR905" s="121"/>
      <c r="AS905" s="121"/>
      <c r="AT905" s="121"/>
      <c r="AU905" s="121"/>
      <c r="AV905" s="121"/>
      <c r="AW905" s="121"/>
      <c r="AX905" s="121"/>
      <c r="AY905" s="121"/>
      <c r="AZ905" s="121"/>
      <c r="BA905" s="121"/>
      <c r="BB905" s="121"/>
      <c r="BC905" s="121"/>
      <c r="BD905" s="121"/>
      <c r="BE905" s="121"/>
      <c r="BF905" s="121"/>
      <c r="BG905" s="121"/>
      <c r="BH905" s="121"/>
      <c r="BI905" s="121"/>
      <c r="BJ905" s="121"/>
      <c r="BK905" s="121"/>
      <c r="BL905" s="121"/>
      <c r="BM905" s="121"/>
      <c r="BN905" s="121"/>
      <c r="BO905" s="121"/>
      <c r="BP905" s="121"/>
      <c r="BQ905" s="121"/>
      <c r="BR905" s="121"/>
      <c r="BS905" s="121"/>
      <c r="BT905" s="121"/>
      <c r="BU905" s="121"/>
      <c r="BV905" s="121"/>
      <c r="BW905" s="121"/>
      <c r="BX905" s="121"/>
      <c r="BY905" s="121"/>
      <c r="BZ905" s="121"/>
      <c r="CA905" s="121"/>
      <c r="CB905" s="121"/>
      <c r="CC905" s="121"/>
      <c r="CD905" s="121"/>
      <c r="CE905" s="121"/>
      <c r="CF905" s="121"/>
      <c r="CG905" s="121"/>
      <c r="CH905" s="121"/>
      <c r="CI905" s="121"/>
      <c r="CJ905" s="121"/>
      <c r="CK905" s="121"/>
      <c r="CL905" s="121"/>
      <c r="CM905" s="121"/>
      <c r="CN905" s="121"/>
      <c r="CO905" s="121"/>
      <c r="CP905" s="121"/>
      <c r="CQ905" s="121"/>
      <c r="CR905" s="121"/>
      <c r="CS905" s="121"/>
      <c r="CT905" s="121"/>
      <c r="CU905" s="121"/>
      <c r="CV905" s="121"/>
      <c r="CW905" s="121"/>
      <c r="CX905" s="121"/>
      <c r="CY905" s="121"/>
      <c r="CZ905" s="121"/>
      <c r="DA905" s="121"/>
      <c r="DB905" s="121"/>
      <c r="DC905" s="121"/>
      <c r="DD905" s="121"/>
      <c r="DE905" s="121"/>
      <c r="DF905" s="121"/>
      <c r="DG905" s="121"/>
      <c r="DH905" s="121"/>
      <c r="DI905" s="121"/>
      <c r="DJ905" s="121"/>
      <c r="DK905" s="121"/>
      <c r="DL905" s="121"/>
      <c r="DM905" s="121"/>
      <c r="DN905" s="121"/>
      <c r="DO905" s="121"/>
      <c r="DP905" s="121"/>
      <c r="DQ905" s="121"/>
      <c r="DR905" s="121"/>
      <c r="DS905" s="121"/>
      <c r="DT905" s="240"/>
      <c r="DU905" s="240"/>
      <c r="DV905" s="240"/>
      <c r="DW905" s="240"/>
      <c r="DX905" s="240"/>
      <c r="DY905" s="240"/>
      <c r="DZ905" s="240"/>
      <c r="EA905" s="240"/>
      <c r="EB905" s="237">
        <f t="shared" si="112"/>
        <v>0</v>
      </c>
      <c r="EC905" s="237">
        <f t="shared" si="113"/>
        <v>0</v>
      </c>
      <c r="ED905" s="237">
        <f t="shared" si="114"/>
        <v>0</v>
      </c>
      <c r="EE905" s="237">
        <f t="shared" si="115"/>
        <v>0</v>
      </c>
      <c r="EF905" s="121"/>
      <c r="EG905" s="238">
        <f t="shared" si="116"/>
        <v>0</v>
      </c>
      <c r="EH905" s="121"/>
      <c r="EI905" s="237">
        <f t="shared" si="117"/>
        <v>0</v>
      </c>
      <c r="EJ905" s="121"/>
      <c r="EK905" s="237">
        <f t="shared" si="118"/>
        <v>0</v>
      </c>
      <c r="EL905" s="237"/>
      <c r="EM905" s="5"/>
      <c r="EN905" s="5"/>
      <c r="EO905" s="5"/>
      <c r="EP905" s="5"/>
      <c r="EQ905" s="237">
        <f t="shared" si="119"/>
        <v>0</v>
      </c>
      <c r="ER905" s="239">
        <v>23300</v>
      </c>
      <c r="ES905" s="5">
        <v>7.5</v>
      </c>
    </row>
    <row r="906" spans="1:149" x14ac:dyDescent="0.3">
      <c r="A906" s="124"/>
      <c r="B906" s="121"/>
      <c r="C906" s="121"/>
      <c r="D906" s="121"/>
      <c r="E906" s="121"/>
      <c r="F906" s="121"/>
      <c r="G906" s="121"/>
      <c r="H906" s="121"/>
      <c r="I906" s="121"/>
      <c r="J906" s="121"/>
      <c r="K906" s="121"/>
      <c r="L906" s="121"/>
      <c r="M906" s="121"/>
      <c r="N906" s="121"/>
      <c r="O906" s="235"/>
      <c r="P906" s="121"/>
      <c r="Q906" s="121"/>
      <c r="R906" s="121"/>
      <c r="S906" s="121"/>
      <c r="T906" s="121"/>
      <c r="U906" s="121"/>
      <c r="V906" s="121"/>
      <c r="W906" s="121"/>
      <c r="X906" s="117"/>
      <c r="Y906" s="117"/>
      <c r="Z906" s="121"/>
      <c r="AA906" s="121"/>
      <c r="AB906" s="121"/>
      <c r="AC906" s="121"/>
      <c r="AD906" s="121"/>
      <c r="AE906" s="121"/>
      <c r="AF906" s="121"/>
      <c r="AG906" s="121"/>
      <c r="AH906" s="121"/>
      <c r="AI906" s="121"/>
      <c r="AJ906" s="121"/>
      <c r="AK906" s="121"/>
      <c r="AL906" s="121"/>
      <c r="AM906" s="121"/>
      <c r="AN906" s="121"/>
      <c r="AO906" s="121"/>
      <c r="AP906" s="121"/>
      <c r="AQ906" s="121"/>
      <c r="AR906" s="121"/>
      <c r="AS906" s="121"/>
      <c r="AT906" s="121"/>
      <c r="AU906" s="121"/>
      <c r="AV906" s="121"/>
      <c r="AW906" s="121"/>
      <c r="AX906" s="121"/>
      <c r="AY906" s="121"/>
      <c r="AZ906" s="121"/>
      <c r="BA906" s="121"/>
      <c r="BB906" s="121"/>
      <c r="BC906" s="121"/>
      <c r="BD906" s="121"/>
      <c r="BE906" s="121"/>
      <c r="BF906" s="121"/>
      <c r="BG906" s="121"/>
      <c r="BH906" s="121"/>
      <c r="BI906" s="121"/>
      <c r="BJ906" s="121"/>
      <c r="BK906" s="121"/>
      <c r="BL906" s="121"/>
      <c r="BM906" s="121"/>
      <c r="BN906" s="121"/>
      <c r="BO906" s="121"/>
      <c r="BP906" s="121"/>
      <c r="BQ906" s="121"/>
      <c r="BR906" s="121"/>
      <c r="BS906" s="121"/>
      <c r="BT906" s="121"/>
      <c r="BU906" s="121"/>
      <c r="BV906" s="121"/>
      <c r="BW906" s="121"/>
      <c r="BX906" s="121"/>
      <c r="BY906" s="121"/>
      <c r="BZ906" s="121"/>
      <c r="CA906" s="121"/>
      <c r="CB906" s="121"/>
      <c r="CC906" s="121"/>
      <c r="CD906" s="121"/>
      <c r="CE906" s="121"/>
      <c r="CF906" s="121"/>
      <c r="CG906" s="121"/>
      <c r="CH906" s="121"/>
      <c r="CI906" s="121"/>
      <c r="CJ906" s="121"/>
      <c r="CK906" s="121"/>
      <c r="CL906" s="121"/>
      <c r="CM906" s="121"/>
      <c r="CN906" s="121"/>
      <c r="CO906" s="121"/>
      <c r="CP906" s="121"/>
      <c r="CQ906" s="121"/>
      <c r="CR906" s="121"/>
      <c r="CS906" s="121"/>
      <c r="CT906" s="121"/>
      <c r="CU906" s="121"/>
      <c r="CV906" s="121"/>
      <c r="CW906" s="121"/>
      <c r="CX906" s="121"/>
      <c r="CY906" s="121"/>
      <c r="CZ906" s="121"/>
      <c r="DA906" s="121"/>
      <c r="DB906" s="121"/>
      <c r="DC906" s="121"/>
      <c r="DD906" s="121"/>
      <c r="DE906" s="121"/>
      <c r="DF906" s="121"/>
      <c r="DG906" s="121"/>
      <c r="DH906" s="121"/>
      <c r="DI906" s="121"/>
      <c r="DJ906" s="121"/>
      <c r="DK906" s="121"/>
      <c r="DL906" s="121"/>
      <c r="DM906" s="121"/>
      <c r="DN906" s="121"/>
      <c r="DO906" s="121"/>
      <c r="DP906" s="121"/>
      <c r="DQ906" s="121"/>
      <c r="DR906" s="121"/>
      <c r="DS906" s="121"/>
      <c r="DT906" s="240"/>
      <c r="DU906" s="240"/>
      <c r="DV906" s="240"/>
      <c r="DW906" s="240"/>
      <c r="DX906" s="240"/>
      <c r="DY906" s="240"/>
      <c r="DZ906" s="240"/>
      <c r="EA906" s="240"/>
      <c r="EB906" s="237">
        <f t="shared" si="112"/>
        <v>0</v>
      </c>
      <c r="EC906" s="237">
        <f t="shared" si="113"/>
        <v>0</v>
      </c>
      <c r="ED906" s="237">
        <f t="shared" si="114"/>
        <v>0</v>
      </c>
      <c r="EE906" s="237">
        <f t="shared" si="115"/>
        <v>0</v>
      </c>
      <c r="EF906" s="121"/>
      <c r="EG906" s="238">
        <f t="shared" si="116"/>
        <v>0</v>
      </c>
      <c r="EH906" s="121"/>
      <c r="EI906" s="237">
        <f t="shared" si="117"/>
        <v>0</v>
      </c>
      <c r="EJ906" s="121"/>
      <c r="EK906" s="237">
        <f t="shared" si="118"/>
        <v>0</v>
      </c>
      <c r="EL906" s="237"/>
      <c r="EM906" s="5"/>
      <c r="EN906" s="5"/>
      <c r="EO906" s="5"/>
      <c r="EP906" s="5"/>
      <c r="EQ906" s="237">
        <f t="shared" si="119"/>
        <v>0</v>
      </c>
      <c r="ER906" s="239">
        <v>23300</v>
      </c>
      <c r="ES906" s="5">
        <v>7.5</v>
      </c>
    </row>
    <row r="907" spans="1:149" x14ac:dyDescent="0.3">
      <c r="A907" s="124"/>
      <c r="B907" s="121"/>
      <c r="C907" s="121"/>
      <c r="D907" s="121"/>
      <c r="E907" s="121"/>
      <c r="F907" s="121"/>
      <c r="G907" s="121"/>
      <c r="H907" s="121"/>
      <c r="I907" s="121"/>
      <c r="J907" s="121"/>
      <c r="K907" s="121"/>
      <c r="L907" s="121"/>
      <c r="M907" s="121"/>
      <c r="N907" s="121"/>
      <c r="O907" s="235"/>
      <c r="P907" s="121"/>
      <c r="Q907" s="121"/>
      <c r="R907" s="121"/>
      <c r="S907" s="121"/>
      <c r="T907" s="121"/>
      <c r="U907" s="121"/>
      <c r="V907" s="121"/>
      <c r="W907" s="121"/>
      <c r="X907" s="117"/>
      <c r="Y907" s="117"/>
      <c r="Z907" s="121"/>
      <c r="AA907" s="121"/>
      <c r="AB907" s="121"/>
      <c r="AC907" s="121"/>
      <c r="AD907" s="121"/>
      <c r="AE907" s="121"/>
      <c r="AF907" s="121"/>
      <c r="AG907" s="121"/>
      <c r="AH907" s="121"/>
      <c r="AI907" s="121"/>
      <c r="AJ907" s="121"/>
      <c r="AK907" s="121"/>
      <c r="AL907" s="121"/>
      <c r="AM907" s="121"/>
      <c r="AN907" s="121"/>
      <c r="AO907" s="121"/>
      <c r="AP907" s="121"/>
      <c r="AQ907" s="121"/>
      <c r="AR907" s="121"/>
      <c r="AS907" s="121"/>
      <c r="AT907" s="121"/>
      <c r="AU907" s="121"/>
      <c r="AV907" s="121"/>
      <c r="AW907" s="121"/>
      <c r="AX907" s="121"/>
      <c r="AY907" s="121"/>
      <c r="AZ907" s="121"/>
      <c r="BA907" s="121"/>
      <c r="BB907" s="121"/>
      <c r="BC907" s="121"/>
      <c r="BD907" s="121"/>
      <c r="BE907" s="121"/>
      <c r="BF907" s="121"/>
      <c r="BG907" s="121"/>
      <c r="BH907" s="121"/>
      <c r="BI907" s="121"/>
      <c r="BJ907" s="121"/>
      <c r="BK907" s="121"/>
      <c r="BL907" s="121"/>
      <c r="BM907" s="121"/>
      <c r="BN907" s="121"/>
      <c r="BO907" s="121"/>
      <c r="BP907" s="121"/>
      <c r="BQ907" s="121"/>
      <c r="BR907" s="121"/>
      <c r="BS907" s="121"/>
      <c r="BT907" s="121"/>
      <c r="BU907" s="121"/>
      <c r="BV907" s="121"/>
      <c r="BW907" s="121"/>
      <c r="BX907" s="121"/>
      <c r="BY907" s="121"/>
      <c r="BZ907" s="121"/>
      <c r="CA907" s="121"/>
      <c r="CB907" s="121"/>
      <c r="CC907" s="121"/>
      <c r="CD907" s="121"/>
      <c r="CE907" s="121"/>
      <c r="CF907" s="121"/>
      <c r="CG907" s="121"/>
      <c r="CH907" s="121"/>
      <c r="CI907" s="121"/>
      <c r="CJ907" s="121"/>
      <c r="CK907" s="121"/>
      <c r="CL907" s="121"/>
      <c r="CM907" s="121"/>
      <c r="CN907" s="121"/>
      <c r="CO907" s="121"/>
      <c r="CP907" s="121"/>
      <c r="CQ907" s="121"/>
      <c r="CR907" s="121"/>
      <c r="CS907" s="121"/>
      <c r="CT907" s="121"/>
      <c r="CU907" s="121"/>
      <c r="CV907" s="121"/>
      <c r="CW907" s="121"/>
      <c r="CX907" s="121"/>
      <c r="CY907" s="121"/>
      <c r="CZ907" s="121"/>
      <c r="DA907" s="121"/>
      <c r="DB907" s="121"/>
      <c r="DC907" s="121"/>
      <c r="DD907" s="121"/>
      <c r="DE907" s="121"/>
      <c r="DF907" s="121"/>
      <c r="DG907" s="121"/>
      <c r="DH907" s="121"/>
      <c r="DI907" s="121"/>
      <c r="DJ907" s="121"/>
      <c r="DK907" s="121"/>
      <c r="DL907" s="121"/>
      <c r="DM907" s="121"/>
      <c r="DN907" s="121"/>
      <c r="DO907" s="121"/>
      <c r="DP907" s="121"/>
      <c r="DQ907" s="121"/>
      <c r="DR907" s="121"/>
      <c r="DS907" s="121"/>
      <c r="DT907" s="240"/>
      <c r="DU907" s="240"/>
      <c r="DV907" s="240"/>
      <c r="DW907" s="240"/>
      <c r="DX907" s="240"/>
      <c r="DY907" s="240"/>
      <c r="DZ907" s="240"/>
      <c r="EA907" s="240"/>
      <c r="EB907" s="237">
        <f t="shared" si="112"/>
        <v>0</v>
      </c>
      <c r="EC907" s="237">
        <f t="shared" si="113"/>
        <v>0</v>
      </c>
      <c r="ED907" s="237">
        <f t="shared" si="114"/>
        <v>0</v>
      </c>
      <c r="EE907" s="237">
        <f t="shared" si="115"/>
        <v>0</v>
      </c>
      <c r="EF907" s="121"/>
      <c r="EG907" s="238">
        <f t="shared" si="116"/>
        <v>0</v>
      </c>
      <c r="EH907" s="121"/>
      <c r="EI907" s="237">
        <f t="shared" si="117"/>
        <v>0</v>
      </c>
      <c r="EJ907" s="121"/>
      <c r="EK907" s="237">
        <f t="shared" si="118"/>
        <v>0</v>
      </c>
      <c r="EL907" s="237"/>
      <c r="EM907" s="5"/>
      <c r="EN907" s="5"/>
      <c r="EO907" s="5"/>
      <c r="EP907" s="5"/>
      <c r="EQ907" s="237">
        <f t="shared" si="119"/>
        <v>0</v>
      </c>
      <c r="ER907" s="239">
        <v>23300</v>
      </c>
      <c r="ES907" s="5">
        <v>7.5</v>
      </c>
    </row>
    <row r="908" spans="1:149" x14ac:dyDescent="0.3">
      <c r="A908" s="124"/>
      <c r="B908" s="121"/>
      <c r="C908" s="121"/>
      <c r="D908" s="121"/>
      <c r="E908" s="121"/>
      <c r="F908" s="121"/>
      <c r="G908" s="121"/>
      <c r="H908" s="121"/>
      <c r="I908" s="121"/>
      <c r="J908" s="121"/>
      <c r="K908" s="121"/>
      <c r="L908" s="121"/>
      <c r="M908" s="121"/>
      <c r="N908" s="121"/>
      <c r="O908" s="235"/>
      <c r="P908" s="121"/>
      <c r="Q908" s="121"/>
      <c r="R908" s="121"/>
      <c r="S908" s="121"/>
      <c r="T908" s="121"/>
      <c r="U908" s="121"/>
      <c r="V908" s="121"/>
      <c r="W908" s="121"/>
      <c r="X908" s="117"/>
      <c r="Y908" s="117"/>
      <c r="Z908" s="121"/>
      <c r="AA908" s="121"/>
      <c r="AB908" s="121"/>
      <c r="AC908" s="121"/>
      <c r="AD908" s="121"/>
      <c r="AE908" s="121"/>
      <c r="AF908" s="121"/>
      <c r="AG908" s="121"/>
      <c r="AH908" s="121"/>
      <c r="AI908" s="121"/>
      <c r="AJ908" s="121"/>
      <c r="AK908" s="121"/>
      <c r="AL908" s="121"/>
      <c r="AM908" s="121"/>
      <c r="AN908" s="121"/>
      <c r="AO908" s="121"/>
      <c r="AP908" s="121"/>
      <c r="AQ908" s="121"/>
      <c r="AR908" s="121"/>
      <c r="AS908" s="121"/>
      <c r="AT908" s="121"/>
      <c r="AU908" s="121"/>
      <c r="AV908" s="121"/>
      <c r="AW908" s="121"/>
      <c r="AX908" s="121"/>
      <c r="AY908" s="121"/>
      <c r="AZ908" s="121"/>
      <c r="BA908" s="121"/>
      <c r="BB908" s="121"/>
      <c r="BC908" s="121"/>
      <c r="BD908" s="121"/>
      <c r="BE908" s="121"/>
      <c r="BF908" s="121"/>
      <c r="BG908" s="121"/>
      <c r="BH908" s="121"/>
      <c r="BI908" s="121"/>
      <c r="BJ908" s="121"/>
      <c r="BK908" s="121"/>
      <c r="BL908" s="121"/>
      <c r="BM908" s="121"/>
      <c r="BN908" s="121"/>
      <c r="BO908" s="121"/>
      <c r="BP908" s="121"/>
      <c r="BQ908" s="121"/>
      <c r="BR908" s="121"/>
      <c r="BS908" s="121"/>
      <c r="BT908" s="121"/>
      <c r="BU908" s="121"/>
      <c r="BV908" s="121"/>
      <c r="BW908" s="121"/>
      <c r="BX908" s="121"/>
      <c r="BY908" s="121"/>
      <c r="BZ908" s="121"/>
      <c r="CA908" s="121"/>
      <c r="CB908" s="121"/>
      <c r="CC908" s="121"/>
      <c r="CD908" s="121"/>
      <c r="CE908" s="121"/>
      <c r="CF908" s="121"/>
      <c r="CG908" s="121"/>
      <c r="CH908" s="121"/>
      <c r="CI908" s="121"/>
      <c r="CJ908" s="121"/>
      <c r="CK908" s="121"/>
      <c r="CL908" s="121"/>
      <c r="CM908" s="121"/>
      <c r="CN908" s="121"/>
      <c r="CO908" s="121"/>
      <c r="CP908" s="121"/>
      <c r="CQ908" s="121"/>
      <c r="CR908" s="121"/>
      <c r="CS908" s="121"/>
      <c r="CT908" s="121"/>
      <c r="CU908" s="121"/>
      <c r="CV908" s="121"/>
      <c r="CW908" s="121"/>
      <c r="CX908" s="121"/>
      <c r="CY908" s="121"/>
      <c r="CZ908" s="121"/>
      <c r="DA908" s="121"/>
      <c r="DB908" s="121"/>
      <c r="DC908" s="121"/>
      <c r="DD908" s="121"/>
      <c r="DE908" s="121"/>
      <c r="DF908" s="121"/>
      <c r="DG908" s="121"/>
      <c r="DH908" s="121"/>
      <c r="DI908" s="121"/>
      <c r="DJ908" s="121"/>
      <c r="DK908" s="121"/>
      <c r="DL908" s="121"/>
      <c r="DM908" s="121"/>
      <c r="DN908" s="121"/>
      <c r="DO908" s="121"/>
      <c r="DP908" s="121"/>
      <c r="DQ908" s="121"/>
      <c r="DR908" s="121"/>
      <c r="DS908" s="121"/>
      <c r="DT908" s="240"/>
      <c r="DU908" s="240"/>
      <c r="DV908" s="240"/>
      <c r="DW908" s="240"/>
      <c r="DX908" s="240"/>
      <c r="DY908" s="240"/>
      <c r="DZ908" s="240"/>
      <c r="EA908" s="240"/>
      <c r="EB908" s="237">
        <f t="shared" si="112"/>
        <v>0</v>
      </c>
      <c r="EC908" s="237">
        <f t="shared" si="113"/>
        <v>0</v>
      </c>
      <c r="ED908" s="237">
        <f t="shared" si="114"/>
        <v>0</v>
      </c>
      <c r="EE908" s="237">
        <f t="shared" si="115"/>
        <v>0</v>
      </c>
      <c r="EF908" s="121"/>
      <c r="EG908" s="238">
        <f t="shared" si="116"/>
        <v>0</v>
      </c>
      <c r="EH908" s="121"/>
      <c r="EI908" s="237">
        <f t="shared" si="117"/>
        <v>0</v>
      </c>
      <c r="EJ908" s="121"/>
      <c r="EK908" s="237">
        <f t="shared" si="118"/>
        <v>0</v>
      </c>
      <c r="EL908" s="237"/>
      <c r="EM908" s="5"/>
      <c r="EN908" s="5"/>
      <c r="EO908" s="5"/>
      <c r="EP908" s="5"/>
      <c r="EQ908" s="237">
        <f t="shared" si="119"/>
        <v>0</v>
      </c>
      <c r="ER908" s="239">
        <v>23300</v>
      </c>
      <c r="ES908" s="5">
        <v>7.5</v>
      </c>
    </row>
    <row r="909" spans="1:149" x14ac:dyDescent="0.3">
      <c r="A909" s="124"/>
      <c r="B909" s="121"/>
      <c r="C909" s="121"/>
      <c r="D909" s="121"/>
      <c r="E909" s="121"/>
      <c r="F909" s="121"/>
      <c r="G909" s="121"/>
      <c r="H909" s="121"/>
      <c r="I909" s="121"/>
      <c r="J909" s="121"/>
      <c r="K909" s="121"/>
      <c r="L909" s="121"/>
      <c r="M909" s="121"/>
      <c r="N909" s="121"/>
      <c r="O909" s="235"/>
      <c r="P909" s="121"/>
      <c r="Q909" s="121"/>
      <c r="R909" s="121"/>
      <c r="S909" s="121"/>
      <c r="T909" s="121"/>
      <c r="U909" s="121"/>
      <c r="V909" s="121"/>
      <c r="W909" s="121"/>
      <c r="X909" s="117"/>
      <c r="Y909" s="117"/>
      <c r="Z909" s="121"/>
      <c r="AA909" s="121"/>
      <c r="AB909" s="121"/>
      <c r="AC909" s="121"/>
      <c r="AD909" s="121"/>
      <c r="AE909" s="121"/>
      <c r="AF909" s="121"/>
      <c r="AG909" s="121"/>
      <c r="AH909" s="121"/>
      <c r="AI909" s="121"/>
      <c r="AJ909" s="121"/>
      <c r="AK909" s="121"/>
      <c r="AL909" s="121"/>
      <c r="AM909" s="121"/>
      <c r="AN909" s="121"/>
      <c r="AO909" s="121"/>
      <c r="AP909" s="121"/>
      <c r="AQ909" s="121"/>
      <c r="AR909" s="121"/>
      <c r="AS909" s="121"/>
      <c r="AT909" s="121"/>
      <c r="AU909" s="121"/>
      <c r="AV909" s="121"/>
      <c r="AW909" s="121"/>
      <c r="AX909" s="121"/>
      <c r="AY909" s="121"/>
      <c r="AZ909" s="121"/>
      <c r="BA909" s="121"/>
      <c r="BB909" s="121"/>
      <c r="BC909" s="121"/>
      <c r="BD909" s="121"/>
      <c r="BE909" s="121"/>
      <c r="BF909" s="121"/>
      <c r="BG909" s="121"/>
      <c r="BH909" s="121"/>
      <c r="BI909" s="121"/>
      <c r="BJ909" s="121"/>
      <c r="BK909" s="121"/>
      <c r="BL909" s="121"/>
      <c r="BM909" s="121"/>
      <c r="BN909" s="121"/>
      <c r="BO909" s="121"/>
      <c r="BP909" s="121"/>
      <c r="BQ909" s="121"/>
      <c r="BR909" s="121"/>
      <c r="BS909" s="121"/>
      <c r="BT909" s="121"/>
      <c r="BU909" s="121"/>
      <c r="BV909" s="121"/>
      <c r="BW909" s="121"/>
      <c r="BX909" s="121"/>
      <c r="BY909" s="121"/>
      <c r="BZ909" s="121"/>
      <c r="CA909" s="121"/>
      <c r="CB909" s="121"/>
      <c r="CC909" s="121"/>
      <c r="CD909" s="121"/>
      <c r="CE909" s="121"/>
      <c r="CF909" s="121"/>
      <c r="CG909" s="121"/>
      <c r="CH909" s="121"/>
      <c r="CI909" s="121"/>
      <c r="CJ909" s="121"/>
      <c r="CK909" s="121"/>
      <c r="CL909" s="121"/>
      <c r="CM909" s="121"/>
      <c r="CN909" s="121"/>
      <c r="CO909" s="121"/>
      <c r="CP909" s="121"/>
      <c r="CQ909" s="121"/>
      <c r="CR909" s="121"/>
      <c r="CS909" s="121"/>
      <c r="CT909" s="121"/>
      <c r="CU909" s="121"/>
      <c r="CV909" s="121"/>
      <c r="CW909" s="121"/>
      <c r="CX909" s="121"/>
      <c r="CY909" s="121"/>
      <c r="CZ909" s="121"/>
      <c r="DA909" s="121"/>
      <c r="DB909" s="121"/>
      <c r="DC909" s="121"/>
      <c r="DD909" s="121"/>
      <c r="DE909" s="121"/>
      <c r="DF909" s="121"/>
      <c r="DG909" s="121"/>
      <c r="DH909" s="121"/>
      <c r="DI909" s="121"/>
      <c r="DJ909" s="121"/>
      <c r="DK909" s="121"/>
      <c r="DL909" s="121"/>
      <c r="DM909" s="121"/>
      <c r="DN909" s="121"/>
      <c r="DO909" s="121"/>
      <c r="DP909" s="121"/>
      <c r="DQ909" s="121"/>
      <c r="DR909" s="121"/>
      <c r="DS909" s="121"/>
      <c r="DT909" s="240"/>
      <c r="DU909" s="240"/>
      <c r="DV909" s="240"/>
      <c r="DW909" s="240"/>
      <c r="DX909" s="240"/>
      <c r="DY909" s="240"/>
      <c r="DZ909" s="240"/>
      <c r="EA909" s="240"/>
      <c r="EB909" s="237">
        <f t="shared" si="112"/>
        <v>0</v>
      </c>
      <c r="EC909" s="237">
        <f t="shared" si="113"/>
        <v>0</v>
      </c>
      <c r="ED909" s="237">
        <f t="shared" si="114"/>
        <v>0</v>
      </c>
      <c r="EE909" s="237">
        <f t="shared" si="115"/>
        <v>0</v>
      </c>
      <c r="EF909" s="121"/>
      <c r="EG909" s="238">
        <f t="shared" si="116"/>
        <v>0</v>
      </c>
      <c r="EH909" s="121"/>
      <c r="EI909" s="237">
        <f t="shared" si="117"/>
        <v>0</v>
      </c>
      <c r="EJ909" s="121"/>
      <c r="EK909" s="237">
        <f t="shared" si="118"/>
        <v>0</v>
      </c>
      <c r="EL909" s="237"/>
      <c r="EM909" s="5"/>
      <c r="EN909" s="5"/>
      <c r="EO909" s="5"/>
      <c r="EP909" s="5"/>
      <c r="EQ909" s="237">
        <f t="shared" si="119"/>
        <v>0</v>
      </c>
      <c r="ER909" s="239">
        <v>23300</v>
      </c>
      <c r="ES909" s="5">
        <v>7.5</v>
      </c>
    </row>
    <row r="910" spans="1:149" x14ac:dyDescent="0.3">
      <c r="A910" s="124"/>
      <c r="B910" s="121"/>
      <c r="C910" s="121"/>
      <c r="D910" s="121"/>
      <c r="E910" s="121"/>
      <c r="F910" s="121"/>
      <c r="G910" s="121"/>
      <c r="H910" s="121"/>
      <c r="I910" s="121"/>
      <c r="J910" s="121"/>
      <c r="K910" s="121"/>
      <c r="L910" s="121"/>
      <c r="M910" s="121"/>
      <c r="N910" s="121"/>
      <c r="O910" s="235"/>
      <c r="P910" s="121"/>
      <c r="Q910" s="121"/>
      <c r="R910" s="121"/>
      <c r="S910" s="121"/>
      <c r="T910" s="121"/>
      <c r="U910" s="121"/>
      <c r="V910" s="121"/>
      <c r="W910" s="121"/>
      <c r="X910" s="117"/>
      <c r="Y910" s="117"/>
      <c r="Z910" s="121"/>
      <c r="AA910" s="121"/>
      <c r="AB910" s="121"/>
      <c r="AC910" s="121"/>
      <c r="AD910" s="121"/>
      <c r="AE910" s="121"/>
      <c r="AF910" s="121"/>
      <c r="AG910" s="121"/>
      <c r="AH910" s="121"/>
      <c r="AI910" s="121"/>
      <c r="AJ910" s="121"/>
      <c r="AK910" s="121"/>
      <c r="AL910" s="121"/>
      <c r="AM910" s="121"/>
      <c r="AN910" s="121"/>
      <c r="AO910" s="121"/>
      <c r="AP910" s="121"/>
      <c r="AQ910" s="121"/>
      <c r="AR910" s="121"/>
      <c r="AS910" s="121"/>
      <c r="AT910" s="121"/>
      <c r="AU910" s="121"/>
      <c r="AV910" s="121"/>
      <c r="AW910" s="121"/>
      <c r="AX910" s="121"/>
      <c r="AY910" s="121"/>
      <c r="AZ910" s="121"/>
      <c r="BA910" s="121"/>
      <c r="BB910" s="121"/>
      <c r="BC910" s="121"/>
      <c r="BD910" s="121"/>
      <c r="BE910" s="121"/>
      <c r="BF910" s="121"/>
      <c r="BG910" s="121"/>
      <c r="BH910" s="121"/>
      <c r="BI910" s="121"/>
      <c r="BJ910" s="121"/>
      <c r="BK910" s="121"/>
      <c r="BL910" s="121"/>
      <c r="BM910" s="121"/>
      <c r="BN910" s="121"/>
      <c r="BO910" s="121"/>
      <c r="BP910" s="121"/>
      <c r="BQ910" s="121"/>
      <c r="BR910" s="121"/>
      <c r="BS910" s="121"/>
      <c r="BT910" s="121"/>
      <c r="BU910" s="121"/>
      <c r="BV910" s="121"/>
      <c r="BW910" s="121"/>
      <c r="BX910" s="121"/>
      <c r="BY910" s="121"/>
      <c r="BZ910" s="121"/>
      <c r="CA910" s="121"/>
      <c r="CB910" s="121"/>
      <c r="CC910" s="121"/>
      <c r="CD910" s="121"/>
      <c r="CE910" s="121"/>
      <c r="CF910" s="121"/>
      <c r="CG910" s="121"/>
      <c r="CH910" s="121"/>
      <c r="CI910" s="121"/>
      <c r="CJ910" s="121"/>
      <c r="CK910" s="121"/>
      <c r="CL910" s="121"/>
      <c r="CM910" s="121"/>
      <c r="CN910" s="121"/>
      <c r="CO910" s="121"/>
      <c r="CP910" s="121"/>
      <c r="CQ910" s="121"/>
      <c r="CR910" s="121"/>
      <c r="CS910" s="121"/>
      <c r="CT910" s="121"/>
      <c r="CU910" s="121"/>
      <c r="CV910" s="121"/>
      <c r="CW910" s="121"/>
      <c r="CX910" s="121"/>
      <c r="CY910" s="121"/>
      <c r="CZ910" s="121"/>
      <c r="DA910" s="121"/>
      <c r="DB910" s="121"/>
      <c r="DC910" s="121"/>
      <c r="DD910" s="121"/>
      <c r="DE910" s="121"/>
      <c r="DF910" s="121"/>
      <c r="DG910" s="121"/>
      <c r="DH910" s="121"/>
      <c r="DI910" s="121"/>
      <c r="DJ910" s="121"/>
      <c r="DK910" s="121"/>
      <c r="DL910" s="121"/>
      <c r="DM910" s="121"/>
      <c r="DN910" s="121"/>
      <c r="DO910" s="121"/>
      <c r="DP910" s="121"/>
      <c r="DQ910" s="121"/>
      <c r="DR910" s="121"/>
      <c r="DS910" s="121"/>
      <c r="DT910" s="240"/>
      <c r="DU910" s="240"/>
      <c r="DV910" s="240"/>
      <c r="DW910" s="240"/>
      <c r="DX910" s="240"/>
      <c r="DY910" s="240"/>
      <c r="DZ910" s="240"/>
      <c r="EA910" s="240"/>
      <c r="EB910" s="237">
        <f t="shared" si="112"/>
        <v>0</v>
      </c>
      <c r="EC910" s="237">
        <f t="shared" si="113"/>
        <v>0</v>
      </c>
      <c r="ED910" s="237">
        <f t="shared" si="114"/>
        <v>0</v>
      </c>
      <c r="EE910" s="237">
        <f t="shared" si="115"/>
        <v>0</v>
      </c>
      <c r="EF910" s="121"/>
      <c r="EG910" s="238">
        <f t="shared" si="116"/>
        <v>0</v>
      </c>
      <c r="EH910" s="121"/>
      <c r="EI910" s="237">
        <f t="shared" si="117"/>
        <v>0</v>
      </c>
      <c r="EJ910" s="121"/>
      <c r="EK910" s="237">
        <f t="shared" si="118"/>
        <v>0</v>
      </c>
      <c r="EL910" s="237"/>
      <c r="EM910" s="5"/>
      <c r="EN910" s="5"/>
      <c r="EO910" s="5"/>
      <c r="EP910" s="5"/>
      <c r="EQ910" s="237">
        <f t="shared" si="119"/>
        <v>0</v>
      </c>
      <c r="ER910" s="239">
        <v>23300</v>
      </c>
      <c r="ES910" s="5">
        <v>7.5</v>
      </c>
    </row>
    <row r="911" spans="1:149" x14ac:dyDescent="0.3">
      <c r="A911" s="124"/>
      <c r="B911" s="121"/>
      <c r="C911" s="121"/>
      <c r="D911" s="121"/>
      <c r="E911" s="121"/>
      <c r="F911" s="121"/>
      <c r="G911" s="121"/>
      <c r="H911" s="121"/>
      <c r="I911" s="121"/>
      <c r="J911" s="121"/>
      <c r="K911" s="121"/>
      <c r="L911" s="121"/>
      <c r="M911" s="121"/>
      <c r="N911" s="121"/>
      <c r="O911" s="235"/>
      <c r="P911" s="121"/>
      <c r="Q911" s="121"/>
      <c r="R911" s="121"/>
      <c r="S911" s="121"/>
      <c r="T911" s="121"/>
      <c r="U911" s="121"/>
      <c r="V911" s="121"/>
      <c r="W911" s="121"/>
      <c r="X911" s="117"/>
      <c r="Y911" s="117"/>
      <c r="Z911" s="121"/>
      <c r="AA911" s="121"/>
      <c r="AB911" s="121"/>
      <c r="AC911" s="121"/>
      <c r="AD911" s="121"/>
      <c r="AE911" s="121"/>
      <c r="AF911" s="121"/>
      <c r="AG911" s="121"/>
      <c r="AH911" s="121"/>
      <c r="AI911" s="121"/>
      <c r="AJ911" s="121"/>
      <c r="AK911" s="121"/>
      <c r="AL911" s="121"/>
      <c r="AM911" s="121"/>
      <c r="AN911" s="121"/>
      <c r="AO911" s="121"/>
      <c r="AP911" s="121"/>
      <c r="AQ911" s="121"/>
      <c r="AR911" s="121"/>
      <c r="AS911" s="121"/>
      <c r="AT911" s="121"/>
      <c r="AU911" s="121"/>
      <c r="AV911" s="121"/>
      <c r="AW911" s="121"/>
      <c r="AX911" s="121"/>
      <c r="AY911" s="121"/>
      <c r="AZ911" s="121"/>
      <c r="BA911" s="121"/>
      <c r="BB911" s="121"/>
      <c r="BC911" s="121"/>
      <c r="BD911" s="121"/>
      <c r="BE911" s="121"/>
      <c r="BF911" s="121"/>
      <c r="BG911" s="121"/>
      <c r="BH911" s="121"/>
      <c r="BI911" s="121"/>
      <c r="BJ911" s="121"/>
      <c r="BK911" s="121"/>
      <c r="BL911" s="121"/>
      <c r="BM911" s="121"/>
      <c r="BN911" s="121"/>
      <c r="BO911" s="121"/>
      <c r="BP911" s="121"/>
      <c r="BQ911" s="121"/>
      <c r="BR911" s="121"/>
      <c r="BS911" s="121"/>
      <c r="BT911" s="121"/>
      <c r="BU911" s="121"/>
      <c r="BV911" s="121"/>
      <c r="BW911" s="121"/>
      <c r="BX911" s="121"/>
      <c r="BY911" s="121"/>
      <c r="BZ911" s="121"/>
      <c r="CA911" s="121"/>
      <c r="CB911" s="121"/>
      <c r="CC911" s="121"/>
      <c r="CD911" s="121"/>
      <c r="CE911" s="121"/>
      <c r="CF911" s="121"/>
      <c r="CG911" s="121"/>
      <c r="CH911" s="121"/>
      <c r="CI911" s="121"/>
      <c r="CJ911" s="121"/>
      <c r="CK911" s="121"/>
      <c r="CL911" s="121"/>
      <c r="CM911" s="121"/>
      <c r="CN911" s="121"/>
      <c r="CO911" s="121"/>
      <c r="CP911" s="121"/>
      <c r="CQ911" s="121"/>
      <c r="CR911" s="121"/>
      <c r="CS911" s="121"/>
      <c r="CT911" s="121"/>
      <c r="CU911" s="121"/>
      <c r="CV911" s="121"/>
      <c r="CW911" s="121"/>
      <c r="CX911" s="121"/>
      <c r="CY911" s="121"/>
      <c r="CZ911" s="121"/>
      <c r="DA911" s="121"/>
      <c r="DB911" s="121"/>
      <c r="DC911" s="121"/>
      <c r="DD911" s="121"/>
      <c r="DE911" s="121"/>
      <c r="DF911" s="121"/>
      <c r="DG911" s="121"/>
      <c r="DH911" s="121"/>
      <c r="DI911" s="121"/>
      <c r="DJ911" s="121"/>
      <c r="DK911" s="121"/>
      <c r="DL911" s="121"/>
      <c r="DM911" s="121"/>
      <c r="DN911" s="121"/>
      <c r="DO911" s="121"/>
      <c r="DP911" s="121"/>
      <c r="DQ911" s="121"/>
      <c r="DR911" s="121"/>
      <c r="DS911" s="121"/>
      <c r="DT911" s="240"/>
      <c r="DU911" s="240"/>
      <c r="DV911" s="240"/>
      <c r="DW911" s="240"/>
      <c r="DX911" s="240"/>
      <c r="DY911" s="240"/>
      <c r="DZ911" s="240"/>
      <c r="EA911" s="240"/>
      <c r="EB911" s="237">
        <f t="shared" si="112"/>
        <v>0</v>
      </c>
      <c r="EC911" s="237">
        <f t="shared" si="113"/>
        <v>0</v>
      </c>
      <c r="ED911" s="237">
        <f t="shared" si="114"/>
        <v>0</v>
      </c>
      <c r="EE911" s="237">
        <f t="shared" si="115"/>
        <v>0</v>
      </c>
      <c r="EF911" s="121"/>
      <c r="EG911" s="238">
        <f t="shared" si="116"/>
        <v>0</v>
      </c>
      <c r="EH911" s="121"/>
      <c r="EI911" s="237">
        <f t="shared" si="117"/>
        <v>0</v>
      </c>
      <c r="EJ911" s="121"/>
      <c r="EK911" s="237">
        <f t="shared" si="118"/>
        <v>0</v>
      </c>
      <c r="EL911" s="237"/>
      <c r="EM911" s="5"/>
      <c r="EN911" s="5"/>
      <c r="EO911" s="5"/>
      <c r="EP911" s="5"/>
      <c r="EQ911" s="237">
        <f t="shared" si="119"/>
        <v>0</v>
      </c>
      <c r="ER911" s="239">
        <v>23300</v>
      </c>
      <c r="ES911" s="5">
        <v>7.5</v>
      </c>
    </row>
    <row r="912" spans="1:149" x14ac:dyDescent="0.3">
      <c r="A912" s="124"/>
      <c r="B912" s="121"/>
      <c r="C912" s="121"/>
      <c r="D912" s="121"/>
      <c r="E912" s="121"/>
      <c r="F912" s="121"/>
      <c r="G912" s="121"/>
      <c r="H912" s="121"/>
      <c r="I912" s="121"/>
      <c r="J912" s="121"/>
      <c r="K912" s="121"/>
      <c r="L912" s="121"/>
      <c r="M912" s="121"/>
      <c r="N912" s="121"/>
      <c r="O912" s="235"/>
      <c r="P912" s="121"/>
      <c r="Q912" s="121"/>
      <c r="R912" s="121"/>
      <c r="S912" s="121"/>
      <c r="T912" s="121"/>
      <c r="U912" s="121"/>
      <c r="V912" s="121"/>
      <c r="W912" s="121"/>
      <c r="X912" s="117"/>
      <c r="Y912" s="117"/>
      <c r="Z912" s="121"/>
      <c r="AA912" s="121"/>
      <c r="AB912" s="121"/>
      <c r="AC912" s="121"/>
      <c r="AD912" s="121"/>
      <c r="AE912" s="121"/>
      <c r="AF912" s="121"/>
      <c r="AG912" s="121"/>
      <c r="AH912" s="121"/>
      <c r="AI912" s="121"/>
      <c r="AJ912" s="121"/>
      <c r="AK912" s="121"/>
      <c r="AL912" s="121"/>
      <c r="AM912" s="121"/>
      <c r="AN912" s="121"/>
      <c r="AO912" s="121"/>
      <c r="AP912" s="121"/>
      <c r="AQ912" s="121"/>
      <c r="AR912" s="121"/>
      <c r="AS912" s="121"/>
      <c r="AT912" s="121"/>
      <c r="AU912" s="121"/>
      <c r="AV912" s="121"/>
      <c r="AW912" s="121"/>
      <c r="AX912" s="121"/>
      <c r="AY912" s="121"/>
      <c r="AZ912" s="121"/>
      <c r="BA912" s="121"/>
      <c r="BB912" s="121"/>
      <c r="BC912" s="121"/>
      <c r="BD912" s="121"/>
      <c r="BE912" s="121"/>
      <c r="BF912" s="121"/>
      <c r="BG912" s="121"/>
      <c r="BH912" s="121"/>
      <c r="BI912" s="121"/>
      <c r="BJ912" s="121"/>
      <c r="BK912" s="121"/>
      <c r="BL912" s="121"/>
      <c r="BM912" s="121"/>
      <c r="BN912" s="121"/>
      <c r="BO912" s="121"/>
      <c r="BP912" s="121"/>
      <c r="BQ912" s="121"/>
      <c r="BR912" s="121"/>
      <c r="BS912" s="121"/>
      <c r="BT912" s="121"/>
      <c r="BU912" s="121"/>
      <c r="BV912" s="121"/>
      <c r="BW912" s="121"/>
      <c r="BX912" s="121"/>
      <c r="BY912" s="121"/>
      <c r="BZ912" s="121"/>
      <c r="CA912" s="121"/>
      <c r="CB912" s="121"/>
      <c r="CC912" s="121"/>
      <c r="CD912" s="121"/>
      <c r="CE912" s="121"/>
      <c r="CF912" s="121"/>
      <c r="CG912" s="121"/>
      <c r="CH912" s="121"/>
      <c r="CI912" s="121"/>
      <c r="CJ912" s="121"/>
      <c r="CK912" s="121"/>
      <c r="CL912" s="121"/>
      <c r="CM912" s="121"/>
      <c r="CN912" s="121"/>
      <c r="CO912" s="121"/>
      <c r="CP912" s="121"/>
      <c r="CQ912" s="121"/>
      <c r="CR912" s="121"/>
      <c r="CS912" s="121"/>
      <c r="CT912" s="121"/>
      <c r="CU912" s="121"/>
      <c r="CV912" s="121"/>
      <c r="CW912" s="121"/>
      <c r="CX912" s="121"/>
      <c r="CY912" s="121"/>
      <c r="CZ912" s="121"/>
      <c r="DA912" s="121"/>
      <c r="DB912" s="121"/>
      <c r="DC912" s="121"/>
      <c r="DD912" s="121"/>
      <c r="DE912" s="121"/>
      <c r="DF912" s="121"/>
      <c r="DG912" s="121"/>
      <c r="DH912" s="121"/>
      <c r="DI912" s="121"/>
      <c r="DJ912" s="121"/>
      <c r="DK912" s="121"/>
      <c r="DL912" s="121"/>
      <c r="DM912" s="121"/>
      <c r="DN912" s="121"/>
      <c r="DO912" s="121"/>
      <c r="DP912" s="121"/>
      <c r="DQ912" s="121"/>
      <c r="DR912" s="121"/>
      <c r="DS912" s="121"/>
      <c r="DT912" s="240"/>
      <c r="DU912" s="240"/>
      <c r="DV912" s="240"/>
      <c r="DW912" s="240"/>
      <c r="DX912" s="240"/>
      <c r="DY912" s="240"/>
      <c r="DZ912" s="240"/>
      <c r="EA912" s="240"/>
      <c r="EB912" s="237">
        <f t="shared" si="112"/>
        <v>0</v>
      </c>
      <c r="EC912" s="237">
        <f t="shared" si="113"/>
        <v>0</v>
      </c>
      <c r="ED912" s="237">
        <f t="shared" si="114"/>
        <v>0</v>
      </c>
      <c r="EE912" s="237">
        <f t="shared" si="115"/>
        <v>0</v>
      </c>
      <c r="EF912" s="121"/>
      <c r="EG912" s="238">
        <f t="shared" si="116"/>
        <v>0</v>
      </c>
      <c r="EH912" s="121"/>
      <c r="EI912" s="237">
        <f t="shared" si="117"/>
        <v>0</v>
      </c>
      <c r="EJ912" s="121"/>
      <c r="EK912" s="237">
        <f t="shared" si="118"/>
        <v>0</v>
      </c>
      <c r="EL912" s="237"/>
      <c r="EM912" s="5"/>
      <c r="EN912" s="5"/>
      <c r="EO912" s="5"/>
      <c r="EP912" s="5"/>
      <c r="EQ912" s="237">
        <f t="shared" si="119"/>
        <v>0</v>
      </c>
      <c r="ER912" s="239">
        <v>23300</v>
      </c>
      <c r="ES912" s="5">
        <v>7.5</v>
      </c>
    </row>
    <row r="913" spans="1:149" x14ac:dyDescent="0.3">
      <c r="A913" s="124"/>
      <c r="B913" s="121"/>
      <c r="C913" s="121"/>
      <c r="D913" s="121"/>
      <c r="E913" s="121"/>
      <c r="F913" s="121"/>
      <c r="G913" s="121"/>
      <c r="H913" s="121"/>
      <c r="I913" s="121"/>
      <c r="J913" s="121"/>
      <c r="K913" s="121"/>
      <c r="L913" s="121"/>
      <c r="M913" s="121"/>
      <c r="N913" s="121"/>
      <c r="O913" s="235"/>
      <c r="P913" s="121"/>
      <c r="Q913" s="121"/>
      <c r="R913" s="121"/>
      <c r="S913" s="121"/>
      <c r="T913" s="121"/>
      <c r="U913" s="121"/>
      <c r="V913" s="121"/>
      <c r="W913" s="121"/>
      <c r="X913" s="117"/>
      <c r="Y913" s="117"/>
      <c r="Z913" s="121"/>
      <c r="AA913" s="121"/>
      <c r="AB913" s="121"/>
      <c r="AC913" s="121"/>
      <c r="AD913" s="121"/>
      <c r="AE913" s="121"/>
      <c r="AF913" s="121"/>
      <c r="AG913" s="121"/>
      <c r="AH913" s="121"/>
      <c r="AI913" s="121"/>
      <c r="AJ913" s="121"/>
      <c r="AK913" s="121"/>
      <c r="AL913" s="121"/>
      <c r="AM913" s="121"/>
      <c r="AN913" s="121"/>
      <c r="AO913" s="121"/>
      <c r="AP913" s="121"/>
      <c r="AQ913" s="121"/>
      <c r="AR913" s="121"/>
      <c r="AS913" s="121"/>
      <c r="AT913" s="121"/>
      <c r="AU913" s="121"/>
      <c r="AV913" s="121"/>
      <c r="AW913" s="121"/>
      <c r="AX913" s="121"/>
      <c r="AY913" s="121"/>
      <c r="AZ913" s="121"/>
      <c r="BA913" s="121"/>
      <c r="BB913" s="121"/>
      <c r="BC913" s="121"/>
      <c r="BD913" s="121"/>
      <c r="BE913" s="121"/>
      <c r="BF913" s="121"/>
      <c r="BG913" s="121"/>
      <c r="BH913" s="121"/>
      <c r="BI913" s="121"/>
      <c r="BJ913" s="121"/>
      <c r="BK913" s="121"/>
      <c r="BL913" s="121"/>
      <c r="BM913" s="121"/>
      <c r="BN913" s="121"/>
      <c r="BO913" s="121"/>
      <c r="BP913" s="121"/>
      <c r="BQ913" s="121"/>
      <c r="BR913" s="121"/>
      <c r="BS913" s="121"/>
      <c r="BT913" s="121"/>
      <c r="BU913" s="121"/>
      <c r="BV913" s="121"/>
      <c r="BW913" s="121"/>
      <c r="BX913" s="121"/>
      <c r="BY913" s="121"/>
      <c r="BZ913" s="121"/>
      <c r="CA913" s="121"/>
      <c r="CB913" s="121"/>
      <c r="CC913" s="121"/>
      <c r="CD913" s="121"/>
      <c r="CE913" s="121"/>
      <c r="CF913" s="121"/>
      <c r="CG913" s="121"/>
      <c r="CH913" s="121"/>
      <c r="CI913" s="121"/>
      <c r="CJ913" s="121"/>
      <c r="CK913" s="121"/>
      <c r="CL913" s="121"/>
      <c r="CM913" s="121"/>
      <c r="CN913" s="121"/>
      <c r="CO913" s="121"/>
      <c r="CP913" s="121"/>
      <c r="CQ913" s="121"/>
      <c r="CR913" s="121"/>
      <c r="CS913" s="121"/>
      <c r="CT913" s="121"/>
      <c r="CU913" s="121"/>
      <c r="CV913" s="121"/>
      <c r="CW913" s="121"/>
      <c r="CX913" s="121"/>
      <c r="CY913" s="121"/>
      <c r="CZ913" s="121"/>
      <c r="DA913" s="121"/>
      <c r="DB913" s="121"/>
      <c r="DC913" s="121"/>
      <c r="DD913" s="121"/>
      <c r="DE913" s="121"/>
      <c r="DF913" s="121"/>
      <c r="DG913" s="121"/>
      <c r="DH913" s="121"/>
      <c r="DI913" s="121"/>
      <c r="DJ913" s="121"/>
      <c r="DK913" s="121"/>
      <c r="DL913" s="121"/>
      <c r="DM913" s="121"/>
      <c r="DN913" s="121"/>
      <c r="DO913" s="121"/>
      <c r="DP913" s="121"/>
      <c r="DQ913" s="121"/>
      <c r="DR913" s="121"/>
      <c r="DS913" s="121"/>
      <c r="DT913" s="240"/>
      <c r="DU913" s="240"/>
      <c r="DV913" s="240"/>
      <c r="DW913" s="240"/>
      <c r="DX913" s="240"/>
      <c r="DY913" s="240"/>
      <c r="DZ913" s="240"/>
      <c r="EA913" s="240"/>
      <c r="EB913" s="237">
        <f t="shared" si="112"/>
        <v>0</v>
      </c>
      <c r="EC913" s="237">
        <f t="shared" si="113"/>
        <v>0</v>
      </c>
      <c r="ED913" s="237">
        <f t="shared" si="114"/>
        <v>0</v>
      </c>
      <c r="EE913" s="237">
        <f t="shared" si="115"/>
        <v>0</v>
      </c>
      <c r="EF913" s="121"/>
      <c r="EG913" s="238">
        <f t="shared" si="116"/>
        <v>0</v>
      </c>
      <c r="EH913" s="121"/>
      <c r="EI913" s="237">
        <f t="shared" si="117"/>
        <v>0</v>
      </c>
      <c r="EJ913" s="121"/>
      <c r="EK913" s="237">
        <f t="shared" si="118"/>
        <v>0</v>
      </c>
      <c r="EL913" s="237"/>
      <c r="EM913" s="5"/>
      <c r="EN913" s="5"/>
      <c r="EO913" s="5"/>
      <c r="EP913" s="5"/>
      <c r="EQ913" s="237">
        <f t="shared" si="119"/>
        <v>0</v>
      </c>
      <c r="ER913" s="239">
        <v>23300</v>
      </c>
      <c r="ES913" s="5">
        <v>7.5</v>
      </c>
    </row>
    <row r="914" spans="1:149" x14ac:dyDescent="0.3">
      <c r="A914" s="124"/>
      <c r="B914" s="121"/>
      <c r="C914" s="121"/>
      <c r="D914" s="121"/>
      <c r="E914" s="121"/>
      <c r="F914" s="121"/>
      <c r="G914" s="121"/>
      <c r="H914" s="121"/>
      <c r="I914" s="121"/>
      <c r="J914" s="121"/>
      <c r="K914" s="121"/>
      <c r="L914" s="121"/>
      <c r="M914" s="121"/>
      <c r="N914" s="121"/>
      <c r="O914" s="235"/>
      <c r="P914" s="121"/>
      <c r="Q914" s="121"/>
      <c r="R914" s="121"/>
      <c r="S914" s="121"/>
      <c r="T914" s="121"/>
      <c r="U914" s="121"/>
      <c r="V914" s="121"/>
      <c r="W914" s="121"/>
      <c r="X914" s="117"/>
      <c r="Y914" s="117"/>
      <c r="Z914" s="121"/>
      <c r="AA914" s="121"/>
      <c r="AB914" s="121"/>
      <c r="AC914" s="121"/>
      <c r="AD914" s="121"/>
      <c r="AE914" s="121"/>
      <c r="AF914" s="121"/>
      <c r="AG914" s="121"/>
      <c r="AH914" s="121"/>
      <c r="AI914" s="121"/>
      <c r="AJ914" s="121"/>
      <c r="AK914" s="121"/>
      <c r="AL914" s="121"/>
      <c r="AM914" s="121"/>
      <c r="AN914" s="121"/>
      <c r="AO914" s="121"/>
      <c r="AP914" s="121"/>
      <c r="AQ914" s="121"/>
      <c r="AR914" s="121"/>
      <c r="AS914" s="121"/>
      <c r="AT914" s="121"/>
      <c r="AU914" s="121"/>
      <c r="AV914" s="121"/>
      <c r="AW914" s="121"/>
      <c r="AX914" s="121"/>
      <c r="AY914" s="121"/>
      <c r="AZ914" s="121"/>
      <c r="BA914" s="121"/>
      <c r="BB914" s="121"/>
      <c r="BC914" s="121"/>
      <c r="BD914" s="121"/>
      <c r="BE914" s="121"/>
      <c r="BF914" s="121"/>
      <c r="BG914" s="121"/>
      <c r="BH914" s="121"/>
      <c r="BI914" s="121"/>
      <c r="BJ914" s="121"/>
      <c r="BK914" s="121"/>
      <c r="BL914" s="121"/>
      <c r="BM914" s="121"/>
      <c r="BN914" s="121"/>
      <c r="BO914" s="121"/>
      <c r="BP914" s="121"/>
      <c r="BQ914" s="121"/>
      <c r="BR914" s="121"/>
      <c r="BS914" s="121"/>
      <c r="BT914" s="121"/>
      <c r="BU914" s="121"/>
      <c r="BV914" s="121"/>
      <c r="BW914" s="121"/>
      <c r="BX914" s="121"/>
      <c r="BY914" s="121"/>
      <c r="BZ914" s="121"/>
      <c r="CA914" s="121"/>
      <c r="CB914" s="121"/>
      <c r="CC914" s="121"/>
      <c r="CD914" s="121"/>
      <c r="CE914" s="121"/>
      <c r="CF914" s="121"/>
      <c r="CG914" s="121"/>
      <c r="CH914" s="121"/>
      <c r="CI914" s="121"/>
      <c r="CJ914" s="121"/>
      <c r="CK914" s="121"/>
      <c r="CL914" s="121"/>
      <c r="CM914" s="121"/>
      <c r="CN914" s="121"/>
      <c r="CO914" s="121"/>
      <c r="CP914" s="121"/>
      <c r="CQ914" s="121"/>
      <c r="CR914" s="121"/>
      <c r="CS914" s="121"/>
      <c r="CT914" s="121"/>
      <c r="CU914" s="121"/>
      <c r="CV914" s="121"/>
      <c r="CW914" s="121"/>
      <c r="CX914" s="121"/>
      <c r="CY914" s="121"/>
      <c r="CZ914" s="121"/>
      <c r="DA914" s="121"/>
      <c r="DB914" s="121"/>
      <c r="DC914" s="121"/>
      <c r="DD914" s="121"/>
      <c r="DE914" s="121"/>
      <c r="DF914" s="121"/>
      <c r="DG914" s="121"/>
      <c r="DH914" s="121"/>
      <c r="DI914" s="121"/>
      <c r="DJ914" s="121"/>
      <c r="DK914" s="121"/>
      <c r="DL914" s="121"/>
      <c r="DM914" s="121"/>
      <c r="DN914" s="121"/>
      <c r="DO914" s="121"/>
      <c r="DP914" s="121"/>
      <c r="DQ914" s="121"/>
      <c r="DR914" s="121"/>
      <c r="DS914" s="121"/>
      <c r="DT914" s="240"/>
      <c r="DU914" s="240"/>
      <c r="DV914" s="240"/>
      <c r="DW914" s="240"/>
      <c r="DX914" s="240"/>
      <c r="DY914" s="240"/>
      <c r="DZ914" s="240"/>
      <c r="EA914" s="240"/>
      <c r="EB914" s="237">
        <f t="shared" si="112"/>
        <v>0</v>
      </c>
      <c r="EC914" s="237">
        <f t="shared" si="113"/>
        <v>0</v>
      </c>
      <c r="ED914" s="237">
        <f t="shared" si="114"/>
        <v>0</v>
      </c>
      <c r="EE914" s="237">
        <f t="shared" si="115"/>
        <v>0</v>
      </c>
      <c r="EF914" s="121"/>
      <c r="EG914" s="238">
        <f t="shared" si="116"/>
        <v>0</v>
      </c>
      <c r="EH914" s="121"/>
      <c r="EI914" s="237">
        <f t="shared" si="117"/>
        <v>0</v>
      </c>
      <c r="EJ914" s="121"/>
      <c r="EK914" s="237">
        <f t="shared" si="118"/>
        <v>0</v>
      </c>
      <c r="EL914" s="237"/>
      <c r="EM914" s="5"/>
      <c r="EN914" s="5"/>
      <c r="EO914" s="5"/>
      <c r="EP914" s="5"/>
      <c r="EQ914" s="237">
        <f t="shared" si="119"/>
        <v>0</v>
      </c>
      <c r="ER914" s="239">
        <v>23300</v>
      </c>
      <c r="ES914" s="5">
        <v>7.5</v>
      </c>
    </row>
    <row r="915" spans="1:149" x14ac:dyDescent="0.3">
      <c r="A915" s="124"/>
      <c r="B915" s="121"/>
      <c r="C915" s="121"/>
      <c r="D915" s="121"/>
      <c r="E915" s="121"/>
      <c r="F915" s="121"/>
      <c r="G915" s="121"/>
      <c r="H915" s="121"/>
      <c r="I915" s="121"/>
      <c r="J915" s="121"/>
      <c r="K915" s="121"/>
      <c r="L915" s="121"/>
      <c r="M915" s="121"/>
      <c r="N915" s="121"/>
      <c r="O915" s="235"/>
      <c r="P915" s="121"/>
      <c r="Q915" s="121"/>
      <c r="R915" s="121"/>
      <c r="S915" s="121"/>
      <c r="T915" s="121"/>
      <c r="U915" s="121"/>
      <c r="V915" s="121"/>
      <c r="W915" s="121"/>
      <c r="X915" s="117"/>
      <c r="Y915" s="117"/>
      <c r="Z915" s="121"/>
      <c r="AA915" s="121"/>
      <c r="AB915" s="121"/>
      <c r="AC915" s="121"/>
      <c r="AD915" s="121"/>
      <c r="AE915" s="121"/>
      <c r="AF915" s="121"/>
      <c r="AG915" s="121"/>
      <c r="AH915" s="121"/>
      <c r="AI915" s="121"/>
      <c r="AJ915" s="121"/>
      <c r="AK915" s="121"/>
      <c r="AL915" s="121"/>
      <c r="AM915" s="121"/>
      <c r="AN915" s="121"/>
      <c r="AO915" s="121"/>
      <c r="AP915" s="121"/>
      <c r="AQ915" s="121"/>
      <c r="AR915" s="121"/>
      <c r="AS915" s="121"/>
      <c r="AT915" s="121"/>
      <c r="AU915" s="121"/>
      <c r="AV915" s="121"/>
      <c r="AW915" s="121"/>
      <c r="AX915" s="121"/>
      <c r="AY915" s="121"/>
      <c r="AZ915" s="121"/>
      <c r="BA915" s="121"/>
      <c r="BB915" s="121"/>
      <c r="BC915" s="121"/>
      <c r="BD915" s="121"/>
      <c r="BE915" s="121"/>
      <c r="BF915" s="121"/>
      <c r="BG915" s="121"/>
      <c r="BH915" s="121"/>
      <c r="BI915" s="121"/>
      <c r="BJ915" s="121"/>
      <c r="BK915" s="121"/>
      <c r="BL915" s="121"/>
      <c r="BM915" s="121"/>
      <c r="BN915" s="121"/>
      <c r="BO915" s="121"/>
      <c r="BP915" s="121"/>
      <c r="BQ915" s="121"/>
      <c r="BR915" s="121"/>
      <c r="BS915" s="121"/>
      <c r="BT915" s="121"/>
      <c r="BU915" s="121"/>
      <c r="BV915" s="121"/>
      <c r="BW915" s="121"/>
      <c r="BX915" s="121"/>
      <c r="BY915" s="121"/>
      <c r="BZ915" s="121"/>
      <c r="CA915" s="121"/>
      <c r="CB915" s="121"/>
      <c r="CC915" s="121"/>
      <c r="CD915" s="121"/>
      <c r="CE915" s="121"/>
      <c r="CF915" s="121"/>
      <c r="CG915" s="121"/>
      <c r="CH915" s="121"/>
      <c r="CI915" s="121"/>
      <c r="CJ915" s="121"/>
      <c r="CK915" s="121"/>
      <c r="CL915" s="121"/>
      <c r="CM915" s="121"/>
      <c r="CN915" s="121"/>
      <c r="CO915" s="121"/>
      <c r="CP915" s="121"/>
      <c r="CQ915" s="121"/>
      <c r="CR915" s="121"/>
      <c r="CS915" s="121"/>
      <c r="CT915" s="121"/>
      <c r="CU915" s="121"/>
      <c r="CV915" s="121"/>
      <c r="CW915" s="121"/>
      <c r="CX915" s="121"/>
      <c r="CY915" s="121"/>
      <c r="CZ915" s="121"/>
      <c r="DA915" s="121"/>
      <c r="DB915" s="121"/>
      <c r="DC915" s="121"/>
      <c r="DD915" s="121"/>
      <c r="DE915" s="121"/>
      <c r="DF915" s="121"/>
      <c r="DG915" s="121"/>
      <c r="DH915" s="121"/>
      <c r="DI915" s="121"/>
      <c r="DJ915" s="121"/>
      <c r="DK915" s="121"/>
      <c r="DL915" s="121"/>
      <c r="DM915" s="121"/>
      <c r="DN915" s="121"/>
      <c r="DO915" s="121"/>
      <c r="DP915" s="121"/>
      <c r="DQ915" s="121"/>
      <c r="DR915" s="121"/>
      <c r="DS915" s="121"/>
      <c r="DT915" s="240"/>
      <c r="DU915" s="240"/>
      <c r="DV915" s="240"/>
      <c r="DW915" s="240"/>
      <c r="DX915" s="240"/>
      <c r="DY915" s="240"/>
      <c r="DZ915" s="240"/>
      <c r="EA915" s="240"/>
      <c r="EB915" s="237">
        <f t="shared" si="112"/>
        <v>0</v>
      </c>
      <c r="EC915" s="237">
        <f t="shared" si="113"/>
        <v>0</v>
      </c>
      <c r="ED915" s="237">
        <f t="shared" si="114"/>
        <v>0</v>
      </c>
      <c r="EE915" s="237">
        <f t="shared" si="115"/>
        <v>0</v>
      </c>
      <c r="EF915" s="121"/>
      <c r="EG915" s="238">
        <f t="shared" si="116"/>
        <v>0</v>
      </c>
      <c r="EH915" s="121"/>
      <c r="EI915" s="237">
        <f t="shared" si="117"/>
        <v>0</v>
      </c>
      <c r="EJ915" s="121"/>
      <c r="EK915" s="237">
        <f t="shared" si="118"/>
        <v>0</v>
      </c>
      <c r="EL915" s="237"/>
      <c r="EM915" s="5"/>
      <c r="EN915" s="5"/>
      <c r="EO915" s="5"/>
      <c r="EP915" s="5"/>
      <c r="EQ915" s="237">
        <f t="shared" si="119"/>
        <v>0</v>
      </c>
      <c r="ER915" s="239">
        <v>23300</v>
      </c>
      <c r="ES915" s="5">
        <v>7.5</v>
      </c>
    </row>
    <row r="916" spans="1:149" x14ac:dyDescent="0.3">
      <c r="A916" s="124"/>
      <c r="B916" s="121"/>
      <c r="C916" s="121"/>
      <c r="D916" s="121"/>
      <c r="E916" s="121"/>
      <c r="F916" s="121"/>
      <c r="G916" s="121"/>
      <c r="H916" s="121"/>
      <c r="I916" s="121"/>
      <c r="J916" s="121"/>
      <c r="K916" s="121"/>
      <c r="L916" s="121"/>
      <c r="M916" s="121"/>
      <c r="N916" s="121"/>
      <c r="O916" s="235"/>
      <c r="P916" s="121"/>
      <c r="Q916" s="121"/>
      <c r="R916" s="121"/>
      <c r="S916" s="121"/>
      <c r="T916" s="121"/>
      <c r="U916" s="121"/>
      <c r="V916" s="121"/>
      <c r="W916" s="121"/>
      <c r="X916" s="117"/>
      <c r="Y916" s="117"/>
      <c r="Z916" s="121"/>
      <c r="AA916" s="121"/>
      <c r="AB916" s="121"/>
      <c r="AC916" s="121"/>
      <c r="AD916" s="121"/>
      <c r="AE916" s="121"/>
      <c r="AF916" s="121"/>
      <c r="AG916" s="121"/>
      <c r="AH916" s="121"/>
      <c r="AI916" s="121"/>
      <c r="AJ916" s="121"/>
      <c r="AK916" s="121"/>
      <c r="AL916" s="121"/>
      <c r="AM916" s="121"/>
      <c r="AN916" s="121"/>
      <c r="AO916" s="121"/>
      <c r="AP916" s="121"/>
      <c r="AQ916" s="121"/>
      <c r="AR916" s="121"/>
      <c r="AS916" s="121"/>
      <c r="AT916" s="121"/>
      <c r="AU916" s="121"/>
      <c r="AV916" s="121"/>
      <c r="AW916" s="121"/>
      <c r="AX916" s="121"/>
      <c r="AY916" s="121"/>
      <c r="AZ916" s="121"/>
      <c r="BA916" s="121"/>
      <c r="BB916" s="121"/>
      <c r="BC916" s="121"/>
      <c r="BD916" s="121"/>
      <c r="BE916" s="121"/>
      <c r="BF916" s="121"/>
      <c r="BG916" s="121"/>
      <c r="BH916" s="121"/>
      <c r="BI916" s="121"/>
      <c r="BJ916" s="121"/>
      <c r="BK916" s="121"/>
      <c r="BL916" s="121"/>
      <c r="BM916" s="121"/>
      <c r="BN916" s="121"/>
      <c r="BO916" s="121"/>
      <c r="BP916" s="121"/>
      <c r="BQ916" s="121"/>
      <c r="BR916" s="121"/>
      <c r="BS916" s="121"/>
      <c r="BT916" s="121"/>
      <c r="BU916" s="121"/>
      <c r="BV916" s="121"/>
      <c r="BW916" s="121"/>
      <c r="BX916" s="121"/>
      <c r="BY916" s="121"/>
      <c r="BZ916" s="121"/>
      <c r="CA916" s="121"/>
      <c r="CB916" s="121"/>
      <c r="CC916" s="121"/>
      <c r="CD916" s="121"/>
      <c r="CE916" s="121"/>
      <c r="CF916" s="121"/>
      <c r="CG916" s="121"/>
      <c r="CH916" s="121"/>
      <c r="CI916" s="121"/>
      <c r="CJ916" s="121"/>
      <c r="CK916" s="121"/>
      <c r="CL916" s="121"/>
      <c r="CM916" s="121"/>
      <c r="CN916" s="121"/>
      <c r="CO916" s="121"/>
      <c r="CP916" s="121"/>
      <c r="CQ916" s="121"/>
      <c r="CR916" s="121"/>
      <c r="CS916" s="121"/>
      <c r="CT916" s="121"/>
      <c r="CU916" s="121"/>
      <c r="CV916" s="121"/>
      <c r="CW916" s="121"/>
      <c r="CX916" s="121"/>
      <c r="CY916" s="121"/>
      <c r="CZ916" s="121"/>
      <c r="DA916" s="121"/>
      <c r="DB916" s="121"/>
      <c r="DC916" s="121"/>
      <c r="DD916" s="121"/>
      <c r="DE916" s="121"/>
      <c r="DF916" s="121"/>
      <c r="DG916" s="121"/>
      <c r="DH916" s="121"/>
      <c r="DI916" s="121"/>
      <c r="DJ916" s="121"/>
      <c r="DK916" s="121"/>
      <c r="DL916" s="121"/>
      <c r="DM916" s="121"/>
      <c r="DN916" s="121"/>
      <c r="DO916" s="121"/>
      <c r="DP916" s="121"/>
      <c r="DQ916" s="121"/>
      <c r="DR916" s="121"/>
      <c r="DS916" s="121"/>
      <c r="DT916" s="240"/>
      <c r="DU916" s="240"/>
      <c r="DV916" s="240"/>
      <c r="DW916" s="240"/>
      <c r="DX916" s="240"/>
      <c r="DY916" s="240"/>
      <c r="DZ916" s="240"/>
      <c r="EA916" s="240"/>
      <c r="EB916" s="237">
        <f t="shared" si="112"/>
        <v>0</v>
      </c>
      <c r="EC916" s="237">
        <f t="shared" si="113"/>
        <v>0</v>
      </c>
      <c r="ED916" s="237">
        <f t="shared" si="114"/>
        <v>0</v>
      </c>
      <c r="EE916" s="237">
        <f t="shared" si="115"/>
        <v>0</v>
      </c>
      <c r="EF916" s="121"/>
      <c r="EG916" s="238">
        <f t="shared" si="116"/>
        <v>0</v>
      </c>
      <c r="EH916" s="121"/>
      <c r="EI916" s="237">
        <f t="shared" si="117"/>
        <v>0</v>
      </c>
      <c r="EJ916" s="121"/>
      <c r="EK916" s="237">
        <f t="shared" si="118"/>
        <v>0</v>
      </c>
      <c r="EL916" s="237"/>
      <c r="EM916" s="5"/>
      <c r="EN916" s="5"/>
      <c r="EO916" s="5"/>
      <c r="EP916" s="5"/>
      <c r="EQ916" s="237">
        <f t="shared" si="119"/>
        <v>0</v>
      </c>
      <c r="ER916" s="239">
        <v>23300</v>
      </c>
      <c r="ES916" s="5">
        <v>7.5</v>
      </c>
    </row>
    <row r="917" spans="1:149" x14ac:dyDescent="0.3">
      <c r="A917" s="124"/>
      <c r="B917" s="121"/>
      <c r="C917" s="121"/>
      <c r="D917" s="121"/>
      <c r="E917" s="121"/>
      <c r="F917" s="121"/>
      <c r="G917" s="121"/>
      <c r="H917" s="121"/>
      <c r="I917" s="121"/>
      <c r="J917" s="121"/>
      <c r="K917" s="121"/>
      <c r="L917" s="121"/>
      <c r="M917" s="121"/>
      <c r="N917" s="121"/>
      <c r="O917" s="235"/>
      <c r="P917" s="121"/>
      <c r="Q917" s="121"/>
      <c r="R917" s="121"/>
      <c r="S917" s="121"/>
      <c r="T917" s="121"/>
      <c r="U917" s="121"/>
      <c r="V917" s="121"/>
      <c r="W917" s="121"/>
      <c r="X917" s="117"/>
      <c r="Y917" s="117"/>
      <c r="Z917" s="121"/>
      <c r="AA917" s="121"/>
      <c r="AB917" s="121"/>
      <c r="AC917" s="121"/>
      <c r="AD917" s="121"/>
      <c r="AE917" s="121"/>
      <c r="AF917" s="121"/>
      <c r="AG917" s="121"/>
      <c r="AH917" s="121"/>
      <c r="AI917" s="121"/>
      <c r="AJ917" s="121"/>
      <c r="AK917" s="121"/>
      <c r="AL917" s="121"/>
      <c r="AM917" s="121"/>
      <c r="AN917" s="121"/>
      <c r="AO917" s="121"/>
      <c r="AP917" s="121"/>
      <c r="AQ917" s="121"/>
      <c r="AR917" s="121"/>
      <c r="AS917" s="121"/>
      <c r="AT917" s="121"/>
      <c r="AU917" s="121"/>
      <c r="AV917" s="121"/>
      <c r="AW917" s="121"/>
      <c r="AX917" s="121"/>
      <c r="AY917" s="121"/>
      <c r="AZ917" s="121"/>
      <c r="BA917" s="121"/>
      <c r="BB917" s="121"/>
      <c r="BC917" s="121"/>
      <c r="BD917" s="121"/>
      <c r="BE917" s="121"/>
      <c r="BF917" s="121"/>
      <c r="BG917" s="121"/>
      <c r="BH917" s="121"/>
      <c r="BI917" s="121"/>
      <c r="BJ917" s="121"/>
      <c r="BK917" s="121"/>
      <c r="BL917" s="121"/>
      <c r="BM917" s="121"/>
      <c r="BN917" s="121"/>
      <c r="BO917" s="121"/>
      <c r="BP917" s="121"/>
      <c r="BQ917" s="121"/>
      <c r="BR917" s="121"/>
      <c r="BS917" s="121"/>
      <c r="BT917" s="121"/>
      <c r="BU917" s="121"/>
      <c r="BV917" s="121"/>
      <c r="BW917" s="121"/>
      <c r="BX917" s="121"/>
      <c r="BY917" s="121"/>
      <c r="BZ917" s="121"/>
      <c r="CA917" s="121"/>
      <c r="CB917" s="121"/>
      <c r="CC917" s="121"/>
      <c r="CD917" s="121"/>
      <c r="CE917" s="121"/>
      <c r="CF917" s="121"/>
      <c r="CG917" s="121"/>
      <c r="CH917" s="121"/>
      <c r="CI917" s="121"/>
      <c r="CJ917" s="121"/>
      <c r="CK917" s="121"/>
      <c r="CL917" s="121"/>
      <c r="CM917" s="121"/>
      <c r="CN917" s="121"/>
      <c r="CO917" s="121"/>
      <c r="CP917" s="121"/>
      <c r="CQ917" s="121"/>
      <c r="CR917" s="121"/>
      <c r="CS917" s="121"/>
      <c r="CT917" s="121"/>
      <c r="CU917" s="121"/>
      <c r="CV917" s="121"/>
      <c r="CW917" s="121"/>
      <c r="CX917" s="121"/>
      <c r="CY917" s="121"/>
      <c r="CZ917" s="121"/>
      <c r="DA917" s="121"/>
      <c r="DB917" s="121"/>
      <c r="DC917" s="121"/>
      <c r="DD917" s="121"/>
      <c r="DE917" s="121"/>
      <c r="DF917" s="121"/>
      <c r="DG917" s="121"/>
      <c r="DH917" s="121"/>
      <c r="DI917" s="121"/>
      <c r="DJ917" s="121"/>
      <c r="DK917" s="121"/>
      <c r="DL917" s="121"/>
      <c r="DM917" s="121"/>
      <c r="DN917" s="121"/>
      <c r="DO917" s="121"/>
      <c r="DP917" s="121"/>
      <c r="DQ917" s="121"/>
      <c r="DR917" s="121"/>
      <c r="DS917" s="121"/>
      <c r="DT917" s="240"/>
      <c r="DU917" s="240"/>
      <c r="DV917" s="240"/>
      <c r="DW917" s="240"/>
      <c r="DX917" s="240"/>
      <c r="DY917" s="240"/>
      <c r="DZ917" s="240"/>
      <c r="EA917" s="240"/>
      <c r="EB917" s="237">
        <f t="shared" si="112"/>
        <v>0</v>
      </c>
      <c r="EC917" s="237">
        <f t="shared" si="113"/>
        <v>0</v>
      </c>
      <c r="ED917" s="237">
        <f t="shared" si="114"/>
        <v>0</v>
      </c>
      <c r="EE917" s="237">
        <f t="shared" si="115"/>
        <v>0</v>
      </c>
      <c r="EF917" s="121"/>
      <c r="EG917" s="238">
        <f t="shared" si="116"/>
        <v>0</v>
      </c>
      <c r="EH917" s="121"/>
      <c r="EI917" s="237">
        <f t="shared" si="117"/>
        <v>0</v>
      </c>
      <c r="EJ917" s="121"/>
      <c r="EK917" s="237">
        <f t="shared" si="118"/>
        <v>0</v>
      </c>
      <c r="EL917" s="237"/>
      <c r="EM917" s="5"/>
      <c r="EN917" s="5"/>
      <c r="EO917" s="5"/>
      <c r="EP917" s="5"/>
      <c r="EQ917" s="237">
        <f t="shared" si="119"/>
        <v>0</v>
      </c>
      <c r="ER917" s="239">
        <v>23300</v>
      </c>
      <c r="ES917" s="5">
        <v>7.5</v>
      </c>
    </row>
    <row r="918" spans="1:149" x14ac:dyDescent="0.3">
      <c r="A918" s="124"/>
      <c r="B918" s="121"/>
      <c r="C918" s="121"/>
      <c r="D918" s="121"/>
      <c r="E918" s="121"/>
      <c r="F918" s="121"/>
      <c r="G918" s="121"/>
      <c r="H918" s="121"/>
      <c r="I918" s="121"/>
      <c r="J918" s="121"/>
      <c r="K918" s="121"/>
      <c r="L918" s="121"/>
      <c r="M918" s="121"/>
      <c r="N918" s="121"/>
      <c r="O918" s="235"/>
      <c r="P918" s="121"/>
      <c r="Q918" s="121"/>
      <c r="R918" s="121"/>
      <c r="S918" s="121"/>
      <c r="T918" s="121"/>
      <c r="U918" s="121"/>
      <c r="V918" s="121"/>
      <c r="W918" s="121"/>
      <c r="X918" s="117"/>
      <c r="Y918" s="117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/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121"/>
      <c r="BJ918" s="121"/>
      <c r="BK918" s="121"/>
      <c r="BL918" s="121"/>
      <c r="BM918" s="121"/>
      <c r="BN918" s="121"/>
      <c r="BO918" s="121"/>
      <c r="BP918" s="121"/>
      <c r="BQ918" s="121"/>
      <c r="BR918" s="121"/>
      <c r="BS918" s="121"/>
      <c r="BT918" s="121"/>
      <c r="BU918" s="121"/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/>
      <c r="CP918" s="121"/>
      <c r="CQ918" s="121"/>
      <c r="CR918" s="121"/>
      <c r="CS918" s="121"/>
      <c r="CT918" s="121"/>
      <c r="CU918" s="121"/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/>
      <c r="DF918" s="121"/>
      <c r="DG918" s="121"/>
      <c r="DH918" s="121"/>
      <c r="DI918" s="121"/>
      <c r="DJ918" s="121"/>
      <c r="DK918" s="121"/>
      <c r="DL918" s="121"/>
      <c r="DM918" s="121"/>
      <c r="DN918" s="121"/>
      <c r="DO918" s="121"/>
      <c r="DP918" s="121"/>
      <c r="DQ918" s="121"/>
      <c r="DR918" s="121"/>
      <c r="DS918" s="121"/>
      <c r="DT918" s="240"/>
      <c r="DU918" s="240"/>
      <c r="DV918" s="240"/>
      <c r="DW918" s="240"/>
      <c r="DX918" s="240"/>
      <c r="DY918" s="240"/>
      <c r="DZ918" s="240"/>
      <c r="EA918" s="240"/>
      <c r="EB918" s="237">
        <f t="shared" si="112"/>
        <v>0</v>
      </c>
      <c r="EC918" s="237">
        <f t="shared" si="113"/>
        <v>0</v>
      </c>
      <c r="ED918" s="237">
        <f t="shared" si="114"/>
        <v>0</v>
      </c>
      <c r="EE918" s="237">
        <f t="shared" si="115"/>
        <v>0</v>
      </c>
      <c r="EF918" s="121"/>
      <c r="EG918" s="238">
        <f t="shared" si="116"/>
        <v>0</v>
      </c>
      <c r="EH918" s="121"/>
      <c r="EI918" s="237">
        <f t="shared" si="117"/>
        <v>0</v>
      </c>
      <c r="EJ918" s="121"/>
      <c r="EK918" s="237">
        <f t="shared" si="118"/>
        <v>0</v>
      </c>
      <c r="EL918" s="237"/>
      <c r="EM918" s="5"/>
      <c r="EN918" s="5"/>
      <c r="EO918" s="5"/>
      <c r="EP918" s="5"/>
      <c r="EQ918" s="237">
        <f t="shared" si="119"/>
        <v>0</v>
      </c>
      <c r="ER918" s="239">
        <v>23300</v>
      </c>
      <c r="ES918" s="5">
        <v>7.5</v>
      </c>
    </row>
    <row r="919" spans="1:149" x14ac:dyDescent="0.3">
      <c r="A919" s="124"/>
      <c r="B919" s="121"/>
      <c r="C919" s="121"/>
      <c r="D919" s="121"/>
      <c r="E919" s="121"/>
      <c r="F919" s="121"/>
      <c r="G919" s="121"/>
      <c r="H919" s="121"/>
      <c r="I919" s="121"/>
      <c r="J919" s="121"/>
      <c r="K919" s="121"/>
      <c r="L919" s="121"/>
      <c r="M919" s="121"/>
      <c r="N919" s="121"/>
      <c r="O919" s="235"/>
      <c r="P919" s="121"/>
      <c r="Q919" s="121"/>
      <c r="R919" s="121"/>
      <c r="S919" s="121"/>
      <c r="T919" s="121"/>
      <c r="U919" s="121"/>
      <c r="V919" s="121"/>
      <c r="W919" s="121"/>
      <c r="X919" s="117"/>
      <c r="Y919" s="117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21"/>
      <c r="BJ919" s="121"/>
      <c r="BK919" s="121"/>
      <c r="BL919" s="121"/>
      <c r="BM919" s="121"/>
      <c r="BN919" s="121"/>
      <c r="BO919" s="121"/>
      <c r="BP919" s="121"/>
      <c r="BQ919" s="121"/>
      <c r="BR919" s="121"/>
      <c r="BS919" s="121"/>
      <c r="BT919" s="121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21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  <c r="DK919" s="121"/>
      <c r="DL919" s="121"/>
      <c r="DM919" s="121"/>
      <c r="DN919" s="121"/>
      <c r="DO919" s="121"/>
      <c r="DP919" s="121"/>
      <c r="DQ919" s="121"/>
      <c r="DR919" s="121"/>
      <c r="DS919" s="121"/>
      <c r="DT919" s="240"/>
      <c r="DU919" s="240"/>
      <c r="DV919" s="240"/>
      <c r="DW919" s="240"/>
      <c r="DX919" s="240"/>
      <c r="DY919" s="240"/>
      <c r="DZ919" s="240"/>
      <c r="EA919" s="240"/>
      <c r="EB919" s="237">
        <f t="shared" si="112"/>
        <v>0</v>
      </c>
      <c r="EC919" s="237">
        <f t="shared" si="113"/>
        <v>0</v>
      </c>
      <c r="ED919" s="237">
        <f t="shared" si="114"/>
        <v>0</v>
      </c>
      <c r="EE919" s="237">
        <f t="shared" si="115"/>
        <v>0</v>
      </c>
      <c r="EF919" s="121"/>
      <c r="EG919" s="238">
        <f t="shared" si="116"/>
        <v>0</v>
      </c>
      <c r="EH919" s="121"/>
      <c r="EI919" s="237">
        <f t="shared" si="117"/>
        <v>0</v>
      </c>
      <c r="EJ919" s="121"/>
      <c r="EK919" s="237">
        <f t="shared" si="118"/>
        <v>0</v>
      </c>
      <c r="EL919" s="237"/>
      <c r="EM919" s="5"/>
      <c r="EN919" s="5"/>
      <c r="EO919" s="5"/>
      <c r="EP919" s="5"/>
      <c r="EQ919" s="237">
        <f t="shared" si="119"/>
        <v>0</v>
      </c>
      <c r="ER919" s="239">
        <v>23300</v>
      </c>
      <c r="ES919" s="5">
        <v>7.5</v>
      </c>
    </row>
    <row r="920" spans="1:149" x14ac:dyDescent="0.3">
      <c r="A920" s="124"/>
      <c r="B920" s="121"/>
      <c r="C920" s="121"/>
      <c r="D920" s="121"/>
      <c r="E920" s="121"/>
      <c r="F920" s="121"/>
      <c r="G920" s="121"/>
      <c r="H920" s="121"/>
      <c r="I920" s="121"/>
      <c r="J920" s="121"/>
      <c r="K920" s="121"/>
      <c r="L920" s="121"/>
      <c r="M920" s="121"/>
      <c r="N920" s="121"/>
      <c r="O920" s="235"/>
      <c r="P920" s="121"/>
      <c r="Q920" s="121"/>
      <c r="R920" s="121"/>
      <c r="S920" s="121"/>
      <c r="T920" s="121"/>
      <c r="U920" s="121"/>
      <c r="V920" s="121"/>
      <c r="W920" s="121"/>
      <c r="X920" s="117"/>
      <c r="Y920" s="117"/>
      <c r="Z920" s="121"/>
      <c r="AA920" s="121"/>
      <c r="AB920" s="121"/>
      <c r="AC920" s="121"/>
      <c r="AD920" s="121"/>
      <c r="AE920" s="121"/>
      <c r="AF920" s="121"/>
      <c r="AG920" s="121"/>
      <c r="AH920" s="121"/>
      <c r="AI920" s="121"/>
      <c r="AJ920" s="121"/>
      <c r="AK920" s="121"/>
      <c r="AL920" s="121"/>
      <c r="AM920" s="121"/>
      <c r="AN920" s="121"/>
      <c r="AO920" s="121"/>
      <c r="AP920" s="121"/>
      <c r="AQ920" s="121"/>
      <c r="AR920" s="121"/>
      <c r="AS920" s="121"/>
      <c r="AT920" s="121"/>
      <c r="AU920" s="121"/>
      <c r="AV920" s="121"/>
      <c r="AW920" s="121"/>
      <c r="AX920" s="121"/>
      <c r="AY920" s="121"/>
      <c r="AZ920" s="121"/>
      <c r="BA920" s="121"/>
      <c r="BB920" s="121"/>
      <c r="BC920" s="121"/>
      <c r="BD920" s="121"/>
      <c r="BE920" s="121"/>
      <c r="BF920" s="121"/>
      <c r="BG920" s="121"/>
      <c r="BH920" s="121"/>
      <c r="BI920" s="121"/>
      <c r="BJ920" s="121"/>
      <c r="BK920" s="121"/>
      <c r="BL920" s="121"/>
      <c r="BM920" s="121"/>
      <c r="BN920" s="121"/>
      <c r="BO920" s="121"/>
      <c r="BP920" s="121"/>
      <c r="BQ920" s="121"/>
      <c r="BR920" s="121"/>
      <c r="BS920" s="121"/>
      <c r="BT920" s="121"/>
      <c r="BU920" s="121"/>
      <c r="BV920" s="121"/>
      <c r="BW920" s="121"/>
      <c r="BX920" s="121"/>
      <c r="BY920" s="121"/>
      <c r="BZ920" s="121"/>
      <c r="CA920" s="121"/>
      <c r="CB920" s="121"/>
      <c r="CC920" s="121"/>
      <c r="CD920" s="121"/>
      <c r="CE920" s="121"/>
      <c r="CF920" s="121"/>
      <c r="CG920" s="121"/>
      <c r="CH920" s="121"/>
      <c r="CI920" s="121"/>
      <c r="CJ920" s="121"/>
      <c r="CK920" s="121"/>
      <c r="CL920" s="121"/>
      <c r="CM920" s="121"/>
      <c r="CN920" s="121"/>
      <c r="CO920" s="121"/>
      <c r="CP920" s="121"/>
      <c r="CQ920" s="121"/>
      <c r="CR920" s="121"/>
      <c r="CS920" s="121"/>
      <c r="CT920" s="121"/>
      <c r="CU920" s="121"/>
      <c r="CV920" s="121"/>
      <c r="CW920" s="121"/>
      <c r="CX920" s="121"/>
      <c r="CY920" s="121"/>
      <c r="CZ920" s="121"/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  <c r="DK920" s="121"/>
      <c r="DL920" s="121"/>
      <c r="DM920" s="121"/>
      <c r="DN920" s="121"/>
      <c r="DO920" s="121"/>
      <c r="DP920" s="121"/>
      <c r="DQ920" s="121"/>
      <c r="DR920" s="121"/>
      <c r="DS920" s="121"/>
      <c r="DT920" s="240"/>
      <c r="DU920" s="240"/>
      <c r="DV920" s="240"/>
      <c r="DW920" s="240"/>
      <c r="DX920" s="240"/>
      <c r="DY920" s="240"/>
      <c r="DZ920" s="240"/>
      <c r="EA920" s="240"/>
      <c r="EB920" s="237">
        <f t="shared" si="112"/>
        <v>0</v>
      </c>
      <c r="EC920" s="237">
        <f t="shared" si="113"/>
        <v>0</v>
      </c>
      <c r="ED920" s="237">
        <f t="shared" si="114"/>
        <v>0</v>
      </c>
      <c r="EE920" s="237">
        <f t="shared" si="115"/>
        <v>0</v>
      </c>
      <c r="EF920" s="121"/>
      <c r="EG920" s="238">
        <f t="shared" si="116"/>
        <v>0</v>
      </c>
      <c r="EH920" s="121"/>
      <c r="EI920" s="237">
        <f t="shared" si="117"/>
        <v>0</v>
      </c>
      <c r="EJ920" s="121"/>
      <c r="EK920" s="237">
        <f t="shared" si="118"/>
        <v>0</v>
      </c>
      <c r="EL920" s="237"/>
      <c r="EM920" s="5"/>
      <c r="EN920" s="5"/>
      <c r="EO920" s="5"/>
      <c r="EP920" s="5"/>
      <c r="EQ920" s="237">
        <f t="shared" si="119"/>
        <v>0</v>
      </c>
      <c r="ER920" s="239">
        <v>23300</v>
      </c>
      <c r="ES920" s="5">
        <v>7.5</v>
      </c>
    </row>
    <row r="921" spans="1:149" x14ac:dyDescent="0.3">
      <c r="A921" s="124"/>
      <c r="B921" s="121"/>
      <c r="C921" s="121"/>
      <c r="D921" s="121"/>
      <c r="E921" s="121"/>
      <c r="F921" s="121"/>
      <c r="G921" s="121"/>
      <c r="H921" s="121"/>
      <c r="I921" s="121"/>
      <c r="J921" s="121"/>
      <c r="K921" s="121"/>
      <c r="L921" s="121"/>
      <c r="M921" s="121"/>
      <c r="N921" s="121"/>
      <c r="O921" s="235"/>
      <c r="P921" s="121"/>
      <c r="Q921" s="121"/>
      <c r="R921" s="121"/>
      <c r="S921" s="121"/>
      <c r="T921" s="121"/>
      <c r="U921" s="121"/>
      <c r="V921" s="121"/>
      <c r="W921" s="121"/>
      <c r="X921" s="117"/>
      <c r="Y921" s="117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1"/>
      <c r="AL921" s="121"/>
      <c r="AM921" s="121"/>
      <c r="AN921" s="121"/>
      <c r="AO921" s="121"/>
      <c r="AP921" s="121"/>
      <c r="AQ921" s="121"/>
      <c r="AR921" s="121"/>
      <c r="AS921" s="121"/>
      <c r="AT921" s="121"/>
      <c r="AU921" s="121"/>
      <c r="AV921" s="121"/>
      <c r="AW921" s="121"/>
      <c r="AX921" s="121"/>
      <c r="AY921" s="121"/>
      <c r="AZ921" s="121"/>
      <c r="BA921" s="121"/>
      <c r="BB921" s="121"/>
      <c r="BC921" s="121"/>
      <c r="BD921" s="121"/>
      <c r="BE921" s="121"/>
      <c r="BF921" s="121"/>
      <c r="BG921" s="121"/>
      <c r="BH921" s="121"/>
      <c r="BI921" s="121"/>
      <c r="BJ921" s="121"/>
      <c r="BK921" s="121"/>
      <c r="BL921" s="121"/>
      <c r="BM921" s="121"/>
      <c r="BN921" s="121"/>
      <c r="BO921" s="121"/>
      <c r="BP921" s="121"/>
      <c r="BQ921" s="121"/>
      <c r="BR921" s="121"/>
      <c r="BS921" s="121"/>
      <c r="BT921" s="1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21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  <c r="DK921" s="121"/>
      <c r="DL921" s="121"/>
      <c r="DM921" s="121"/>
      <c r="DN921" s="121"/>
      <c r="DO921" s="121"/>
      <c r="DP921" s="121"/>
      <c r="DQ921" s="121"/>
      <c r="DR921" s="121"/>
      <c r="DS921" s="121"/>
      <c r="DT921" s="240"/>
      <c r="DU921" s="240"/>
      <c r="DV921" s="240"/>
      <c r="DW921" s="240"/>
      <c r="DX921" s="240"/>
      <c r="DY921" s="240"/>
      <c r="DZ921" s="240"/>
      <c r="EA921" s="240"/>
      <c r="EB921" s="237">
        <f t="shared" si="112"/>
        <v>0</v>
      </c>
      <c r="EC921" s="237">
        <f t="shared" si="113"/>
        <v>0</v>
      </c>
      <c r="ED921" s="237">
        <f t="shared" si="114"/>
        <v>0</v>
      </c>
      <c r="EE921" s="237">
        <f t="shared" si="115"/>
        <v>0</v>
      </c>
      <c r="EF921" s="121"/>
      <c r="EG921" s="238">
        <f t="shared" si="116"/>
        <v>0</v>
      </c>
      <c r="EH921" s="121"/>
      <c r="EI921" s="237">
        <f t="shared" si="117"/>
        <v>0</v>
      </c>
      <c r="EJ921" s="121"/>
      <c r="EK921" s="237">
        <f t="shared" si="118"/>
        <v>0</v>
      </c>
      <c r="EL921" s="237"/>
      <c r="EM921" s="5"/>
      <c r="EN921" s="5"/>
      <c r="EO921" s="5"/>
      <c r="EP921" s="5"/>
      <c r="EQ921" s="237">
        <f t="shared" si="119"/>
        <v>0</v>
      </c>
      <c r="ER921" s="239">
        <v>23300</v>
      </c>
      <c r="ES921" s="5">
        <v>7.5</v>
      </c>
    </row>
    <row r="922" spans="1:149" x14ac:dyDescent="0.3">
      <c r="A922" s="124"/>
      <c r="B922" s="121"/>
      <c r="C922" s="121"/>
      <c r="D922" s="121"/>
      <c r="E922" s="121"/>
      <c r="F922" s="121"/>
      <c r="G922" s="121"/>
      <c r="H922" s="121"/>
      <c r="I922" s="121"/>
      <c r="J922" s="121"/>
      <c r="K922" s="121"/>
      <c r="L922" s="121"/>
      <c r="M922" s="121"/>
      <c r="N922" s="121"/>
      <c r="O922" s="235"/>
      <c r="P922" s="121"/>
      <c r="Q922" s="121"/>
      <c r="R922" s="121"/>
      <c r="S922" s="121"/>
      <c r="T922" s="121"/>
      <c r="U922" s="121"/>
      <c r="V922" s="121"/>
      <c r="W922" s="121"/>
      <c r="X922" s="117"/>
      <c r="Y922" s="117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21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  <c r="DK922" s="121"/>
      <c r="DL922" s="121"/>
      <c r="DM922" s="121"/>
      <c r="DN922" s="121"/>
      <c r="DO922" s="121"/>
      <c r="DP922" s="121"/>
      <c r="DQ922" s="121"/>
      <c r="DR922" s="121"/>
      <c r="DS922" s="121"/>
      <c r="DT922" s="240"/>
      <c r="DU922" s="240"/>
      <c r="DV922" s="240"/>
      <c r="DW922" s="240"/>
      <c r="DX922" s="240"/>
      <c r="DY922" s="240"/>
      <c r="DZ922" s="240"/>
      <c r="EA922" s="240"/>
      <c r="EB922" s="237">
        <f t="shared" si="112"/>
        <v>0</v>
      </c>
      <c r="EC922" s="237">
        <f t="shared" si="113"/>
        <v>0</v>
      </c>
      <c r="ED922" s="237">
        <f t="shared" si="114"/>
        <v>0</v>
      </c>
      <c r="EE922" s="237">
        <f t="shared" si="115"/>
        <v>0</v>
      </c>
      <c r="EF922" s="121"/>
      <c r="EG922" s="238">
        <f t="shared" si="116"/>
        <v>0</v>
      </c>
      <c r="EH922" s="121"/>
      <c r="EI922" s="237">
        <f t="shared" si="117"/>
        <v>0</v>
      </c>
      <c r="EJ922" s="121"/>
      <c r="EK922" s="237">
        <f t="shared" si="118"/>
        <v>0</v>
      </c>
      <c r="EL922" s="237"/>
      <c r="EM922" s="5"/>
      <c r="EN922" s="5"/>
      <c r="EO922" s="5"/>
      <c r="EP922" s="5"/>
      <c r="EQ922" s="237">
        <f t="shared" si="119"/>
        <v>0</v>
      </c>
      <c r="ER922" s="239">
        <v>23300</v>
      </c>
      <c r="ES922" s="5">
        <v>7.5</v>
      </c>
    </row>
    <row r="923" spans="1:149" x14ac:dyDescent="0.3">
      <c r="A923" s="124"/>
      <c r="B923" s="121"/>
      <c r="C923" s="121"/>
      <c r="D923" s="121"/>
      <c r="E923" s="121"/>
      <c r="F923" s="121"/>
      <c r="G923" s="121"/>
      <c r="H923" s="121"/>
      <c r="I923" s="121"/>
      <c r="J923" s="121"/>
      <c r="K923" s="121"/>
      <c r="L923" s="121"/>
      <c r="M923" s="121"/>
      <c r="N923" s="121"/>
      <c r="O923" s="235"/>
      <c r="P923" s="121"/>
      <c r="Q923" s="121"/>
      <c r="R923" s="121"/>
      <c r="S923" s="121"/>
      <c r="T923" s="121"/>
      <c r="U923" s="121"/>
      <c r="V923" s="121"/>
      <c r="W923" s="121"/>
      <c r="X923" s="117"/>
      <c r="Y923" s="117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21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  <c r="DK923" s="121"/>
      <c r="DL923" s="121"/>
      <c r="DM923" s="121"/>
      <c r="DN923" s="121"/>
      <c r="DO923" s="121"/>
      <c r="DP923" s="121"/>
      <c r="DQ923" s="121"/>
      <c r="DR923" s="121"/>
      <c r="DS923" s="121"/>
      <c r="DT923" s="240"/>
      <c r="DU923" s="240"/>
      <c r="DV923" s="240"/>
      <c r="DW923" s="240"/>
      <c r="DX923" s="240"/>
      <c r="DY923" s="240"/>
      <c r="DZ923" s="240"/>
      <c r="EA923" s="240"/>
      <c r="EB923" s="237">
        <f t="shared" si="112"/>
        <v>0</v>
      </c>
      <c r="EC923" s="237">
        <f t="shared" si="113"/>
        <v>0</v>
      </c>
      <c r="ED923" s="237">
        <f t="shared" si="114"/>
        <v>0</v>
      </c>
      <c r="EE923" s="237">
        <f t="shared" si="115"/>
        <v>0</v>
      </c>
      <c r="EF923" s="121"/>
      <c r="EG923" s="238">
        <f t="shared" si="116"/>
        <v>0</v>
      </c>
      <c r="EH923" s="121"/>
      <c r="EI923" s="237">
        <f t="shared" si="117"/>
        <v>0</v>
      </c>
      <c r="EJ923" s="121"/>
      <c r="EK923" s="237">
        <f t="shared" si="118"/>
        <v>0</v>
      </c>
      <c r="EL923" s="237"/>
      <c r="EM923" s="5"/>
      <c r="EN923" s="5"/>
      <c r="EO923" s="5"/>
      <c r="EP923" s="5"/>
      <c r="EQ923" s="237">
        <f t="shared" si="119"/>
        <v>0</v>
      </c>
      <c r="ER923" s="239">
        <v>23300</v>
      </c>
      <c r="ES923" s="5">
        <v>7.5</v>
      </c>
    </row>
    <row r="924" spans="1:149" x14ac:dyDescent="0.3">
      <c r="A924" s="124"/>
      <c r="B924" s="121"/>
      <c r="C924" s="121"/>
      <c r="D924" s="121"/>
      <c r="E924" s="121"/>
      <c r="F924" s="121"/>
      <c r="G924" s="121"/>
      <c r="H924" s="121"/>
      <c r="I924" s="121"/>
      <c r="J924" s="121"/>
      <c r="K924" s="121"/>
      <c r="L924" s="121"/>
      <c r="M924" s="121"/>
      <c r="N924" s="121"/>
      <c r="O924" s="235"/>
      <c r="P924" s="121"/>
      <c r="Q924" s="121"/>
      <c r="R924" s="121"/>
      <c r="S924" s="121"/>
      <c r="T924" s="121"/>
      <c r="U924" s="121"/>
      <c r="V924" s="121"/>
      <c r="W924" s="121"/>
      <c r="X924" s="117"/>
      <c r="Y924" s="117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21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  <c r="DK924" s="121"/>
      <c r="DL924" s="121"/>
      <c r="DM924" s="121"/>
      <c r="DN924" s="121"/>
      <c r="DO924" s="121"/>
      <c r="DP924" s="121"/>
      <c r="DQ924" s="121"/>
      <c r="DR924" s="121"/>
      <c r="DS924" s="121"/>
      <c r="DT924" s="240"/>
      <c r="DU924" s="240"/>
      <c r="DV924" s="240"/>
      <c r="DW924" s="240"/>
      <c r="DX924" s="240"/>
      <c r="DY924" s="240"/>
      <c r="DZ924" s="240"/>
      <c r="EA924" s="240"/>
      <c r="EB924" s="237">
        <f t="shared" si="112"/>
        <v>0</v>
      </c>
      <c r="EC924" s="237">
        <f t="shared" si="113"/>
        <v>0</v>
      </c>
      <c r="ED924" s="237">
        <f t="shared" si="114"/>
        <v>0</v>
      </c>
      <c r="EE924" s="237">
        <f t="shared" si="115"/>
        <v>0</v>
      </c>
      <c r="EF924" s="121"/>
      <c r="EG924" s="238">
        <f t="shared" si="116"/>
        <v>0</v>
      </c>
      <c r="EH924" s="121"/>
      <c r="EI924" s="237">
        <f t="shared" si="117"/>
        <v>0</v>
      </c>
      <c r="EJ924" s="121"/>
      <c r="EK924" s="237">
        <f t="shared" si="118"/>
        <v>0</v>
      </c>
      <c r="EL924" s="237"/>
      <c r="EM924" s="5"/>
      <c r="EN924" s="5"/>
      <c r="EO924" s="5"/>
      <c r="EP924" s="5"/>
      <c r="EQ924" s="237">
        <f t="shared" si="119"/>
        <v>0</v>
      </c>
      <c r="ER924" s="239">
        <v>23300</v>
      </c>
      <c r="ES924" s="5">
        <v>7.5</v>
      </c>
    </row>
    <row r="925" spans="1:149" x14ac:dyDescent="0.3">
      <c r="A925" s="124"/>
      <c r="B925" s="121"/>
      <c r="C925" s="121"/>
      <c r="D925" s="121"/>
      <c r="E925" s="121"/>
      <c r="F925" s="121"/>
      <c r="G925" s="121"/>
      <c r="H925" s="121"/>
      <c r="I925" s="121"/>
      <c r="J925" s="121"/>
      <c r="K925" s="121"/>
      <c r="L925" s="121"/>
      <c r="M925" s="121"/>
      <c r="N925" s="121"/>
      <c r="O925" s="235"/>
      <c r="P925" s="121"/>
      <c r="Q925" s="121"/>
      <c r="R925" s="121"/>
      <c r="S925" s="121"/>
      <c r="T925" s="121"/>
      <c r="U925" s="121"/>
      <c r="V925" s="121"/>
      <c r="W925" s="121"/>
      <c r="X925" s="117"/>
      <c r="Y925" s="117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21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  <c r="DK925" s="121"/>
      <c r="DL925" s="121"/>
      <c r="DM925" s="121"/>
      <c r="DN925" s="121"/>
      <c r="DO925" s="121"/>
      <c r="DP925" s="121"/>
      <c r="DQ925" s="121"/>
      <c r="DR925" s="121"/>
      <c r="DS925" s="121"/>
      <c r="DT925" s="240"/>
      <c r="DU925" s="240"/>
      <c r="DV925" s="240"/>
      <c r="DW925" s="240"/>
      <c r="DX925" s="240"/>
      <c r="DY925" s="240"/>
      <c r="DZ925" s="240"/>
      <c r="EA925" s="240"/>
      <c r="EB925" s="237">
        <f t="shared" si="112"/>
        <v>0</v>
      </c>
      <c r="EC925" s="237">
        <f t="shared" si="113"/>
        <v>0</v>
      </c>
      <c r="ED925" s="237">
        <f t="shared" si="114"/>
        <v>0</v>
      </c>
      <c r="EE925" s="237">
        <f t="shared" si="115"/>
        <v>0</v>
      </c>
      <c r="EF925" s="121"/>
      <c r="EG925" s="238">
        <f t="shared" si="116"/>
        <v>0</v>
      </c>
      <c r="EH925" s="121"/>
      <c r="EI925" s="237">
        <f t="shared" si="117"/>
        <v>0</v>
      </c>
      <c r="EJ925" s="121"/>
      <c r="EK925" s="237">
        <f t="shared" si="118"/>
        <v>0</v>
      </c>
      <c r="EL925" s="237"/>
      <c r="EM925" s="5"/>
      <c r="EN925" s="5"/>
      <c r="EO925" s="5"/>
      <c r="EP925" s="5"/>
      <c r="EQ925" s="237">
        <f t="shared" si="119"/>
        <v>0</v>
      </c>
      <c r="ER925" s="239">
        <v>23300</v>
      </c>
      <c r="ES925" s="5">
        <v>7.5</v>
      </c>
    </row>
    <row r="926" spans="1:149" x14ac:dyDescent="0.3">
      <c r="A926" s="124"/>
      <c r="B926" s="121"/>
      <c r="C926" s="121"/>
      <c r="D926" s="121"/>
      <c r="E926" s="121"/>
      <c r="F926" s="121"/>
      <c r="G926" s="121"/>
      <c r="H926" s="121"/>
      <c r="I926" s="121"/>
      <c r="J926" s="121"/>
      <c r="K926" s="121"/>
      <c r="L926" s="121"/>
      <c r="M926" s="121"/>
      <c r="N926" s="121"/>
      <c r="O926" s="235"/>
      <c r="P926" s="121"/>
      <c r="Q926" s="121"/>
      <c r="R926" s="121"/>
      <c r="S926" s="121"/>
      <c r="T926" s="121"/>
      <c r="U926" s="121"/>
      <c r="V926" s="121"/>
      <c r="W926" s="121"/>
      <c r="X926" s="117"/>
      <c r="Y926" s="117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21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  <c r="DK926" s="121"/>
      <c r="DL926" s="121"/>
      <c r="DM926" s="121"/>
      <c r="DN926" s="121"/>
      <c r="DO926" s="121"/>
      <c r="DP926" s="121"/>
      <c r="DQ926" s="121"/>
      <c r="DR926" s="121"/>
      <c r="DS926" s="121"/>
      <c r="DT926" s="240"/>
      <c r="DU926" s="240"/>
      <c r="DV926" s="240"/>
      <c r="DW926" s="240"/>
      <c r="DX926" s="240"/>
      <c r="DY926" s="240"/>
      <c r="DZ926" s="240"/>
      <c r="EA926" s="240"/>
      <c r="EB926" s="237">
        <f t="shared" si="112"/>
        <v>0</v>
      </c>
      <c r="EC926" s="237">
        <f t="shared" si="113"/>
        <v>0</v>
      </c>
      <c r="ED926" s="237">
        <f t="shared" si="114"/>
        <v>0</v>
      </c>
      <c r="EE926" s="237">
        <f t="shared" si="115"/>
        <v>0</v>
      </c>
      <c r="EF926" s="121"/>
      <c r="EG926" s="238">
        <f t="shared" si="116"/>
        <v>0</v>
      </c>
      <c r="EH926" s="121"/>
      <c r="EI926" s="237">
        <f t="shared" si="117"/>
        <v>0</v>
      </c>
      <c r="EJ926" s="121"/>
      <c r="EK926" s="237">
        <f t="shared" si="118"/>
        <v>0</v>
      </c>
      <c r="EL926" s="237"/>
      <c r="EM926" s="5"/>
      <c r="EN926" s="5"/>
      <c r="EO926" s="5"/>
      <c r="EP926" s="5"/>
      <c r="EQ926" s="237">
        <f t="shared" si="119"/>
        <v>0</v>
      </c>
      <c r="ER926" s="239">
        <v>23300</v>
      </c>
      <c r="ES926" s="5">
        <v>7.5</v>
      </c>
    </row>
    <row r="927" spans="1:149" x14ac:dyDescent="0.3">
      <c r="A927" s="124"/>
      <c r="B927" s="121"/>
      <c r="C927" s="121"/>
      <c r="D927" s="121"/>
      <c r="E927" s="121"/>
      <c r="F927" s="121"/>
      <c r="G927" s="121"/>
      <c r="H927" s="121"/>
      <c r="I927" s="121"/>
      <c r="J927" s="121"/>
      <c r="K927" s="121"/>
      <c r="L927" s="121"/>
      <c r="M927" s="121"/>
      <c r="N927" s="121"/>
      <c r="O927" s="235"/>
      <c r="P927" s="121"/>
      <c r="Q927" s="121"/>
      <c r="R927" s="121"/>
      <c r="S927" s="121"/>
      <c r="T927" s="121"/>
      <c r="U927" s="121"/>
      <c r="V927" s="121"/>
      <c r="W927" s="121"/>
      <c r="X927" s="117"/>
      <c r="Y927" s="117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21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  <c r="DK927" s="121"/>
      <c r="DL927" s="121"/>
      <c r="DM927" s="121"/>
      <c r="DN927" s="121"/>
      <c r="DO927" s="121"/>
      <c r="DP927" s="121"/>
      <c r="DQ927" s="121"/>
      <c r="DR927" s="121"/>
      <c r="DS927" s="121"/>
      <c r="DT927" s="240"/>
      <c r="DU927" s="240"/>
      <c r="DV927" s="240"/>
      <c r="DW927" s="240"/>
      <c r="DX927" s="240"/>
      <c r="DY927" s="240"/>
      <c r="DZ927" s="240"/>
      <c r="EA927" s="240"/>
      <c r="EB927" s="237">
        <f t="shared" si="112"/>
        <v>0</v>
      </c>
      <c r="EC927" s="237">
        <f t="shared" si="113"/>
        <v>0</v>
      </c>
      <c r="ED927" s="237">
        <f t="shared" si="114"/>
        <v>0</v>
      </c>
      <c r="EE927" s="237">
        <f t="shared" si="115"/>
        <v>0</v>
      </c>
      <c r="EF927" s="121"/>
      <c r="EG927" s="238">
        <f t="shared" si="116"/>
        <v>0</v>
      </c>
      <c r="EH927" s="121"/>
      <c r="EI927" s="237">
        <f t="shared" si="117"/>
        <v>0</v>
      </c>
      <c r="EJ927" s="121"/>
      <c r="EK927" s="237">
        <f t="shared" si="118"/>
        <v>0</v>
      </c>
      <c r="EL927" s="237"/>
      <c r="EM927" s="5"/>
      <c r="EN927" s="5"/>
      <c r="EO927" s="5"/>
      <c r="EP927" s="5"/>
      <c r="EQ927" s="237">
        <f t="shared" si="119"/>
        <v>0</v>
      </c>
      <c r="ER927" s="239">
        <v>23300</v>
      </c>
      <c r="ES927" s="5">
        <v>7.5</v>
      </c>
    </row>
    <row r="928" spans="1:149" x14ac:dyDescent="0.3">
      <c r="A928" s="124"/>
      <c r="B928" s="121"/>
      <c r="C928" s="121"/>
      <c r="D928" s="121"/>
      <c r="E928" s="121"/>
      <c r="F928" s="121"/>
      <c r="G928" s="121"/>
      <c r="H928" s="121"/>
      <c r="I928" s="121"/>
      <c r="J928" s="121"/>
      <c r="K928" s="121"/>
      <c r="L928" s="121"/>
      <c r="M928" s="121"/>
      <c r="N928" s="121"/>
      <c r="O928" s="235"/>
      <c r="P928" s="121"/>
      <c r="Q928" s="121"/>
      <c r="R928" s="121"/>
      <c r="S928" s="121"/>
      <c r="T928" s="121"/>
      <c r="U928" s="121"/>
      <c r="V928" s="121"/>
      <c r="W928" s="121"/>
      <c r="X928" s="117"/>
      <c r="Y928" s="117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21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  <c r="DK928" s="121"/>
      <c r="DL928" s="121"/>
      <c r="DM928" s="121"/>
      <c r="DN928" s="121"/>
      <c r="DO928" s="121"/>
      <c r="DP928" s="121"/>
      <c r="DQ928" s="121"/>
      <c r="DR928" s="121"/>
      <c r="DS928" s="121"/>
      <c r="DT928" s="240"/>
      <c r="DU928" s="240"/>
      <c r="DV928" s="240"/>
      <c r="DW928" s="240"/>
      <c r="DX928" s="240"/>
      <c r="DY928" s="240"/>
      <c r="DZ928" s="240"/>
      <c r="EA928" s="240"/>
      <c r="EB928" s="237">
        <f t="shared" si="112"/>
        <v>0</v>
      </c>
      <c r="EC928" s="237">
        <f t="shared" si="113"/>
        <v>0</v>
      </c>
      <c r="ED928" s="237">
        <f t="shared" si="114"/>
        <v>0</v>
      </c>
      <c r="EE928" s="237">
        <f t="shared" si="115"/>
        <v>0</v>
      </c>
      <c r="EF928" s="121"/>
      <c r="EG928" s="238">
        <f t="shared" si="116"/>
        <v>0</v>
      </c>
      <c r="EH928" s="121"/>
      <c r="EI928" s="237">
        <f t="shared" si="117"/>
        <v>0</v>
      </c>
      <c r="EJ928" s="121"/>
      <c r="EK928" s="237">
        <f t="shared" si="118"/>
        <v>0</v>
      </c>
      <c r="EL928" s="237"/>
      <c r="EM928" s="5"/>
      <c r="EN928" s="5"/>
      <c r="EO928" s="5"/>
      <c r="EP928" s="5"/>
      <c r="EQ928" s="237">
        <f t="shared" si="119"/>
        <v>0</v>
      </c>
      <c r="ER928" s="239">
        <v>23300</v>
      </c>
      <c r="ES928" s="5">
        <v>7.5</v>
      </c>
    </row>
    <row r="929" spans="1:149" x14ac:dyDescent="0.3">
      <c r="A929" s="124"/>
      <c r="B929" s="121"/>
      <c r="C929" s="121"/>
      <c r="D929" s="121"/>
      <c r="E929" s="121"/>
      <c r="F929" s="121"/>
      <c r="G929" s="121"/>
      <c r="H929" s="121"/>
      <c r="I929" s="121"/>
      <c r="J929" s="121"/>
      <c r="K929" s="121"/>
      <c r="L929" s="121"/>
      <c r="M929" s="121"/>
      <c r="N929" s="121"/>
      <c r="O929" s="235"/>
      <c r="P929" s="121"/>
      <c r="Q929" s="121"/>
      <c r="R929" s="121"/>
      <c r="S929" s="121"/>
      <c r="T929" s="121"/>
      <c r="U929" s="121"/>
      <c r="V929" s="121"/>
      <c r="W929" s="121"/>
      <c r="X929" s="117"/>
      <c r="Y929" s="117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21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  <c r="DK929" s="121"/>
      <c r="DL929" s="121"/>
      <c r="DM929" s="121"/>
      <c r="DN929" s="121"/>
      <c r="DO929" s="121"/>
      <c r="DP929" s="121"/>
      <c r="DQ929" s="121"/>
      <c r="DR929" s="121"/>
      <c r="DS929" s="121"/>
      <c r="DT929" s="240"/>
      <c r="DU929" s="240"/>
      <c r="DV929" s="240"/>
      <c r="DW929" s="240"/>
      <c r="DX929" s="240"/>
      <c r="DY929" s="240"/>
      <c r="DZ929" s="240"/>
      <c r="EA929" s="240"/>
      <c r="EB929" s="237">
        <f t="shared" si="112"/>
        <v>0</v>
      </c>
      <c r="EC929" s="237">
        <f t="shared" si="113"/>
        <v>0</v>
      </c>
      <c r="ED929" s="237">
        <f t="shared" si="114"/>
        <v>0</v>
      </c>
      <c r="EE929" s="237">
        <f t="shared" si="115"/>
        <v>0</v>
      </c>
      <c r="EF929" s="121"/>
      <c r="EG929" s="238">
        <f t="shared" si="116"/>
        <v>0</v>
      </c>
      <c r="EH929" s="121"/>
      <c r="EI929" s="237">
        <f t="shared" si="117"/>
        <v>0</v>
      </c>
      <c r="EJ929" s="121"/>
      <c r="EK929" s="237">
        <f t="shared" si="118"/>
        <v>0</v>
      </c>
      <c r="EL929" s="237"/>
      <c r="EM929" s="5"/>
      <c r="EN929" s="5"/>
      <c r="EO929" s="5"/>
      <c r="EP929" s="5"/>
      <c r="EQ929" s="237">
        <f t="shared" si="119"/>
        <v>0</v>
      </c>
      <c r="ER929" s="239">
        <v>23300</v>
      </c>
      <c r="ES929" s="5">
        <v>7.5</v>
      </c>
    </row>
    <row r="930" spans="1:149" x14ac:dyDescent="0.3">
      <c r="A930" s="124"/>
      <c r="B930" s="121"/>
      <c r="C930" s="121"/>
      <c r="D930" s="121"/>
      <c r="E930" s="121"/>
      <c r="F930" s="121"/>
      <c r="G930" s="121"/>
      <c r="H930" s="121"/>
      <c r="I930" s="121"/>
      <c r="J930" s="121"/>
      <c r="K930" s="121"/>
      <c r="L930" s="121"/>
      <c r="M930" s="121"/>
      <c r="N930" s="121"/>
      <c r="O930" s="235"/>
      <c r="P930" s="121"/>
      <c r="Q930" s="121"/>
      <c r="R930" s="121"/>
      <c r="S930" s="121"/>
      <c r="T930" s="121"/>
      <c r="U930" s="121"/>
      <c r="V930" s="121"/>
      <c r="W930" s="121"/>
      <c r="X930" s="117"/>
      <c r="Y930" s="117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21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  <c r="DK930" s="121"/>
      <c r="DL930" s="121"/>
      <c r="DM930" s="121"/>
      <c r="DN930" s="121"/>
      <c r="DO930" s="121"/>
      <c r="DP930" s="121"/>
      <c r="DQ930" s="121"/>
      <c r="DR930" s="121"/>
      <c r="DS930" s="121"/>
      <c r="DT930" s="240"/>
      <c r="DU930" s="240"/>
      <c r="DV930" s="240"/>
      <c r="DW930" s="240"/>
      <c r="DX930" s="240"/>
      <c r="DY930" s="240"/>
      <c r="DZ930" s="240"/>
      <c r="EA930" s="240"/>
      <c r="EB930" s="237">
        <f t="shared" si="112"/>
        <v>0</v>
      </c>
      <c r="EC930" s="237">
        <f t="shared" si="113"/>
        <v>0</v>
      </c>
      <c r="ED930" s="237">
        <f t="shared" si="114"/>
        <v>0</v>
      </c>
      <c r="EE930" s="237">
        <f t="shared" si="115"/>
        <v>0</v>
      </c>
      <c r="EF930" s="121"/>
      <c r="EG930" s="238">
        <f t="shared" si="116"/>
        <v>0</v>
      </c>
      <c r="EH930" s="121"/>
      <c r="EI930" s="237">
        <f t="shared" si="117"/>
        <v>0</v>
      </c>
      <c r="EJ930" s="121"/>
      <c r="EK930" s="237">
        <f t="shared" si="118"/>
        <v>0</v>
      </c>
      <c r="EL930" s="237"/>
      <c r="EM930" s="5"/>
      <c r="EN930" s="5"/>
      <c r="EO930" s="5"/>
      <c r="EP930" s="5"/>
      <c r="EQ930" s="237">
        <f t="shared" si="119"/>
        <v>0</v>
      </c>
      <c r="ER930" s="239">
        <v>23300</v>
      </c>
      <c r="ES930" s="5">
        <v>7.5</v>
      </c>
    </row>
    <row r="931" spans="1:149" x14ac:dyDescent="0.3">
      <c r="A931" s="124"/>
      <c r="B931" s="121"/>
      <c r="C931" s="121"/>
      <c r="D931" s="121"/>
      <c r="E931" s="121"/>
      <c r="F931" s="121"/>
      <c r="G931" s="121"/>
      <c r="H931" s="121"/>
      <c r="I931" s="121"/>
      <c r="J931" s="121"/>
      <c r="K931" s="121"/>
      <c r="L931" s="121"/>
      <c r="M931" s="121"/>
      <c r="N931" s="121"/>
      <c r="O931" s="235"/>
      <c r="P931" s="121"/>
      <c r="Q931" s="121"/>
      <c r="R931" s="121"/>
      <c r="S931" s="121"/>
      <c r="T931" s="121"/>
      <c r="U931" s="121"/>
      <c r="V931" s="121"/>
      <c r="W931" s="121"/>
      <c r="X931" s="117"/>
      <c r="Y931" s="117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21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  <c r="DK931" s="121"/>
      <c r="DL931" s="121"/>
      <c r="DM931" s="121"/>
      <c r="DN931" s="121"/>
      <c r="DO931" s="121"/>
      <c r="DP931" s="121"/>
      <c r="DQ931" s="121"/>
      <c r="DR931" s="121"/>
      <c r="DS931" s="121"/>
      <c r="DT931" s="240"/>
      <c r="DU931" s="240"/>
      <c r="DV931" s="240"/>
      <c r="DW931" s="240"/>
      <c r="DX931" s="240"/>
      <c r="DY931" s="240"/>
      <c r="DZ931" s="240"/>
      <c r="EA931" s="240"/>
      <c r="EB931" s="237">
        <f t="shared" si="112"/>
        <v>0</v>
      </c>
      <c r="EC931" s="237">
        <f t="shared" si="113"/>
        <v>0</v>
      </c>
      <c r="ED931" s="237">
        <f t="shared" si="114"/>
        <v>0</v>
      </c>
      <c r="EE931" s="237">
        <f t="shared" si="115"/>
        <v>0</v>
      </c>
      <c r="EF931" s="121"/>
      <c r="EG931" s="238">
        <f t="shared" si="116"/>
        <v>0</v>
      </c>
      <c r="EH931" s="121"/>
      <c r="EI931" s="237">
        <f t="shared" si="117"/>
        <v>0</v>
      </c>
      <c r="EJ931" s="121"/>
      <c r="EK931" s="237">
        <f t="shared" si="118"/>
        <v>0</v>
      </c>
      <c r="EL931" s="237"/>
      <c r="EM931" s="5"/>
      <c r="EN931" s="5"/>
      <c r="EO931" s="5"/>
      <c r="EP931" s="5"/>
      <c r="EQ931" s="237">
        <f t="shared" si="119"/>
        <v>0</v>
      </c>
      <c r="ER931" s="239">
        <v>23300</v>
      </c>
      <c r="ES931" s="5">
        <v>7.5</v>
      </c>
    </row>
    <row r="932" spans="1:149" x14ac:dyDescent="0.3">
      <c r="A932" s="124"/>
      <c r="B932" s="121"/>
      <c r="C932" s="121"/>
      <c r="D932" s="121"/>
      <c r="E932" s="121"/>
      <c r="F932" s="121"/>
      <c r="G932" s="121"/>
      <c r="H932" s="121"/>
      <c r="I932" s="121"/>
      <c r="J932" s="121"/>
      <c r="K932" s="121"/>
      <c r="L932" s="121"/>
      <c r="M932" s="121"/>
      <c r="N932" s="121"/>
      <c r="O932" s="235"/>
      <c r="P932" s="121"/>
      <c r="Q932" s="121"/>
      <c r="R932" s="121"/>
      <c r="S932" s="121"/>
      <c r="T932" s="121"/>
      <c r="U932" s="121"/>
      <c r="V932" s="121"/>
      <c r="W932" s="121"/>
      <c r="X932" s="117"/>
      <c r="Y932" s="117"/>
      <c r="Z932" s="121"/>
      <c r="AA932" s="121"/>
      <c r="AB932" s="121"/>
      <c r="AC932" s="121"/>
      <c r="AD932" s="121"/>
      <c r="AE932" s="121"/>
      <c r="AF932" s="121"/>
      <c r="AG932" s="121"/>
      <c r="AH932" s="121"/>
      <c r="AI932" s="121"/>
      <c r="AJ932" s="121"/>
      <c r="AK932" s="121"/>
      <c r="AL932" s="121"/>
      <c r="AM932" s="121"/>
      <c r="AN932" s="121"/>
      <c r="AO932" s="121"/>
      <c r="AP932" s="121"/>
      <c r="AQ932" s="121"/>
      <c r="AR932" s="121"/>
      <c r="AS932" s="121"/>
      <c r="AT932" s="121"/>
      <c r="AU932" s="121"/>
      <c r="AV932" s="121"/>
      <c r="AW932" s="121"/>
      <c r="AX932" s="121"/>
      <c r="AY932" s="121"/>
      <c r="AZ932" s="121"/>
      <c r="BA932" s="121"/>
      <c r="BB932" s="121"/>
      <c r="BC932" s="121"/>
      <c r="BD932" s="121"/>
      <c r="BE932" s="121"/>
      <c r="BF932" s="121"/>
      <c r="BG932" s="121"/>
      <c r="BH932" s="121"/>
      <c r="BI932" s="121"/>
      <c r="BJ932" s="121"/>
      <c r="BK932" s="121"/>
      <c r="BL932" s="121"/>
      <c r="BM932" s="121"/>
      <c r="BN932" s="121"/>
      <c r="BO932" s="121"/>
      <c r="BP932" s="121"/>
      <c r="BQ932" s="121"/>
      <c r="BR932" s="121"/>
      <c r="BS932" s="121"/>
      <c r="BT932" s="121"/>
      <c r="BU932" s="121"/>
      <c r="BV932" s="121"/>
      <c r="BW932" s="121"/>
      <c r="BX932" s="121"/>
      <c r="BY932" s="121"/>
      <c r="BZ932" s="121"/>
      <c r="CA932" s="121"/>
      <c r="CB932" s="121"/>
      <c r="CC932" s="121"/>
      <c r="CD932" s="121"/>
      <c r="CE932" s="121"/>
      <c r="CF932" s="121"/>
      <c r="CG932" s="121"/>
      <c r="CH932" s="121"/>
      <c r="CI932" s="121"/>
      <c r="CJ932" s="121"/>
      <c r="CK932" s="121"/>
      <c r="CL932" s="121"/>
      <c r="CM932" s="121"/>
      <c r="CN932" s="121"/>
      <c r="CO932" s="121"/>
      <c r="CP932" s="121"/>
      <c r="CQ932" s="121"/>
      <c r="CR932" s="121"/>
      <c r="CS932" s="121"/>
      <c r="CT932" s="121"/>
      <c r="CU932" s="121"/>
      <c r="CV932" s="121"/>
      <c r="CW932" s="121"/>
      <c r="CX932" s="121"/>
      <c r="CY932" s="121"/>
      <c r="CZ932" s="121"/>
      <c r="DA932" s="121"/>
      <c r="DB932" s="121"/>
      <c r="DC932" s="121"/>
      <c r="DD932" s="121"/>
      <c r="DE932" s="121"/>
      <c r="DF932" s="121"/>
      <c r="DG932" s="121"/>
      <c r="DH932" s="121"/>
      <c r="DI932" s="121"/>
      <c r="DJ932" s="121"/>
      <c r="DK932" s="121"/>
      <c r="DL932" s="121"/>
      <c r="DM932" s="121"/>
      <c r="DN932" s="121"/>
      <c r="DO932" s="121"/>
      <c r="DP932" s="121"/>
      <c r="DQ932" s="121"/>
      <c r="DR932" s="121"/>
      <c r="DS932" s="121"/>
      <c r="DT932" s="240"/>
      <c r="DU932" s="240"/>
      <c r="DV932" s="240"/>
      <c r="DW932" s="240"/>
      <c r="DX932" s="240"/>
      <c r="DY932" s="240"/>
      <c r="DZ932" s="240"/>
      <c r="EA932" s="240"/>
      <c r="EB932" s="237">
        <f t="shared" si="112"/>
        <v>0</v>
      </c>
      <c r="EC932" s="237">
        <f t="shared" si="113"/>
        <v>0</v>
      </c>
      <c r="ED932" s="237">
        <f t="shared" si="114"/>
        <v>0</v>
      </c>
      <c r="EE932" s="237">
        <f t="shared" si="115"/>
        <v>0</v>
      </c>
      <c r="EF932" s="121"/>
      <c r="EG932" s="238">
        <f t="shared" si="116"/>
        <v>0</v>
      </c>
      <c r="EH932" s="121"/>
      <c r="EI932" s="237">
        <f t="shared" si="117"/>
        <v>0</v>
      </c>
      <c r="EJ932" s="121"/>
      <c r="EK932" s="237">
        <f t="shared" si="118"/>
        <v>0</v>
      </c>
      <c r="EL932" s="237"/>
      <c r="EM932" s="5"/>
      <c r="EN932" s="5"/>
      <c r="EO932" s="5"/>
      <c r="EP932" s="5"/>
      <c r="EQ932" s="237">
        <f t="shared" si="119"/>
        <v>0</v>
      </c>
      <c r="ER932" s="239">
        <v>23300</v>
      </c>
      <c r="ES932" s="5">
        <v>7.5</v>
      </c>
    </row>
    <row r="933" spans="1:149" x14ac:dyDescent="0.3">
      <c r="A933" s="124"/>
      <c r="B933" s="121"/>
      <c r="C933" s="121"/>
      <c r="D933" s="121" t="s">
        <v>158</v>
      </c>
      <c r="E933" s="121"/>
      <c r="F933" s="121"/>
      <c r="G933" s="121" t="s">
        <v>121</v>
      </c>
      <c r="H933" s="121" t="s">
        <v>159</v>
      </c>
      <c r="I933" s="121"/>
      <c r="J933" s="121"/>
      <c r="K933" s="121">
        <v>15</v>
      </c>
      <c r="L933" s="121"/>
      <c r="M933" s="121"/>
      <c r="N933" s="121"/>
      <c r="O933" s="235" t="s">
        <v>160</v>
      </c>
      <c r="P933" s="121"/>
      <c r="Q933" s="121"/>
      <c r="R933" s="121"/>
      <c r="S933" s="121"/>
      <c r="T933" s="121"/>
      <c r="U933" s="121"/>
      <c r="V933" s="121"/>
      <c r="W933" s="121"/>
      <c r="X933" s="117"/>
      <c r="Y933" s="117"/>
      <c r="Z933" s="121" t="s">
        <v>128</v>
      </c>
      <c r="AA933" s="121"/>
      <c r="AB933" s="121"/>
      <c r="AC933" s="121">
        <v>15</v>
      </c>
      <c r="AD933" s="121">
        <v>500</v>
      </c>
      <c r="AE933" s="121"/>
      <c r="AF933" s="121">
        <v>150</v>
      </c>
      <c r="AG933" s="121"/>
      <c r="AH933" s="121"/>
      <c r="AI933" s="121"/>
      <c r="AJ933" s="121"/>
      <c r="AK933" s="121"/>
      <c r="AL933" s="121"/>
      <c r="AM933" s="121"/>
      <c r="AN933" s="121"/>
      <c r="AO933" s="121"/>
      <c r="AP933" s="121"/>
      <c r="AQ933" s="121"/>
      <c r="AR933" s="121"/>
      <c r="AS933" s="121"/>
      <c r="AT933" s="121"/>
      <c r="AU933" s="121"/>
      <c r="AV933" s="121"/>
      <c r="AW933" s="121"/>
      <c r="AX933" s="121"/>
      <c r="AY933" s="121"/>
      <c r="AZ933" s="121"/>
      <c r="BA933" s="121"/>
      <c r="BB933" s="121"/>
      <c r="BC933" s="121"/>
      <c r="BD933" s="121"/>
      <c r="BE933" s="121"/>
      <c r="BF933" s="121"/>
      <c r="BG933" s="121"/>
      <c r="BH933" s="121"/>
      <c r="BI933" s="121"/>
      <c r="BJ933" s="121"/>
      <c r="BK933" s="121"/>
      <c r="BL933" s="121"/>
      <c r="BM933" s="121"/>
      <c r="BN933" s="121"/>
      <c r="BO933" s="121"/>
      <c r="BP933" s="121"/>
      <c r="BQ933" s="121"/>
      <c r="BR933" s="121"/>
      <c r="BS933" s="121"/>
      <c r="BT933" s="121"/>
      <c r="BU933" s="121"/>
      <c r="BV933" s="121"/>
      <c r="BW933" s="121"/>
      <c r="BX933" s="121"/>
      <c r="BY933" s="121"/>
      <c r="BZ933" s="121"/>
      <c r="CA933" s="121"/>
      <c r="CB933" s="121"/>
      <c r="CC933" s="121"/>
      <c r="CD933" s="121"/>
      <c r="CE933" s="121"/>
      <c r="CF933" s="121"/>
      <c r="CG933" s="121"/>
      <c r="CH933" s="121"/>
      <c r="CI933" s="121"/>
      <c r="CJ933" s="121"/>
      <c r="CK933" s="121"/>
      <c r="CL933" s="121"/>
      <c r="CM933" s="121"/>
      <c r="CN933" s="121"/>
      <c r="CO933" s="121"/>
      <c r="CP933" s="121"/>
      <c r="CQ933" s="121"/>
      <c r="CR933" s="121"/>
      <c r="CS933" s="121"/>
      <c r="CT933" s="121"/>
      <c r="CU933" s="121"/>
      <c r="CV933" s="121"/>
      <c r="CW933" s="121"/>
      <c r="CX933" s="121"/>
      <c r="CY933" s="121"/>
      <c r="CZ933" s="121"/>
      <c r="DA933" s="121"/>
      <c r="DB933" s="121"/>
      <c r="DC933" s="121"/>
      <c r="DD933" s="121"/>
      <c r="DE933" s="121"/>
      <c r="DF933" s="121"/>
      <c r="DG933" s="121"/>
      <c r="DH933" s="121"/>
      <c r="DI933" s="121"/>
      <c r="DJ933" s="121"/>
      <c r="DK933" s="121"/>
      <c r="DL933" s="121"/>
      <c r="DM933" s="121"/>
      <c r="DN933" s="121"/>
      <c r="DO933" s="121"/>
      <c r="DP933" s="121"/>
      <c r="DQ933" s="121"/>
      <c r="DR933" s="121"/>
      <c r="DS933" s="121"/>
      <c r="DT933" s="240"/>
      <c r="DU933" s="240"/>
      <c r="DV933" s="240"/>
      <c r="DW933" s="240"/>
      <c r="DX933" s="240"/>
      <c r="DY933" s="240"/>
      <c r="DZ933" s="240"/>
      <c r="EA933" s="240"/>
      <c r="EB933" s="237"/>
      <c r="EC933" s="241"/>
      <c r="ED933" s="241"/>
      <c r="EE933" s="241"/>
      <c r="EF933" s="121"/>
      <c r="EG933" s="241"/>
      <c r="EH933" s="121"/>
      <c r="EI933" s="241"/>
      <c r="EJ933" s="121"/>
      <c r="EK933" s="241"/>
      <c r="EL933" s="121"/>
      <c r="EM933" s="121"/>
      <c r="EN933" s="121"/>
      <c r="EO933" s="121"/>
      <c r="EP933" s="121"/>
      <c r="EQ933" s="121"/>
      <c r="ER933" s="121"/>
      <c r="ES933" s="121"/>
    </row>
    <row r="934" spans="1:149" x14ac:dyDescent="0.3">
      <c r="A934" s="124"/>
      <c r="B934" s="121"/>
      <c r="C934" s="121"/>
      <c r="D934" s="121"/>
      <c r="E934" s="121"/>
      <c r="F934" s="121"/>
      <c r="G934" s="121"/>
      <c r="H934" s="121"/>
      <c r="I934" s="121"/>
      <c r="J934" s="121"/>
      <c r="K934" s="121"/>
      <c r="L934" s="121"/>
      <c r="M934" s="121"/>
      <c r="N934" s="121"/>
      <c r="O934" s="235"/>
      <c r="P934" s="121"/>
      <c r="Q934" s="121"/>
      <c r="R934" s="121"/>
      <c r="S934" s="121"/>
      <c r="T934" s="121"/>
      <c r="U934" s="121"/>
      <c r="V934" s="121"/>
      <c r="W934" s="121"/>
      <c r="X934" s="117"/>
      <c r="Y934" s="117"/>
      <c r="Z934" s="121"/>
      <c r="AA934" s="121"/>
      <c r="AB934" s="121"/>
      <c r="AC934" s="121"/>
      <c r="AD934" s="121"/>
      <c r="AE934" s="121"/>
      <c r="AF934" s="121"/>
      <c r="AG934" s="121"/>
      <c r="AH934" s="121"/>
      <c r="AI934" s="121"/>
      <c r="AJ934" s="121"/>
      <c r="AK934" s="121"/>
      <c r="AL934" s="121"/>
      <c r="AM934" s="121"/>
      <c r="AN934" s="121"/>
      <c r="AO934" s="121"/>
      <c r="AP934" s="121"/>
      <c r="AQ934" s="121"/>
      <c r="AR934" s="121"/>
      <c r="AS934" s="121"/>
      <c r="AT934" s="121"/>
      <c r="AU934" s="121"/>
      <c r="AV934" s="121"/>
      <c r="AW934" s="121"/>
      <c r="AX934" s="121"/>
      <c r="AY934" s="121"/>
      <c r="AZ934" s="121"/>
      <c r="BA934" s="121"/>
      <c r="BB934" s="121"/>
      <c r="BC934" s="121"/>
      <c r="BD934" s="121"/>
      <c r="BE934" s="121"/>
      <c r="BF934" s="121"/>
      <c r="BG934" s="121"/>
      <c r="BH934" s="121"/>
      <c r="BI934" s="121"/>
      <c r="BJ934" s="121"/>
      <c r="BK934" s="121"/>
      <c r="BL934" s="121"/>
      <c r="BM934" s="121"/>
      <c r="BN934" s="121"/>
      <c r="BO934" s="121"/>
      <c r="BP934" s="121"/>
      <c r="BQ934" s="121"/>
      <c r="BR934" s="121"/>
      <c r="BS934" s="121"/>
      <c r="BT934" s="121"/>
      <c r="BU934" s="121"/>
      <c r="BV934" s="121"/>
      <c r="BW934" s="121"/>
      <c r="BX934" s="121"/>
      <c r="BY934" s="121"/>
      <c r="BZ934" s="121"/>
      <c r="CA934" s="121"/>
      <c r="CB934" s="121"/>
      <c r="CC934" s="121"/>
      <c r="CD934" s="121"/>
      <c r="CE934" s="121"/>
      <c r="CF934" s="121"/>
      <c r="CG934" s="121"/>
      <c r="CH934" s="121"/>
      <c r="CI934" s="121"/>
      <c r="CJ934" s="121"/>
      <c r="CK934" s="121"/>
      <c r="CL934" s="121"/>
      <c r="CM934" s="121"/>
      <c r="CN934" s="121"/>
      <c r="CO934" s="121"/>
      <c r="CP934" s="121"/>
      <c r="CQ934" s="121"/>
      <c r="CR934" s="121"/>
      <c r="CS934" s="121"/>
      <c r="CT934" s="121"/>
      <c r="CU934" s="121"/>
      <c r="CV934" s="121"/>
      <c r="CW934" s="121"/>
      <c r="CX934" s="121"/>
      <c r="CY934" s="121"/>
      <c r="CZ934" s="121"/>
      <c r="DA934" s="121"/>
      <c r="DB934" s="121"/>
      <c r="DC934" s="121"/>
      <c r="DD934" s="121"/>
      <c r="DE934" s="121"/>
      <c r="DF934" s="121"/>
      <c r="DG934" s="121"/>
      <c r="DH934" s="121"/>
      <c r="DI934" s="121"/>
      <c r="DJ934" s="121"/>
      <c r="DK934" s="121"/>
      <c r="DL934" s="121"/>
      <c r="DM934" s="121"/>
      <c r="DN934" s="121"/>
      <c r="DO934" s="121"/>
      <c r="DP934" s="121"/>
      <c r="DQ934" s="121"/>
      <c r="DR934" s="121"/>
      <c r="DS934" s="121"/>
      <c r="DT934" s="240"/>
      <c r="DU934" s="240"/>
      <c r="DV934" s="240"/>
      <c r="DW934" s="240"/>
      <c r="DX934" s="240"/>
      <c r="DY934" s="240"/>
      <c r="DZ934" s="240"/>
      <c r="EA934" s="240"/>
      <c r="EB934" s="237"/>
      <c r="EC934" s="241"/>
      <c r="ED934" s="241"/>
      <c r="EE934" s="241"/>
      <c r="EF934" s="121"/>
      <c r="EG934" s="241"/>
      <c r="EH934" s="121"/>
      <c r="EI934" s="241"/>
      <c r="EJ934" s="121"/>
      <c r="EK934" s="241"/>
      <c r="EL934" s="121"/>
      <c r="EM934" s="121"/>
      <c r="EN934" s="121"/>
      <c r="EO934" s="121"/>
      <c r="EP934" s="121"/>
      <c r="EQ934" s="121"/>
      <c r="ER934" s="121"/>
      <c r="ES934" s="121"/>
    </row>
    <row r="935" spans="1:149" x14ac:dyDescent="0.3">
      <c r="A935" s="124"/>
      <c r="B935" s="121"/>
      <c r="C935" s="121"/>
      <c r="D935" s="121"/>
      <c r="E935" s="121"/>
      <c r="F935" s="121"/>
      <c r="G935" s="121"/>
      <c r="H935" s="121"/>
      <c r="I935" s="121"/>
      <c r="J935" s="121"/>
      <c r="K935" s="121"/>
      <c r="L935" s="121"/>
      <c r="M935" s="121"/>
      <c r="N935" s="121"/>
      <c r="O935" s="235"/>
      <c r="P935" s="121"/>
      <c r="Q935" s="121"/>
      <c r="R935" s="121"/>
      <c r="S935" s="121"/>
      <c r="T935" s="121"/>
      <c r="U935" s="121"/>
      <c r="V935" s="121"/>
      <c r="W935" s="121"/>
      <c r="X935" s="117"/>
      <c r="Y935" s="117"/>
      <c r="Z935" s="121"/>
      <c r="AA935" s="121"/>
      <c r="AB935" s="121"/>
      <c r="AC935" s="121"/>
      <c r="AD935" s="121"/>
      <c r="AE935" s="121"/>
      <c r="AF935" s="121"/>
      <c r="AG935" s="121"/>
      <c r="AH935" s="121"/>
      <c r="AI935" s="121"/>
      <c r="AJ935" s="121"/>
      <c r="AK935" s="121"/>
      <c r="AL935" s="121"/>
      <c r="AM935" s="121"/>
      <c r="AN935" s="121"/>
      <c r="AO935" s="121"/>
      <c r="AP935" s="121"/>
      <c r="AQ935" s="121"/>
      <c r="AR935" s="121"/>
      <c r="AS935" s="121"/>
      <c r="AT935" s="121"/>
      <c r="AU935" s="121"/>
      <c r="AV935" s="121"/>
      <c r="AW935" s="121"/>
      <c r="AX935" s="121"/>
      <c r="AY935" s="121"/>
      <c r="AZ935" s="121"/>
      <c r="BA935" s="121"/>
      <c r="BB935" s="121"/>
      <c r="BC935" s="121"/>
      <c r="BD935" s="121"/>
      <c r="BE935" s="121"/>
      <c r="BF935" s="121"/>
      <c r="BG935" s="121"/>
      <c r="BH935" s="121"/>
      <c r="BI935" s="121"/>
      <c r="BJ935" s="121"/>
      <c r="BK935" s="121"/>
      <c r="BL935" s="121"/>
      <c r="BM935" s="121"/>
      <c r="BN935" s="121"/>
      <c r="BO935" s="121"/>
      <c r="BP935" s="121"/>
      <c r="BQ935" s="121"/>
      <c r="BR935" s="121"/>
      <c r="BS935" s="121"/>
      <c r="BT935" s="121"/>
      <c r="BU935" s="121"/>
      <c r="BV935" s="121"/>
      <c r="BW935" s="121"/>
      <c r="BX935" s="121"/>
      <c r="BY935" s="121"/>
      <c r="BZ935" s="121"/>
      <c r="CA935" s="121"/>
      <c r="CB935" s="121"/>
      <c r="CC935" s="121"/>
      <c r="CD935" s="121"/>
      <c r="CE935" s="121"/>
      <c r="CF935" s="121"/>
      <c r="CG935" s="121"/>
      <c r="CH935" s="121"/>
      <c r="CI935" s="121"/>
      <c r="CJ935" s="121"/>
      <c r="CK935" s="121"/>
      <c r="CL935" s="121"/>
      <c r="CM935" s="121"/>
      <c r="CN935" s="121"/>
      <c r="CO935" s="121"/>
      <c r="CP935" s="121"/>
      <c r="CQ935" s="121"/>
      <c r="CR935" s="121"/>
      <c r="CS935" s="121"/>
      <c r="CT935" s="121"/>
      <c r="CU935" s="121"/>
      <c r="CV935" s="121"/>
      <c r="CW935" s="121"/>
      <c r="CX935" s="121"/>
      <c r="CY935" s="121"/>
      <c r="CZ935" s="121"/>
      <c r="DA935" s="121"/>
      <c r="DB935" s="121"/>
      <c r="DC935" s="121"/>
      <c r="DD935" s="121"/>
      <c r="DE935" s="121"/>
      <c r="DF935" s="121"/>
      <c r="DG935" s="121"/>
      <c r="DH935" s="121"/>
      <c r="DI935" s="121"/>
      <c r="DJ935" s="121"/>
      <c r="DK935" s="121"/>
      <c r="DL935" s="121"/>
      <c r="DM935" s="121"/>
      <c r="DN935" s="121"/>
      <c r="DO935" s="121"/>
      <c r="DP935" s="121"/>
      <c r="DQ935" s="121"/>
      <c r="DR935" s="121"/>
      <c r="DS935" s="121"/>
      <c r="DT935" s="240"/>
      <c r="DU935" s="240"/>
      <c r="DV935" s="240"/>
      <c r="DW935" s="240"/>
      <c r="DX935" s="240"/>
      <c r="DY935" s="240"/>
      <c r="DZ935" s="240"/>
      <c r="EA935" s="240"/>
      <c r="EB935" s="237"/>
      <c r="EC935" s="241"/>
      <c r="ED935" s="241"/>
      <c r="EE935" s="241"/>
      <c r="EF935" s="121"/>
      <c r="EG935" s="241"/>
      <c r="EH935" s="121"/>
      <c r="EI935" s="241"/>
      <c r="EJ935" s="121"/>
      <c r="EK935" s="241"/>
      <c r="EL935" s="121"/>
      <c r="EM935" s="121"/>
      <c r="EN935" s="121"/>
      <c r="EO935" s="121"/>
      <c r="EP935" s="121"/>
      <c r="EQ935" s="121"/>
      <c r="ER935" s="121"/>
      <c r="ES935" s="121"/>
    </row>
    <row r="936" spans="1:149" x14ac:dyDescent="0.3">
      <c r="A936" s="124"/>
      <c r="B936" s="121"/>
      <c r="C936" s="121"/>
      <c r="D936" s="121"/>
      <c r="E936" s="121"/>
      <c r="F936" s="121"/>
      <c r="G936" s="121"/>
      <c r="H936" s="121"/>
      <c r="I936" s="121"/>
      <c r="J936" s="121"/>
      <c r="K936" s="121"/>
      <c r="L936" s="121"/>
      <c r="M936" s="121"/>
      <c r="N936" s="121"/>
      <c r="O936" s="235"/>
      <c r="P936" s="121"/>
      <c r="Q936" s="121"/>
      <c r="R936" s="121"/>
      <c r="S936" s="121"/>
      <c r="T936" s="121"/>
      <c r="U936" s="121"/>
      <c r="V936" s="121"/>
      <c r="W936" s="121"/>
      <c r="X936" s="117"/>
      <c r="Y936" s="117"/>
      <c r="Z936" s="121"/>
      <c r="AA936" s="121"/>
      <c r="AB936" s="121"/>
      <c r="AC936" s="121"/>
      <c r="AD936" s="121"/>
      <c r="AE936" s="121"/>
      <c r="AF936" s="121"/>
      <c r="AG936" s="121"/>
      <c r="AH936" s="121"/>
      <c r="AI936" s="121"/>
      <c r="AJ936" s="121"/>
      <c r="AK936" s="121"/>
      <c r="AL936" s="121"/>
      <c r="AM936" s="121"/>
      <c r="AN936" s="121"/>
      <c r="AO936" s="121"/>
      <c r="AP936" s="121"/>
      <c r="AQ936" s="121"/>
      <c r="AR936" s="121"/>
      <c r="AS936" s="121"/>
      <c r="AT936" s="121"/>
      <c r="AU936" s="121"/>
      <c r="AV936" s="121"/>
      <c r="AW936" s="121"/>
      <c r="AX936" s="121"/>
      <c r="AY936" s="121"/>
      <c r="AZ936" s="121"/>
      <c r="BA936" s="121"/>
      <c r="BB936" s="121"/>
      <c r="BC936" s="121"/>
      <c r="BD936" s="121"/>
      <c r="BE936" s="121"/>
      <c r="BF936" s="121"/>
      <c r="BG936" s="121"/>
      <c r="BH936" s="121"/>
      <c r="BI936" s="121"/>
      <c r="BJ936" s="121"/>
      <c r="BK936" s="121"/>
      <c r="BL936" s="121"/>
      <c r="BM936" s="121"/>
      <c r="BN936" s="121"/>
      <c r="BO936" s="121"/>
      <c r="BP936" s="121"/>
      <c r="BQ936" s="121"/>
      <c r="BR936" s="121"/>
      <c r="BS936" s="121"/>
      <c r="BT936" s="121"/>
      <c r="BU936" s="121"/>
      <c r="BV936" s="121"/>
      <c r="BW936" s="121"/>
      <c r="BX936" s="121"/>
      <c r="BY936" s="121"/>
      <c r="BZ936" s="121"/>
      <c r="CA936" s="121"/>
      <c r="CB936" s="121"/>
      <c r="CC936" s="121"/>
      <c r="CD936" s="121"/>
      <c r="CE936" s="121"/>
      <c r="CF936" s="121"/>
      <c r="CG936" s="121"/>
      <c r="CH936" s="121"/>
      <c r="CI936" s="121"/>
      <c r="CJ936" s="121"/>
      <c r="CK936" s="121"/>
      <c r="CL936" s="121"/>
      <c r="CM936" s="121"/>
      <c r="CN936" s="121"/>
      <c r="CO936" s="121"/>
      <c r="CP936" s="121"/>
      <c r="CQ936" s="121"/>
      <c r="CR936" s="121"/>
      <c r="CS936" s="121"/>
      <c r="CT936" s="121"/>
      <c r="CU936" s="121"/>
      <c r="CV936" s="121"/>
      <c r="CW936" s="121"/>
      <c r="CX936" s="121"/>
      <c r="CY936" s="121"/>
      <c r="CZ936" s="121"/>
      <c r="DA936" s="121"/>
      <c r="DB936" s="121"/>
      <c r="DC936" s="121"/>
      <c r="DD936" s="121"/>
      <c r="DE936" s="121"/>
      <c r="DF936" s="121"/>
      <c r="DG936" s="121"/>
      <c r="DH936" s="121"/>
      <c r="DI936" s="121"/>
      <c r="DJ936" s="121"/>
      <c r="DK936" s="121"/>
      <c r="DL936" s="121"/>
      <c r="DM936" s="121"/>
      <c r="DN936" s="121"/>
      <c r="DO936" s="121"/>
      <c r="DP936" s="121"/>
      <c r="DQ936" s="121"/>
      <c r="DR936" s="121"/>
      <c r="DS936" s="121"/>
      <c r="DT936" s="240"/>
      <c r="DU936" s="240"/>
      <c r="DV936" s="240"/>
      <c r="DW936" s="240"/>
      <c r="DX936" s="240"/>
      <c r="DY936" s="240"/>
      <c r="DZ936" s="240"/>
      <c r="EA936" s="240"/>
      <c r="EB936" s="237"/>
      <c r="EC936" s="241"/>
      <c r="ED936" s="241"/>
      <c r="EE936" s="241"/>
      <c r="EF936" s="121"/>
      <c r="EG936" s="241"/>
      <c r="EH936" s="121"/>
      <c r="EI936" s="241"/>
      <c r="EJ936" s="121"/>
      <c r="EK936" s="241"/>
      <c r="EL936" s="121"/>
      <c r="EM936" s="121"/>
      <c r="EN936" s="121"/>
      <c r="EO936" s="121"/>
      <c r="EP936" s="121"/>
      <c r="EQ936" s="121"/>
      <c r="ER936" s="121"/>
      <c r="ES936" s="121"/>
    </row>
    <row r="937" spans="1:149" x14ac:dyDescent="0.3">
      <c r="A937" s="124"/>
      <c r="B937" s="121"/>
      <c r="C937" s="121"/>
      <c r="D937" s="121"/>
      <c r="E937" s="121"/>
      <c r="F937" s="121"/>
      <c r="G937" s="121"/>
      <c r="H937" s="121"/>
      <c r="I937" s="121"/>
      <c r="J937" s="121"/>
      <c r="K937" s="121"/>
      <c r="L937" s="121"/>
      <c r="M937" s="121"/>
      <c r="N937" s="121"/>
      <c r="O937" s="235"/>
      <c r="P937" s="121"/>
      <c r="Q937" s="121"/>
      <c r="R937" s="121"/>
      <c r="S937" s="121"/>
      <c r="T937" s="121"/>
      <c r="U937" s="121"/>
      <c r="V937" s="121"/>
      <c r="W937" s="121"/>
      <c r="X937" s="117"/>
      <c r="Y937" s="117"/>
      <c r="Z937" s="121"/>
      <c r="AA937" s="121"/>
      <c r="AB937" s="121"/>
      <c r="AC937" s="121"/>
      <c r="AD937" s="121"/>
      <c r="AE937" s="121"/>
      <c r="AF937" s="121"/>
      <c r="AG937" s="121"/>
      <c r="AH937" s="121"/>
      <c r="AI937" s="121"/>
      <c r="AJ937" s="121"/>
      <c r="AK937" s="121"/>
      <c r="AL937" s="121"/>
      <c r="AM937" s="121"/>
      <c r="AN937" s="121"/>
      <c r="AO937" s="121"/>
      <c r="AP937" s="121"/>
      <c r="AQ937" s="121"/>
      <c r="AR937" s="121"/>
      <c r="AS937" s="121"/>
      <c r="AT937" s="121"/>
      <c r="AU937" s="121"/>
      <c r="AV937" s="121"/>
      <c r="AW937" s="121"/>
      <c r="AX937" s="121"/>
      <c r="AY937" s="121"/>
      <c r="AZ937" s="121"/>
      <c r="BA937" s="121"/>
      <c r="BB937" s="121"/>
      <c r="BC937" s="121"/>
      <c r="BD937" s="121"/>
      <c r="BE937" s="121"/>
      <c r="BF937" s="121"/>
      <c r="BG937" s="121"/>
      <c r="BH937" s="121"/>
      <c r="BI937" s="121"/>
      <c r="BJ937" s="121"/>
      <c r="BK937" s="121"/>
      <c r="BL937" s="121"/>
      <c r="BM937" s="121"/>
      <c r="BN937" s="121"/>
      <c r="BO937" s="121"/>
      <c r="BP937" s="121"/>
      <c r="BQ937" s="121"/>
      <c r="BR937" s="121"/>
      <c r="BS937" s="121"/>
      <c r="BT937" s="121"/>
      <c r="BU937" s="121"/>
      <c r="BV937" s="121"/>
      <c r="BW937" s="121"/>
      <c r="BX937" s="121"/>
      <c r="BY937" s="121"/>
      <c r="BZ937" s="121"/>
      <c r="CA937" s="121"/>
      <c r="CB937" s="121"/>
      <c r="CC937" s="121"/>
      <c r="CD937" s="121"/>
      <c r="CE937" s="121"/>
      <c r="CF937" s="121"/>
      <c r="CG937" s="121"/>
      <c r="CH937" s="121"/>
      <c r="CI937" s="121"/>
      <c r="CJ937" s="121"/>
      <c r="CK937" s="121"/>
      <c r="CL937" s="121"/>
      <c r="CM937" s="121"/>
      <c r="CN937" s="121"/>
      <c r="CO937" s="121"/>
      <c r="CP937" s="121"/>
      <c r="CQ937" s="121"/>
      <c r="CR937" s="121"/>
      <c r="CS937" s="121"/>
      <c r="CT937" s="121"/>
      <c r="CU937" s="121"/>
      <c r="CV937" s="121"/>
      <c r="CW937" s="121"/>
      <c r="CX937" s="121"/>
      <c r="CY937" s="121"/>
      <c r="CZ937" s="121"/>
      <c r="DA937" s="121"/>
      <c r="DB937" s="121"/>
      <c r="DC937" s="121"/>
      <c r="DD937" s="121"/>
      <c r="DE937" s="121"/>
      <c r="DF937" s="121"/>
      <c r="DG937" s="121"/>
      <c r="DH937" s="121"/>
      <c r="DI937" s="121"/>
      <c r="DJ937" s="121"/>
      <c r="DK937" s="121"/>
      <c r="DL937" s="121"/>
      <c r="DM937" s="121"/>
      <c r="DN937" s="121"/>
      <c r="DO937" s="121"/>
      <c r="DP937" s="121"/>
      <c r="DQ937" s="121"/>
      <c r="DR937" s="121"/>
      <c r="DS937" s="121"/>
      <c r="DT937" s="240"/>
      <c r="DU937" s="240"/>
      <c r="DV937" s="240"/>
      <c r="DW937" s="240"/>
      <c r="DX937" s="240"/>
      <c r="DY937" s="240"/>
      <c r="DZ937" s="240"/>
      <c r="EA937" s="240"/>
      <c r="EB937" s="237"/>
      <c r="EC937" s="241"/>
      <c r="ED937" s="241"/>
      <c r="EE937" s="241"/>
      <c r="EF937" s="121"/>
      <c r="EG937" s="241"/>
      <c r="EH937" s="121"/>
      <c r="EI937" s="241"/>
      <c r="EJ937" s="121"/>
      <c r="EK937" s="241"/>
      <c r="EL937" s="121"/>
      <c r="EM937" s="121"/>
      <c r="EN937" s="121"/>
      <c r="EO937" s="121"/>
      <c r="EP937" s="121"/>
      <c r="EQ937" s="121"/>
      <c r="ER937" s="121"/>
      <c r="ES937" s="121"/>
    </row>
    <row r="938" spans="1:149" x14ac:dyDescent="0.3">
      <c r="A938" s="124"/>
      <c r="B938" s="121"/>
      <c r="C938" s="121"/>
      <c r="D938" s="121"/>
      <c r="E938" s="121"/>
      <c r="F938" s="121"/>
      <c r="G938" s="121"/>
      <c r="H938" s="121"/>
      <c r="I938" s="121"/>
      <c r="J938" s="121"/>
      <c r="K938" s="121"/>
      <c r="L938" s="121"/>
      <c r="M938" s="121"/>
      <c r="N938" s="121"/>
      <c r="O938" s="235"/>
      <c r="P938" s="121"/>
      <c r="Q938" s="121"/>
      <c r="R938" s="121"/>
      <c r="S938" s="121"/>
      <c r="T938" s="121"/>
      <c r="U938" s="121"/>
      <c r="V938" s="121"/>
      <c r="W938" s="121"/>
      <c r="X938" s="117"/>
      <c r="Y938" s="117"/>
      <c r="Z938" s="121"/>
      <c r="AA938" s="121"/>
      <c r="AB938" s="121"/>
      <c r="AC938" s="121"/>
      <c r="AD938" s="121"/>
      <c r="AE938" s="121"/>
      <c r="AF938" s="121"/>
      <c r="AG938" s="121"/>
      <c r="AH938" s="121"/>
      <c r="AI938" s="121"/>
      <c r="AJ938" s="121"/>
      <c r="AK938" s="121"/>
      <c r="AL938" s="121"/>
      <c r="AM938" s="121"/>
      <c r="AN938" s="121"/>
      <c r="AO938" s="121"/>
      <c r="AP938" s="121"/>
      <c r="AQ938" s="121"/>
      <c r="AR938" s="121"/>
      <c r="AS938" s="121"/>
      <c r="AT938" s="121"/>
      <c r="AU938" s="121"/>
      <c r="AV938" s="121"/>
      <c r="AW938" s="121"/>
      <c r="AX938" s="121"/>
      <c r="AY938" s="121"/>
      <c r="AZ938" s="121"/>
      <c r="BA938" s="121"/>
      <c r="BB938" s="121"/>
      <c r="BC938" s="121"/>
      <c r="BD938" s="121"/>
      <c r="BE938" s="121"/>
      <c r="BF938" s="121"/>
      <c r="BG938" s="121"/>
      <c r="BH938" s="121"/>
      <c r="BI938" s="121"/>
      <c r="BJ938" s="121"/>
      <c r="BK938" s="121"/>
      <c r="BL938" s="121"/>
      <c r="BM938" s="121"/>
      <c r="BN938" s="121"/>
      <c r="BO938" s="121"/>
      <c r="BP938" s="121"/>
      <c r="BQ938" s="121"/>
      <c r="BR938" s="121"/>
      <c r="BS938" s="121"/>
      <c r="BT938" s="121"/>
      <c r="BU938" s="121"/>
      <c r="BV938" s="121"/>
      <c r="BW938" s="121"/>
      <c r="BX938" s="121"/>
      <c r="BY938" s="121"/>
      <c r="BZ938" s="121"/>
      <c r="CA938" s="121"/>
      <c r="CB938" s="121"/>
      <c r="CC938" s="121"/>
      <c r="CD938" s="121"/>
      <c r="CE938" s="121"/>
      <c r="CF938" s="121"/>
      <c r="CG938" s="121"/>
      <c r="CH938" s="121"/>
      <c r="CI938" s="121"/>
      <c r="CJ938" s="121"/>
      <c r="CK938" s="121"/>
      <c r="CL938" s="121"/>
      <c r="CM938" s="121"/>
      <c r="CN938" s="121"/>
      <c r="CO938" s="121"/>
      <c r="CP938" s="121"/>
      <c r="CQ938" s="121"/>
      <c r="CR938" s="121"/>
      <c r="CS938" s="121"/>
      <c r="CT938" s="121"/>
      <c r="CU938" s="121"/>
      <c r="CV938" s="121"/>
      <c r="CW938" s="121"/>
      <c r="CX938" s="121"/>
      <c r="CY938" s="121"/>
      <c r="CZ938" s="121"/>
      <c r="DA938" s="121"/>
      <c r="DB938" s="121"/>
      <c r="DC938" s="121"/>
      <c r="DD938" s="121"/>
      <c r="DE938" s="121"/>
      <c r="DF938" s="121"/>
      <c r="DG938" s="121"/>
      <c r="DH938" s="121"/>
      <c r="DI938" s="121"/>
      <c r="DJ938" s="121"/>
      <c r="DK938" s="121"/>
      <c r="DL938" s="121"/>
      <c r="DM938" s="121"/>
      <c r="DN938" s="121"/>
      <c r="DO938" s="121"/>
      <c r="DP938" s="121"/>
      <c r="DQ938" s="121"/>
      <c r="DR938" s="121"/>
      <c r="DS938" s="121"/>
      <c r="DT938" s="240"/>
      <c r="DU938" s="240"/>
      <c r="DV938" s="240"/>
      <c r="DW938" s="240"/>
      <c r="DX938" s="240"/>
      <c r="DY938" s="240"/>
      <c r="DZ938" s="240"/>
      <c r="EA938" s="240"/>
      <c r="EB938" s="237"/>
      <c r="EC938" s="241"/>
      <c r="ED938" s="241"/>
      <c r="EE938" s="241"/>
      <c r="EF938" s="121"/>
      <c r="EG938" s="241"/>
      <c r="EH938" s="121"/>
      <c r="EI938" s="241"/>
      <c r="EJ938" s="121"/>
      <c r="EK938" s="241"/>
      <c r="EL938" s="121"/>
      <c r="EM938" s="121"/>
      <c r="EN938" s="121"/>
      <c r="EO938" s="121"/>
      <c r="EP938" s="121"/>
      <c r="EQ938" s="121"/>
      <c r="ER938" s="121"/>
      <c r="ES938" s="121"/>
    </row>
    <row r="939" spans="1:149" x14ac:dyDescent="0.3">
      <c r="A939" s="124"/>
      <c r="B939" s="121"/>
      <c r="C939" s="121"/>
      <c r="D939" s="121"/>
      <c r="E939" s="121"/>
      <c r="F939" s="121"/>
      <c r="G939" s="121"/>
      <c r="H939" s="121"/>
      <c r="I939" s="121"/>
      <c r="J939" s="121"/>
      <c r="K939" s="121"/>
      <c r="L939" s="121"/>
      <c r="M939" s="121"/>
      <c r="N939" s="121"/>
      <c r="O939" s="235"/>
      <c r="P939" s="121"/>
      <c r="Q939" s="121"/>
      <c r="R939" s="121"/>
      <c r="S939" s="121"/>
      <c r="T939" s="121"/>
      <c r="U939" s="121"/>
      <c r="V939" s="121"/>
      <c r="W939" s="121"/>
      <c r="X939" s="117"/>
      <c r="Y939" s="117"/>
      <c r="Z939" s="121"/>
      <c r="AA939" s="121"/>
      <c r="AB939" s="121"/>
      <c r="AC939" s="121"/>
      <c r="AD939" s="121"/>
      <c r="AE939" s="121"/>
      <c r="AF939" s="121"/>
      <c r="AG939" s="121"/>
      <c r="AH939" s="121"/>
      <c r="AI939" s="121"/>
      <c r="AJ939" s="121"/>
      <c r="AK939" s="121"/>
      <c r="AL939" s="121"/>
      <c r="AM939" s="121"/>
      <c r="AN939" s="121"/>
      <c r="AO939" s="121"/>
      <c r="AP939" s="121"/>
      <c r="AQ939" s="121"/>
      <c r="AR939" s="121"/>
      <c r="AS939" s="121"/>
      <c r="AT939" s="121"/>
      <c r="AU939" s="121"/>
      <c r="AV939" s="121"/>
      <c r="AW939" s="121"/>
      <c r="AX939" s="121"/>
      <c r="AY939" s="121"/>
      <c r="AZ939" s="121"/>
      <c r="BA939" s="121"/>
      <c r="BB939" s="121"/>
      <c r="BC939" s="121"/>
      <c r="BD939" s="121"/>
      <c r="BE939" s="121"/>
      <c r="BF939" s="121"/>
      <c r="BG939" s="121"/>
      <c r="BH939" s="121"/>
      <c r="BI939" s="121"/>
      <c r="BJ939" s="121"/>
      <c r="BK939" s="121"/>
      <c r="BL939" s="121"/>
      <c r="BM939" s="121"/>
      <c r="BN939" s="121"/>
      <c r="BO939" s="121"/>
      <c r="BP939" s="121"/>
      <c r="BQ939" s="121"/>
      <c r="BR939" s="121"/>
      <c r="BS939" s="121"/>
      <c r="BT939" s="121"/>
      <c r="BU939" s="121"/>
      <c r="BV939" s="121"/>
      <c r="BW939" s="121"/>
      <c r="BX939" s="121"/>
      <c r="BY939" s="121"/>
      <c r="BZ939" s="121"/>
      <c r="CA939" s="121"/>
      <c r="CB939" s="121"/>
      <c r="CC939" s="121"/>
      <c r="CD939" s="121"/>
      <c r="CE939" s="121"/>
      <c r="CF939" s="121"/>
      <c r="CG939" s="121"/>
      <c r="CH939" s="121"/>
      <c r="CI939" s="121"/>
      <c r="CJ939" s="121"/>
      <c r="CK939" s="121"/>
      <c r="CL939" s="121"/>
      <c r="CM939" s="121"/>
      <c r="CN939" s="121"/>
      <c r="CO939" s="121"/>
      <c r="CP939" s="121"/>
      <c r="CQ939" s="121"/>
      <c r="CR939" s="121"/>
      <c r="CS939" s="121"/>
      <c r="CT939" s="121"/>
      <c r="CU939" s="121"/>
      <c r="CV939" s="121"/>
      <c r="CW939" s="121"/>
      <c r="CX939" s="121"/>
      <c r="CY939" s="121"/>
      <c r="CZ939" s="121"/>
      <c r="DA939" s="121"/>
      <c r="DB939" s="121"/>
      <c r="DC939" s="121"/>
      <c r="DD939" s="121"/>
      <c r="DE939" s="121"/>
      <c r="DF939" s="121"/>
      <c r="DG939" s="121"/>
      <c r="DH939" s="121"/>
      <c r="DI939" s="121"/>
      <c r="DJ939" s="121"/>
      <c r="DK939" s="121"/>
      <c r="DL939" s="121"/>
      <c r="DM939" s="121"/>
      <c r="DN939" s="121"/>
      <c r="DO939" s="121"/>
      <c r="DP939" s="121"/>
      <c r="DQ939" s="121"/>
      <c r="DR939" s="121"/>
      <c r="DS939" s="121"/>
      <c r="DT939" s="240"/>
      <c r="DU939" s="240"/>
      <c r="DV939" s="240"/>
      <c r="DW939" s="240"/>
      <c r="DX939" s="240"/>
      <c r="DY939" s="240"/>
      <c r="DZ939" s="240"/>
      <c r="EA939" s="240"/>
      <c r="EB939" s="237"/>
      <c r="EC939" s="241"/>
      <c r="ED939" s="241"/>
      <c r="EE939" s="241"/>
      <c r="EF939" s="121"/>
      <c r="EG939" s="241"/>
      <c r="EH939" s="121"/>
      <c r="EI939" s="241"/>
      <c r="EJ939" s="121"/>
      <c r="EK939" s="241"/>
      <c r="EL939" s="121"/>
      <c r="EM939" s="121"/>
      <c r="EN939" s="121"/>
      <c r="EO939" s="121"/>
      <c r="EP939" s="121"/>
      <c r="EQ939" s="121"/>
      <c r="ER939" s="121"/>
      <c r="ES939" s="121"/>
    </row>
    <row r="940" spans="1:149" x14ac:dyDescent="0.3">
      <c r="A940" s="124"/>
      <c r="B940" s="121"/>
      <c r="C940" s="121"/>
      <c r="D940" s="121"/>
      <c r="E940" s="121"/>
      <c r="F940" s="121"/>
      <c r="G940" s="121"/>
      <c r="H940" s="121"/>
      <c r="I940" s="121"/>
      <c r="J940" s="121"/>
      <c r="K940" s="121"/>
      <c r="L940" s="121"/>
      <c r="M940" s="121"/>
      <c r="N940" s="121"/>
      <c r="O940" s="235"/>
      <c r="P940" s="121"/>
      <c r="Q940" s="121"/>
      <c r="R940" s="121"/>
      <c r="S940" s="121"/>
      <c r="T940" s="121"/>
      <c r="U940" s="121"/>
      <c r="V940" s="121"/>
      <c r="W940" s="121"/>
      <c r="X940" s="117"/>
      <c r="Y940" s="117"/>
      <c r="Z940" s="121"/>
      <c r="AA940" s="121"/>
      <c r="AB940" s="121"/>
      <c r="AC940" s="121"/>
      <c r="AD940" s="121"/>
      <c r="AE940" s="121"/>
      <c r="AF940" s="121"/>
      <c r="AG940" s="121"/>
      <c r="AH940" s="121"/>
      <c r="AI940" s="121"/>
      <c r="AJ940" s="121"/>
      <c r="AK940" s="121"/>
      <c r="AL940" s="121"/>
      <c r="AM940" s="121"/>
      <c r="AN940" s="121"/>
      <c r="AO940" s="121"/>
      <c r="AP940" s="121"/>
      <c r="AQ940" s="121"/>
      <c r="AR940" s="121"/>
      <c r="AS940" s="121"/>
      <c r="AT940" s="121"/>
      <c r="AU940" s="121"/>
      <c r="AV940" s="121"/>
      <c r="AW940" s="121"/>
      <c r="AX940" s="121"/>
      <c r="AY940" s="121"/>
      <c r="AZ940" s="121"/>
      <c r="BA940" s="121"/>
      <c r="BB940" s="121"/>
      <c r="BC940" s="121"/>
      <c r="BD940" s="121"/>
      <c r="BE940" s="121"/>
      <c r="BF940" s="121"/>
      <c r="BG940" s="121"/>
      <c r="BH940" s="121"/>
      <c r="BI940" s="121"/>
      <c r="BJ940" s="121"/>
      <c r="BK940" s="121"/>
      <c r="BL940" s="121"/>
      <c r="BM940" s="121"/>
      <c r="BN940" s="121"/>
      <c r="BO940" s="121"/>
      <c r="BP940" s="121"/>
      <c r="BQ940" s="121"/>
      <c r="BR940" s="121"/>
      <c r="BS940" s="121"/>
      <c r="BT940" s="121"/>
      <c r="BU940" s="121"/>
      <c r="BV940" s="121"/>
      <c r="BW940" s="121"/>
      <c r="BX940" s="121"/>
      <c r="BY940" s="121"/>
      <c r="BZ940" s="121"/>
      <c r="CA940" s="121"/>
      <c r="CB940" s="121"/>
      <c r="CC940" s="121"/>
      <c r="CD940" s="121"/>
      <c r="CE940" s="121"/>
      <c r="CF940" s="121"/>
      <c r="CG940" s="121"/>
      <c r="CH940" s="121"/>
      <c r="CI940" s="121"/>
      <c r="CJ940" s="121"/>
      <c r="CK940" s="121"/>
      <c r="CL940" s="121"/>
      <c r="CM940" s="121"/>
      <c r="CN940" s="121"/>
      <c r="CO940" s="121"/>
      <c r="CP940" s="121"/>
      <c r="CQ940" s="121"/>
      <c r="CR940" s="121"/>
      <c r="CS940" s="121"/>
      <c r="CT940" s="121"/>
      <c r="CU940" s="121"/>
      <c r="CV940" s="121"/>
      <c r="CW940" s="121"/>
      <c r="CX940" s="121"/>
      <c r="CY940" s="121"/>
      <c r="CZ940" s="121"/>
      <c r="DA940" s="121"/>
      <c r="DB940" s="121"/>
      <c r="DC940" s="121"/>
      <c r="DD940" s="121"/>
      <c r="DE940" s="121"/>
      <c r="DF940" s="121"/>
      <c r="DG940" s="121"/>
      <c r="DH940" s="121"/>
      <c r="DI940" s="121"/>
      <c r="DJ940" s="121"/>
      <c r="DK940" s="121"/>
      <c r="DL940" s="121"/>
      <c r="DM940" s="121"/>
      <c r="DN940" s="121"/>
      <c r="DO940" s="121"/>
      <c r="DP940" s="121"/>
      <c r="DQ940" s="121"/>
      <c r="DR940" s="121"/>
      <c r="DS940" s="121"/>
      <c r="DT940" s="240"/>
      <c r="DU940" s="240"/>
      <c r="DV940" s="240"/>
      <c r="DW940" s="240"/>
      <c r="DX940" s="240"/>
      <c r="DY940" s="240"/>
      <c r="DZ940" s="240"/>
      <c r="EA940" s="240"/>
      <c r="EB940" s="237"/>
      <c r="EC940" s="241"/>
      <c r="ED940" s="241"/>
      <c r="EE940" s="241"/>
      <c r="EF940" s="121"/>
      <c r="EG940" s="241"/>
      <c r="EH940" s="121"/>
      <c r="EI940" s="241"/>
      <c r="EJ940" s="121"/>
      <c r="EK940" s="241"/>
      <c r="EL940" s="121"/>
      <c r="EM940" s="121"/>
      <c r="EN940" s="121"/>
      <c r="EO940" s="121"/>
      <c r="EP940" s="121"/>
      <c r="EQ940" s="121"/>
      <c r="ER940" s="121"/>
      <c r="ES940" s="121"/>
    </row>
    <row r="941" spans="1:149" x14ac:dyDescent="0.3">
      <c r="A941" s="124"/>
      <c r="B941" s="121"/>
      <c r="C941" s="121"/>
      <c r="D941" s="121"/>
      <c r="E941" s="121"/>
      <c r="F941" s="121"/>
      <c r="G941" s="121"/>
      <c r="H941" s="121"/>
      <c r="I941" s="121"/>
      <c r="J941" s="121"/>
      <c r="K941" s="121"/>
      <c r="L941" s="121"/>
      <c r="M941" s="121"/>
      <c r="N941" s="121"/>
      <c r="O941" s="235"/>
      <c r="P941" s="121"/>
      <c r="Q941" s="121"/>
      <c r="R941" s="121"/>
      <c r="S941" s="121"/>
      <c r="T941" s="121"/>
      <c r="U941" s="121"/>
      <c r="V941" s="121"/>
      <c r="W941" s="121"/>
      <c r="X941" s="117"/>
      <c r="Y941" s="117"/>
      <c r="Z941" s="121"/>
      <c r="AA941" s="121"/>
      <c r="AB941" s="121"/>
      <c r="AC941" s="121"/>
      <c r="AD941" s="121"/>
      <c r="AE941" s="121"/>
      <c r="AF941" s="121"/>
      <c r="AG941" s="121"/>
      <c r="AH941" s="121"/>
      <c r="AI941" s="121"/>
      <c r="AJ941" s="121"/>
      <c r="AK941" s="121"/>
      <c r="AL941" s="121"/>
      <c r="AM941" s="121"/>
      <c r="AN941" s="121"/>
      <c r="AO941" s="121"/>
      <c r="AP941" s="121"/>
      <c r="AQ941" s="121"/>
      <c r="AR941" s="121"/>
      <c r="AS941" s="121"/>
      <c r="AT941" s="121"/>
      <c r="AU941" s="121"/>
      <c r="AV941" s="121"/>
      <c r="AW941" s="121"/>
      <c r="AX941" s="121"/>
      <c r="AY941" s="121"/>
      <c r="AZ941" s="121"/>
      <c r="BA941" s="121"/>
      <c r="BB941" s="121"/>
      <c r="BC941" s="121"/>
      <c r="BD941" s="121"/>
      <c r="BE941" s="121"/>
      <c r="BF941" s="121"/>
      <c r="BG941" s="121"/>
      <c r="BH941" s="121"/>
      <c r="BI941" s="121"/>
      <c r="BJ941" s="121"/>
      <c r="BK941" s="121"/>
      <c r="BL941" s="121"/>
      <c r="BM941" s="121"/>
      <c r="BN941" s="121"/>
      <c r="BO941" s="121"/>
      <c r="BP941" s="121"/>
      <c r="BQ941" s="121"/>
      <c r="BR941" s="121"/>
      <c r="BS941" s="121"/>
      <c r="BT941" s="121"/>
      <c r="BU941" s="121"/>
      <c r="BV941" s="121"/>
      <c r="BW941" s="121"/>
      <c r="BX941" s="121"/>
      <c r="BY941" s="121"/>
      <c r="BZ941" s="121"/>
      <c r="CA941" s="121"/>
      <c r="CB941" s="121"/>
      <c r="CC941" s="121"/>
      <c r="CD941" s="121"/>
      <c r="CE941" s="121"/>
      <c r="CF941" s="121"/>
      <c r="CG941" s="121"/>
      <c r="CH941" s="121"/>
      <c r="CI941" s="121"/>
      <c r="CJ941" s="121"/>
      <c r="CK941" s="121"/>
      <c r="CL941" s="121"/>
      <c r="CM941" s="121"/>
      <c r="CN941" s="121"/>
      <c r="CO941" s="121"/>
      <c r="CP941" s="121"/>
      <c r="CQ941" s="121"/>
      <c r="CR941" s="121"/>
      <c r="CS941" s="121"/>
      <c r="CT941" s="121"/>
      <c r="CU941" s="121"/>
      <c r="CV941" s="121"/>
      <c r="CW941" s="121"/>
      <c r="CX941" s="121"/>
      <c r="CY941" s="121"/>
      <c r="CZ941" s="121"/>
      <c r="DA941" s="121"/>
      <c r="DB941" s="121"/>
      <c r="DC941" s="121"/>
      <c r="DD941" s="121"/>
      <c r="DE941" s="121"/>
      <c r="DF941" s="121"/>
      <c r="DG941" s="121"/>
      <c r="DH941" s="121"/>
      <c r="DI941" s="121"/>
      <c r="DJ941" s="121"/>
      <c r="DK941" s="121"/>
      <c r="DL941" s="121"/>
      <c r="DM941" s="121"/>
      <c r="DN941" s="121"/>
      <c r="DO941" s="121"/>
      <c r="DP941" s="121"/>
      <c r="DQ941" s="121"/>
      <c r="DR941" s="121"/>
      <c r="DS941" s="121"/>
      <c r="DT941" s="240"/>
      <c r="DU941" s="240"/>
      <c r="DV941" s="240"/>
      <c r="DW941" s="240"/>
      <c r="DX941" s="240"/>
      <c r="DY941" s="240"/>
      <c r="DZ941" s="240"/>
      <c r="EA941" s="240"/>
      <c r="EB941" s="237"/>
      <c r="EC941" s="241"/>
      <c r="ED941" s="241"/>
      <c r="EE941" s="241"/>
      <c r="EF941" s="121"/>
      <c r="EG941" s="241"/>
      <c r="EH941" s="121"/>
      <c r="EI941" s="241"/>
      <c r="EJ941" s="121"/>
      <c r="EK941" s="241"/>
      <c r="EL941" s="121"/>
      <c r="EM941" s="121"/>
      <c r="EN941" s="121"/>
      <c r="EO941" s="121"/>
      <c r="EP941" s="121"/>
      <c r="EQ941" s="121"/>
      <c r="ER941" s="121"/>
      <c r="ES941" s="121"/>
    </row>
    <row r="942" spans="1:149" x14ac:dyDescent="0.3">
      <c r="A942" s="124"/>
      <c r="B942" s="121"/>
      <c r="C942" s="121"/>
      <c r="D942" s="121"/>
      <c r="E942" s="121"/>
      <c r="F942" s="121"/>
      <c r="G942" s="121"/>
      <c r="H942" s="121"/>
      <c r="I942" s="121"/>
      <c r="J942" s="121"/>
      <c r="K942" s="121"/>
      <c r="L942" s="121"/>
      <c r="M942" s="121"/>
      <c r="N942" s="121"/>
      <c r="O942" s="235"/>
      <c r="P942" s="121"/>
      <c r="Q942" s="121"/>
      <c r="R942" s="121"/>
      <c r="S942" s="121"/>
      <c r="T942" s="121"/>
      <c r="U942" s="121"/>
      <c r="V942" s="121"/>
      <c r="W942" s="121"/>
      <c r="X942" s="117"/>
      <c r="Y942" s="117"/>
      <c r="Z942" s="121"/>
      <c r="AA942" s="121"/>
      <c r="AB942" s="121"/>
      <c r="AC942" s="121"/>
      <c r="AD942" s="121"/>
      <c r="AE942" s="121"/>
      <c r="AF942" s="121"/>
      <c r="AG942" s="121"/>
      <c r="AH942" s="121"/>
      <c r="AI942" s="121"/>
      <c r="AJ942" s="121"/>
      <c r="AK942" s="121"/>
      <c r="AL942" s="121"/>
      <c r="AM942" s="121"/>
      <c r="AN942" s="121"/>
      <c r="AO942" s="121"/>
      <c r="AP942" s="121"/>
      <c r="AQ942" s="121"/>
      <c r="AR942" s="121"/>
      <c r="AS942" s="121"/>
      <c r="AT942" s="121"/>
      <c r="AU942" s="121"/>
      <c r="AV942" s="121"/>
      <c r="AW942" s="121"/>
      <c r="AX942" s="121"/>
      <c r="AY942" s="121"/>
      <c r="AZ942" s="121"/>
      <c r="BA942" s="121"/>
      <c r="BB942" s="121"/>
      <c r="BC942" s="121"/>
      <c r="BD942" s="121"/>
      <c r="BE942" s="121"/>
      <c r="BF942" s="121"/>
      <c r="BG942" s="121"/>
      <c r="BH942" s="121"/>
      <c r="BI942" s="121"/>
      <c r="BJ942" s="121"/>
      <c r="BK942" s="121"/>
      <c r="BL942" s="121"/>
      <c r="BM942" s="121"/>
      <c r="BN942" s="121"/>
      <c r="BO942" s="121"/>
      <c r="BP942" s="121"/>
      <c r="BQ942" s="121"/>
      <c r="BR942" s="121"/>
      <c r="BS942" s="121"/>
      <c r="BT942" s="121"/>
      <c r="BU942" s="121"/>
      <c r="BV942" s="121"/>
      <c r="BW942" s="121"/>
      <c r="BX942" s="121"/>
      <c r="BY942" s="121"/>
      <c r="BZ942" s="121"/>
      <c r="CA942" s="121"/>
      <c r="CB942" s="121"/>
      <c r="CC942" s="121"/>
      <c r="CD942" s="121"/>
      <c r="CE942" s="121"/>
      <c r="CF942" s="121"/>
      <c r="CG942" s="121"/>
      <c r="CH942" s="121"/>
      <c r="CI942" s="121"/>
      <c r="CJ942" s="121"/>
      <c r="CK942" s="121"/>
      <c r="CL942" s="121"/>
      <c r="CM942" s="121"/>
      <c r="CN942" s="121"/>
      <c r="CO942" s="121"/>
      <c r="CP942" s="121"/>
      <c r="CQ942" s="121"/>
      <c r="CR942" s="121"/>
      <c r="CS942" s="121"/>
      <c r="CT942" s="121"/>
      <c r="CU942" s="121"/>
      <c r="CV942" s="121"/>
      <c r="CW942" s="121"/>
      <c r="CX942" s="121"/>
      <c r="CY942" s="121"/>
      <c r="CZ942" s="121"/>
      <c r="DA942" s="121"/>
      <c r="DB942" s="121"/>
      <c r="DC942" s="121"/>
      <c r="DD942" s="121"/>
      <c r="DE942" s="121"/>
      <c r="DF942" s="121"/>
      <c r="DG942" s="121"/>
      <c r="DH942" s="121"/>
      <c r="DI942" s="121"/>
      <c r="DJ942" s="121"/>
      <c r="DK942" s="121"/>
      <c r="DL942" s="121"/>
      <c r="DM942" s="121"/>
      <c r="DN942" s="121"/>
      <c r="DO942" s="121"/>
      <c r="DP942" s="121"/>
      <c r="DQ942" s="121"/>
      <c r="DR942" s="121"/>
      <c r="DS942" s="121"/>
      <c r="DT942" s="240"/>
      <c r="DU942" s="240"/>
      <c r="DV942" s="240"/>
      <c r="DW942" s="240"/>
      <c r="DX942" s="240"/>
      <c r="DY942" s="240"/>
      <c r="DZ942" s="240"/>
      <c r="EA942" s="240"/>
      <c r="EB942" s="237"/>
      <c r="EC942" s="241"/>
      <c r="ED942" s="241"/>
      <c r="EE942" s="241"/>
      <c r="EF942" s="121"/>
      <c r="EG942" s="241"/>
      <c r="EH942" s="121"/>
      <c r="EI942" s="241"/>
      <c r="EJ942" s="121"/>
      <c r="EK942" s="241"/>
      <c r="EL942" s="121"/>
      <c r="EM942" s="121"/>
      <c r="EN942" s="121"/>
      <c r="EO942" s="121"/>
      <c r="EP942" s="121"/>
      <c r="EQ942" s="121"/>
      <c r="ER942" s="121"/>
      <c r="ES942" s="121"/>
    </row>
    <row r="943" spans="1:149" x14ac:dyDescent="0.3">
      <c r="A943" s="124"/>
      <c r="B943" s="121"/>
      <c r="C943" s="121"/>
      <c r="D943" s="121"/>
      <c r="E943" s="121"/>
      <c r="F943" s="121"/>
      <c r="G943" s="121"/>
      <c r="H943" s="121"/>
      <c r="I943" s="121"/>
      <c r="J943" s="121"/>
      <c r="K943" s="121"/>
      <c r="L943" s="121"/>
      <c r="M943" s="121"/>
      <c r="N943" s="121"/>
      <c r="O943" s="235"/>
      <c r="P943" s="121"/>
      <c r="Q943" s="121"/>
      <c r="R943" s="121"/>
      <c r="S943" s="121"/>
      <c r="T943" s="121"/>
      <c r="U943" s="121"/>
      <c r="V943" s="121"/>
      <c r="W943" s="121"/>
      <c r="X943" s="117"/>
      <c r="Y943" s="117"/>
      <c r="Z943" s="121"/>
      <c r="AA943" s="121"/>
      <c r="AB943" s="121"/>
      <c r="AC943" s="121"/>
      <c r="AD943" s="121"/>
      <c r="AE943" s="121"/>
      <c r="AF943" s="121"/>
      <c r="AG943" s="121"/>
      <c r="AH943" s="121"/>
      <c r="AI943" s="121"/>
      <c r="AJ943" s="121"/>
      <c r="AK943" s="121"/>
      <c r="AL943" s="121"/>
      <c r="AM943" s="121"/>
      <c r="AN943" s="121"/>
      <c r="AO943" s="121"/>
      <c r="AP943" s="121"/>
      <c r="AQ943" s="121"/>
      <c r="AR943" s="121"/>
      <c r="AS943" s="121"/>
      <c r="AT943" s="121"/>
      <c r="AU943" s="121"/>
      <c r="AV943" s="121"/>
      <c r="AW943" s="121"/>
      <c r="AX943" s="121"/>
      <c r="AY943" s="121"/>
      <c r="AZ943" s="121"/>
      <c r="BA943" s="121"/>
      <c r="BB943" s="121"/>
      <c r="BC943" s="121"/>
      <c r="BD943" s="121"/>
      <c r="BE943" s="121"/>
      <c r="BF943" s="121"/>
      <c r="BG943" s="121"/>
      <c r="BH943" s="121"/>
      <c r="BI943" s="121"/>
      <c r="BJ943" s="121"/>
      <c r="BK943" s="121"/>
      <c r="BL943" s="121"/>
      <c r="BM943" s="121"/>
      <c r="BN943" s="121"/>
      <c r="BO943" s="121"/>
      <c r="BP943" s="121"/>
      <c r="BQ943" s="121"/>
      <c r="BR943" s="121"/>
      <c r="BS943" s="121"/>
      <c r="BT943" s="121"/>
      <c r="BU943" s="121"/>
      <c r="BV943" s="121"/>
      <c r="BW943" s="121"/>
      <c r="BX943" s="121"/>
      <c r="BY943" s="121"/>
      <c r="BZ943" s="121"/>
      <c r="CA943" s="121"/>
      <c r="CB943" s="121"/>
      <c r="CC943" s="121"/>
      <c r="CD943" s="121"/>
      <c r="CE943" s="121"/>
      <c r="CF943" s="121"/>
      <c r="CG943" s="121"/>
      <c r="CH943" s="121"/>
      <c r="CI943" s="121"/>
      <c r="CJ943" s="121"/>
      <c r="CK943" s="121"/>
      <c r="CL943" s="121"/>
      <c r="CM943" s="121"/>
      <c r="CN943" s="121"/>
      <c r="CO943" s="121"/>
      <c r="CP943" s="121"/>
      <c r="CQ943" s="121"/>
      <c r="CR943" s="121"/>
      <c r="CS943" s="121"/>
      <c r="CT943" s="121"/>
      <c r="CU943" s="121"/>
      <c r="CV943" s="121"/>
      <c r="CW943" s="121"/>
      <c r="CX943" s="121"/>
      <c r="CY943" s="121"/>
      <c r="CZ943" s="121"/>
      <c r="DA943" s="121"/>
      <c r="DB943" s="121"/>
      <c r="DC943" s="121"/>
      <c r="DD943" s="121"/>
      <c r="DE943" s="121"/>
      <c r="DF943" s="121"/>
      <c r="DG943" s="121"/>
      <c r="DH943" s="121"/>
      <c r="DI943" s="121"/>
      <c r="DJ943" s="121"/>
      <c r="DK943" s="121"/>
      <c r="DL943" s="121"/>
      <c r="DM943" s="121"/>
      <c r="DN943" s="121"/>
      <c r="DO943" s="121"/>
      <c r="DP943" s="121"/>
      <c r="DQ943" s="121"/>
      <c r="DR943" s="121"/>
      <c r="DS943" s="121"/>
      <c r="DT943" s="240"/>
      <c r="DU943" s="240"/>
      <c r="DV943" s="240"/>
      <c r="DW943" s="240"/>
      <c r="DX943" s="240"/>
      <c r="DY943" s="240"/>
      <c r="DZ943" s="240"/>
      <c r="EA943" s="240"/>
      <c r="EB943" s="237"/>
      <c r="EC943" s="241"/>
      <c r="ED943" s="241"/>
      <c r="EE943" s="241"/>
      <c r="EF943" s="121"/>
      <c r="EG943" s="241"/>
      <c r="EH943" s="121"/>
      <c r="EI943" s="241"/>
      <c r="EJ943" s="121"/>
      <c r="EK943" s="241"/>
      <c r="EL943" s="121"/>
      <c r="EM943" s="121"/>
      <c r="EN943" s="121"/>
      <c r="EO943" s="121"/>
      <c r="EP943" s="121"/>
      <c r="EQ943" s="121"/>
      <c r="ER943" s="121"/>
      <c r="ES943" s="121"/>
    </row>
    <row r="944" spans="1:149" x14ac:dyDescent="0.3">
      <c r="A944" s="124"/>
      <c r="B944" s="121"/>
      <c r="C944" s="121"/>
      <c r="D944" s="121"/>
      <c r="E944" s="121"/>
      <c r="F944" s="121"/>
      <c r="G944" s="121"/>
      <c r="H944" s="121"/>
      <c r="I944" s="121"/>
      <c r="J944" s="121"/>
      <c r="K944" s="121"/>
      <c r="L944" s="121"/>
      <c r="M944" s="121"/>
      <c r="N944" s="121"/>
      <c r="O944" s="235"/>
      <c r="P944" s="121"/>
      <c r="Q944" s="121"/>
      <c r="R944" s="121"/>
      <c r="S944" s="121"/>
      <c r="T944" s="121"/>
      <c r="U944" s="121"/>
      <c r="V944" s="121"/>
      <c r="W944" s="121"/>
      <c r="X944" s="117"/>
      <c r="Y944" s="117"/>
      <c r="Z944" s="121"/>
      <c r="AA944" s="121"/>
      <c r="AB944" s="121"/>
      <c r="AC944" s="121"/>
      <c r="AD944" s="121"/>
      <c r="AE944" s="121"/>
      <c r="AF944" s="121"/>
      <c r="AG944" s="121"/>
      <c r="AH944" s="121"/>
      <c r="AI944" s="121"/>
      <c r="AJ944" s="121"/>
      <c r="AK944" s="121"/>
      <c r="AL944" s="121"/>
      <c r="AM944" s="121"/>
      <c r="AN944" s="121"/>
      <c r="AO944" s="121"/>
      <c r="AP944" s="121"/>
      <c r="AQ944" s="121"/>
      <c r="AR944" s="121"/>
      <c r="AS944" s="121"/>
      <c r="AT944" s="121"/>
      <c r="AU944" s="121"/>
      <c r="AV944" s="121"/>
      <c r="AW944" s="121"/>
      <c r="AX944" s="121"/>
      <c r="AY944" s="121"/>
      <c r="AZ944" s="121"/>
      <c r="BA944" s="121"/>
      <c r="BB944" s="121"/>
      <c r="BC944" s="121"/>
      <c r="BD944" s="121"/>
      <c r="BE944" s="121"/>
      <c r="BF944" s="121"/>
      <c r="BG944" s="121"/>
      <c r="BH944" s="121"/>
      <c r="BI944" s="121"/>
      <c r="BJ944" s="121"/>
      <c r="BK944" s="121"/>
      <c r="BL944" s="121"/>
      <c r="BM944" s="121"/>
      <c r="BN944" s="121"/>
      <c r="BO944" s="121"/>
      <c r="BP944" s="121"/>
      <c r="BQ944" s="121"/>
      <c r="BR944" s="121"/>
      <c r="BS944" s="121"/>
      <c r="BT944" s="121"/>
      <c r="BU944" s="121"/>
      <c r="BV944" s="121"/>
      <c r="BW944" s="121"/>
      <c r="BX944" s="121"/>
      <c r="BY944" s="121"/>
      <c r="BZ944" s="121"/>
      <c r="CA944" s="121"/>
      <c r="CB944" s="121"/>
      <c r="CC944" s="121"/>
      <c r="CD944" s="121"/>
      <c r="CE944" s="121"/>
      <c r="CF944" s="121"/>
      <c r="CG944" s="121"/>
      <c r="CH944" s="121"/>
      <c r="CI944" s="121"/>
      <c r="CJ944" s="121"/>
      <c r="CK944" s="121"/>
      <c r="CL944" s="121"/>
      <c r="CM944" s="121"/>
      <c r="CN944" s="121"/>
      <c r="CO944" s="121"/>
      <c r="CP944" s="121"/>
      <c r="CQ944" s="121"/>
      <c r="CR944" s="121"/>
      <c r="CS944" s="121"/>
      <c r="CT944" s="121"/>
      <c r="CU944" s="121"/>
      <c r="CV944" s="121"/>
      <c r="CW944" s="121"/>
      <c r="CX944" s="121"/>
      <c r="CY944" s="121"/>
      <c r="CZ944" s="121"/>
      <c r="DA944" s="121"/>
      <c r="DB944" s="121"/>
      <c r="DC944" s="121"/>
      <c r="DD944" s="121"/>
      <c r="DE944" s="121"/>
      <c r="DF944" s="121"/>
      <c r="DG944" s="121"/>
      <c r="DH944" s="121"/>
      <c r="DI944" s="121"/>
      <c r="DJ944" s="121"/>
      <c r="DK944" s="121"/>
      <c r="DL944" s="121"/>
      <c r="DM944" s="121"/>
      <c r="DN944" s="121"/>
      <c r="DO944" s="121"/>
      <c r="DP944" s="121"/>
      <c r="DQ944" s="121"/>
      <c r="DR944" s="121"/>
      <c r="DS944" s="121"/>
      <c r="DT944" s="240"/>
      <c r="DU944" s="240"/>
      <c r="DV944" s="240"/>
      <c r="DW944" s="240"/>
      <c r="DX944" s="240"/>
      <c r="DY944" s="240"/>
      <c r="DZ944" s="240"/>
      <c r="EA944" s="240"/>
      <c r="EB944" s="237"/>
      <c r="EC944" s="241"/>
      <c r="ED944" s="241"/>
      <c r="EE944" s="241"/>
      <c r="EF944" s="121"/>
      <c r="EG944" s="241"/>
      <c r="EH944" s="121"/>
      <c r="EI944" s="241"/>
      <c r="EJ944" s="121"/>
      <c r="EK944" s="241"/>
      <c r="EL944" s="121"/>
      <c r="EM944" s="121"/>
      <c r="EN944" s="121"/>
      <c r="EO944" s="121"/>
      <c r="EP944" s="121"/>
      <c r="EQ944" s="121"/>
      <c r="ER944" s="121"/>
      <c r="ES944" s="121"/>
    </row>
    <row r="945" spans="1:141" s="121" customFormat="1" x14ac:dyDescent="0.3">
      <c r="A945" s="124"/>
      <c r="O945" s="235"/>
      <c r="X945" s="117"/>
      <c r="Y945" s="117"/>
      <c r="DT945" s="240"/>
      <c r="DU945" s="240"/>
      <c r="DV945" s="240"/>
      <c r="DW945" s="240"/>
      <c r="DX945" s="240"/>
      <c r="DY945" s="240"/>
      <c r="DZ945" s="240"/>
      <c r="EA945" s="240"/>
      <c r="EB945" s="237"/>
      <c r="EC945" s="241"/>
      <c r="ED945" s="241"/>
      <c r="EE945" s="241"/>
      <c r="EG945" s="241"/>
      <c r="EI945" s="241"/>
      <c r="EK945" s="241"/>
    </row>
    <row r="946" spans="1:141" s="121" customFormat="1" x14ac:dyDescent="0.3">
      <c r="A946" s="124"/>
      <c r="O946" s="235"/>
      <c r="X946" s="117"/>
      <c r="Y946" s="117"/>
      <c r="DT946" s="240"/>
      <c r="DU946" s="240"/>
      <c r="DV946" s="240"/>
      <c r="DW946" s="240"/>
      <c r="DX946" s="240"/>
      <c r="DY946" s="240"/>
      <c r="DZ946" s="240"/>
      <c r="EA946" s="240"/>
      <c r="EB946" s="237"/>
      <c r="EC946" s="241"/>
      <c r="ED946" s="241"/>
      <c r="EE946" s="241"/>
      <c r="EG946" s="241"/>
      <c r="EI946" s="241"/>
      <c r="EK946" s="241"/>
    </row>
    <row r="947" spans="1:141" s="121" customFormat="1" x14ac:dyDescent="0.3">
      <c r="A947" s="124"/>
      <c r="O947" s="235"/>
      <c r="X947" s="117"/>
      <c r="Y947" s="117"/>
      <c r="DT947" s="240"/>
      <c r="DU947" s="240"/>
      <c r="DV947" s="240"/>
      <c r="DW947" s="240"/>
      <c r="DX947" s="240"/>
      <c r="DY947" s="240"/>
      <c r="DZ947" s="240"/>
      <c r="EA947" s="240"/>
      <c r="EB947" s="237"/>
      <c r="EC947" s="241"/>
      <c r="ED947" s="241"/>
      <c r="EE947" s="241"/>
      <c r="EG947" s="241"/>
      <c r="EI947" s="241"/>
      <c r="EK947" s="241"/>
    </row>
    <row r="948" spans="1:141" s="121" customFormat="1" x14ac:dyDescent="0.3">
      <c r="A948" s="124"/>
      <c r="O948" s="235"/>
      <c r="X948" s="117"/>
      <c r="Y948" s="117"/>
      <c r="DT948" s="240"/>
      <c r="DU948" s="240"/>
      <c r="DV948" s="240"/>
      <c r="DW948" s="240"/>
      <c r="DX948" s="240"/>
      <c r="DY948" s="240"/>
      <c r="DZ948" s="240"/>
      <c r="EA948" s="240"/>
      <c r="EB948" s="237"/>
      <c r="EC948" s="241"/>
      <c r="ED948" s="241"/>
      <c r="EE948" s="241"/>
      <c r="EG948" s="241"/>
      <c r="EI948" s="241"/>
      <c r="EK948" s="241"/>
    </row>
    <row r="949" spans="1:141" s="121" customFormat="1" x14ac:dyDescent="0.3">
      <c r="A949" s="124"/>
      <c r="O949" s="235"/>
      <c r="X949" s="117"/>
      <c r="Y949" s="117"/>
      <c r="DT949" s="240"/>
      <c r="DU949" s="240"/>
      <c r="DV949" s="240"/>
      <c r="DW949" s="240"/>
      <c r="DX949" s="240"/>
      <c r="DY949" s="240"/>
      <c r="DZ949" s="240"/>
      <c r="EA949" s="240"/>
      <c r="EB949" s="237"/>
      <c r="EC949" s="241"/>
      <c r="ED949" s="241"/>
      <c r="EE949" s="241"/>
      <c r="EG949" s="241"/>
      <c r="EI949" s="241"/>
      <c r="EK949" s="241"/>
    </row>
    <row r="950" spans="1:141" s="121" customFormat="1" x14ac:dyDescent="0.3">
      <c r="A950" s="124"/>
      <c r="O950" s="235"/>
      <c r="X950" s="117"/>
      <c r="Y950" s="117"/>
      <c r="DT950" s="240"/>
      <c r="DU950" s="240"/>
      <c r="DV950" s="240"/>
      <c r="DW950" s="240"/>
      <c r="DX950" s="240"/>
      <c r="DY950" s="240"/>
      <c r="DZ950" s="240"/>
      <c r="EA950" s="240"/>
      <c r="EB950" s="237"/>
      <c r="EC950" s="241"/>
      <c r="ED950" s="241"/>
      <c r="EE950" s="241"/>
      <c r="EG950" s="241"/>
      <c r="EI950" s="241"/>
      <c r="EK950" s="241"/>
    </row>
    <row r="951" spans="1:141" s="121" customFormat="1" x14ac:dyDescent="0.3">
      <c r="A951" s="124"/>
      <c r="O951" s="235"/>
      <c r="X951" s="117"/>
      <c r="Y951" s="117"/>
      <c r="DT951" s="240"/>
      <c r="DU951" s="240"/>
      <c r="DV951" s="240"/>
      <c r="DW951" s="240"/>
      <c r="DX951" s="240"/>
      <c r="DY951" s="240"/>
      <c r="DZ951" s="240"/>
      <c r="EA951" s="240"/>
      <c r="EB951" s="237"/>
      <c r="EC951" s="241"/>
      <c r="ED951" s="241"/>
      <c r="EE951" s="241"/>
      <c r="EG951" s="241"/>
      <c r="EI951" s="241"/>
      <c r="EK951" s="241"/>
    </row>
    <row r="952" spans="1:141" s="121" customFormat="1" x14ac:dyDescent="0.3">
      <c r="A952" s="124"/>
      <c r="O952" s="235"/>
      <c r="X952" s="117"/>
      <c r="Y952" s="117"/>
      <c r="DT952" s="240"/>
      <c r="DU952" s="240"/>
      <c r="DV952" s="240"/>
      <c r="DW952" s="240"/>
      <c r="DX952" s="240"/>
      <c r="DY952" s="240"/>
      <c r="DZ952" s="240"/>
      <c r="EA952" s="240"/>
      <c r="EB952" s="237"/>
      <c r="EC952" s="241"/>
      <c r="ED952" s="241"/>
      <c r="EE952" s="241"/>
      <c r="EG952" s="241"/>
      <c r="EI952" s="241"/>
      <c r="EK952" s="241"/>
    </row>
    <row r="953" spans="1:141" s="121" customFormat="1" x14ac:dyDescent="0.3">
      <c r="A953" s="124"/>
      <c r="O953" s="235"/>
      <c r="X953" s="117"/>
      <c r="Y953" s="117"/>
      <c r="DT953" s="240"/>
      <c r="DU953" s="240"/>
      <c r="DV953" s="240"/>
      <c r="DW953" s="240"/>
      <c r="DX953" s="240"/>
      <c r="DY953" s="240"/>
      <c r="DZ953" s="240"/>
      <c r="EA953" s="240"/>
      <c r="EB953" s="237"/>
      <c r="EC953" s="241"/>
      <c r="ED953" s="241"/>
      <c r="EE953" s="241"/>
      <c r="EG953" s="241"/>
      <c r="EI953" s="241"/>
      <c r="EK953" s="241"/>
    </row>
    <row r="954" spans="1:141" s="121" customFormat="1" x14ac:dyDescent="0.3">
      <c r="A954" s="124"/>
      <c r="O954" s="235"/>
      <c r="X954" s="117"/>
      <c r="Y954" s="117"/>
      <c r="DT954" s="240"/>
      <c r="DU954" s="240"/>
      <c r="DV954" s="240"/>
      <c r="DW954" s="240"/>
      <c r="DX954" s="240"/>
      <c r="DY954" s="240"/>
      <c r="DZ954" s="240"/>
      <c r="EA954" s="240"/>
      <c r="EB954" s="237"/>
      <c r="EC954" s="241"/>
      <c r="ED954" s="241"/>
      <c r="EE954" s="241"/>
      <c r="EG954" s="241"/>
      <c r="EI954" s="241"/>
      <c r="EK954" s="241"/>
    </row>
    <row r="955" spans="1:141" s="121" customFormat="1" x14ac:dyDescent="0.3">
      <c r="A955" s="124"/>
      <c r="O955" s="235"/>
      <c r="X955" s="117"/>
      <c r="Y955" s="117"/>
      <c r="DT955" s="240"/>
      <c r="DU955" s="240"/>
      <c r="DV955" s="240"/>
      <c r="DW955" s="240"/>
      <c r="DX955" s="240"/>
      <c r="DY955" s="240"/>
      <c r="DZ955" s="240"/>
      <c r="EA955" s="240"/>
      <c r="EB955" s="237"/>
      <c r="EC955" s="241"/>
      <c r="ED955" s="241"/>
      <c r="EE955" s="241"/>
      <c r="EG955" s="241"/>
      <c r="EI955" s="241"/>
      <c r="EK955" s="241"/>
    </row>
    <row r="956" spans="1:141" s="121" customFormat="1" x14ac:dyDescent="0.3">
      <c r="A956" s="124"/>
      <c r="O956" s="235"/>
      <c r="X956" s="117"/>
      <c r="Y956" s="117"/>
      <c r="DT956" s="240"/>
      <c r="DU956" s="240"/>
      <c r="DV956" s="240"/>
      <c r="DW956" s="240"/>
      <c r="DX956" s="240"/>
      <c r="DY956" s="240"/>
      <c r="DZ956" s="240"/>
      <c r="EA956" s="240"/>
      <c r="EB956" s="237"/>
      <c r="EC956" s="241"/>
      <c r="ED956" s="241"/>
      <c r="EE956" s="241"/>
      <c r="EG956" s="241"/>
      <c r="EI956" s="241"/>
      <c r="EK956" s="241"/>
    </row>
    <row r="957" spans="1:141" s="121" customFormat="1" x14ac:dyDescent="0.3">
      <c r="A957" s="124"/>
      <c r="O957" s="235"/>
      <c r="X957" s="117"/>
      <c r="Y957" s="117"/>
      <c r="DT957" s="240"/>
      <c r="DU957" s="240"/>
      <c r="DV957" s="240"/>
      <c r="DW957" s="240"/>
      <c r="DX957" s="240"/>
      <c r="DY957" s="240"/>
      <c r="DZ957" s="240"/>
      <c r="EA957" s="240"/>
      <c r="EB957" s="237"/>
      <c r="EC957" s="241"/>
      <c r="ED957" s="241"/>
      <c r="EE957" s="241"/>
      <c r="EG957" s="241"/>
      <c r="EI957" s="241"/>
      <c r="EK957" s="241"/>
    </row>
    <row r="958" spans="1:141" s="121" customFormat="1" x14ac:dyDescent="0.3">
      <c r="A958" s="124"/>
      <c r="O958" s="235"/>
      <c r="X958" s="117"/>
      <c r="Y958" s="117"/>
      <c r="DT958" s="240"/>
      <c r="DU958" s="240"/>
      <c r="DV958" s="240"/>
      <c r="DW958" s="240"/>
      <c r="DX958" s="240"/>
      <c r="DY958" s="240"/>
      <c r="DZ958" s="240"/>
      <c r="EA958" s="240"/>
      <c r="EB958" s="237"/>
      <c r="EC958" s="241"/>
      <c r="ED958" s="241"/>
      <c r="EE958" s="241"/>
      <c r="EG958" s="241"/>
      <c r="EI958" s="241"/>
      <c r="EK958" s="241"/>
    </row>
    <row r="959" spans="1:141" s="121" customFormat="1" x14ac:dyDescent="0.3">
      <c r="A959" s="124"/>
      <c r="O959" s="235"/>
      <c r="X959" s="117"/>
      <c r="Y959" s="117"/>
      <c r="DT959" s="240"/>
      <c r="DU959" s="240"/>
      <c r="DV959" s="240"/>
      <c r="DW959" s="240"/>
      <c r="DX959" s="240"/>
      <c r="DY959" s="240"/>
      <c r="DZ959" s="240"/>
      <c r="EA959" s="240"/>
      <c r="EB959" s="237"/>
      <c r="EC959" s="241"/>
      <c r="ED959" s="241"/>
      <c r="EE959" s="241"/>
      <c r="EG959" s="241"/>
      <c r="EI959" s="241"/>
      <c r="EK959" s="241"/>
    </row>
    <row r="960" spans="1:141" s="121" customFormat="1" x14ac:dyDescent="0.3">
      <c r="A960" s="124"/>
      <c r="O960" s="235"/>
      <c r="X960" s="117"/>
      <c r="Y960" s="117"/>
      <c r="DT960" s="240"/>
      <c r="DU960" s="240"/>
      <c r="DV960" s="240"/>
      <c r="DW960" s="240"/>
      <c r="DX960" s="240"/>
      <c r="DY960" s="240"/>
      <c r="DZ960" s="240"/>
      <c r="EA960" s="240"/>
      <c r="EB960" s="237"/>
      <c r="EC960" s="241"/>
      <c r="ED960" s="241"/>
      <c r="EE960" s="241"/>
      <c r="EG960" s="241"/>
      <c r="EI960" s="241"/>
      <c r="EK960" s="241"/>
    </row>
    <row r="961" spans="1:141" s="121" customFormat="1" x14ac:dyDescent="0.3">
      <c r="A961" s="124"/>
      <c r="O961" s="235"/>
      <c r="X961" s="117"/>
      <c r="Y961" s="117"/>
      <c r="DT961" s="240"/>
      <c r="DU961" s="240"/>
      <c r="DV961" s="240"/>
      <c r="DW961" s="240"/>
      <c r="DX961" s="240"/>
      <c r="DY961" s="240"/>
      <c r="DZ961" s="240"/>
      <c r="EA961" s="240"/>
      <c r="EB961" s="237"/>
      <c r="EC961" s="241"/>
      <c r="ED961" s="241"/>
      <c r="EE961" s="241"/>
      <c r="EG961" s="241"/>
      <c r="EI961" s="241"/>
      <c r="EK961" s="241"/>
    </row>
    <row r="962" spans="1:141" s="121" customFormat="1" x14ac:dyDescent="0.3">
      <c r="A962" s="124"/>
      <c r="O962" s="235"/>
      <c r="X962" s="117"/>
      <c r="Y962" s="117"/>
      <c r="DT962" s="240"/>
      <c r="DU962" s="240"/>
      <c r="DV962" s="240"/>
      <c r="DW962" s="240"/>
      <c r="DX962" s="240"/>
      <c r="DY962" s="240"/>
      <c r="DZ962" s="240"/>
      <c r="EA962" s="240"/>
      <c r="EB962" s="237"/>
      <c r="EC962" s="241"/>
      <c r="ED962" s="241"/>
      <c r="EE962" s="241"/>
      <c r="EG962" s="241"/>
      <c r="EI962" s="241"/>
      <c r="EK962" s="241"/>
    </row>
    <row r="963" spans="1:141" s="121" customFormat="1" x14ac:dyDescent="0.3">
      <c r="A963" s="124"/>
      <c r="O963" s="235"/>
      <c r="X963" s="117"/>
      <c r="Y963" s="117"/>
      <c r="DT963" s="240"/>
      <c r="DU963" s="240"/>
      <c r="DV963" s="240"/>
      <c r="DW963" s="240"/>
      <c r="DX963" s="240"/>
      <c r="DY963" s="240"/>
      <c r="DZ963" s="240"/>
      <c r="EA963" s="240"/>
      <c r="EB963" s="237"/>
      <c r="EC963" s="241"/>
      <c r="ED963" s="241"/>
      <c r="EE963" s="241"/>
      <c r="EG963" s="241"/>
      <c r="EI963" s="241"/>
      <c r="EK963" s="241"/>
    </row>
    <row r="964" spans="1:141" s="121" customFormat="1" x14ac:dyDescent="0.3">
      <c r="A964" s="124"/>
      <c r="O964" s="235"/>
      <c r="X964" s="117"/>
      <c r="Y964" s="117"/>
      <c r="DT964" s="240"/>
      <c r="DU964" s="240"/>
      <c r="DV964" s="240"/>
      <c r="DW964" s="240"/>
      <c r="DX964" s="240"/>
      <c r="DY964" s="240"/>
      <c r="DZ964" s="240"/>
      <c r="EA964" s="240"/>
      <c r="EB964" s="237"/>
      <c r="EC964" s="241"/>
      <c r="ED964" s="241"/>
      <c r="EE964" s="241"/>
      <c r="EG964" s="241"/>
      <c r="EI964" s="241"/>
      <c r="EK964" s="241"/>
    </row>
    <row r="965" spans="1:141" s="121" customFormat="1" x14ac:dyDescent="0.3">
      <c r="A965" s="124"/>
      <c r="O965" s="235"/>
      <c r="X965" s="117"/>
      <c r="Y965" s="117"/>
      <c r="DT965" s="240"/>
      <c r="DU965" s="240"/>
      <c r="DV965" s="240"/>
      <c r="DW965" s="240"/>
      <c r="DX965" s="240"/>
      <c r="DY965" s="240"/>
      <c r="DZ965" s="240"/>
      <c r="EA965" s="240"/>
      <c r="EB965" s="237"/>
      <c r="EC965" s="241"/>
      <c r="ED965" s="241"/>
      <c r="EE965" s="241"/>
      <c r="EG965" s="241"/>
      <c r="EI965" s="241"/>
      <c r="EK965" s="241"/>
    </row>
    <row r="966" spans="1:141" s="121" customFormat="1" x14ac:dyDescent="0.3">
      <c r="A966" s="124"/>
      <c r="O966" s="235"/>
      <c r="X966" s="117"/>
      <c r="Y966" s="117"/>
      <c r="DT966" s="240"/>
      <c r="DU966" s="240"/>
      <c r="DV966" s="240"/>
      <c r="DW966" s="240"/>
      <c r="DX966" s="240"/>
      <c r="DY966" s="240"/>
      <c r="DZ966" s="240"/>
      <c r="EA966" s="240"/>
      <c r="EB966" s="237"/>
      <c r="EC966" s="241"/>
      <c r="ED966" s="241"/>
      <c r="EE966" s="241"/>
      <c r="EG966" s="241"/>
      <c r="EI966" s="241"/>
      <c r="EK966" s="241"/>
    </row>
    <row r="967" spans="1:141" s="121" customFormat="1" x14ac:dyDescent="0.3">
      <c r="A967" s="124"/>
      <c r="O967" s="235"/>
      <c r="X967" s="117"/>
      <c r="Y967" s="117"/>
      <c r="DT967" s="240"/>
      <c r="DU967" s="240"/>
      <c r="DV967" s="240"/>
      <c r="DW967" s="240"/>
      <c r="DX967" s="240"/>
      <c r="DY967" s="240"/>
      <c r="DZ967" s="240"/>
      <c r="EA967" s="240"/>
      <c r="EB967" s="237"/>
      <c r="EC967" s="241"/>
      <c r="ED967" s="241"/>
      <c r="EE967" s="241"/>
      <c r="EG967" s="241"/>
      <c r="EI967" s="241"/>
      <c r="EK967" s="241"/>
    </row>
    <row r="968" spans="1:141" s="121" customFormat="1" x14ac:dyDescent="0.3">
      <c r="A968" s="124"/>
      <c r="O968" s="235"/>
      <c r="X968" s="117"/>
      <c r="Y968" s="117"/>
      <c r="DT968" s="240"/>
      <c r="DU968" s="240"/>
      <c r="DV968" s="240"/>
      <c r="DW968" s="240"/>
      <c r="DX968" s="240"/>
      <c r="DY968" s="240"/>
      <c r="DZ968" s="240"/>
      <c r="EA968" s="240"/>
      <c r="EB968" s="237"/>
      <c r="EC968" s="241"/>
      <c r="ED968" s="241"/>
      <c r="EE968" s="241"/>
      <c r="EG968" s="241"/>
      <c r="EI968" s="241"/>
      <c r="EK968" s="241"/>
    </row>
    <row r="969" spans="1:141" s="121" customFormat="1" x14ac:dyDescent="0.3">
      <c r="A969" s="124"/>
      <c r="O969" s="235"/>
      <c r="X969" s="117"/>
      <c r="Y969" s="117"/>
      <c r="DT969" s="240"/>
      <c r="DU969" s="240"/>
      <c r="DV969" s="240"/>
      <c r="DW969" s="240"/>
      <c r="DX969" s="240"/>
      <c r="DY969" s="240"/>
      <c r="DZ969" s="240"/>
      <c r="EA969" s="240"/>
      <c r="EB969" s="237"/>
      <c r="EC969" s="241"/>
      <c r="ED969" s="241"/>
      <c r="EE969" s="241"/>
      <c r="EG969" s="241"/>
      <c r="EI969" s="241"/>
      <c r="EK969" s="241"/>
    </row>
    <row r="970" spans="1:141" s="121" customFormat="1" x14ac:dyDescent="0.3">
      <c r="A970" s="124"/>
      <c r="O970" s="235"/>
      <c r="X970" s="117"/>
      <c r="Y970" s="117"/>
      <c r="DT970" s="240"/>
      <c r="DU970" s="240"/>
      <c r="DV970" s="240"/>
      <c r="DW970" s="240"/>
      <c r="DX970" s="240"/>
      <c r="DY970" s="240"/>
      <c r="DZ970" s="240"/>
      <c r="EA970" s="240"/>
      <c r="EB970" s="237"/>
      <c r="EC970" s="241"/>
      <c r="ED970" s="241"/>
      <c r="EE970" s="241"/>
      <c r="EG970" s="241"/>
      <c r="EI970" s="241"/>
      <c r="EK970" s="241"/>
    </row>
    <row r="971" spans="1:141" s="121" customFormat="1" x14ac:dyDescent="0.3">
      <c r="A971" s="124"/>
      <c r="O971" s="235"/>
      <c r="X971" s="117"/>
      <c r="Y971" s="117"/>
      <c r="DT971" s="240"/>
      <c r="DU971" s="240"/>
      <c r="DV971" s="240"/>
      <c r="DW971" s="240"/>
      <c r="DX971" s="240"/>
      <c r="DY971" s="240"/>
      <c r="DZ971" s="240"/>
      <c r="EA971" s="240"/>
      <c r="EB971" s="237"/>
      <c r="EC971" s="241"/>
      <c r="ED971" s="241"/>
      <c r="EE971" s="241"/>
      <c r="EG971" s="241"/>
      <c r="EI971" s="241"/>
      <c r="EK971" s="241"/>
    </row>
    <row r="972" spans="1:141" s="121" customFormat="1" x14ac:dyDescent="0.3">
      <c r="A972" s="124"/>
      <c r="O972" s="235"/>
      <c r="X972" s="117"/>
      <c r="Y972" s="117"/>
      <c r="DT972" s="240"/>
      <c r="DU972" s="240"/>
      <c r="DV972" s="240"/>
      <c r="DW972" s="240"/>
      <c r="DX972" s="240"/>
      <c r="DY972" s="240"/>
      <c r="DZ972" s="240"/>
      <c r="EA972" s="240"/>
      <c r="EB972" s="237"/>
      <c r="EC972" s="241"/>
      <c r="ED972" s="241"/>
      <c r="EE972" s="241"/>
      <c r="EG972" s="241"/>
      <c r="EI972" s="241"/>
      <c r="EK972" s="241"/>
    </row>
    <row r="973" spans="1:141" s="121" customFormat="1" x14ac:dyDescent="0.3">
      <c r="A973" s="124"/>
      <c r="O973" s="235"/>
      <c r="X973" s="117"/>
      <c r="Y973" s="117"/>
      <c r="DT973" s="240"/>
      <c r="DU973" s="240"/>
      <c r="DV973" s="240"/>
      <c r="DW973" s="240"/>
      <c r="DX973" s="240"/>
      <c r="DY973" s="240"/>
      <c r="DZ973" s="240"/>
      <c r="EA973" s="240"/>
      <c r="EB973" s="237"/>
      <c r="EC973" s="241"/>
      <c r="ED973" s="241"/>
      <c r="EE973" s="241"/>
      <c r="EG973" s="241"/>
      <c r="EI973" s="241"/>
      <c r="EK973" s="241"/>
    </row>
    <row r="974" spans="1:141" s="121" customFormat="1" x14ac:dyDescent="0.3">
      <c r="A974" s="124"/>
      <c r="O974" s="235"/>
      <c r="X974" s="117"/>
      <c r="Y974" s="117"/>
      <c r="DT974" s="240"/>
      <c r="DU974" s="240"/>
      <c r="DV974" s="240"/>
      <c r="DW974" s="240"/>
      <c r="DX974" s="240"/>
      <c r="DY974" s="240"/>
      <c r="DZ974" s="240"/>
      <c r="EA974" s="240"/>
      <c r="EB974" s="237"/>
      <c r="EC974" s="241"/>
      <c r="ED974" s="241"/>
      <c r="EE974" s="241"/>
      <c r="EG974" s="241"/>
      <c r="EI974" s="241"/>
      <c r="EK974" s="241"/>
    </row>
    <row r="975" spans="1:141" s="121" customFormat="1" x14ac:dyDescent="0.3">
      <c r="A975" s="124"/>
      <c r="O975" s="235"/>
      <c r="X975" s="117"/>
      <c r="Y975" s="117"/>
      <c r="DT975" s="240"/>
      <c r="DU975" s="240"/>
      <c r="DV975" s="240"/>
      <c r="DW975" s="240"/>
      <c r="DX975" s="240"/>
      <c r="DY975" s="240"/>
      <c r="DZ975" s="240"/>
      <c r="EA975" s="240"/>
      <c r="EB975" s="237"/>
      <c r="EC975" s="241"/>
      <c r="ED975" s="241"/>
      <c r="EE975" s="241"/>
      <c r="EG975" s="241"/>
      <c r="EI975" s="241"/>
      <c r="EK975" s="241"/>
    </row>
    <row r="976" spans="1:141" s="121" customFormat="1" x14ac:dyDescent="0.3">
      <c r="A976" s="124"/>
      <c r="O976" s="235"/>
      <c r="X976" s="117"/>
      <c r="Y976" s="117"/>
      <c r="DT976" s="240"/>
      <c r="DU976" s="240"/>
      <c r="DV976" s="240"/>
      <c r="DW976" s="240"/>
      <c r="DX976" s="240"/>
      <c r="DY976" s="240"/>
      <c r="DZ976" s="240"/>
      <c r="EA976" s="240"/>
      <c r="EB976" s="237"/>
      <c r="EC976" s="241"/>
      <c r="ED976" s="241"/>
      <c r="EE976" s="241"/>
      <c r="EG976" s="241"/>
      <c r="EI976" s="241"/>
      <c r="EK976" s="241"/>
    </row>
    <row r="977" spans="1:141" s="121" customFormat="1" x14ac:dyDescent="0.3">
      <c r="A977" s="124"/>
      <c r="O977" s="235"/>
      <c r="X977" s="117"/>
      <c r="Y977" s="117"/>
      <c r="DT977" s="240"/>
      <c r="DU977" s="240"/>
      <c r="DV977" s="240"/>
      <c r="DW977" s="240"/>
      <c r="DX977" s="240"/>
      <c r="DY977" s="240"/>
      <c r="DZ977" s="240"/>
      <c r="EA977" s="240"/>
      <c r="EB977" s="237"/>
      <c r="EC977" s="241"/>
      <c r="ED977" s="241"/>
      <c r="EE977" s="241"/>
      <c r="EG977" s="241"/>
      <c r="EI977" s="241"/>
      <c r="EK977" s="241"/>
    </row>
    <row r="978" spans="1:141" s="121" customFormat="1" x14ac:dyDescent="0.3">
      <c r="A978" s="124"/>
      <c r="O978" s="235"/>
      <c r="X978" s="117"/>
      <c r="Y978" s="117"/>
      <c r="DT978" s="240"/>
      <c r="DU978" s="240"/>
      <c r="DV978" s="240"/>
      <c r="DW978" s="240"/>
      <c r="DX978" s="240"/>
      <c r="DY978" s="240"/>
      <c r="DZ978" s="240"/>
      <c r="EA978" s="240"/>
      <c r="EB978" s="237"/>
      <c r="EC978" s="241"/>
      <c r="ED978" s="241"/>
      <c r="EE978" s="241"/>
      <c r="EG978" s="241"/>
      <c r="EI978" s="241"/>
      <c r="EK978" s="241"/>
    </row>
    <row r="979" spans="1:141" s="121" customFormat="1" x14ac:dyDescent="0.3">
      <c r="A979" s="124"/>
      <c r="O979" s="235"/>
      <c r="X979" s="117"/>
      <c r="Y979" s="117"/>
      <c r="DT979" s="240"/>
      <c r="DU979" s="240"/>
      <c r="DV979" s="240"/>
      <c r="DW979" s="240"/>
      <c r="DX979" s="240"/>
      <c r="DY979" s="240"/>
      <c r="DZ979" s="240"/>
      <c r="EA979" s="240"/>
      <c r="EB979" s="237"/>
      <c r="EC979" s="241"/>
      <c r="ED979" s="241"/>
      <c r="EE979" s="241"/>
      <c r="EG979" s="241"/>
      <c r="EI979" s="241"/>
      <c r="EK979" s="241"/>
    </row>
    <row r="980" spans="1:141" s="121" customFormat="1" x14ac:dyDescent="0.3">
      <c r="A980" s="124"/>
      <c r="O980" s="235"/>
      <c r="X980" s="117"/>
      <c r="Y980" s="117"/>
      <c r="DT980" s="240"/>
      <c r="DU980" s="240"/>
      <c r="DV980" s="240"/>
      <c r="DW980" s="240"/>
      <c r="DX980" s="240"/>
      <c r="DY980" s="240"/>
      <c r="DZ980" s="240"/>
      <c r="EA980" s="240"/>
      <c r="EB980" s="237"/>
      <c r="EC980" s="241"/>
      <c r="ED980" s="241"/>
      <c r="EE980" s="241"/>
      <c r="EG980" s="241"/>
      <c r="EI980" s="241"/>
      <c r="EK980" s="241"/>
    </row>
    <row r="981" spans="1:141" s="121" customFormat="1" x14ac:dyDescent="0.3">
      <c r="A981" s="124"/>
      <c r="O981" s="235"/>
      <c r="X981" s="117"/>
      <c r="Y981" s="117"/>
      <c r="DT981" s="240"/>
      <c r="DU981" s="240"/>
      <c r="DV981" s="240"/>
      <c r="DW981" s="240"/>
      <c r="DX981" s="240"/>
      <c r="DY981" s="240"/>
      <c r="DZ981" s="240"/>
      <c r="EA981" s="240"/>
      <c r="EB981" s="237"/>
      <c r="EC981" s="241"/>
      <c r="ED981" s="241"/>
      <c r="EE981" s="241"/>
      <c r="EG981" s="241"/>
      <c r="EI981" s="241"/>
      <c r="EK981" s="241"/>
    </row>
    <row r="982" spans="1:141" s="121" customFormat="1" x14ac:dyDescent="0.3">
      <c r="A982" s="124"/>
      <c r="O982" s="235"/>
      <c r="X982" s="117"/>
      <c r="Y982" s="117"/>
      <c r="DT982" s="240"/>
      <c r="DU982" s="240"/>
      <c r="DV982" s="240"/>
      <c r="DW982" s="240"/>
      <c r="DX982" s="240"/>
      <c r="DY982" s="240"/>
      <c r="DZ982" s="240"/>
      <c r="EA982" s="240"/>
      <c r="EB982" s="237"/>
      <c r="EC982" s="241"/>
      <c r="ED982" s="241"/>
      <c r="EE982" s="241"/>
      <c r="EG982" s="241"/>
      <c r="EI982" s="241"/>
      <c r="EK982" s="241"/>
    </row>
    <row r="983" spans="1:141" s="121" customFormat="1" x14ac:dyDescent="0.3">
      <c r="A983" s="124"/>
      <c r="O983" s="235"/>
      <c r="X983" s="117"/>
      <c r="Y983" s="117"/>
      <c r="DT983" s="240"/>
      <c r="DU983" s="240"/>
      <c r="DV983" s="240"/>
      <c r="DW983" s="240"/>
      <c r="DX983" s="240"/>
      <c r="DY983" s="240"/>
      <c r="DZ983" s="240"/>
      <c r="EA983" s="240"/>
      <c r="EB983" s="237"/>
      <c r="EC983" s="241"/>
      <c r="ED983" s="241"/>
      <c r="EE983" s="241"/>
      <c r="EG983" s="241"/>
      <c r="EI983" s="241"/>
      <c r="EK983" s="241"/>
    </row>
    <row r="984" spans="1:141" s="121" customFormat="1" x14ac:dyDescent="0.3">
      <c r="A984" s="124"/>
      <c r="O984" s="235"/>
      <c r="X984" s="117"/>
      <c r="Y984" s="117"/>
      <c r="DT984" s="240"/>
      <c r="DU984" s="240"/>
      <c r="DV984" s="240"/>
      <c r="DW984" s="240"/>
      <c r="DX984" s="240"/>
      <c r="DY984" s="240"/>
      <c r="DZ984" s="240"/>
      <c r="EA984" s="240"/>
      <c r="EB984" s="237"/>
      <c r="EC984" s="241"/>
      <c r="ED984" s="241"/>
      <c r="EE984" s="241"/>
      <c r="EG984" s="241"/>
      <c r="EI984" s="241"/>
      <c r="EK984" s="241"/>
    </row>
    <row r="985" spans="1:141" s="121" customFormat="1" x14ac:dyDescent="0.3">
      <c r="A985" s="124"/>
      <c r="O985" s="235"/>
      <c r="X985" s="117"/>
      <c r="Y985" s="117"/>
      <c r="DT985" s="240"/>
      <c r="DU985" s="240"/>
      <c r="DV985" s="240"/>
      <c r="DW985" s="240"/>
      <c r="DX985" s="240"/>
      <c r="DY985" s="240"/>
      <c r="DZ985" s="240"/>
      <c r="EA985" s="240"/>
      <c r="EB985" s="237"/>
      <c r="EC985" s="241"/>
      <c r="ED985" s="241"/>
      <c r="EE985" s="241"/>
      <c r="EG985" s="241"/>
      <c r="EI985" s="241"/>
      <c r="EK985" s="241"/>
    </row>
    <row r="986" spans="1:141" s="121" customFormat="1" x14ac:dyDescent="0.3">
      <c r="A986" s="124"/>
      <c r="O986" s="235"/>
      <c r="X986" s="117"/>
      <c r="Y986" s="117"/>
      <c r="DT986" s="240"/>
      <c r="DU986" s="240"/>
      <c r="DV986" s="240"/>
      <c r="DW986" s="240"/>
      <c r="DX986" s="240"/>
      <c r="DY986" s="240"/>
      <c r="DZ986" s="240"/>
      <c r="EA986" s="240"/>
      <c r="EB986" s="237"/>
      <c r="EC986" s="241"/>
      <c r="ED986" s="241"/>
      <c r="EE986" s="241"/>
      <c r="EG986" s="241"/>
      <c r="EI986" s="241"/>
      <c r="EK986" s="241"/>
    </row>
    <row r="987" spans="1:141" s="121" customFormat="1" x14ac:dyDescent="0.3">
      <c r="A987" s="124"/>
      <c r="O987" s="235"/>
      <c r="X987" s="117"/>
      <c r="Y987" s="117"/>
      <c r="DT987" s="240"/>
      <c r="DU987" s="240"/>
      <c r="DV987" s="240"/>
      <c r="DW987" s="240"/>
      <c r="DX987" s="240"/>
      <c r="DY987" s="240"/>
      <c r="DZ987" s="240"/>
      <c r="EA987" s="240"/>
      <c r="EB987" s="237"/>
      <c r="EC987" s="241"/>
      <c r="ED987" s="241"/>
      <c r="EE987" s="241"/>
      <c r="EG987" s="241"/>
      <c r="EI987" s="241"/>
      <c r="EK987" s="241"/>
    </row>
    <row r="988" spans="1:141" s="121" customFormat="1" x14ac:dyDescent="0.3">
      <c r="A988" s="124"/>
      <c r="O988" s="235"/>
      <c r="X988" s="117"/>
      <c r="Y988" s="117"/>
      <c r="DT988" s="240"/>
      <c r="DU988" s="240"/>
      <c r="DV988" s="240"/>
      <c r="DW988" s="240"/>
      <c r="DX988" s="240"/>
      <c r="DY988" s="240"/>
      <c r="DZ988" s="240"/>
      <c r="EA988" s="240"/>
      <c r="EB988" s="237"/>
      <c r="EC988" s="241"/>
      <c r="ED988" s="241"/>
      <c r="EE988" s="241"/>
      <c r="EG988" s="241"/>
      <c r="EI988" s="241"/>
      <c r="EK988" s="241"/>
    </row>
    <row r="989" spans="1:141" s="121" customFormat="1" x14ac:dyDescent="0.3">
      <c r="A989" s="124"/>
      <c r="O989" s="235"/>
      <c r="X989" s="117"/>
      <c r="Y989" s="117"/>
      <c r="DT989" s="240"/>
      <c r="DU989" s="240"/>
      <c r="DV989" s="240"/>
      <c r="DW989" s="240"/>
      <c r="DX989" s="240"/>
      <c r="DY989" s="240"/>
      <c r="DZ989" s="240"/>
      <c r="EA989" s="240"/>
      <c r="EB989" s="237"/>
      <c r="EC989" s="241"/>
      <c r="ED989" s="241"/>
      <c r="EE989" s="241"/>
      <c r="EG989" s="241"/>
      <c r="EI989" s="241"/>
      <c r="EK989" s="241"/>
    </row>
    <row r="990" spans="1:141" s="121" customFormat="1" x14ac:dyDescent="0.3">
      <c r="A990" s="124"/>
      <c r="O990" s="235"/>
      <c r="X990" s="117"/>
      <c r="Y990" s="117"/>
      <c r="DT990" s="240"/>
      <c r="DU990" s="240"/>
      <c r="DV990" s="240"/>
      <c r="DW990" s="240"/>
      <c r="DX990" s="240"/>
      <c r="DY990" s="240"/>
      <c r="DZ990" s="240"/>
      <c r="EA990" s="240"/>
      <c r="EB990" s="237"/>
      <c r="EC990" s="241"/>
      <c r="ED990" s="241"/>
      <c r="EE990" s="241"/>
      <c r="EG990" s="241"/>
      <c r="EI990" s="241"/>
      <c r="EK990" s="241"/>
    </row>
    <row r="991" spans="1:141" s="121" customFormat="1" x14ac:dyDescent="0.3">
      <c r="A991" s="124"/>
      <c r="O991" s="235"/>
      <c r="X991" s="117"/>
      <c r="Y991" s="117"/>
      <c r="DT991" s="240"/>
      <c r="DU991" s="240"/>
      <c r="DV991" s="240"/>
      <c r="DW991" s="240"/>
      <c r="DX991" s="240"/>
      <c r="DY991" s="240"/>
      <c r="DZ991" s="240"/>
      <c r="EA991" s="240"/>
      <c r="EB991" s="237"/>
      <c r="EC991" s="241"/>
      <c r="ED991" s="241"/>
      <c r="EE991" s="241"/>
      <c r="EG991" s="241"/>
      <c r="EI991" s="241"/>
      <c r="EK991" s="241"/>
    </row>
    <row r="992" spans="1:141" s="121" customFormat="1" x14ac:dyDescent="0.3">
      <c r="A992" s="124"/>
      <c r="O992" s="235"/>
      <c r="X992" s="117"/>
      <c r="Y992" s="117"/>
      <c r="DT992" s="240"/>
      <c r="DU992" s="240"/>
      <c r="DV992" s="240"/>
      <c r="DW992" s="240"/>
      <c r="DX992" s="240"/>
      <c r="DY992" s="240"/>
      <c r="DZ992" s="240"/>
      <c r="EA992" s="240"/>
      <c r="EB992" s="237"/>
      <c r="EC992" s="241"/>
      <c r="ED992" s="241"/>
      <c r="EE992" s="241"/>
      <c r="EG992" s="241"/>
      <c r="EI992" s="241"/>
      <c r="EK992" s="241"/>
    </row>
    <row r="993" spans="1:141" s="121" customFormat="1" x14ac:dyDescent="0.3">
      <c r="A993" s="124"/>
      <c r="O993" s="235"/>
      <c r="X993" s="117"/>
      <c r="Y993" s="117"/>
      <c r="DT993" s="240"/>
      <c r="DU993" s="240"/>
      <c r="DV993" s="240"/>
      <c r="DW993" s="240"/>
      <c r="DX993" s="240"/>
      <c r="DY993" s="240"/>
      <c r="DZ993" s="240"/>
      <c r="EA993" s="240"/>
      <c r="EB993" s="237"/>
      <c r="EC993" s="241"/>
      <c r="ED993" s="241"/>
      <c r="EE993" s="241"/>
      <c r="EG993" s="241"/>
      <c r="EI993" s="241"/>
      <c r="EK993" s="241"/>
    </row>
    <row r="994" spans="1:141" s="121" customFormat="1" x14ac:dyDescent="0.3">
      <c r="A994" s="124"/>
      <c r="O994" s="235"/>
      <c r="X994" s="117"/>
      <c r="Y994" s="117"/>
      <c r="DT994" s="240"/>
      <c r="DU994" s="240"/>
      <c r="DV994" s="240"/>
      <c r="DW994" s="240"/>
      <c r="DX994" s="240"/>
      <c r="DY994" s="240"/>
      <c r="DZ994" s="240"/>
      <c r="EA994" s="240"/>
      <c r="EB994" s="237"/>
      <c r="EC994" s="241"/>
      <c r="ED994" s="241"/>
      <c r="EE994" s="241"/>
      <c r="EG994" s="241"/>
      <c r="EI994" s="241"/>
      <c r="EK994" s="241"/>
    </row>
    <row r="995" spans="1:141" s="121" customFormat="1" x14ac:dyDescent="0.3">
      <c r="A995" s="124"/>
      <c r="O995" s="235"/>
      <c r="X995" s="117"/>
      <c r="Y995" s="117"/>
      <c r="DT995" s="240"/>
      <c r="DU995" s="240"/>
      <c r="DV995" s="240"/>
      <c r="DW995" s="240"/>
      <c r="DX995" s="240"/>
      <c r="DY995" s="240"/>
      <c r="DZ995" s="240"/>
      <c r="EA995" s="240"/>
      <c r="EB995" s="237"/>
      <c r="EC995" s="241"/>
      <c r="ED995" s="241"/>
      <c r="EE995" s="241"/>
      <c r="EG995" s="241"/>
      <c r="EI995" s="241"/>
      <c r="EK995" s="241"/>
    </row>
    <row r="996" spans="1:141" s="121" customFormat="1" x14ac:dyDescent="0.3">
      <c r="A996" s="124"/>
      <c r="O996" s="235"/>
      <c r="X996" s="117"/>
      <c r="Y996" s="117"/>
      <c r="DT996" s="240"/>
      <c r="DU996" s="240"/>
      <c r="DV996" s="240"/>
      <c r="DW996" s="240"/>
      <c r="DX996" s="240"/>
      <c r="DY996" s="240"/>
      <c r="DZ996" s="240"/>
      <c r="EA996" s="240"/>
      <c r="EB996" s="237"/>
      <c r="EC996" s="241"/>
      <c r="ED996" s="241"/>
      <c r="EE996" s="241"/>
      <c r="EG996" s="241"/>
      <c r="EI996" s="241"/>
      <c r="EK996" s="241"/>
    </row>
    <row r="997" spans="1:141" s="121" customFormat="1" x14ac:dyDescent="0.3">
      <c r="A997" s="124"/>
      <c r="O997" s="235"/>
      <c r="X997" s="117"/>
      <c r="Y997" s="117"/>
      <c r="DT997" s="240"/>
      <c r="DU997" s="240"/>
      <c r="DV997" s="240"/>
      <c r="DW997" s="240"/>
      <c r="DX997" s="240"/>
      <c r="DY997" s="240"/>
      <c r="DZ997" s="240"/>
      <c r="EA997" s="240"/>
      <c r="EB997" s="237"/>
      <c r="EC997" s="241"/>
      <c r="ED997" s="241"/>
      <c r="EE997" s="241"/>
      <c r="EG997" s="241"/>
      <c r="EI997" s="241"/>
      <c r="EK997" s="241"/>
    </row>
    <row r="998" spans="1:141" s="121" customFormat="1" x14ac:dyDescent="0.3">
      <c r="A998" s="124"/>
      <c r="O998" s="235"/>
      <c r="X998" s="117"/>
      <c r="Y998" s="117"/>
      <c r="DT998" s="240"/>
      <c r="DU998" s="240"/>
      <c r="DV998" s="240"/>
      <c r="DW998" s="240"/>
      <c r="DX998" s="240"/>
      <c r="DY998" s="240"/>
      <c r="DZ998" s="240"/>
      <c r="EA998" s="240"/>
      <c r="EB998" s="237"/>
      <c r="EC998" s="241"/>
      <c r="ED998" s="241"/>
      <c r="EE998" s="241"/>
      <c r="EG998" s="241"/>
      <c r="EI998" s="241"/>
      <c r="EK998" s="241"/>
    </row>
    <row r="999" spans="1:141" s="121" customFormat="1" x14ac:dyDescent="0.3">
      <c r="A999" s="124"/>
      <c r="O999" s="235"/>
      <c r="X999" s="117"/>
      <c r="Y999" s="117"/>
      <c r="DT999" s="240"/>
      <c r="DU999" s="240"/>
      <c r="DV999" s="240"/>
      <c r="DW999" s="240"/>
      <c r="DX999" s="240"/>
      <c r="DY999" s="240"/>
      <c r="DZ999" s="240"/>
      <c r="EA999" s="240"/>
      <c r="EB999" s="237"/>
      <c r="EC999" s="241"/>
      <c r="ED999" s="241"/>
      <c r="EE999" s="241"/>
      <c r="EG999" s="241"/>
      <c r="EI999" s="241"/>
      <c r="EK999" s="241"/>
    </row>
    <row r="1000" spans="1:141" s="121" customFormat="1" x14ac:dyDescent="0.3">
      <c r="A1000" s="124"/>
      <c r="O1000" s="235"/>
      <c r="X1000" s="117"/>
      <c r="Y1000" s="117"/>
      <c r="DT1000" s="240"/>
      <c r="DU1000" s="240"/>
      <c r="DV1000" s="240"/>
      <c r="DW1000" s="240"/>
      <c r="DX1000" s="240"/>
      <c r="DY1000" s="240"/>
      <c r="DZ1000" s="240"/>
      <c r="EA1000" s="240"/>
      <c r="EB1000" s="237"/>
      <c r="EC1000" s="241"/>
      <c r="ED1000" s="241"/>
      <c r="EE1000" s="241"/>
      <c r="EG1000" s="241"/>
      <c r="EI1000" s="241"/>
      <c r="EK1000" s="241"/>
    </row>
    <row r="1001" spans="1:141" s="121" customFormat="1" x14ac:dyDescent="0.3">
      <c r="A1001" s="124"/>
      <c r="O1001" s="235"/>
      <c r="X1001" s="117"/>
      <c r="Y1001" s="117"/>
      <c r="DT1001" s="240"/>
      <c r="DU1001" s="240"/>
      <c r="DV1001" s="240"/>
      <c r="DW1001" s="240"/>
      <c r="DX1001" s="240"/>
      <c r="DY1001" s="240"/>
      <c r="DZ1001" s="240"/>
      <c r="EA1001" s="240"/>
      <c r="EB1001" s="237"/>
      <c r="EC1001" s="241"/>
      <c r="ED1001" s="241"/>
      <c r="EE1001" s="241"/>
      <c r="EG1001" s="241"/>
      <c r="EI1001" s="241"/>
      <c r="EK1001" s="241"/>
    </row>
    <row r="1002" spans="1:141" s="121" customFormat="1" x14ac:dyDescent="0.3">
      <c r="A1002" s="124"/>
      <c r="O1002" s="235"/>
      <c r="X1002" s="117"/>
      <c r="Y1002" s="117"/>
      <c r="DT1002" s="240"/>
      <c r="DU1002" s="240"/>
      <c r="DV1002" s="240"/>
      <c r="DW1002" s="240"/>
      <c r="DX1002" s="240"/>
      <c r="DY1002" s="240"/>
      <c r="DZ1002" s="240"/>
      <c r="EA1002" s="240"/>
      <c r="EB1002" s="237"/>
      <c r="EC1002" s="241"/>
      <c r="ED1002" s="241"/>
      <c r="EE1002" s="241"/>
      <c r="EG1002" s="241"/>
      <c r="EI1002" s="241"/>
      <c r="EK1002" s="241"/>
    </row>
    <row r="1003" spans="1:141" s="121" customFormat="1" x14ac:dyDescent="0.3">
      <c r="A1003" s="124"/>
      <c r="O1003" s="235"/>
      <c r="X1003" s="117"/>
      <c r="Y1003" s="117"/>
      <c r="DT1003" s="240"/>
      <c r="DU1003" s="240"/>
      <c r="DV1003" s="240"/>
      <c r="DW1003" s="240"/>
      <c r="DX1003" s="240"/>
      <c r="DY1003" s="240"/>
      <c r="DZ1003" s="240"/>
      <c r="EA1003" s="240"/>
      <c r="EB1003" s="237"/>
      <c r="EC1003" s="241"/>
      <c r="ED1003" s="241"/>
      <c r="EE1003" s="241"/>
      <c r="EG1003" s="241"/>
      <c r="EI1003" s="241"/>
      <c r="EK1003" s="241"/>
    </row>
    <row r="1004" spans="1:141" s="121" customFormat="1" x14ac:dyDescent="0.3">
      <c r="A1004" s="124"/>
      <c r="O1004" s="235"/>
      <c r="X1004" s="117"/>
      <c r="Y1004" s="117"/>
      <c r="DT1004" s="240"/>
      <c r="DU1004" s="240"/>
      <c r="DV1004" s="240"/>
      <c r="DW1004" s="240"/>
      <c r="DX1004" s="240"/>
      <c r="DY1004" s="240"/>
      <c r="DZ1004" s="240"/>
      <c r="EA1004" s="240"/>
      <c r="EB1004" s="237"/>
      <c r="EC1004" s="241"/>
      <c r="ED1004" s="241"/>
      <c r="EE1004" s="241"/>
      <c r="EG1004" s="241"/>
      <c r="EI1004" s="241"/>
      <c r="EK1004" s="241"/>
    </row>
    <row r="1005" spans="1:141" s="121" customFormat="1" x14ac:dyDescent="0.3">
      <c r="A1005" s="124"/>
      <c r="O1005" s="235"/>
      <c r="X1005" s="117"/>
      <c r="Y1005" s="117"/>
      <c r="DT1005" s="240"/>
      <c r="DU1005" s="240"/>
      <c r="DV1005" s="240"/>
      <c r="DW1005" s="240"/>
      <c r="DX1005" s="240"/>
      <c r="DY1005" s="240"/>
      <c r="DZ1005" s="240"/>
      <c r="EA1005" s="240"/>
      <c r="EB1005" s="237"/>
      <c r="EC1005" s="241"/>
      <c r="ED1005" s="241"/>
      <c r="EE1005" s="241"/>
      <c r="EG1005" s="241"/>
      <c r="EI1005" s="241"/>
      <c r="EK1005" s="241"/>
    </row>
    <row r="1006" spans="1:141" s="121" customFormat="1" x14ac:dyDescent="0.3">
      <c r="A1006" s="124"/>
      <c r="O1006" s="235"/>
      <c r="X1006" s="117"/>
      <c r="Y1006" s="117"/>
      <c r="DT1006" s="240"/>
      <c r="DU1006" s="240"/>
      <c r="DV1006" s="240"/>
      <c r="DW1006" s="240"/>
      <c r="DX1006" s="240"/>
      <c r="DY1006" s="240"/>
      <c r="DZ1006" s="240"/>
      <c r="EA1006" s="240"/>
      <c r="EB1006" s="237"/>
      <c r="EC1006" s="241"/>
      <c r="ED1006" s="241"/>
      <c r="EE1006" s="241"/>
      <c r="EG1006" s="241"/>
      <c r="EI1006" s="241"/>
      <c r="EK1006" s="241"/>
    </row>
    <row r="1007" spans="1:141" s="121" customFormat="1" x14ac:dyDescent="0.3">
      <c r="A1007" s="124"/>
      <c r="O1007" s="235"/>
      <c r="X1007" s="117"/>
      <c r="Y1007" s="117"/>
      <c r="DT1007" s="240"/>
      <c r="DU1007" s="240"/>
      <c r="DV1007" s="240"/>
      <c r="DW1007" s="240"/>
      <c r="DX1007" s="240"/>
      <c r="DY1007" s="240"/>
      <c r="DZ1007" s="240"/>
      <c r="EA1007" s="240"/>
      <c r="EB1007" s="237"/>
      <c r="EC1007" s="241"/>
      <c r="ED1007" s="241"/>
      <c r="EE1007" s="241"/>
      <c r="EG1007" s="241"/>
      <c r="EI1007" s="241"/>
      <c r="EK1007" s="241"/>
    </row>
    <row r="1008" spans="1:141" s="121" customFormat="1" x14ac:dyDescent="0.3">
      <c r="A1008" s="124"/>
      <c r="O1008" s="235"/>
      <c r="X1008" s="117"/>
      <c r="Y1008" s="117"/>
      <c r="DT1008" s="240"/>
      <c r="DU1008" s="240"/>
      <c r="DV1008" s="240"/>
      <c r="DW1008" s="240"/>
      <c r="DX1008" s="240"/>
      <c r="DY1008" s="240"/>
      <c r="DZ1008" s="240"/>
      <c r="EA1008" s="240"/>
      <c r="EB1008" s="237"/>
      <c r="EC1008" s="241"/>
      <c r="ED1008" s="241"/>
      <c r="EE1008" s="241"/>
      <c r="EG1008" s="241"/>
      <c r="EI1008" s="241"/>
      <c r="EK1008" s="241"/>
    </row>
    <row r="1009" spans="1:141" s="121" customFormat="1" x14ac:dyDescent="0.3">
      <c r="A1009" s="124"/>
      <c r="O1009" s="235"/>
      <c r="X1009" s="117"/>
      <c r="Y1009" s="117"/>
      <c r="DT1009" s="240"/>
      <c r="DU1009" s="240"/>
      <c r="DV1009" s="240"/>
      <c r="DW1009" s="240"/>
      <c r="DX1009" s="240"/>
      <c r="DY1009" s="240"/>
      <c r="DZ1009" s="240"/>
      <c r="EA1009" s="240"/>
      <c r="EB1009" s="237"/>
      <c r="EC1009" s="241"/>
      <c r="ED1009" s="241"/>
      <c r="EE1009" s="241"/>
      <c r="EG1009" s="241"/>
      <c r="EI1009" s="241"/>
      <c r="EK1009" s="241"/>
    </row>
    <row r="1010" spans="1:141" s="121" customFormat="1" x14ac:dyDescent="0.3">
      <c r="A1010" s="124"/>
      <c r="O1010" s="235"/>
      <c r="X1010" s="117"/>
      <c r="Y1010" s="117"/>
      <c r="DT1010" s="240"/>
      <c r="DU1010" s="240"/>
      <c r="DV1010" s="240"/>
      <c r="DW1010" s="240"/>
      <c r="DX1010" s="240"/>
      <c r="DY1010" s="240"/>
      <c r="DZ1010" s="240"/>
      <c r="EA1010" s="240"/>
      <c r="EB1010" s="237"/>
      <c r="EC1010" s="241"/>
      <c r="ED1010" s="241"/>
      <c r="EE1010" s="241"/>
      <c r="EG1010" s="241"/>
      <c r="EI1010" s="241"/>
      <c r="EK1010" s="241"/>
    </row>
    <row r="1011" spans="1:141" s="121" customFormat="1" x14ac:dyDescent="0.3">
      <c r="A1011" s="124"/>
      <c r="O1011" s="235"/>
      <c r="X1011" s="117"/>
      <c r="Y1011" s="117"/>
      <c r="DT1011" s="240"/>
      <c r="DU1011" s="240"/>
      <c r="DV1011" s="240"/>
      <c r="DW1011" s="240"/>
      <c r="DX1011" s="240"/>
      <c r="DY1011" s="240"/>
      <c r="DZ1011" s="240"/>
      <c r="EA1011" s="240"/>
      <c r="EB1011" s="237"/>
      <c r="EC1011" s="241"/>
      <c r="ED1011" s="241"/>
      <c r="EE1011" s="241"/>
      <c r="EG1011" s="241"/>
      <c r="EI1011" s="241"/>
      <c r="EK1011" s="241"/>
    </row>
    <row r="1012" spans="1:141" s="121" customFormat="1" x14ac:dyDescent="0.3">
      <c r="A1012" s="124"/>
      <c r="O1012" s="235"/>
      <c r="X1012" s="117"/>
      <c r="Y1012" s="117"/>
      <c r="DT1012" s="240"/>
      <c r="DU1012" s="240"/>
      <c r="DV1012" s="240"/>
      <c r="DW1012" s="240"/>
      <c r="DX1012" s="240"/>
      <c r="DY1012" s="240"/>
      <c r="DZ1012" s="240"/>
      <c r="EA1012" s="240"/>
      <c r="EB1012" s="237"/>
      <c r="EC1012" s="241"/>
      <c r="ED1012" s="241"/>
      <c r="EE1012" s="241"/>
      <c r="EG1012" s="241"/>
      <c r="EI1012" s="241"/>
      <c r="EK1012" s="241"/>
    </row>
    <row r="1013" spans="1:141" s="121" customFormat="1" x14ac:dyDescent="0.3">
      <c r="A1013" s="124"/>
      <c r="O1013" s="235"/>
      <c r="X1013" s="117"/>
      <c r="Y1013" s="117"/>
      <c r="DT1013" s="240"/>
      <c r="DU1013" s="240"/>
      <c r="DV1013" s="240"/>
      <c r="DW1013" s="240"/>
      <c r="DX1013" s="240"/>
      <c r="DY1013" s="240"/>
      <c r="DZ1013" s="240"/>
      <c r="EA1013" s="240"/>
      <c r="EB1013" s="237"/>
      <c r="EC1013" s="241"/>
      <c r="ED1013" s="241"/>
      <c r="EE1013" s="241"/>
      <c r="EG1013" s="241"/>
      <c r="EI1013" s="241"/>
      <c r="EK1013" s="241"/>
    </row>
    <row r="1014" spans="1:141" s="121" customFormat="1" x14ac:dyDescent="0.3">
      <c r="A1014" s="124"/>
      <c r="O1014" s="235"/>
      <c r="X1014" s="117"/>
      <c r="Y1014" s="117"/>
      <c r="DT1014" s="240"/>
      <c r="DU1014" s="240"/>
      <c r="DV1014" s="240"/>
      <c r="DW1014" s="240"/>
      <c r="DX1014" s="240"/>
      <c r="DY1014" s="240"/>
      <c r="DZ1014" s="240"/>
      <c r="EA1014" s="240"/>
      <c r="EB1014" s="237"/>
      <c r="EC1014" s="241"/>
      <c r="ED1014" s="241"/>
      <c r="EE1014" s="241"/>
      <c r="EG1014" s="241"/>
      <c r="EI1014" s="241"/>
      <c r="EK1014" s="241"/>
    </row>
    <row r="1015" spans="1:141" s="121" customFormat="1" x14ac:dyDescent="0.3">
      <c r="A1015" s="124"/>
      <c r="O1015" s="235"/>
      <c r="X1015" s="117"/>
      <c r="Y1015" s="117"/>
      <c r="DT1015" s="240"/>
      <c r="DU1015" s="240"/>
      <c r="DV1015" s="240"/>
      <c r="DW1015" s="240"/>
      <c r="DX1015" s="240"/>
      <c r="DY1015" s="240"/>
      <c r="DZ1015" s="240"/>
      <c r="EA1015" s="240"/>
      <c r="EB1015" s="237"/>
      <c r="EC1015" s="241"/>
      <c r="ED1015" s="241"/>
      <c r="EE1015" s="241"/>
      <c r="EG1015" s="241"/>
      <c r="EI1015" s="241"/>
      <c r="EK1015" s="241"/>
    </row>
    <row r="1016" spans="1:141" s="121" customFormat="1" x14ac:dyDescent="0.3">
      <c r="A1016" s="124"/>
      <c r="O1016" s="235"/>
      <c r="X1016" s="117"/>
      <c r="Y1016" s="117"/>
      <c r="DT1016" s="240"/>
      <c r="DU1016" s="240"/>
      <c r="DV1016" s="240"/>
      <c r="DW1016" s="240"/>
      <c r="DX1016" s="240"/>
      <c r="DY1016" s="240"/>
      <c r="DZ1016" s="240"/>
      <c r="EA1016" s="240"/>
      <c r="EB1016" s="237"/>
      <c r="EC1016" s="241"/>
      <c r="ED1016" s="241"/>
      <c r="EE1016" s="241"/>
      <c r="EG1016" s="241"/>
      <c r="EI1016" s="241"/>
      <c r="EK1016" s="241"/>
    </row>
    <row r="1017" spans="1:141" s="121" customFormat="1" x14ac:dyDescent="0.3">
      <c r="A1017" s="124"/>
      <c r="O1017" s="235"/>
      <c r="X1017" s="117"/>
      <c r="Y1017" s="117"/>
      <c r="DT1017" s="240"/>
      <c r="DU1017" s="240"/>
      <c r="DV1017" s="240"/>
      <c r="DW1017" s="240"/>
      <c r="DX1017" s="240"/>
      <c r="DY1017" s="240"/>
      <c r="DZ1017" s="240"/>
      <c r="EA1017" s="240"/>
      <c r="EB1017" s="237"/>
      <c r="EC1017" s="241"/>
      <c r="ED1017" s="241"/>
      <c r="EE1017" s="241"/>
      <c r="EG1017" s="241"/>
      <c r="EI1017" s="241"/>
      <c r="EK1017" s="241"/>
    </row>
    <row r="1018" spans="1:141" s="121" customFormat="1" x14ac:dyDescent="0.3">
      <c r="A1018" s="124"/>
      <c r="O1018" s="235"/>
      <c r="X1018" s="117"/>
      <c r="Y1018" s="117"/>
      <c r="DT1018" s="240"/>
      <c r="DU1018" s="240"/>
      <c r="DV1018" s="240"/>
      <c r="DW1018" s="240"/>
      <c r="DX1018" s="240"/>
      <c r="DY1018" s="240"/>
      <c r="DZ1018" s="240"/>
      <c r="EA1018" s="240"/>
      <c r="EB1018" s="237"/>
      <c r="EC1018" s="241"/>
      <c r="ED1018" s="241"/>
      <c r="EE1018" s="241"/>
      <c r="EG1018" s="241"/>
      <c r="EI1018" s="241"/>
      <c r="EK1018" s="241"/>
    </row>
    <row r="1019" spans="1:141" s="121" customFormat="1" x14ac:dyDescent="0.3">
      <c r="A1019" s="124"/>
      <c r="O1019" s="235"/>
      <c r="X1019" s="117"/>
      <c r="Y1019" s="117"/>
      <c r="DT1019" s="240"/>
      <c r="DU1019" s="240"/>
      <c r="DV1019" s="240"/>
      <c r="DW1019" s="240"/>
      <c r="DX1019" s="240"/>
      <c r="DY1019" s="240"/>
      <c r="DZ1019" s="240"/>
      <c r="EA1019" s="240"/>
      <c r="EB1019" s="237"/>
      <c r="EC1019" s="241"/>
      <c r="ED1019" s="241"/>
      <c r="EE1019" s="241"/>
      <c r="EG1019" s="241"/>
      <c r="EI1019" s="241"/>
      <c r="EK1019" s="241"/>
    </row>
    <row r="1020" spans="1:141" s="121" customFormat="1" x14ac:dyDescent="0.3">
      <c r="A1020" s="124"/>
      <c r="O1020" s="235"/>
      <c r="X1020" s="117"/>
      <c r="Y1020" s="117"/>
      <c r="DT1020" s="240"/>
      <c r="DU1020" s="240"/>
      <c r="DV1020" s="240"/>
      <c r="DW1020" s="240"/>
      <c r="DX1020" s="240"/>
      <c r="DY1020" s="240"/>
      <c r="DZ1020" s="240"/>
      <c r="EA1020" s="240"/>
      <c r="EB1020" s="237"/>
      <c r="EC1020" s="241"/>
      <c r="ED1020" s="241"/>
      <c r="EE1020" s="241"/>
      <c r="EG1020" s="241"/>
      <c r="EI1020" s="241"/>
      <c r="EK1020" s="241"/>
    </row>
    <row r="1021" spans="1:141" s="121" customFormat="1" x14ac:dyDescent="0.3">
      <c r="A1021" s="124"/>
      <c r="O1021" s="235"/>
      <c r="X1021" s="117"/>
      <c r="Y1021" s="117"/>
      <c r="DT1021" s="240"/>
      <c r="DU1021" s="240"/>
      <c r="DV1021" s="240"/>
      <c r="DW1021" s="240"/>
      <c r="DX1021" s="240"/>
      <c r="DY1021" s="240"/>
      <c r="DZ1021" s="240"/>
      <c r="EA1021" s="240"/>
      <c r="EB1021" s="237"/>
      <c r="EC1021" s="241"/>
      <c r="ED1021" s="241"/>
      <c r="EE1021" s="241"/>
      <c r="EG1021" s="241"/>
      <c r="EI1021" s="241"/>
      <c r="EK1021" s="241"/>
    </row>
    <row r="1022" spans="1:141" s="121" customFormat="1" x14ac:dyDescent="0.3">
      <c r="A1022" s="124"/>
      <c r="O1022" s="235"/>
      <c r="X1022" s="117"/>
      <c r="Y1022" s="117"/>
      <c r="DT1022" s="240"/>
      <c r="DU1022" s="240"/>
      <c r="DV1022" s="240"/>
      <c r="DW1022" s="240"/>
      <c r="DX1022" s="240"/>
      <c r="DY1022" s="240"/>
      <c r="DZ1022" s="240"/>
      <c r="EA1022" s="240"/>
      <c r="EB1022" s="237"/>
      <c r="EC1022" s="241"/>
      <c r="ED1022" s="241"/>
      <c r="EE1022" s="241"/>
      <c r="EG1022" s="241"/>
      <c r="EI1022" s="241"/>
      <c r="EK1022" s="241"/>
    </row>
    <row r="1023" spans="1:141" s="121" customFormat="1" x14ac:dyDescent="0.3">
      <c r="A1023" s="124"/>
      <c r="O1023" s="235"/>
      <c r="X1023" s="117"/>
      <c r="Y1023" s="117"/>
      <c r="DT1023" s="240"/>
      <c r="DU1023" s="240"/>
      <c r="DV1023" s="240"/>
      <c r="DW1023" s="240"/>
      <c r="DX1023" s="240"/>
      <c r="DY1023" s="240"/>
      <c r="DZ1023" s="240"/>
      <c r="EA1023" s="240"/>
      <c r="EB1023" s="237"/>
      <c r="EC1023" s="241"/>
      <c r="ED1023" s="241"/>
      <c r="EE1023" s="241"/>
      <c r="EG1023" s="241"/>
      <c r="EI1023" s="241"/>
      <c r="EK1023" s="241"/>
    </row>
    <row r="1024" spans="1:141" s="121" customFormat="1" x14ac:dyDescent="0.3">
      <c r="A1024" s="124"/>
      <c r="O1024" s="235"/>
      <c r="X1024" s="117"/>
      <c r="Y1024" s="117"/>
      <c r="DT1024" s="240"/>
      <c r="DU1024" s="240"/>
      <c r="DV1024" s="240"/>
      <c r="DW1024" s="240"/>
      <c r="DX1024" s="240"/>
      <c r="DY1024" s="240"/>
      <c r="DZ1024" s="240"/>
      <c r="EA1024" s="240"/>
      <c r="EB1024" s="237"/>
      <c r="EC1024" s="241"/>
      <c r="ED1024" s="241"/>
      <c r="EE1024" s="241"/>
      <c r="EG1024" s="241"/>
      <c r="EI1024" s="241"/>
      <c r="EK1024" s="241"/>
    </row>
    <row r="1025" spans="1:141" s="121" customFormat="1" x14ac:dyDescent="0.3">
      <c r="A1025" s="124"/>
      <c r="O1025" s="235"/>
      <c r="X1025" s="117"/>
      <c r="Y1025" s="117"/>
      <c r="DT1025" s="240"/>
      <c r="DU1025" s="240"/>
      <c r="DV1025" s="240"/>
      <c r="DW1025" s="240"/>
      <c r="DX1025" s="240"/>
      <c r="DY1025" s="240"/>
      <c r="DZ1025" s="240"/>
      <c r="EA1025" s="240"/>
      <c r="EB1025" s="237"/>
      <c r="EC1025" s="241"/>
      <c r="ED1025" s="241"/>
      <c r="EE1025" s="241"/>
      <c r="EG1025" s="241"/>
      <c r="EI1025" s="241"/>
      <c r="EK1025" s="241"/>
    </row>
    <row r="1026" spans="1:141" s="121" customFormat="1" x14ac:dyDescent="0.3">
      <c r="A1026" s="124"/>
      <c r="O1026" s="235"/>
      <c r="X1026" s="117"/>
      <c r="Y1026" s="117"/>
      <c r="DT1026" s="240"/>
      <c r="DU1026" s="240"/>
      <c r="DV1026" s="240"/>
      <c r="DW1026" s="240"/>
      <c r="DX1026" s="240"/>
      <c r="DY1026" s="240"/>
      <c r="DZ1026" s="240"/>
      <c r="EA1026" s="240"/>
      <c r="EB1026" s="237"/>
      <c r="EC1026" s="241"/>
      <c r="ED1026" s="241"/>
      <c r="EE1026" s="241"/>
      <c r="EG1026" s="241"/>
      <c r="EI1026" s="241"/>
      <c r="EK1026" s="241"/>
    </row>
    <row r="1027" spans="1:141" s="121" customFormat="1" x14ac:dyDescent="0.3">
      <c r="A1027" s="124"/>
      <c r="O1027" s="235"/>
      <c r="X1027" s="117"/>
      <c r="Y1027" s="117"/>
      <c r="DT1027" s="240"/>
      <c r="DU1027" s="240"/>
      <c r="DV1027" s="240"/>
      <c r="DW1027" s="240"/>
      <c r="DX1027" s="240"/>
      <c r="DY1027" s="240"/>
      <c r="DZ1027" s="240"/>
      <c r="EA1027" s="240"/>
      <c r="EB1027" s="237"/>
      <c r="EC1027" s="241"/>
      <c r="ED1027" s="241"/>
      <c r="EE1027" s="241"/>
      <c r="EG1027" s="241"/>
      <c r="EI1027" s="241"/>
      <c r="EK1027" s="241"/>
    </row>
    <row r="1028" spans="1:141" s="121" customFormat="1" x14ac:dyDescent="0.3">
      <c r="A1028" s="124"/>
      <c r="O1028" s="235"/>
      <c r="X1028" s="117"/>
      <c r="Y1028" s="117"/>
      <c r="DT1028" s="240"/>
      <c r="DU1028" s="240"/>
      <c r="DV1028" s="240"/>
      <c r="DW1028" s="240"/>
      <c r="DX1028" s="240"/>
      <c r="DY1028" s="240"/>
      <c r="DZ1028" s="240"/>
      <c r="EA1028" s="240"/>
      <c r="EB1028" s="237"/>
      <c r="EC1028" s="241"/>
      <c r="ED1028" s="241"/>
      <c r="EE1028" s="241"/>
      <c r="EG1028" s="241"/>
      <c r="EI1028" s="241"/>
      <c r="EK1028" s="241"/>
    </row>
    <row r="1029" spans="1:141" s="121" customFormat="1" x14ac:dyDescent="0.3">
      <c r="A1029" s="124"/>
      <c r="O1029" s="235"/>
      <c r="X1029" s="117"/>
      <c r="Y1029" s="117"/>
      <c r="DT1029" s="240"/>
      <c r="DU1029" s="240"/>
      <c r="DV1029" s="240"/>
      <c r="DW1029" s="240"/>
      <c r="DX1029" s="240"/>
      <c r="DY1029" s="240"/>
      <c r="DZ1029" s="240"/>
      <c r="EA1029" s="240"/>
      <c r="EB1029" s="237"/>
      <c r="EC1029" s="241"/>
      <c r="ED1029" s="241"/>
      <c r="EE1029" s="241"/>
      <c r="EG1029" s="241"/>
      <c r="EI1029" s="241"/>
      <c r="EK1029" s="241"/>
    </row>
    <row r="1030" spans="1:141" s="121" customFormat="1" x14ac:dyDescent="0.3">
      <c r="A1030" s="124"/>
      <c r="O1030" s="235"/>
      <c r="X1030" s="117"/>
      <c r="Y1030" s="117"/>
      <c r="DT1030" s="240"/>
      <c r="DU1030" s="240"/>
      <c r="DV1030" s="240"/>
      <c r="DW1030" s="240"/>
      <c r="DX1030" s="240"/>
      <c r="DY1030" s="240"/>
      <c r="DZ1030" s="240"/>
      <c r="EA1030" s="240"/>
      <c r="EB1030" s="237"/>
      <c r="EC1030" s="241"/>
      <c r="ED1030" s="241"/>
      <c r="EE1030" s="241"/>
      <c r="EG1030" s="241"/>
      <c r="EI1030" s="241"/>
      <c r="EK1030" s="241"/>
    </row>
    <row r="1031" spans="1:141" s="121" customFormat="1" x14ac:dyDescent="0.3">
      <c r="A1031" s="124"/>
      <c r="O1031" s="235"/>
      <c r="X1031" s="117"/>
      <c r="Y1031" s="117"/>
      <c r="DT1031" s="240"/>
      <c r="DU1031" s="240"/>
      <c r="DV1031" s="240"/>
      <c r="DW1031" s="240"/>
      <c r="DX1031" s="240"/>
      <c r="DY1031" s="240"/>
      <c r="DZ1031" s="240"/>
      <c r="EA1031" s="240"/>
      <c r="EB1031" s="237"/>
      <c r="EC1031" s="241"/>
      <c r="ED1031" s="241"/>
      <c r="EE1031" s="241"/>
      <c r="EG1031" s="241"/>
      <c r="EI1031" s="241"/>
      <c r="EK1031" s="241"/>
    </row>
    <row r="1032" spans="1:141" s="121" customFormat="1" x14ac:dyDescent="0.3">
      <c r="A1032" s="124"/>
      <c r="O1032" s="235"/>
      <c r="X1032" s="117"/>
      <c r="Y1032" s="117"/>
      <c r="DT1032" s="240"/>
      <c r="DU1032" s="240"/>
      <c r="DV1032" s="240"/>
      <c r="DW1032" s="240"/>
      <c r="DX1032" s="240"/>
      <c r="DY1032" s="240"/>
      <c r="DZ1032" s="240"/>
      <c r="EA1032" s="240"/>
      <c r="EB1032" s="237"/>
      <c r="EC1032" s="241"/>
      <c r="ED1032" s="241"/>
      <c r="EE1032" s="241"/>
      <c r="EG1032" s="241"/>
      <c r="EI1032" s="241"/>
      <c r="EK1032" s="241"/>
    </row>
    <row r="1033" spans="1:141" s="121" customFormat="1" x14ac:dyDescent="0.3">
      <c r="A1033" s="124"/>
      <c r="O1033" s="235"/>
      <c r="X1033" s="117"/>
      <c r="Y1033" s="117"/>
      <c r="DT1033" s="240"/>
      <c r="DU1033" s="240"/>
      <c r="DV1033" s="240"/>
      <c r="DW1033" s="240"/>
      <c r="DX1033" s="240"/>
      <c r="DY1033" s="240"/>
      <c r="DZ1033" s="240"/>
      <c r="EA1033" s="240"/>
      <c r="EB1033" s="237"/>
      <c r="EC1033" s="241"/>
      <c r="ED1033" s="241"/>
      <c r="EE1033" s="241"/>
      <c r="EG1033" s="241"/>
      <c r="EI1033" s="241"/>
      <c r="EK1033" s="241"/>
    </row>
    <row r="1034" spans="1:141" s="121" customFormat="1" x14ac:dyDescent="0.3">
      <c r="A1034" s="124"/>
      <c r="O1034" s="235"/>
      <c r="X1034" s="117"/>
      <c r="Y1034" s="117"/>
      <c r="DT1034" s="240"/>
      <c r="DU1034" s="240"/>
      <c r="DV1034" s="240"/>
      <c r="DW1034" s="240"/>
      <c r="DX1034" s="240"/>
      <c r="DY1034" s="240"/>
      <c r="DZ1034" s="240"/>
      <c r="EA1034" s="240"/>
      <c r="EB1034" s="237"/>
      <c r="EC1034" s="241"/>
      <c r="ED1034" s="241"/>
      <c r="EE1034" s="241"/>
      <c r="EG1034" s="241"/>
      <c r="EI1034" s="241"/>
      <c r="EK1034" s="241"/>
    </row>
    <row r="1035" spans="1:141" s="121" customFormat="1" x14ac:dyDescent="0.3">
      <c r="A1035" s="124"/>
      <c r="O1035" s="235"/>
      <c r="X1035" s="117"/>
      <c r="Y1035" s="117"/>
      <c r="DT1035" s="240"/>
      <c r="DU1035" s="240"/>
      <c r="DV1035" s="240"/>
      <c r="DW1035" s="240"/>
      <c r="DX1035" s="240"/>
      <c r="DY1035" s="240"/>
      <c r="DZ1035" s="240"/>
      <c r="EA1035" s="240"/>
      <c r="EB1035" s="237"/>
      <c r="EC1035" s="241"/>
      <c r="ED1035" s="241"/>
      <c r="EE1035" s="241"/>
      <c r="EG1035" s="241"/>
      <c r="EI1035" s="241"/>
      <c r="EK1035" s="241"/>
    </row>
    <row r="1036" spans="1:141" s="121" customFormat="1" x14ac:dyDescent="0.3">
      <c r="A1036" s="124"/>
      <c r="O1036" s="235"/>
      <c r="X1036" s="117"/>
      <c r="Y1036" s="117"/>
      <c r="DT1036" s="240"/>
      <c r="DU1036" s="240"/>
      <c r="DV1036" s="240"/>
      <c r="DW1036" s="240"/>
      <c r="DX1036" s="240"/>
      <c r="DY1036" s="240"/>
      <c r="DZ1036" s="240"/>
      <c r="EA1036" s="240"/>
      <c r="EB1036" s="237"/>
      <c r="EC1036" s="241"/>
      <c r="ED1036" s="241"/>
      <c r="EE1036" s="241"/>
      <c r="EG1036" s="241"/>
      <c r="EI1036" s="241"/>
      <c r="EK1036" s="241"/>
    </row>
    <row r="1037" spans="1:141" s="121" customFormat="1" x14ac:dyDescent="0.3">
      <c r="A1037" s="124"/>
      <c r="O1037" s="235"/>
      <c r="X1037" s="117"/>
      <c r="Y1037" s="117"/>
      <c r="DT1037" s="240"/>
      <c r="DU1037" s="240"/>
      <c r="DV1037" s="240"/>
      <c r="DW1037" s="240"/>
      <c r="DX1037" s="240"/>
      <c r="DY1037" s="240"/>
      <c r="DZ1037" s="240"/>
      <c r="EA1037" s="240"/>
      <c r="EB1037" s="237"/>
      <c r="EC1037" s="241"/>
      <c r="ED1037" s="241"/>
      <c r="EE1037" s="241"/>
      <c r="EG1037" s="241"/>
      <c r="EI1037" s="241"/>
      <c r="EK1037" s="241"/>
    </row>
    <row r="1038" spans="1:141" s="121" customFormat="1" x14ac:dyDescent="0.3">
      <c r="A1038" s="124"/>
      <c r="O1038" s="235"/>
      <c r="X1038" s="117"/>
      <c r="Y1038" s="117"/>
      <c r="DT1038" s="240"/>
      <c r="DU1038" s="240"/>
      <c r="DV1038" s="240"/>
      <c r="DW1038" s="240"/>
      <c r="DX1038" s="240"/>
      <c r="DY1038" s="240"/>
      <c r="DZ1038" s="240"/>
      <c r="EA1038" s="240"/>
      <c r="EB1038" s="237"/>
      <c r="EC1038" s="241"/>
      <c r="ED1038" s="241"/>
      <c r="EE1038" s="241"/>
      <c r="EG1038" s="241"/>
      <c r="EI1038" s="241"/>
      <c r="EK1038" s="241"/>
    </row>
    <row r="1039" spans="1:141" s="121" customFormat="1" x14ac:dyDescent="0.3">
      <c r="A1039" s="124"/>
      <c r="O1039" s="235"/>
      <c r="X1039" s="117"/>
      <c r="Y1039" s="117"/>
      <c r="DT1039" s="240"/>
      <c r="DU1039" s="240"/>
      <c r="DV1039" s="240"/>
      <c r="DW1039" s="240"/>
      <c r="DX1039" s="240"/>
      <c r="DY1039" s="240"/>
      <c r="DZ1039" s="240"/>
      <c r="EA1039" s="240"/>
      <c r="EB1039" s="237"/>
      <c r="EC1039" s="241"/>
      <c r="ED1039" s="241"/>
      <c r="EE1039" s="241"/>
      <c r="EG1039" s="241"/>
      <c r="EI1039" s="241"/>
      <c r="EK1039" s="241"/>
    </row>
    <row r="1040" spans="1:141" s="121" customFormat="1" x14ac:dyDescent="0.3">
      <c r="A1040" s="124"/>
      <c r="O1040" s="235"/>
      <c r="X1040" s="117"/>
      <c r="Y1040" s="117"/>
      <c r="DT1040" s="240"/>
      <c r="DU1040" s="240"/>
      <c r="DV1040" s="240"/>
      <c r="DW1040" s="240"/>
      <c r="DX1040" s="240"/>
      <c r="DY1040" s="240"/>
      <c r="DZ1040" s="240"/>
      <c r="EA1040" s="240"/>
      <c r="EB1040" s="237"/>
      <c r="EC1040" s="241"/>
      <c r="ED1040" s="241"/>
      <c r="EE1040" s="241"/>
      <c r="EG1040" s="241"/>
      <c r="EI1040" s="241"/>
      <c r="EK1040" s="241"/>
    </row>
    <row r="1041" spans="1:141" s="121" customFormat="1" x14ac:dyDescent="0.3">
      <c r="A1041" s="124"/>
      <c r="O1041" s="235"/>
      <c r="X1041" s="117"/>
      <c r="Y1041" s="117"/>
      <c r="DT1041" s="240"/>
      <c r="DU1041" s="240"/>
      <c r="DV1041" s="240"/>
      <c r="DW1041" s="240"/>
      <c r="DX1041" s="240"/>
      <c r="DY1041" s="240"/>
      <c r="DZ1041" s="240"/>
      <c r="EA1041" s="240"/>
      <c r="EB1041" s="237"/>
      <c r="EC1041" s="241"/>
      <c r="ED1041" s="241"/>
      <c r="EE1041" s="241"/>
      <c r="EG1041" s="241"/>
      <c r="EI1041" s="241"/>
      <c r="EK1041" s="241"/>
    </row>
    <row r="1042" spans="1:141" s="121" customFormat="1" x14ac:dyDescent="0.3">
      <c r="A1042" s="124"/>
      <c r="O1042" s="235"/>
      <c r="X1042" s="117"/>
      <c r="Y1042" s="117"/>
      <c r="DT1042" s="240"/>
      <c r="DU1042" s="240"/>
      <c r="DV1042" s="240"/>
      <c r="DW1042" s="240"/>
      <c r="DX1042" s="240"/>
      <c r="DY1042" s="240"/>
      <c r="DZ1042" s="240"/>
      <c r="EA1042" s="240"/>
      <c r="EB1042" s="237"/>
      <c r="EC1042" s="241"/>
      <c r="ED1042" s="241"/>
      <c r="EE1042" s="241"/>
      <c r="EG1042" s="241"/>
      <c r="EI1042" s="241"/>
      <c r="EK1042" s="241"/>
    </row>
    <row r="1043" spans="1:141" s="121" customFormat="1" x14ac:dyDescent="0.3">
      <c r="A1043" s="124"/>
      <c r="O1043" s="235"/>
      <c r="X1043" s="117"/>
      <c r="Y1043" s="117"/>
      <c r="DT1043" s="240"/>
      <c r="DU1043" s="240"/>
      <c r="DV1043" s="240"/>
      <c r="DW1043" s="240"/>
      <c r="DX1043" s="240"/>
      <c r="DY1043" s="240"/>
      <c r="DZ1043" s="240"/>
      <c r="EA1043" s="240"/>
      <c r="EB1043" s="237"/>
      <c r="EC1043" s="241"/>
      <c r="ED1043" s="241"/>
      <c r="EE1043" s="241"/>
      <c r="EG1043" s="241"/>
      <c r="EI1043" s="241"/>
      <c r="EK1043" s="241"/>
    </row>
    <row r="1044" spans="1:141" s="121" customFormat="1" x14ac:dyDescent="0.3">
      <c r="A1044" s="124"/>
      <c r="O1044" s="235"/>
      <c r="X1044" s="117"/>
      <c r="Y1044" s="117"/>
      <c r="DT1044" s="240"/>
      <c r="DU1044" s="240"/>
      <c r="DV1044" s="240"/>
      <c r="DW1044" s="240"/>
      <c r="DX1044" s="240"/>
      <c r="DY1044" s="240"/>
      <c r="DZ1044" s="240"/>
      <c r="EA1044" s="240"/>
      <c r="EB1044" s="237"/>
      <c r="EC1044" s="241"/>
      <c r="ED1044" s="241"/>
      <c r="EE1044" s="241"/>
      <c r="EG1044" s="241"/>
      <c r="EI1044" s="241"/>
      <c r="EK1044" s="241"/>
    </row>
    <row r="1045" spans="1:141" s="121" customFormat="1" x14ac:dyDescent="0.3">
      <c r="A1045" s="124"/>
      <c r="O1045" s="235"/>
      <c r="X1045" s="117"/>
      <c r="Y1045" s="117"/>
      <c r="DT1045" s="240"/>
      <c r="DU1045" s="240"/>
      <c r="DV1045" s="240"/>
      <c r="DW1045" s="240"/>
      <c r="DX1045" s="240"/>
      <c r="DY1045" s="240"/>
      <c r="DZ1045" s="240"/>
      <c r="EA1045" s="240"/>
      <c r="EB1045" s="237"/>
      <c r="EC1045" s="241"/>
      <c r="ED1045" s="241"/>
      <c r="EE1045" s="241"/>
      <c r="EG1045" s="241"/>
      <c r="EI1045" s="241"/>
      <c r="EK1045" s="241"/>
    </row>
    <row r="1046" spans="1:141" s="121" customFormat="1" x14ac:dyDescent="0.3">
      <c r="A1046" s="124"/>
      <c r="O1046" s="235"/>
      <c r="X1046" s="117"/>
      <c r="Y1046" s="117"/>
      <c r="DT1046" s="240"/>
      <c r="DU1046" s="240"/>
      <c r="DV1046" s="240"/>
      <c r="DW1046" s="240"/>
      <c r="DX1046" s="240"/>
      <c r="DY1046" s="240"/>
      <c r="DZ1046" s="240"/>
      <c r="EA1046" s="240"/>
      <c r="EB1046" s="237"/>
      <c r="EC1046" s="241"/>
      <c r="ED1046" s="241"/>
      <c r="EE1046" s="241"/>
      <c r="EG1046" s="241"/>
      <c r="EI1046" s="241"/>
      <c r="EK1046" s="241"/>
    </row>
    <row r="1047" spans="1:141" s="121" customFormat="1" x14ac:dyDescent="0.3">
      <c r="A1047" s="124"/>
      <c r="O1047" s="235"/>
      <c r="X1047" s="117"/>
      <c r="Y1047" s="117"/>
      <c r="DT1047" s="240"/>
      <c r="DU1047" s="240"/>
      <c r="DV1047" s="240"/>
      <c r="DW1047" s="240"/>
      <c r="DX1047" s="240"/>
      <c r="DY1047" s="240"/>
      <c r="DZ1047" s="240"/>
      <c r="EA1047" s="240"/>
      <c r="EB1047" s="237"/>
      <c r="EC1047" s="241"/>
      <c r="ED1047" s="241"/>
      <c r="EE1047" s="241"/>
      <c r="EG1047" s="241"/>
      <c r="EI1047" s="241"/>
      <c r="EK1047" s="241"/>
    </row>
    <row r="1048" spans="1:141" s="121" customFormat="1" x14ac:dyDescent="0.3">
      <c r="A1048" s="124"/>
      <c r="O1048" s="235"/>
      <c r="X1048" s="117"/>
      <c r="Y1048" s="117"/>
      <c r="DT1048" s="240"/>
      <c r="DU1048" s="240"/>
      <c r="DV1048" s="240"/>
      <c r="DW1048" s="240"/>
      <c r="DX1048" s="240"/>
      <c r="DY1048" s="240"/>
      <c r="DZ1048" s="240"/>
      <c r="EA1048" s="240"/>
      <c r="EB1048" s="237"/>
      <c r="EC1048" s="241"/>
      <c r="ED1048" s="241"/>
      <c r="EE1048" s="241"/>
      <c r="EG1048" s="241"/>
      <c r="EI1048" s="241"/>
      <c r="EK1048" s="241"/>
    </row>
    <row r="1049" spans="1:141" s="121" customFormat="1" x14ac:dyDescent="0.3">
      <c r="A1049" s="124"/>
      <c r="O1049" s="235"/>
      <c r="X1049" s="117"/>
      <c r="Y1049" s="117"/>
      <c r="DT1049" s="240"/>
      <c r="DU1049" s="240"/>
      <c r="DV1049" s="240"/>
      <c r="DW1049" s="240"/>
      <c r="DX1049" s="240"/>
      <c r="DY1049" s="240"/>
      <c r="DZ1049" s="240"/>
      <c r="EA1049" s="240"/>
      <c r="EB1049" s="237"/>
      <c r="EC1049" s="241"/>
      <c r="ED1049" s="241"/>
      <c r="EE1049" s="241"/>
      <c r="EG1049" s="241"/>
      <c r="EI1049" s="241"/>
      <c r="EK1049" s="241"/>
    </row>
    <row r="1050" spans="1:141" s="121" customFormat="1" x14ac:dyDescent="0.3">
      <c r="A1050" s="124"/>
      <c r="O1050" s="235"/>
      <c r="X1050" s="117"/>
      <c r="Y1050" s="117"/>
      <c r="DT1050" s="240"/>
      <c r="DU1050" s="240"/>
      <c r="DV1050" s="240"/>
      <c r="DW1050" s="240"/>
      <c r="DX1050" s="240"/>
      <c r="DY1050" s="240"/>
      <c r="DZ1050" s="240"/>
      <c r="EA1050" s="240"/>
      <c r="EB1050" s="237"/>
      <c r="EC1050" s="241"/>
      <c r="ED1050" s="241"/>
      <c r="EE1050" s="241"/>
      <c r="EG1050" s="241"/>
      <c r="EI1050" s="241"/>
      <c r="EK1050" s="241"/>
    </row>
    <row r="1051" spans="1:141" s="121" customFormat="1" x14ac:dyDescent="0.3">
      <c r="A1051" s="124"/>
      <c r="O1051" s="235"/>
      <c r="X1051" s="117"/>
      <c r="Y1051" s="117"/>
      <c r="DT1051" s="240"/>
      <c r="DU1051" s="240"/>
      <c r="DV1051" s="240"/>
      <c r="DW1051" s="240"/>
      <c r="DX1051" s="240"/>
      <c r="DY1051" s="240"/>
      <c r="DZ1051" s="240"/>
      <c r="EA1051" s="240"/>
      <c r="EB1051" s="237"/>
      <c r="EC1051" s="241"/>
      <c r="ED1051" s="241"/>
      <c r="EE1051" s="241"/>
      <c r="EG1051" s="241"/>
      <c r="EI1051" s="241"/>
      <c r="EK1051" s="241"/>
    </row>
    <row r="1052" spans="1:141" s="121" customFormat="1" x14ac:dyDescent="0.3">
      <c r="A1052" s="124"/>
      <c r="O1052" s="235"/>
      <c r="X1052" s="117"/>
      <c r="Y1052" s="117"/>
      <c r="DT1052" s="240"/>
      <c r="DU1052" s="240"/>
      <c r="DV1052" s="240"/>
      <c r="DW1052" s="240"/>
      <c r="DX1052" s="240"/>
      <c r="DY1052" s="240"/>
      <c r="DZ1052" s="240"/>
      <c r="EA1052" s="240"/>
      <c r="EB1052" s="237"/>
      <c r="EC1052" s="241"/>
      <c r="ED1052" s="241"/>
      <c r="EE1052" s="241"/>
      <c r="EG1052" s="241"/>
      <c r="EI1052" s="241"/>
      <c r="EK1052" s="241"/>
    </row>
    <row r="1053" spans="1:141" s="121" customFormat="1" x14ac:dyDescent="0.3">
      <c r="A1053" s="124"/>
      <c r="O1053" s="235"/>
      <c r="X1053" s="117"/>
      <c r="Y1053" s="117"/>
      <c r="DT1053" s="240"/>
      <c r="DU1053" s="240"/>
      <c r="DV1053" s="240"/>
      <c r="DW1053" s="240"/>
      <c r="DX1053" s="240"/>
      <c r="DY1053" s="240"/>
      <c r="DZ1053" s="240"/>
      <c r="EA1053" s="240"/>
      <c r="EB1053" s="237"/>
      <c r="EC1053" s="241"/>
      <c r="ED1053" s="241"/>
      <c r="EE1053" s="241"/>
      <c r="EG1053" s="241"/>
      <c r="EI1053" s="241"/>
      <c r="EK1053" s="241"/>
    </row>
    <row r="1054" spans="1:141" s="121" customFormat="1" x14ac:dyDescent="0.3">
      <c r="A1054" s="124"/>
      <c r="O1054" s="235"/>
      <c r="X1054" s="117"/>
      <c r="Y1054" s="117"/>
      <c r="DT1054" s="240"/>
      <c r="DU1054" s="240"/>
      <c r="DV1054" s="240"/>
      <c r="DW1054" s="240"/>
      <c r="DX1054" s="240"/>
      <c r="DY1054" s="240"/>
      <c r="DZ1054" s="240"/>
      <c r="EA1054" s="240"/>
      <c r="EB1054" s="237"/>
      <c r="EC1054" s="241"/>
      <c r="ED1054" s="241"/>
      <c r="EE1054" s="241"/>
      <c r="EG1054" s="241"/>
      <c r="EI1054" s="241"/>
      <c r="EK1054" s="241"/>
    </row>
    <row r="1055" spans="1:141" s="121" customFormat="1" x14ac:dyDescent="0.3">
      <c r="A1055" s="124"/>
      <c r="O1055" s="235"/>
      <c r="X1055" s="117"/>
      <c r="Y1055" s="117"/>
      <c r="DT1055" s="240"/>
      <c r="DU1055" s="240"/>
      <c r="DV1055" s="240"/>
      <c r="DW1055" s="240"/>
      <c r="DX1055" s="240"/>
      <c r="DY1055" s="240"/>
      <c r="DZ1055" s="240"/>
      <c r="EA1055" s="240"/>
      <c r="EB1055" s="237"/>
      <c r="EC1055" s="241"/>
      <c r="ED1055" s="241"/>
      <c r="EE1055" s="241"/>
      <c r="EG1055" s="241"/>
      <c r="EI1055" s="241"/>
      <c r="EK1055" s="241"/>
    </row>
    <row r="1056" spans="1:141" s="121" customFormat="1" x14ac:dyDescent="0.3">
      <c r="A1056" s="124"/>
      <c r="O1056" s="235"/>
      <c r="X1056" s="117"/>
      <c r="Y1056" s="117"/>
      <c r="DT1056" s="240"/>
      <c r="DU1056" s="240"/>
      <c r="DV1056" s="240"/>
      <c r="DW1056" s="240"/>
      <c r="DX1056" s="240"/>
      <c r="DY1056" s="240"/>
      <c r="DZ1056" s="240"/>
      <c r="EA1056" s="240"/>
      <c r="EB1056" s="237"/>
      <c r="EC1056" s="241"/>
      <c r="ED1056" s="241"/>
      <c r="EE1056" s="241"/>
      <c r="EG1056" s="241"/>
      <c r="EI1056" s="241"/>
      <c r="EK1056" s="241"/>
    </row>
    <row r="1057" spans="1:141" s="121" customFormat="1" x14ac:dyDescent="0.3">
      <c r="A1057" s="124"/>
      <c r="O1057" s="235"/>
      <c r="X1057" s="117"/>
      <c r="Y1057" s="117"/>
      <c r="DT1057" s="240"/>
      <c r="DU1057" s="240"/>
      <c r="DV1057" s="240"/>
      <c r="DW1057" s="240"/>
      <c r="DX1057" s="240"/>
      <c r="DY1057" s="240"/>
      <c r="DZ1057" s="240"/>
      <c r="EA1057" s="240"/>
      <c r="EB1057" s="237"/>
      <c r="EC1057" s="241"/>
      <c r="ED1057" s="241"/>
      <c r="EE1057" s="241"/>
      <c r="EG1057" s="241"/>
      <c r="EI1057" s="241"/>
      <c r="EK1057" s="241"/>
    </row>
    <row r="1058" spans="1:141" s="121" customFormat="1" x14ac:dyDescent="0.3">
      <c r="A1058" s="124"/>
      <c r="O1058" s="235"/>
      <c r="X1058" s="117"/>
      <c r="Y1058" s="117"/>
      <c r="DT1058" s="240"/>
      <c r="DU1058" s="240"/>
      <c r="DV1058" s="240"/>
      <c r="DW1058" s="240"/>
      <c r="DX1058" s="240"/>
      <c r="DY1058" s="240"/>
      <c r="DZ1058" s="240"/>
      <c r="EA1058" s="240"/>
      <c r="EB1058" s="237"/>
      <c r="EC1058" s="241"/>
      <c r="ED1058" s="241"/>
      <c r="EE1058" s="241"/>
      <c r="EG1058" s="241"/>
      <c r="EI1058" s="241"/>
      <c r="EK1058" s="241"/>
    </row>
    <row r="1059" spans="1:141" s="121" customFormat="1" x14ac:dyDescent="0.3">
      <c r="A1059" s="124"/>
      <c r="O1059" s="235"/>
      <c r="X1059" s="117"/>
      <c r="Y1059" s="117"/>
      <c r="DT1059" s="240"/>
      <c r="DU1059" s="240"/>
      <c r="DV1059" s="240"/>
      <c r="DW1059" s="240"/>
      <c r="DX1059" s="240"/>
      <c r="DY1059" s="240"/>
      <c r="DZ1059" s="240"/>
      <c r="EA1059" s="240"/>
      <c r="EB1059" s="237"/>
      <c r="EC1059" s="241"/>
      <c r="ED1059" s="241"/>
      <c r="EE1059" s="241"/>
      <c r="EG1059" s="241"/>
      <c r="EI1059" s="241"/>
      <c r="EK1059" s="241"/>
    </row>
    <row r="1060" spans="1:141" s="121" customFormat="1" x14ac:dyDescent="0.3">
      <c r="A1060" s="124"/>
      <c r="O1060" s="235"/>
      <c r="X1060" s="117"/>
      <c r="Y1060" s="117"/>
      <c r="DT1060" s="240"/>
      <c r="DU1060" s="240"/>
      <c r="DV1060" s="240"/>
      <c r="DW1060" s="240"/>
      <c r="DX1060" s="240"/>
      <c r="DY1060" s="240"/>
      <c r="DZ1060" s="240"/>
      <c r="EA1060" s="240"/>
      <c r="EB1060" s="237"/>
      <c r="EC1060" s="241"/>
      <c r="ED1060" s="241"/>
      <c r="EE1060" s="241"/>
      <c r="EG1060" s="241"/>
      <c r="EI1060" s="241"/>
      <c r="EK1060" s="241"/>
    </row>
    <row r="1061" spans="1:141" s="121" customFormat="1" x14ac:dyDescent="0.3">
      <c r="A1061" s="124"/>
      <c r="O1061" s="235"/>
      <c r="X1061" s="117"/>
      <c r="Y1061" s="117"/>
      <c r="DT1061" s="240"/>
      <c r="DU1061" s="240"/>
      <c r="DV1061" s="240"/>
      <c r="DW1061" s="240"/>
      <c r="DX1061" s="240"/>
      <c r="DY1061" s="240"/>
      <c r="DZ1061" s="240"/>
      <c r="EA1061" s="240"/>
      <c r="EB1061" s="237"/>
      <c r="EC1061" s="241"/>
      <c r="ED1061" s="241"/>
      <c r="EE1061" s="241"/>
      <c r="EG1061" s="241"/>
      <c r="EI1061" s="241"/>
      <c r="EK1061" s="241"/>
    </row>
    <row r="1062" spans="1:141" s="121" customFormat="1" x14ac:dyDescent="0.3">
      <c r="A1062" s="124"/>
      <c r="O1062" s="235"/>
      <c r="X1062" s="117"/>
      <c r="Y1062" s="117"/>
      <c r="DT1062" s="240"/>
      <c r="DU1062" s="240"/>
      <c r="DV1062" s="240"/>
      <c r="DW1062" s="240"/>
      <c r="DX1062" s="240"/>
      <c r="DY1062" s="240"/>
      <c r="DZ1062" s="240"/>
      <c r="EA1062" s="240"/>
      <c r="EB1062" s="237"/>
      <c r="EC1062" s="241"/>
      <c r="ED1062" s="241"/>
      <c r="EE1062" s="241"/>
      <c r="EG1062" s="241"/>
      <c r="EI1062" s="241"/>
      <c r="EK1062" s="241"/>
    </row>
    <row r="1063" spans="1:141" s="121" customFormat="1" x14ac:dyDescent="0.3">
      <c r="A1063" s="124"/>
      <c r="O1063" s="235"/>
      <c r="X1063" s="117"/>
      <c r="Y1063" s="117"/>
      <c r="DT1063" s="240"/>
      <c r="DU1063" s="240"/>
      <c r="DV1063" s="240"/>
      <c r="DW1063" s="240"/>
      <c r="DX1063" s="240"/>
      <c r="DY1063" s="240"/>
      <c r="DZ1063" s="240"/>
      <c r="EA1063" s="240"/>
      <c r="EB1063" s="237"/>
      <c r="EC1063" s="241"/>
      <c r="ED1063" s="241"/>
      <c r="EE1063" s="241"/>
      <c r="EG1063" s="241"/>
      <c r="EI1063" s="241"/>
      <c r="EK1063" s="241"/>
    </row>
    <row r="1064" spans="1:141" s="121" customFormat="1" x14ac:dyDescent="0.3">
      <c r="A1064" s="124"/>
      <c r="O1064" s="235"/>
      <c r="X1064" s="117"/>
      <c r="Y1064" s="117"/>
      <c r="DT1064" s="240"/>
      <c r="DU1064" s="240"/>
      <c r="DV1064" s="240"/>
      <c r="DW1064" s="240"/>
      <c r="DX1064" s="240"/>
      <c r="DY1064" s="240"/>
      <c r="DZ1064" s="240"/>
      <c r="EA1064" s="240"/>
      <c r="EB1064" s="237"/>
      <c r="EC1064" s="241"/>
      <c r="ED1064" s="241"/>
      <c r="EE1064" s="241"/>
      <c r="EG1064" s="241"/>
      <c r="EI1064" s="241"/>
      <c r="EK1064" s="241"/>
    </row>
    <row r="1065" spans="1:141" s="121" customFormat="1" x14ac:dyDescent="0.3">
      <c r="A1065" s="124"/>
      <c r="O1065" s="235"/>
      <c r="X1065" s="117"/>
      <c r="Y1065" s="117"/>
      <c r="DT1065" s="240"/>
      <c r="DU1065" s="240"/>
      <c r="DV1065" s="240"/>
      <c r="DW1065" s="240"/>
      <c r="DX1065" s="240"/>
      <c r="DY1065" s="240"/>
      <c r="DZ1065" s="240"/>
      <c r="EA1065" s="240"/>
      <c r="EB1065" s="237"/>
      <c r="EC1065" s="241"/>
      <c r="ED1065" s="241"/>
      <c r="EE1065" s="241"/>
      <c r="EG1065" s="241"/>
      <c r="EI1065" s="241"/>
      <c r="EK1065" s="241"/>
    </row>
    <row r="1066" spans="1:141" s="121" customFormat="1" x14ac:dyDescent="0.3">
      <c r="A1066" s="124"/>
      <c r="O1066" s="235"/>
      <c r="X1066" s="117"/>
      <c r="Y1066" s="117"/>
      <c r="DT1066" s="240"/>
      <c r="DU1066" s="240"/>
      <c r="DV1066" s="240"/>
      <c r="DW1066" s="240"/>
      <c r="DX1066" s="240"/>
      <c r="DY1066" s="240"/>
      <c r="DZ1066" s="240"/>
      <c r="EA1066" s="240"/>
      <c r="EB1066" s="237"/>
      <c r="EC1066" s="241"/>
      <c r="ED1066" s="241"/>
      <c r="EE1066" s="241"/>
      <c r="EG1066" s="241"/>
      <c r="EI1066" s="241"/>
      <c r="EK1066" s="241"/>
    </row>
    <row r="1067" spans="1:141" s="121" customFormat="1" x14ac:dyDescent="0.3">
      <c r="A1067" s="124"/>
      <c r="O1067" s="235"/>
      <c r="X1067" s="117"/>
      <c r="Y1067" s="117"/>
      <c r="DT1067" s="240"/>
      <c r="DU1067" s="240"/>
      <c r="DV1067" s="240"/>
      <c r="DW1067" s="240"/>
      <c r="DX1067" s="240"/>
      <c r="DY1067" s="240"/>
      <c r="DZ1067" s="240"/>
      <c r="EA1067" s="240"/>
      <c r="EB1067" s="237"/>
      <c r="EC1067" s="241"/>
      <c r="ED1067" s="241"/>
      <c r="EE1067" s="241"/>
      <c r="EG1067" s="241"/>
      <c r="EI1067" s="241"/>
      <c r="EK1067" s="241"/>
    </row>
    <row r="1068" spans="1:141" s="121" customFormat="1" x14ac:dyDescent="0.3">
      <c r="A1068" s="124"/>
      <c r="O1068" s="235"/>
      <c r="X1068" s="117"/>
      <c r="Y1068" s="117"/>
      <c r="DT1068" s="240"/>
      <c r="DU1068" s="240"/>
      <c r="DV1068" s="240"/>
      <c r="DW1068" s="240"/>
      <c r="DX1068" s="240"/>
      <c r="DY1068" s="240"/>
      <c r="DZ1068" s="240"/>
      <c r="EA1068" s="240"/>
      <c r="EB1068" s="237"/>
      <c r="EC1068" s="241"/>
      <c r="ED1068" s="241"/>
      <c r="EE1068" s="241"/>
      <c r="EG1068" s="241"/>
      <c r="EI1068" s="241"/>
      <c r="EK1068" s="241"/>
    </row>
    <row r="1069" spans="1:141" s="121" customFormat="1" x14ac:dyDescent="0.3">
      <c r="A1069" s="124"/>
      <c r="O1069" s="235"/>
      <c r="X1069" s="117"/>
      <c r="Y1069" s="117"/>
      <c r="DT1069" s="240"/>
      <c r="DU1069" s="240"/>
      <c r="DV1069" s="240"/>
      <c r="DW1069" s="240"/>
      <c r="DX1069" s="240"/>
      <c r="DY1069" s="240"/>
      <c r="DZ1069" s="240"/>
      <c r="EA1069" s="240"/>
      <c r="EB1069" s="237"/>
      <c r="EC1069" s="241"/>
      <c r="ED1069" s="241"/>
      <c r="EE1069" s="241"/>
      <c r="EG1069" s="241"/>
      <c r="EI1069" s="241"/>
      <c r="EK1069" s="241"/>
    </row>
    <row r="1070" spans="1:141" s="121" customFormat="1" x14ac:dyDescent="0.3">
      <c r="A1070" s="124"/>
      <c r="O1070" s="235"/>
      <c r="X1070" s="117"/>
      <c r="Y1070" s="117"/>
      <c r="DT1070" s="240"/>
      <c r="DU1070" s="240"/>
      <c r="DV1070" s="240"/>
      <c r="DW1070" s="240"/>
      <c r="DX1070" s="240"/>
      <c r="DY1070" s="240"/>
      <c r="DZ1070" s="240"/>
      <c r="EA1070" s="240"/>
      <c r="EB1070" s="237"/>
      <c r="EC1070" s="241"/>
      <c r="ED1070" s="241"/>
      <c r="EE1070" s="241"/>
      <c r="EG1070" s="241"/>
      <c r="EI1070" s="241"/>
      <c r="EK1070" s="241"/>
    </row>
    <row r="1071" spans="1:141" s="121" customFormat="1" x14ac:dyDescent="0.3">
      <c r="A1071" s="124"/>
      <c r="O1071" s="235"/>
      <c r="X1071" s="117"/>
      <c r="Y1071" s="117"/>
      <c r="DT1071" s="240"/>
      <c r="DU1071" s="240"/>
      <c r="DV1071" s="240"/>
      <c r="DW1071" s="240"/>
      <c r="DX1071" s="240"/>
      <c r="DY1071" s="240"/>
      <c r="DZ1071" s="240"/>
      <c r="EA1071" s="240"/>
      <c r="EB1071" s="237"/>
      <c r="EC1071" s="241"/>
      <c r="ED1071" s="241"/>
      <c r="EE1071" s="241"/>
      <c r="EG1071" s="241"/>
      <c r="EI1071" s="241"/>
      <c r="EK1071" s="241"/>
    </row>
    <row r="1072" spans="1:141" s="121" customFormat="1" x14ac:dyDescent="0.3">
      <c r="A1072" s="124"/>
      <c r="O1072" s="235"/>
      <c r="X1072" s="117"/>
      <c r="Y1072" s="117"/>
      <c r="DT1072" s="240"/>
      <c r="DU1072" s="240"/>
      <c r="DV1072" s="240"/>
      <c r="DW1072" s="240"/>
      <c r="DX1072" s="240"/>
      <c r="DY1072" s="240"/>
      <c r="DZ1072" s="240"/>
      <c r="EA1072" s="240"/>
      <c r="EB1072" s="237"/>
      <c r="EC1072" s="241"/>
      <c r="ED1072" s="241"/>
      <c r="EE1072" s="241"/>
      <c r="EG1072" s="241"/>
      <c r="EI1072" s="241"/>
      <c r="EK1072" s="241"/>
    </row>
    <row r="1073" spans="1:141" s="121" customFormat="1" x14ac:dyDescent="0.3">
      <c r="A1073" s="124"/>
      <c r="O1073" s="235"/>
      <c r="X1073" s="117"/>
      <c r="Y1073" s="117"/>
      <c r="DT1073" s="240"/>
      <c r="DU1073" s="240"/>
      <c r="DV1073" s="240"/>
      <c r="DW1073" s="240"/>
      <c r="DX1073" s="240"/>
      <c r="DY1073" s="240"/>
      <c r="DZ1073" s="240"/>
      <c r="EA1073" s="240"/>
      <c r="EB1073" s="237"/>
      <c r="EC1073" s="241"/>
      <c r="ED1073" s="241"/>
      <c r="EE1073" s="241"/>
      <c r="EG1073" s="241"/>
      <c r="EI1073" s="241"/>
      <c r="EK1073" s="241"/>
    </row>
    <row r="1074" spans="1:141" s="121" customFormat="1" x14ac:dyDescent="0.3">
      <c r="A1074" s="124"/>
      <c r="O1074" s="235"/>
      <c r="X1074" s="117"/>
      <c r="Y1074" s="117"/>
      <c r="DT1074" s="240"/>
      <c r="DU1074" s="240"/>
      <c r="DV1074" s="240"/>
      <c r="DW1074" s="240"/>
      <c r="DX1074" s="240"/>
      <c r="DY1074" s="240"/>
      <c r="DZ1074" s="240"/>
      <c r="EA1074" s="240"/>
      <c r="EB1074" s="237"/>
      <c r="EC1074" s="241"/>
      <c r="ED1074" s="241"/>
      <c r="EE1074" s="241"/>
      <c r="EG1074" s="241"/>
      <c r="EI1074" s="241"/>
      <c r="EK1074" s="241"/>
    </row>
    <row r="1075" spans="1:141" s="121" customFormat="1" x14ac:dyDescent="0.3">
      <c r="A1075" s="124"/>
      <c r="O1075" s="235"/>
      <c r="X1075" s="117"/>
      <c r="Y1075" s="117"/>
      <c r="DT1075" s="240"/>
      <c r="DU1075" s="240"/>
      <c r="DV1075" s="240"/>
      <c r="DW1075" s="240"/>
      <c r="DX1075" s="240"/>
      <c r="DY1075" s="240"/>
      <c r="DZ1075" s="240"/>
      <c r="EA1075" s="240"/>
      <c r="EB1075" s="237"/>
      <c r="EC1075" s="241"/>
      <c r="ED1075" s="241"/>
      <c r="EE1075" s="241"/>
      <c r="EG1075" s="241"/>
      <c r="EI1075" s="241"/>
      <c r="EK1075" s="241"/>
    </row>
    <row r="1076" spans="1:141" s="121" customFormat="1" x14ac:dyDescent="0.3">
      <c r="A1076" s="124"/>
      <c r="O1076" s="235"/>
      <c r="X1076" s="117"/>
      <c r="Y1076" s="117"/>
      <c r="DT1076" s="240"/>
      <c r="DU1076" s="240"/>
      <c r="DV1076" s="240"/>
      <c r="DW1076" s="240"/>
      <c r="DX1076" s="240"/>
      <c r="DY1076" s="240"/>
      <c r="DZ1076" s="240"/>
      <c r="EA1076" s="240"/>
      <c r="EB1076" s="237"/>
      <c r="EC1076" s="241"/>
      <c r="ED1076" s="241"/>
      <c r="EE1076" s="241"/>
      <c r="EG1076" s="241"/>
      <c r="EI1076" s="241"/>
      <c r="EK1076" s="241"/>
    </row>
    <row r="1077" spans="1:141" s="121" customFormat="1" x14ac:dyDescent="0.3">
      <c r="A1077" s="124"/>
      <c r="O1077" s="235"/>
      <c r="X1077" s="117"/>
      <c r="Y1077" s="117"/>
      <c r="DT1077" s="240"/>
      <c r="DU1077" s="240"/>
      <c r="DV1077" s="240"/>
      <c r="DW1077" s="240"/>
      <c r="DX1077" s="240"/>
      <c r="DY1077" s="240"/>
      <c r="DZ1077" s="240"/>
      <c r="EA1077" s="240"/>
      <c r="EB1077" s="237"/>
      <c r="EC1077" s="241"/>
      <c r="ED1077" s="241"/>
      <c r="EE1077" s="241"/>
      <c r="EG1077" s="241"/>
      <c r="EI1077" s="241"/>
      <c r="EK1077" s="241"/>
    </row>
    <row r="1078" spans="1:141" s="121" customFormat="1" x14ac:dyDescent="0.3">
      <c r="A1078" s="124"/>
      <c r="O1078" s="235"/>
      <c r="X1078" s="117"/>
      <c r="Y1078" s="117"/>
      <c r="DT1078" s="240"/>
      <c r="DU1078" s="240"/>
      <c r="DV1078" s="240"/>
      <c r="DW1078" s="240"/>
      <c r="DX1078" s="240"/>
      <c r="DY1078" s="240"/>
      <c r="DZ1078" s="240"/>
      <c r="EA1078" s="240"/>
      <c r="EB1078" s="237"/>
      <c r="EC1078" s="241"/>
      <c r="ED1078" s="241"/>
      <c r="EE1078" s="241"/>
      <c r="EG1078" s="241"/>
      <c r="EI1078" s="241"/>
      <c r="EK1078" s="241"/>
    </row>
    <row r="1079" spans="1:141" s="121" customFormat="1" x14ac:dyDescent="0.3">
      <c r="A1079" s="124"/>
      <c r="O1079" s="235"/>
      <c r="X1079" s="117"/>
      <c r="Y1079" s="117"/>
      <c r="DT1079" s="240"/>
      <c r="DU1079" s="240"/>
      <c r="DV1079" s="240"/>
      <c r="DW1079" s="240"/>
      <c r="DX1079" s="240"/>
      <c r="DY1079" s="240"/>
      <c r="DZ1079" s="240"/>
      <c r="EA1079" s="240"/>
      <c r="EB1079" s="237"/>
      <c r="EC1079" s="241"/>
      <c r="ED1079" s="241"/>
      <c r="EE1079" s="241"/>
      <c r="EG1079" s="241"/>
      <c r="EI1079" s="241"/>
      <c r="EK1079" s="241"/>
    </row>
    <row r="1080" spans="1:141" s="121" customFormat="1" x14ac:dyDescent="0.3">
      <c r="A1080" s="124"/>
      <c r="O1080" s="235"/>
      <c r="X1080" s="117"/>
      <c r="Y1080" s="117"/>
      <c r="DT1080" s="240"/>
      <c r="DU1080" s="240"/>
      <c r="DV1080" s="240"/>
      <c r="DW1080" s="240"/>
      <c r="DX1080" s="240"/>
      <c r="DY1080" s="240"/>
      <c r="DZ1080" s="240"/>
      <c r="EA1080" s="240"/>
      <c r="EB1080" s="237"/>
      <c r="EC1080" s="241"/>
      <c r="ED1080" s="241"/>
      <c r="EE1080" s="241"/>
      <c r="EG1080" s="241"/>
      <c r="EI1080" s="241"/>
      <c r="EK1080" s="241"/>
    </row>
    <row r="1081" spans="1:141" s="121" customFormat="1" x14ac:dyDescent="0.3">
      <c r="A1081" s="124"/>
      <c r="O1081" s="235"/>
      <c r="X1081" s="117"/>
      <c r="Y1081" s="117"/>
      <c r="DT1081" s="240"/>
      <c r="DU1081" s="240"/>
      <c r="DV1081" s="240"/>
      <c r="DW1081" s="240"/>
      <c r="DX1081" s="240"/>
      <c r="DY1081" s="240"/>
      <c r="DZ1081" s="240"/>
      <c r="EA1081" s="240"/>
      <c r="EB1081" s="237"/>
      <c r="EC1081" s="241"/>
      <c r="ED1081" s="241"/>
      <c r="EE1081" s="241"/>
      <c r="EG1081" s="241"/>
      <c r="EI1081" s="241"/>
      <c r="EK1081" s="241"/>
    </row>
    <row r="1082" spans="1:141" s="121" customFormat="1" x14ac:dyDescent="0.3">
      <c r="A1082" s="124"/>
      <c r="O1082" s="235"/>
      <c r="X1082" s="117"/>
      <c r="Y1082" s="117"/>
      <c r="DT1082" s="240"/>
      <c r="DU1082" s="240"/>
      <c r="DV1082" s="240"/>
      <c r="DW1082" s="240"/>
      <c r="DX1082" s="240"/>
      <c r="DY1082" s="240"/>
      <c r="DZ1082" s="240"/>
      <c r="EA1082" s="240"/>
      <c r="EB1082" s="237"/>
      <c r="EC1082" s="241"/>
      <c r="ED1082" s="241"/>
      <c r="EE1082" s="241"/>
      <c r="EG1082" s="241"/>
      <c r="EI1082" s="241"/>
      <c r="EK1082" s="241"/>
    </row>
    <row r="1083" spans="1:141" s="121" customFormat="1" x14ac:dyDescent="0.3">
      <c r="A1083" s="124"/>
      <c r="O1083" s="235"/>
      <c r="X1083" s="117"/>
      <c r="Y1083" s="117"/>
      <c r="DT1083" s="240"/>
      <c r="DU1083" s="240"/>
      <c r="DV1083" s="240"/>
      <c r="DW1083" s="240"/>
      <c r="DX1083" s="240"/>
      <c r="DY1083" s="240"/>
      <c r="DZ1083" s="240"/>
      <c r="EA1083" s="240"/>
      <c r="EB1083" s="237"/>
      <c r="EC1083" s="241"/>
      <c r="ED1083" s="241"/>
      <c r="EE1083" s="241"/>
      <c r="EG1083" s="241"/>
      <c r="EI1083" s="241"/>
      <c r="EK1083" s="241"/>
    </row>
    <row r="1084" spans="1:141" s="121" customFormat="1" x14ac:dyDescent="0.3">
      <c r="A1084" s="124"/>
      <c r="O1084" s="235"/>
      <c r="X1084" s="117"/>
      <c r="Y1084" s="117"/>
      <c r="DT1084" s="240"/>
      <c r="DU1084" s="240"/>
      <c r="DV1084" s="240"/>
      <c r="DW1084" s="240"/>
      <c r="DX1084" s="240"/>
      <c r="DY1084" s="240"/>
      <c r="DZ1084" s="240"/>
      <c r="EA1084" s="240"/>
      <c r="EB1084" s="237"/>
      <c r="EC1084" s="241"/>
      <c r="ED1084" s="241"/>
      <c r="EE1084" s="241"/>
      <c r="EG1084" s="241"/>
      <c r="EI1084" s="241"/>
      <c r="EK1084" s="241"/>
    </row>
    <row r="1085" spans="1:141" s="121" customFormat="1" x14ac:dyDescent="0.3">
      <c r="A1085" s="124"/>
      <c r="O1085" s="235"/>
      <c r="X1085" s="117"/>
      <c r="Y1085" s="117"/>
      <c r="DT1085" s="240"/>
      <c r="DU1085" s="240"/>
      <c r="DV1085" s="240"/>
      <c r="DW1085" s="240"/>
      <c r="DX1085" s="240"/>
      <c r="DY1085" s="240"/>
      <c r="DZ1085" s="240"/>
      <c r="EA1085" s="240"/>
      <c r="EB1085" s="237"/>
      <c r="EC1085" s="241"/>
      <c r="ED1085" s="241"/>
      <c r="EE1085" s="241"/>
      <c r="EG1085" s="241"/>
      <c r="EI1085" s="241"/>
      <c r="EK1085" s="241"/>
    </row>
    <row r="1086" spans="1:141" s="121" customFormat="1" x14ac:dyDescent="0.3">
      <c r="A1086" s="124"/>
      <c r="O1086" s="235"/>
      <c r="X1086" s="117"/>
      <c r="Y1086" s="117"/>
      <c r="DT1086" s="240"/>
      <c r="DU1086" s="240"/>
      <c r="DV1086" s="240"/>
      <c r="DW1086" s="240"/>
      <c r="DX1086" s="240"/>
      <c r="DY1086" s="240"/>
      <c r="DZ1086" s="240"/>
      <c r="EA1086" s="240"/>
      <c r="EB1086" s="237"/>
      <c r="EC1086" s="241"/>
      <c r="ED1086" s="241"/>
      <c r="EE1086" s="241"/>
      <c r="EG1086" s="241"/>
      <c r="EI1086" s="241"/>
      <c r="EK1086" s="241"/>
    </row>
    <row r="1087" spans="1:141" s="121" customFormat="1" x14ac:dyDescent="0.3">
      <c r="A1087" s="124"/>
      <c r="O1087" s="235"/>
      <c r="X1087" s="117"/>
      <c r="Y1087" s="117"/>
      <c r="DT1087" s="240"/>
      <c r="DU1087" s="240"/>
      <c r="DV1087" s="240"/>
      <c r="DW1087" s="240"/>
      <c r="DX1087" s="240"/>
      <c r="DY1087" s="240"/>
      <c r="DZ1087" s="240"/>
      <c r="EA1087" s="240"/>
      <c r="EB1087" s="237"/>
      <c r="EC1087" s="241"/>
      <c r="ED1087" s="241"/>
      <c r="EE1087" s="241"/>
      <c r="EG1087" s="241"/>
      <c r="EI1087" s="241"/>
      <c r="EK1087" s="241"/>
    </row>
    <row r="1088" spans="1:141" s="121" customFormat="1" x14ac:dyDescent="0.3">
      <c r="A1088" s="124"/>
      <c r="O1088" s="235"/>
      <c r="X1088" s="117"/>
      <c r="Y1088" s="117"/>
      <c r="DT1088" s="240"/>
      <c r="DU1088" s="240"/>
      <c r="DV1088" s="240"/>
      <c r="DW1088" s="240"/>
      <c r="DX1088" s="240"/>
      <c r="DY1088" s="240"/>
      <c r="DZ1088" s="240"/>
      <c r="EA1088" s="240"/>
      <c r="EB1088" s="237"/>
      <c r="EC1088" s="241"/>
      <c r="ED1088" s="241"/>
      <c r="EE1088" s="241"/>
      <c r="EG1088" s="241"/>
      <c r="EI1088" s="241"/>
      <c r="EK1088" s="241"/>
    </row>
    <row r="1089" spans="1:141" s="121" customFormat="1" x14ac:dyDescent="0.3">
      <c r="A1089" s="124"/>
      <c r="O1089" s="235"/>
      <c r="X1089" s="117"/>
      <c r="Y1089" s="117"/>
      <c r="DT1089" s="240"/>
      <c r="DU1089" s="240"/>
      <c r="DV1089" s="240"/>
      <c r="DW1089" s="240"/>
      <c r="DX1089" s="240"/>
      <c r="DY1089" s="240"/>
      <c r="DZ1089" s="240"/>
      <c r="EA1089" s="240"/>
      <c r="EB1089" s="237"/>
      <c r="EC1089" s="241"/>
      <c r="ED1089" s="241"/>
      <c r="EE1089" s="241"/>
      <c r="EG1089" s="241"/>
      <c r="EI1089" s="241"/>
      <c r="EK1089" s="241"/>
    </row>
    <row r="1090" spans="1:141" s="121" customFormat="1" x14ac:dyDescent="0.3">
      <c r="A1090" s="124"/>
      <c r="O1090" s="235"/>
      <c r="X1090" s="117"/>
      <c r="Y1090" s="117"/>
      <c r="DT1090" s="240"/>
      <c r="DU1090" s="240"/>
      <c r="DV1090" s="240"/>
      <c r="DW1090" s="240"/>
      <c r="DX1090" s="240"/>
      <c r="DY1090" s="240"/>
      <c r="DZ1090" s="240"/>
      <c r="EA1090" s="240"/>
      <c r="EB1090" s="237"/>
      <c r="EC1090" s="241"/>
      <c r="ED1090" s="241"/>
      <c r="EE1090" s="241"/>
      <c r="EG1090" s="241"/>
      <c r="EI1090" s="241"/>
      <c r="EK1090" s="241"/>
    </row>
    <row r="1091" spans="1:141" s="121" customFormat="1" x14ac:dyDescent="0.3">
      <c r="A1091" s="124"/>
      <c r="O1091" s="235"/>
      <c r="X1091" s="117"/>
      <c r="Y1091" s="117"/>
      <c r="DT1091" s="240"/>
      <c r="DU1091" s="240"/>
      <c r="DV1091" s="240"/>
      <c r="DW1091" s="240"/>
      <c r="DX1091" s="240"/>
      <c r="DY1091" s="240"/>
      <c r="DZ1091" s="240"/>
      <c r="EA1091" s="240"/>
      <c r="EB1091" s="237"/>
      <c r="EC1091" s="241"/>
      <c r="ED1091" s="241"/>
      <c r="EE1091" s="241"/>
      <c r="EG1091" s="241"/>
      <c r="EI1091" s="241"/>
      <c r="EK1091" s="241"/>
    </row>
    <row r="1092" spans="1:141" s="121" customFormat="1" x14ac:dyDescent="0.3">
      <c r="A1092" s="124"/>
      <c r="O1092" s="235"/>
      <c r="X1092" s="117"/>
      <c r="Y1092" s="117"/>
      <c r="DT1092" s="240"/>
      <c r="DU1092" s="240"/>
      <c r="DV1092" s="240"/>
      <c r="DW1092" s="240"/>
      <c r="DX1092" s="240"/>
      <c r="DY1092" s="240"/>
      <c r="DZ1092" s="240"/>
      <c r="EA1092" s="240"/>
      <c r="EB1092" s="237"/>
      <c r="EC1092" s="241"/>
      <c r="ED1092" s="241"/>
      <c r="EE1092" s="241"/>
      <c r="EG1092" s="241"/>
      <c r="EI1092" s="241"/>
      <c r="EK1092" s="241"/>
    </row>
    <row r="1093" spans="1:141" s="121" customFormat="1" x14ac:dyDescent="0.3">
      <c r="A1093" s="124"/>
      <c r="O1093" s="235"/>
      <c r="X1093" s="117"/>
      <c r="Y1093" s="117"/>
      <c r="DT1093" s="240"/>
      <c r="DU1093" s="240"/>
      <c r="DV1093" s="240"/>
      <c r="DW1093" s="240"/>
      <c r="DX1093" s="240"/>
      <c r="DY1093" s="240"/>
      <c r="DZ1093" s="240"/>
      <c r="EA1093" s="240"/>
      <c r="EB1093" s="237"/>
      <c r="EC1093" s="241"/>
      <c r="ED1093" s="241"/>
      <c r="EE1093" s="241"/>
      <c r="EG1093" s="241"/>
      <c r="EI1093" s="241"/>
      <c r="EK1093" s="241"/>
    </row>
    <row r="1094" spans="1:141" s="121" customFormat="1" x14ac:dyDescent="0.3">
      <c r="A1094" s="124"/>
      <c r="O1094" s="235"/>
      <c r="X1094" s="117"/>
      <c r="Y1094" s="117"/>
      <c r="DT1094" s="240"/>
      <c r="DU1094" s="240"/>
      <c r="DV1094" s="240"/>
      <c r="DW1094" s="240"/>
      <c r="DX1094" s="240"/>
      <c r="DY1094" s="240"/>
      <c r="DZ1094" s="240"/>
      <c r="EA1094" s="240"/>
      <c r="EB1094" s="237"/>
      <c r="EC1094" s="241"/>
      <c r="ED1094" s="241"/>
      <c r="EE1094" s="241"/>
      <c r="EG1094" s="241"/>
      <c r="EI1094" s="241"/>
      <c r="EK1094" s="241"/>
    </row>
    <row r="1095" spans="1:141" s="121" customFormat="1" x14ac:dyDescent="0.3">
      <c r="A1095" s="124"/>
      <c r="O1095" s="235"/>
      <c r="X1095" s="117"/>
      <c r="Y1095" s="117"/>
      <c r="DT1095" s="240"/>
      <c r="DU1095" s="240"/>
      <c r="DV1095" s="240"/>
      <c r="DW1095" s="240"/>
      <c r="DX1095" s="240"/>
      <c r="DY1095" s="240"/>
      <c r="DZ1095" s="240"/>
      <c r="EA1095" s="240"/>
      <c r="EB1095" s="237"/>
      <c r="EC1095" s="241"/>
      <c r="ED1095" s="241"/>
      <c r="EE1095" s="241"/>
      <c r="EG1095" s="241"/>
      <c r="EI1095" s="241"/>
      <c r="EK1095" s="241"/>
    </row>
    <row r="1096" spans="1:141" s="121" customFormat="1" x14ac:dyDescent="0.3">
      <c r="A1096" s="124"/>
      <c r="O1096" s="235"/>
      <c r="X1096" s="117"/>
      <c r="Y1096" s="117"/>
      <c r="DT1096" s="240"/>
      <c r="DU1096" s="240"/>
      <c r="DV1096" s="240"/>
      <c r="DW1096" s="240"/>
      <c r="DX1096" s="240"/>
      <c r="DY1096" s="240"/>
      <c r="DZ1096" s="240"/>
      <c r="EA1096" s="240"/>
      <c r="EB1096" s="237"/>
      <c r="EC1096" s="241"/>
      <c r="ED1096" s="241"/>
      <c r="EE1096" s="241"/>
      <c r="EG1096" s="241"/>
      <c r="EI1096" s="241"/>
      <c r="EK1096" s="241"/>
    </row>
    <row r="1097" spans="1:141" s="121" customFormat="1" x14ac:dyDescent="0.3">
      <c r="A1097" s="124"/>
      <c r="O1097" s="235"/>
      <c r="X1097" s="117"/>
      <c r="Y1097" s="117"/>
      <c r="DT1097" s="240"/>
      <c r="DU1097" s="240"/>
      <c r="DV1097" s="240"/>
      <c r="DW1097" s="240"/>
      <c r="DX1097" s="240"/>
      <c r="DY1097" s="240"/>
      <c r="DZ1097" s="240"/>
      <c r="EA1097" s="240"/>
      <c r="EB1097" s="237"/>
      <c r="EC1097" s="241"/>
      <c r="ED1097" s="241"/>
      <c r="EE1097" s="241"/>
      <c r="EG1097" s="241"/>
      <c r="EI1097" s="241"/>
      <c r="EK1097" s="241"/>
    </row>
    <row r="1098" spans="1:141" s="121" customFormat="1" x14ac:dyDescent="0.3">
      <c r="A1098" s="124"/>
      <c r="O1098" s="235"/>
      <c r="X1098" s="117"/>
      <c r="Y1098" s="117"/>
      <c r="DT1098" s="240"/>
      <c r="DU1098" s="240"/>
      <c r="DV1098" s="240"/>
      <c r="DW1098" s="240"/>
      <c r="DX1098" s="240"/>
      <c r="DY1098" s="240"/>
      <c r="DZ1098" s="240"/>
      <c r="EA1098" s="240"/>
      <c r="EB1098" s="237"/>
      <c r="EC1098" s="241"/>
      <c r="ED1098" s="241"/>
      <c r="EE1098" s="241"/>
      <c r="EG1098" s="241"/>
      <c r="EI1098" s="241"/>
      <c r="EK1098" s="241"/>
    </row>
    <row r="1099" spans="1:141" s="121" customFormat="1" x14ac:dyDescent="0.3">
      <c r="A1099" s="124"/>
      <c r="O1099" s="235"/>
      <c r="X1099" s="117"/>
      <c r="Y1099" s="117"/>
      <c r="DT1099" s="240"/>
      <c r="DU1099" s="240"/>
      <c r="DV1099" s="240"/>
      <c r="DW1099" s="240"/>
      <c r="DX1099" s="240"/>
      <c r="DY1099" s="240"/>
      <c r="DZ1099" s="240"/>
      <c r="EA1099" s="240"/>
      <c r="EB1099" s="237"/>
      <c r="EC1099" s="241"/>
      <c r="ED1099" s="241"/>
      <c r="EE1099" s="241"/>
      <c r="EG1099" s="241"/>
      <c r="EI1099" s="241"/>
      <c r="EK1099" s="241"/>
    </row>
    <row r="1100" spans="1:141" s="121" customFormat="1" x14ac:dyDescent="0.3">
      <c r="A1100" s="124"/>
      <c r="O1100" s="235"/>
      <c r="X1100" s="117"/>
      <c r="Y1100" s="117"/>
      <c r="DT1100" s="240"/>
      <c r="DU1100" s="240"/>
      <c r="DV1100" s="240"/>
      <c r="DW1100" s="240"/>
      <c r="DX1100" s="240"/>
      <c r="DY1100" s="240"/>
      <c r="DZ1100" s="240"/>
      <c r="EA1100" s="240"/>
      <c r="EB1100" s="237"/>
      <c r="EC1100" s="241"/>
      <c r="ED1100" s="241"/>
      <c r="EE1100" s="241"/>
      <c r="EG1100" s="241"/>
      <c r="EI1100" s="241"/>
      <c r="EK1100" s="241"/>
    </row>
    <row r="1101" spans="1:141" s="121" customFormat="1" x14ac:dyDescent="0.3">
      <c r="A1101" s="124"/>
      <c r="O1101" s="235"/>
      <c r="X1101" s="117"/>
      <c r="Y1101" s="117"/>
      <c r="DT1101" s="240"/>
      <c r="DU1101" s="240"/>
      <c r="DV1101" s="240"/>
      <c r="DW1101" s="240"/>
      <c r="DX1101" s="240"/>
      <c r="DY1101" s="240"/>
      <c r="DZ1101" s="240"/>
      <c r="EA1101" s="240"/>
      <c r="EB1101" s="237"/>
      <c r="EC1101" s="241"/>
      <c r="ED1101" s="241"/>
      <c r="EE1101" s="241"/>
      <c r="EG1101" s="241"/>
      <c r="EI1101" s="241"/>
      <c r="EK1101" s="241"/>
    </row>
    <row r="1102" spans="1:141" s="121" customFormat="1" x14ac:dyDescent="0.3">
      <c r="A1102" s="124"/>
      <c r="O1102" s="235"/>
      <c r="X1102" s="117"/>
      <c r="Y1102" s="117"/>
      <c r="DT1102" s="240"/>
      <c r="DU1102" s="240"/>
      <c r="DV1102" s="240"/>
      <c r="DW1102" s="240"/>
      <c r="DX1102" s="240"/>
      <c r="DY1102" s="240"/>
      <c r="DZ1102" s="240"/>
      <c r="EA1102" s="240"/>
      <c r="EB1102" s="237"/>
      <c r="EC1102" s="241"/>
      <c r="ED1102" s="241"/>
      <c r="EE1102" s="241"/>
      <c r="EG1102" s="241"/>
      <c r="EI1102" s="241"/>
      <c r="EK1102" s="241"/>
    </row>
    <row r="1103" spans="1:141" s="121" customFormat="1" x14ac:dyDescent="0.3">
      <c r="A1103" s="124"/>
      <c r="O1103" s="235"/>
      <c r="X1103" s="117"/>
      <c r="Y1103" s="117"/>
      <c r="DT1103" s="240"/>
      <c r="DU1103" s="240"/>
      <c r="DV1103" s="240"/>
      <c r="DW1103" s="240"/>
      <c r="DX1103" s="240"/>
      <c r="DY1103" s="240"/>
      <c r="DZ1103" s="240"/>
      <c r="EA1103" s="240"/>
      <c r="EB1103" s="237"/>
      <c r="EC1103" s="241"/>
      <c r="ED1103" s="241"/>
      <c r="EE1103" s="241"/>
      <c r="EG1103" s="241"/>
      <c r="EI1103" s="241"/>
      <c r="EK1103" s="241"/>
    </row>
    <row r="1104" spans="1:141" s="121" customFormat="1" x14ac:dyDescent="0.3">
      <c r="A1104" s="124"/>
      <c r="O1104" s="235"/>
      <c r="X1104" s="117"/>
      <c r="Y1104" s="117"/>
      <c r="DT1104" s="240"/>
      <c r="DU1104" s="240"/>
      <c r="DV1104" s="240"/>
      <c r="DW1104" s="240"/>
      <c r="DX1104" s="240"/>
      <c r="DY1104" s="240"/>
      <c r="DZ1104" s="240"/>
      <c r="EA1104" s="240"/>
      <c r="EB1104" s="237"/>
      <c r="EC1104" s="241"/>
      <c r="ED1104" s="241"/>
      <c r="EE1104" s="241"/>
      <c r="EG1104" s="241"/>
      <c r="EI1104" s="241"/>
      <c r="EK1104" s="241"/>
    </row>
    <row r="1105" spans="1:141" s="121" customFormat="1" x14ac:dyDescent="0.3">
      <c r="A1105" s="124"/>
      <c r="O1105" s="235"/>
      <c r="X1105" s="117"/>
      <c r="Y1105" s="117"/>
      <c r="DT1105" s="240"/>
      <c r="DU1105" s="240"/>
      <c r="DV1105" s="240"/>
      <c r="DW1105" s="240"/>
      <c r="DX1105" s="240"/>
      <c r="DY1105" s="240"/>
      <c r="DZ1105" s="240"/>
      <c r="EA1105" s="240"/>
      <c r="EB1105" s="237"/>
      <c r="EC1105" s="241"/>
      <c r="ED1105" s="241"/>
      <c r="EE1105" s="241"/>
      <c r="EG1105" s="241"/>
      <c r="EI1105" s="241"/>
      <c r="EK1105" s="241"/>
    </row>
    <row r="1106" spans="1:141" s="121" customFormat="1" x14ac:dyDescent="0.3">
      <c r="A1106" s="124"/>
      <c r="O1106" s="235"/>
      <c r="X1106" s="117"/>
      <c r="Y1106" s="117"/>
      <c r="DT1106" s="240"/>
      <c r="DU1106" s="240"/>
      <c r="DV1106" s="240"/>
      <c r="DW1106" s="240"/>
      <c r="DX1106" s="240"/>
      <c r="DY1106" s="240"/>
      <c r="DZ1106" s="240"/>
      <c r="EA1106" s="240"/>
      <c r="EB1106" s="237"/>
      <c r="EC1106" s="241"/>
      <c r="ED1106" s="241"/>
      <c r="EE1106" s="241"/>
      <c r="EG1106" s="241"/>
      <c r="EI1106" s="241"/>
      <c r="EK1106" s="241"/>
    </row>
    <row r="1107" spans="1:141" s="121" customFormat="1" x14ac:dyDescent="0.3">
      <c r="A1107" s="124"/>
      <c r="O1107" s="235"/>
      <c r="X1107" s="117"/>
      <c r="Y1107" s="117"/>
      <c r="DT1107" s="240"/>
      <c r="DU1107" s="240"/>
      <c r="DV1107" s="240"/>
      <c r="DW1107" s="240"/>
      <c r="DX1107" s="240"/>
      <c r="DY1107" s="240"/>
      <c r="DZ1107" s="240"/>
      <c r="EA1107" s="240"/>
      <c r="EB1107" s="237"/>
      <c r="EC1107" s="241"/>
      <c r="ED1107" s="241"/>
      <c r="EE1107" s="241"/>
      <c r="EG1107" s="241"/>
      <c r="EI1107" s="241"/>
      <c r="EK1107" s="241"/>
    </row>
    <row r="1108" spans="1:141" s="121" customFormat="1" x14ac:dyDescent="0.3">
      <c r="A1108" s="124"/>
      <c r="O1108" s="235"/>
      <c r="X1108" s="117"/>
      <c r="Y1108" s="117"/>
      <c r="DT1108" s="240"/>
      <c r="DU1108" s="240"/>
      <c r="DV1108" s="240"/>
      <c r="DW1108" s="240"/>
      <c r="DX1108" s="240"/>
      <c r="DY1108" s="240"/>
      <c r="DZ1108" s="240"/>
      <c r="EA1108" s="240"/>
      <c r="EB1108" s="237"/>
      <c r="EC1108" s="241"/>
      <c r="ED1108" s="241"/>
      <c r="EE1108" s="241"/>
      <c r="EG1108" s="241"/>
      <c r="EI1108" s="241"/>
      <c r="EK1108" s="241"/>
    </row>
    <row r="1109" spans="1:141" s="121" customFormat="1" x14ac:dyDescent="0.3">
      <c r="A1109" s="124"/>
      <c r="O1109" s="235"/>
      <c r="X1109" s="117"/>
      <c r="Y1109" s="117"/>
      <c r="DT1109" s="240"/>
      <c r="DU1109" s="240"/>
      <c r="DV1109" s="240"/>
      <c r="DW1109" s="240"/>
      <c r="DX1109" s="240"/>
      <c r="DY1109" s="240"/>
      <c r="DZ1109" s="240"/>
      <c r="EA1109" s="240"/>
      <c r="EB1109" s="237"/>
      <c r="EC1109" s="241"/>
      <c r="ED1109" s="241"/>
      <c r="EE1109" s="241"/>
      <c r="EG1109" s="241"/>
      <c r="EI1109" s="241"/>
      <c r="EK1109" s="241"/>
    </row>
    <row r="1110" spans="1:141" s="121" customFormat="1" x14ac:dyDescent="0.3">
      <c r="A1110" s="124"/>
      <c r="O1110" s="235"/>
      <c r="X1110" s="117"/>
      <c r="Y1110" s="117"/>
      <c r="DT1110" s="240"/>
      <c r="DU1110" s="240"/>
      <c r="DV1110" s="240"/>
      <c r="DW1110" s="240"/>
      <c r="DX1110" s="240"/>
      <c r="DY1110" s="240"/>
      <c r="DZ1110" s="240"/>
      <c r="EA1110" s="240"/>
      <c r="EB1110" s="237"/>
      <c r="EC1110" s="241"/>
      <c r="ED1110" s="241"/>
      <c r="EE1110" s="241"/>
      <c r="EG1110" s="241"/>
      <c r="EI1110" s="241"/>
      <c r="EK1110" s="241"/>
    </row>
    <row r="1111" spans="1:141" s="121" customFormat="1" x14ac:dyDescent="0.3">
      <c r="A1111" s="124"/>
      <c r="O1111" s="235"/>
      <c r="X1111" s="117"/>
      <c r="Y1111" s="117"/>
      <c r="DT1111" s="240"/>
      <c r="DU1111" s="240"/>
      <c r="DV1111" s="240"/>
      <c r="DW1111" s="240"/>
      <c r="DX1111" s="240"/>
      <c r="DY1111" s="240"/>
      <c r="DZ1111" s="240"/>
      <c r="EA1111" s="240"/>
      <c r="EB1111" s="237"/>
      <c r="EC1111" s="241"/>
      <c r="ED1111" s="241"/>
      <c r="EE1111" s="241"/>
      <c r="EG1111" s="241"/>
      <c r="EI1111" s="241"/>
      <c r="EK1111" s="241"/>
    </row>
    <row r="1112" spans="1:141" s="121" customFormat="1" x14ac:dyDescent="0.3">
      <c r="A1112" s="124"/>
      <c r="O1112" s="235"/>
      <c r="X1112" s="117"/>
      <c r="Y1112" s="117"/>
      <c r="DT1112" s="240"/>
      <c r="DU1112" s="240"/>
      <c r="DV1112" s="240"/>
      <c r="DW1112" s="240"/>
      <c r="DX1112" s="240"/>
      <c r="DY1112" s="240"/>
      <c r="DZ1112" s="240"/>
      <c r="EA1112" s="240"/>
      <c r="EB1112" s="237"/>
      <c r="EC1112" s="241"/>
      <c r="ED1112" s="241"/>
      <c r="EE1112" s="241"/>
      <c r="EG1112" s="241"/>
      <c r="EI1112" s="241"/>
      <c r="EK1112" s="241"/>
    </row>
    <row r="1113" spans="1:141" s="121" customFormat="1" x14ac:dyDescent="0.3">
      <c r="A1113" s="124"/>
      <c r="O1113" s="235"/>
      <c r="X1113" s="117"/>
      <c r="Y1113" s="117"/>
      <c r="DT1113" s="240"/>
      <c r="DU1113" s="240"/>
      <c r="DV1113" s="240"/>
      <c r="DW1113" s="240"/>
      <c r="DX1113" s="240"/>
      <c r="DY1113" s="240"/>
      <c r="DZ1113" s="240"/>
      <c r="EA1113" s="240"/>
      <c r="EB1113" s="237"/>
      <c r="EC1113" s="241"/>
      <c r="ED1113" s="241"/>
      <c r="EE1113" s="241"/>
      <c r="EG1113" s="241"/>
      <c r="EI1113" s="241"/>
      <c r="EK1113" s="241"/>
    </row>
    <row r="1114" spans="1:141" s="121" customFormat="1" x14ac:dyDescent="0.3">
      <c r="A1114" s="124"/>
      <c r="O1114" s="235"/>
      <c r="X1114" s="117"/>
      <c r="Y1114" s="117"/>
      <c r="DT1114" s="240"/>
      <c r="DU1114" s="240"/>
      <c r="DV1114" s="240"/>
      <c r="DW1114" s="240"/>
      <c r="DX1114" s="240"/>
      <c r="DY1114" s="240"/>
      <c r="DZ1114" s="240"/>
      <c r="EA1114" s="240"/>
      <c r="EB1114" s="237"/>
      <c r="EC1114" s="241"/>
      <c r="ED1114" s="241"/>
      <c r="EE1114" s="241"/>
      <c r="EG1114" s="241"/>
      <c r="EI1114" s="241"/>
      <c r="EK1114" s="241"/>
    </row>
    <row r="1115" spans="1:141" s="121" customFormat="1" x14ac:dyDescent="0.3">
      <c r="A1115" s="124"/>
      <c r="O1115" s="235"/>
      <c r="X1115" s="117"/>
      <c r="Y1115" s="117"/>
      <c r="DT1115" s="240"/>
      <c r="DU1115" s="240"/>
      <c r="DV1115" s="240"/>
      <c r="DW1115" s="240"/>
      <c r="DX1115" s="240"/>
      <c r="DY1115" s="240"/>
      <c r="DZ1115" s="240"/>
      <c r="EA1115" s="240"/>
      <c r="EB1115" s="237"/>
      <c r="EC1115" s="241"/>
      <c r="ED1115" s="241"/>
      <c r="EE1115" s="241"/>
      <c r="EG1115" s="241"/>
      <c r="EI1115" s="241"/>
      <c r="EK1115" s="241"/>
    </row>
    <row r="1116" spans="1:141" s="121" customFormat="1" x14ac:dyDescent="0.3">
      <c r="A1116" s="124"/>
      <c r="O1116" s="235"/>
      <c r="X1116" s="117"/>
      <c r="Y1116" s="117"/>
      <c r="DT1116" s="240"/>
      <c r="DU1116" s="240"/>
      <c r="DV1116" s="240"/>
      <c r="DW1116" s="240"/>
      <c r="DX1116" s="240"/>
      <c r="DY1116" s="240"/>
      <c r="DZ1116" s="240"/>
      <c r="EA1116" s="240"/>
      <c r="EB1116" s="237"/>
      <c r="EC1116" s="241"/>
      <c r="ED1116" s="241"/>
      <c r="EE1116" s="241"/>
      <c r="EG1116" s="241"/>
      <c r="EI1116" s="241"/>
      <c r="EK1116" s="241"/>
    </row>
    <row r="1117" spans="1:141" s="121" customFormat="1" x14ac:dyDescent="0.3">
      <c r="A1117" s="124"/>
      <c r="O1117" s="235"/>
      <c r="X1117" s="117"/>
      <c r="Y1117" s="117"/>
      <c r="DT1117" s="240"/>
      <c r="DU1117" s="240"/>
      <c r="DV1117" s="240"/>
      <c r="DW1117" s="240"/>
      <c r="DX1117" s="240"/>
      <c r="DY1117" s="240"/>
      <c r="DZ1117" s="240"/>
      <c r="EA1117" s="240"/>
      <c r="EB1117" s="237"/>
      <c r="EC1117" s="241"/>
      <c r="ED1117" s="241"/>
      <c r="EE1117" s="241"/>
      <c r="EG1117" s="241"/>
      <c r="EI1117" s="241"/>
      <c r="EK1117" s="241"/>
    </row>
    <row r="1118" spans="1:141" s="121" customFormat="1" x14ac:dyDescent="0.3">
      <c r="A1118" s="124"/>
      <c r="O1118" s="235"/>
      <c r="X1118" s="117"/>
      <c r="Y1118" s="117"/>
      <c r="DT1118" s="240"/>
      <c r="DU1118" s="240"/>
      <c r="DV1118" s="240"/>
      <c r="DW1118" s="240"/>
      <c r="DX1118" s="240"/>
      <c r="DY1118" s="240"/>
      <c r="DZ1118" s="240"/>
      <c r="EA1118" s="240"/>
      <c r="EB1118" s="237"/>
      <c r="EC1118" s="241"/>
      <c r="ED1118" s="241"/>
      <c r="EE1118" s="241"/>
      <c r="EG1118" s="241"/>
      <c r="EI1118" s="241"/>
      <c r="EK1118" s="241"/>
    </row>
    <row r="1119" spans="1:141" s="121" customFormat="1" x14ac:dyDescent="0.3">
      <c r="A1119" s="124"/>
      <c r="O1119" s="235"/>
      <c r="X1119" s="117"/>
      <c r="Y1119" s="117"/>
      <c r="DT1119" s="240"/>
      <c r="DU1119" s="240"/>
      <c r="DV1119" s="240"/>
      <c r="DW1119" s="240"/>
      <c r="DX1119" s="240"/>
      <c r="DY1119" s="240"/>
      <c r="DZ1119" s="240"/>
      <c r="EA1119" s="240"/>
      <c r="EB1119" s="237"/>
      <c r="EC1119" s="241"/>
      <c r="ED1119" s="241"/>
      <c r="EE1119" s="241"/>
      <c r="EG1119" s="241"/>
      <c r="EI1119" s="241"/>
      <c r="EK1119" s="241"/>
    </row>
    <row r="1120" spans="1:141" s="121" customFormat="1" x14ac:dyDescent="0.3">
      <c r="A1120" s="124"/>
      <c r="O1120" s="235"/>
      <c r="X1120" s="117"/>
      <c r="Y1120" s="117"/>
      <c r="DT1120" s="240"/>
      <c r="DU1120" s="240"/>
      <c r="DV1120" s="240"/>
      <c r="DW1120" s="240"/>
      <c r="DX1120" s="240"/>
      <c r="DY1120" s="240"/>
      <c r="DZ1120" s="240"/>
      <c r="EA1120" s="240"/>
      <c r="EB1120" s="237"/>
      <c r="EC1120" s="241"/>
      <c r="ED1120" s="241"/>
      <c r="EE1120" s="241"/>
      <c r="EG1120" s="241"/>
      <c r="EI1120" s="241"/>
      <c r="EK1120" s="241"/>
    </row>
    <row r="1121" spans="1:141" s="121" customFormat="1" x14ac:dyDescent="0.3">
      <c r="A1121" s="124"/>
      <c r="O1121" s="235"/>
      <c r="X1121" s="117"/>
      <c r="Y1121" s="117"/>
      <c r="DT1121" s="240"/>
      <c r="DU1121" s="240"/>
      <c r="DV1121" s="240"/>
      <c r="DW1121" s="240"/>
      <c r="DX1121" s="240"/>
      <c r="DY1121" s="240"/>
      <c r="DZ1121" s="240"/>
      <c r="EA1121" s="240"/>
      <c r="EB1121" s="237"/>
      <c r="EC1121" s="241"/>
      <c r="ED1121" s="241"/>
      <c r="EE1121" s="241"/>
      <c r="EG1121" s="241"/>
      <c r="EI1121" s="241"/>
      <c r="EK1121" s="241"/>
    </row>
    <row r="1122" spans="1:141" s="121" customFormat="1" x14ac:dyDescent="0.3">
      <c r="A1122" s="124"/>
      <c r="O1122" s="235"/>
      <c r="X1122" s="117"/>
      <c r="Y1122" s="117"/>
      <c r="DT1122" s="240"/>
      <c r="DU1122" s="240"/>
      <c r="DV1122" s="240"/>
      <c r="DW1122" s="240"/>
      <c r="DX1122" s="240"/>
      <c r="DY1122" s="240"/>
      <c r="DZ1122" s="240"/>
      <c r="EA1122" s="240"/>
      <c r="EB1122" s="237"/>
      <c r="EC1122" s="241"/>
      <c r="ED1122" s="241"/>
      <c r="EE1122" s="241"/>
      <c r="EG1122" s="241"/>
      <c r="EI1122" s="241"/>
      <c r="EK1122" s="241"/>
    </row>
    <row r="1123" spans="1:141" s="121" customFormat="1" x14ac:dyDescent="0.3">
      <c r="A1123" s="124"/>
      <c r="O1123" s="235"/>
      <c r="X1123" s="117"/>
      <c r="Y1123" s="117"/>
      <c r="DT1123" s="240"/>
      <c r="DU1123" s="240"/>
      <c r="DV1123" s="240"/>
      <c r="DW1123" s="240"/>
      <c r="DX1123" s="240"/>
      <c r="DY1123" s="240"/>
      <c r="DZ1123" s="240"/>
      <c r="EA1123" s="240"/>
      <c r="EB1123" s="237"/>
      <c r="EC1123" s="241"/>
      <c r="ED1123" s="241"/>
      <c r="EE1123" s="241"/>
      <c r="EG1123" s="241"/>
      <c r="EI1123" s="241"/>
      <c r="EK1123" s="241"/>
    </row>
    <row r="1124" spans="1:141" s="121" customFormat="1" x14ac:dyDescent="0.3">
      <c r="A1124" s="124"/>
      <c r="O1124" s="235"/>
      <c r="X1124" s="117"/>
      <c r="Y1124" s="117"/>
      <c r="DT1124" s="240"/>
      <c r="DU1124" s="240"/>
      <c r="DV1124" s="240"/>
      <c r="DW1124" s="240"/>
      <c r="DX1124" s="240"/>
      <c r="DY1124" s="240"/>
      <c r="DZ1124" s="240"/>
      <c r="EA1124" s="240"/>
      <c r="EB1124" s="237"/>
      <c r="EC1124" s="241"/>
      <c r="ED1124" s="241"/>
      <c r="EE1124" s="241"/>
      <c r="EG1124" s="241"/>
      <c r="EI1124" s="241"/>
      <c r="EK1124" s="241"/>
    </row>
    <row r="1125" spans="1:141" s="121" customFormat="1" x14ac:dyDescent="0.3">
      <c r="A1125" s="124"/>
      <c r="O1125" s="235"/>
      <c r="X1125" s="117"/>
      <c r="Y1125" s="117"/>
      <c r="DT1125" s="240"/>
      <c r="DU1125" s="240"/>
      <c r="DV1125" s="240"/>
      <c r="DW1125" s="240"/>
      <c r="DX1125" s="240"/>
      <c r="DY1125" s="240"/>
      <c r="DZ1125" s="240"/>
      <c r="EA1125" s="240"/>
      <c r="EB1125" s="237"/>
      <c r="EC1125" s="241"/>
      <c r="ED1125" s="241"/>
      <c r="EE1125" s="241"/>
      <c r="EG1125" s="241"/>
      <c r="EI1125" s="241"/>
      <c r="EK1125" s="241"/>
    </row>
    <row r="1126" spans="1:141" s="121" customFormat="1" x14ac:dyDescent="0.3">
      <c r="A1126" s="124"/>
      <c r="O1126" s="235"/>
      <c r="X1126" s="117"/>
      <c r="Y1126" s="117"/>
      <c r="DT1126" s="240"/>
      <c r="DU1126" s="240"/>
      <c r="DV1126" s="240"/>
      <c r="DW1126" s="240"/>
      <c r="DX1126" s="240"/>
      <c r="DY1126" s="240"/>
      <c r="DZ1126" s="240"/>
      <c r="EA1126" s="240"/>
      <c r="EB1126" s="237"/>
      <c r="EC1126" s="241"/>
      <c r="ED1126" s="241"/>
      <c r="EE1126" s="241"/>
      <c r="EG1126" s="241"/>
      <c r="EI1126" s="241"/>
      <c r="EK1126" s="241"/>
    </row>
    <row r="1127" spans="1:141" s="121" customFormat="1" x14ac:dyDescent="0.3">
      <c r="A1127" s="124"/>
      <c r="O1127" s="235"/>
      <c r="X1127" s="117"/>
      <c r="Y1127" s="117"/>
      <c r="DT1127" s="240"/>
      <c r="DU1127" s="240"/>
      <c r="DV1127" s="240"/>
      <c r="DW1127" s="240"/>
      <c r="DX1127" s="240"/>
      <c r="DY1127" s="240"/>
      <c r="DZ1127" s="240"/>
      <c r="EA1127" s="240"/>
      <c r="EB1127" s="237"/>
      <c r="EC1127" s="241"/>
      <c r="ED1127" s="241"/>
      <c r="EE1127" s="241"/>
      <c r="EG1127" s="241"/>
      <c r="EI1127" s="241"/>
      <c r="EK1127" s="241"/>
    </row>
    <row r="1128" spans="1:141" s="121" customFormat="1" x14ac:dyDescent="0.3">
      <c r="A1128" s="124"/>
      <c r="O1128" s="235"/>
      <c r="X1128" s="117"/>
      <c r="Y1128" s="117"/>
      <c r="DT1128" s="240"/>
      <c r="DU1128" s="240"/>
      <c r="DV1128" s="240"/>
      <c r="DW1128" s="240"/>
      <c r="DX1128" s="240"/>
      <c r="DY1128" s="240"/>
      <c r="DZ1128" s="240"/>
      <c r="EA1128" s="240"/>
      <c r="EB1128" s="237"/>
      <c r="EC1128" s="241"/>
      <c r="ED1128" s="241"/>
      <c r="EE1128" s="241"/>
      <c r="EG1128" s="241"/>
      <c r="EI1128" s="241"/>
      <c r="EK1128" s="241"/>
    </row>
    <row r="1129" spans="1:141" s="121" customFormat="1" x14ac:dyDescent="0.3">
      <c r="A1129" s="124"/>
      <c r="O1129" s="235"/>
      <c r="X1129" s="117"/>
      <c r="Y1129" s="117"/>
      <c r="DT1129" s="240"/>
      <c r="DU1129" s="240"/>
      <c r="DV1129" s="240"/>
      <c r="DW1129" s="240"/>
      <c r="DX1129" s="240"/>
      <c r="DY1129" s="240"/>
      <c r="DZ1129" s="240"/>
      <c r="EA1129" s="240"/>
      <c r="EB1129" s="237"/>
      <c r="EC1129" s="241"/>
      <c r="ED1129" s="241"/>
      <c r="EE1129" s="241"/>
      <c r="EG1129" s="241"/>
      <c r="EI1129" s="241"/>
      <c r="EK1129" s="241"/>
    </row>
    <row r="1130" spans="1:141" s="121" customFormat="1" x14ac:dyDescent="0.3">
      <c r="A1130" s="124"/>
      <c r="O1130" s="235"/>
      <c r="X1130" s="117"/>
      <c r="Y1130" s="117"/>
      <c r="DT1130" s="240"/>
      <c r="DU1130" s="240"/>
      <c r="DV1130" s="240"/>
      <c r="DW1130" s="240"/>
      <c r="DX1130" s="240"/>
      <c r="DY1130" s="240"/>
      <c r="DZ1130" s="240"/>
      <c r="EA1130" s="240"/>
      <c r="EB1130" s="237"/>
      <c r="EC1130" s="241"/>
      <c r="ED1130" s="241"/>
      <c r="EE1130" s="241"/>
      <c r="EG1130" s="241"/>
      <c r="EI1130" s="241"/>
      <c r="EK1130" s="241"/>
    </row>
    <row r="1131" spans="1:141" s="121" customFormat="1" x14ac:dyDescent="0.3">
      <c r="A1131" s="124"/>
      <c r="O1131" s="235"/>
      <c r="X1131" s="117"/>
      <c r="Y1131" s="117"/>
      <c r="DT1131" s="240"/>
      <c r="DU1131" s="240"/>
      <c r="DV1131" s="240"/>
      <c r="DW1131" s="240"/>
      <c r="DX1131" s="240"/>
      <c r="DY1131" s="240"/>
      <c r="DZ1131" s="240"/>
      <c r="EA1131" s="240"/>
      <c r="EB1131" s="237"/>
      <c r="EC1131" s="241"/>
      <c r="ED1131" s="241"/>
      <c r="EE1131" s="241"/>
      <c r="EG1131" s="241"/>
      <c r="EI1131" s="241"/>
      <c r="EK1131" s="241"/>
    </row>
    <row r="1132" spans="1:141" s="121" customFormat="1" x14ac:dyDescent="0.3">
      <c r="A1132" s="124"/>
      <c r="O1132" s="235"/>
      <c r="X1132" s="117"/>
      <c r="Y1132" s="117"/>
      <c r="DT1132" s="240"/>
      <c r="DU1132" s="240"/>
      <c r="DV1132" s="240"/>
      <c r="DW1132" s="240"/>
      <c r="DX1132" s="240"/>
      <c r="DY1132" s="240"/>
      <c r="DZ1132" s="240"/>
      <c r="EA1132" s="240"/>
      <c r="EB1132" s="237"/>
      <c r="EC1132" s="241"/>
      <c r="ED1132" s="241"/>
      <c r="EE1132" s="241"/>
      <c r="EG1132" s="241"/>
      <c r="EI1132" s="241"/>
      <c r="EK1132" s="241"/>
    </row>
    <row r="1133" spans="1:141" s="121" customFormat="1" x14ac:dyDescent="0.3">
      <c r="A1133" s="124"/>
      <c r="O1133" s="235"/>
      <c r="X1133" s="117"/>
      <c r="Y1133" s="117"/>
      <c r="DT1133" s="240"/>
      <c r="DU1133" s="240"/>
      <c r="DV1133" s="240"/>
      <c r="DW1133" s="240"/>
      <c r="DX1133" s="240"/>
      <c r="DY1133" s="240"/>
      <c r="DZ1133" s="240"/>
      <c r="EA1133" s="240"/>
      <c r="EB1133" s="237"/>
      <c r="EC1133" s="241"/>
      <c r="ED1133" s="241"/>
      <c r="EE1133" s="241"/>
      <c r="EG1133" s="241"/>
      <c r="EI1133" s="241"/>
      <c r="EK1133" s="241"/>
    </row>
    <row r="1134" spans="1:141" s="121" customFormat="1" x14ac:dyDescent="0.3">
      <c r="A1134" s="124"/>
      <c r="O1134" s="235"/>
      <c r="X1134" s="117"/>
      <c r="Y1134" s="117"/>
      <c r="DT1134" s="240"/>
      <c r="DU1134" s="240"/>
      <c r="DV1134" s="240"/>
      <c r="DW1134" s="240"/>
      <c r="DX1134" s="240"/>
      <c r="DY1134" s="240"/>
      <c r="DZ1134" s="240"/>
      <c r="EA1134" s="240"/>
      <c r="EB1134" s="237"/>
      <c r="EC1134" s="241"/>
      <c r="ED1134" s="241"/>
      <c r="EE1134" s="241"/>
      <c r="EG1134" s="241"/>
      <c r="EI1134" s="241"/>
      <c r="EK1134" s="241"/>
    </row>
    <row r="1135" spans="1:141" s="121" customFormat="1" x14ac:dyDescent="0.3">
      <c r="A1135" s="124"/>
      <c r="O1135" s="235"/>
      <c r="X1135" s="117"/>
      <c r="Y1135" s="117"/>
      <c r="DT1135" s="240"/>
      <c r="DU1135" s="240"/>
      <c r="DV1135" s="240"/>
      <c r="DW1135" s="240"/>
      <c r="DX1135" s="240"/>
      <c r="DY1135" s="240"/>
      <c r="DZ1135" s="240"/>
      <c r="EA1135" s="240"/>
      <c r="EB1135" s="237"/>
      <c r="EC1135" s="241"/>
      <c r="ED1135" s="241"/>
      <c r="EE1135" s="241"/>
      <c r="EG1135" s="241"/>
      <c r="EI1135" s="241"/>
      <c r="EK1135" s="241"/>
    </row>
    <row r="1136" spans="1:141" s="121" customFormat="1" x14ac:dyDescent="0.3">
      <c r="A1136" s="124"/>
      <c r="O1136" s="235"/>
      <c r="X1136" s="117"/>
      <c r="Y1136" s="117"/>
      <c r="DT1136" s="240"/>
      <c r="DU1136" s="240"/>
      <c r="DV1136" s="240"/>
      <c r="DW1136" s="240"/>
      <c r="DX1136" s="240"/>
      <c r="DY1136" s="240"/>
      <c r="DZ1136" s="240"/>
      <c r="EA1136" s="240"/>
      <c r="EB1136" s="237"/>
      <c r="EC1136" s="241"/>
      <c r="ED1136" s="241"/>
      <c r="EE1136" s="241"/>
      <c r="EG1136" s="241"/>
      <c r="EI1136" s="241"/>
      <c r="EK1136" s="241"/>
    </row>
    <row r="1137" spans="1:141" s="121" customFormat="1" x14ac:dyDescent="0.3">
      <c r="A1137" s="124"/>
      <c r="O1137" s="235"/>
      <c r="X1137" s="117"/>
      <c r="Y1137" s="117"/>
      <c r="DT1137" s="240"/>
      <c r="DU1137" s="240"/>
      <c r="DV1137" s="240"/>
      <c r="DW1137" s="240"/>
      <c r="DX1137" s="240"/>
      <c r="DY1137" s="240"/>
      <c r="DZ1137" s="240"/>
      <c r="EA1137" s="240"/>
      <c r="EB1137" s="237"/>
      <c r="EC1137" s="241"/>
      <c r="ED1137" s="241"/>
      <c r="EE1137" s="241"/>
      <c r="EG1137" s="241"/>
      <c r="EI1137" s="241"/>
      <c r="EK1137" s="241"/>
    </row>
    <row r="1138" spans="1:141" s="121" customFormat="1" x14ac:dyDescent="0.3">
      <c r="A1138" s="124"/>
      <c r="O1138" s="235"/>
      <c r="X1138" s="117"/>
      <c r="Y1138" s="117"/>
      <c r="DT1138" s="240"/>
      <c r="DU1138" s="240"/>
      <c r="DV1138" s="240"/>
      <c r="DW1138" s="240"/>
      <c r="DX1138" s="240"/>
      <c r="DY1138" s="240"/>
      <c r="DZ1138" s="240"/>
      <c r="EA1138" s="240"/>
      <c r="EB1138" s="237"/>
      <c r="EC1138" s="241"/>
      <c r="ED1138" s="241"/>
      <c r="EE1138" s="241"/>
      <c r="EG1138" s="241"/>
      <c r="EI1138" s="241"/>
      <c r="EK1138" s="241"/>
    </row>
    <row r="1139" spans="1:141" s="121" customFormat="1" x14ac:dyDescent="0.3">
      <c r="A1139" s="124"/>
      <c r="O1139" s="235"/>
      <c r="X1139" s="117"/>
      <c r="Y1139" s="117"/>
      <c r="DT1139" s="240"/>
      <c r="DU1139" s="240"/>
      <c r="DV1139" s="240"/>
      <c r="DW1139" s="240"/>
      <c r="DX1139" s="240"/>
      <c r="DY1139" s="240"/>
      <c r="DZ1139" s="240"/>
      <c r="EA1139" s="240"/>
      <c r="EB1139" s="237"/>
      <c r="EC1139" s="241"/>
      <c r="ED1139" s="241"/>
      <c r="EE1139" s="241"/>
      <c r="EG1139" s="241"/>
      <c r="EI1139" s="241"/>
      <c r="EK1139" s="241"/>
    </row>
    <row r="1140" spans="1:141" s="121" customFormat="1" x14ac:dyDescent="0.3">
      <c r="A1140" s="124"/>
      <c r="O1140" s="235"/>
      <c r="X1140" s="117"/>
      <c r="Y1140" s="117"/>
      <c r="DT1140" s="240"/>
      <c r="DU1140" s="240"/>
      <c r="DV1140" s="240"/>
      <c r="DW1140" s="240"/>
      <c r="DX1140" s="240"/>
      <c r="DY1140" s="240"/>
      <c r="DZ1140" s="240"/>
      <c r="EA1140" s="240"/>
      <c r="EB1140" s="237"/>
      <c r="EC1140" s="241"/>
      <c r="ED1140" s="241"/>
      <c r="EE1140" s="241"/>
      <c r="EG1140" s="241"/>
      <c r="EI1140" s="241"/>
      <c r="EK1140" s="241"/>
    </row>
    <row r="1141" spans="1:141" s="121" customFormat="1" x14ac:dyDescent="0.3">
      <c r="A1141" s="124"/>
      <c r="O1141" s="235"/>
      <c r="X1141" s="117"/>
      <c r="Y1141" s="117"/>
      <c r="DT1141" s="240"/>
      <c r="DU1141" s="240"/>
      <c r="DV1141" s="240"/>
      <c r="DW1141" s="240"/>
      <c r="DX1141" s="240"/>
      <c r="DY1141" s="240"/>
      <c r="DZ1141" s="240"/>
      <c r="EA1141" s="240"/>
      <c r="EB1141" s="237"/>
      <c r="EC1141" s="241"/>
      <c r="ED1141" s="241"/>
      <c r="EE1141" s="241"/>
      <c r="EG1141" s="241"/>
      <c r="EI1141" s="241"/>
      <c r="EK1141" s="241"/>
    </row>
    <row r="1142" spans="1:141" s="121" customFormat="1" x14ac:dyDescent="0.3">
      <c r="A1142" s="124"/>
      <c r="O1142" s="235"/>
      <c r="X1142" s="117"/>
      <c r="Y1142" s="117"/>
      <c r="DT1142" s="240"/>
      <c r="DU1142" s="240"/>
      <c r="DV1142" s="240"/>
      <c r="DW1142" s="240"/>
      <c r="DX1142" s="240"/>
      <c r="DY1142" s="240"/>
      <c r="DZ1142" s="240"/>
      <c r="EA1142" s="240"/>
      <c r="EB1142" s="237"/>
      <c r="EC1142" s="241"/>
      <c r="ED1142" s="241"/>
      <c r="EE1142" s="241"/>
      <c r="EG1142" s="241"/>
      <c r="EI1142" s="241"/>
      <c r="EK1142" s="241"/>
    </row>
    <row r="1143" spans="1:141" s="121" customFormat="1" x14ac:dyDescent="0.3">
      <c r="A1143" s="124"/>
      <c r="O1143" s="235"/>
      <c r="X1143" s="117"/>
      <c r="Y1143" s="117"/>
      <c r="DT1143" s="240"/>
      <c r="DU1143" s="240"/>
      <c r="DV1143" s="240"/>
      <c r="DW1143" s="240"/>
      <c r="DX1143" s="240"/>
      <c r="DY1143" s="240"/>
      <c r="DZ1143" s="240"/>
      <c r="EA1143" s="240"/>
      <c r="EB1143" s="237"/>
      <c r="EC1143" s="241"/>
      <c r="ED1143" s="241"/>
      <c r="EE1143" s="241"/>
      <c r="EG1143" s="241"/>
      <c r="EI1143" s="241"/>
      <c r="EK1143" s="241"/>
    </row>
    <row r="1144" spans="1:141" s="121" customFormat="1" x14ac:dyDescent="0.3">
      <c r="A1144" s="124"/>
      <c r="O1144" s="235"/>
      <c r="X1144" s="117"/>
      <c r="Y1144" s="117"/>
      <c r="DT1144" s="240"/>
      <c r="DU1144" s="240"/>
      <c r="DV1144" s="240"/>
      <c r="DW1144" s="240"/>
      <c r="DX1144" s="240"/>
      <c r="DY1144" s="240"/>
      <c r="DZ1144" s="240"/>
      <c r="EA1144" s="240"/>
      <c r="EB1144" s="237"/>
      <c r="EC1144" s="241"/>
      <c r="ED1144" s="241"/>
      <c r="EE1144" s="241"/>
      <c r="EG1144" s="241"/>
      <c r="EI1144" s="241"/>
      <c r="EK1144" s="241"/>
    </row>
    <row r="1145" spans="1:141" s="121" customFormat="1" x14ac:dyDescent="0.3">
      <c r="A1145" s="124"/>
      <c r="O1145" s="235"/>
      <c r="X1145" s="117"/>
      <c r="Y1145" s="117"/>
      <c r="DT1145" s="240"/>
      <c r="DU1145" s="240"/>
      <c r="DV1145" s="240"/>
      <c r="DW1145" s="240"/>
      <c r="DX1145" s="240"/>
      <c r="DY1145" s="240"/>
      <c r="DZ1145" s="240"/>
      <c r="EA1145" s="240"/>
      <c r="EB1145" s="237"/>
      <c r="EC1145" s="241"/>
      <c r="ED1145" s="241"/>
      <c r="EE1145" s="241"/>
      <c r="EG1145" s="241"/>
      <c r="EI1145" s="241"/>
      <c r="EK1145" s="241"/>
    </row>
    <row r="1146" spans="1:141" s="121" customFormat="1" x14ac:dyDescent="0.3">
      <c r="A1146" s="124"/>
      <c r="O1146" s="235"/>
      <c r="X1146" s="117"/>
      <c r="Y1146" s="117"/>
      <c r="DT1146" s="240"/>
      <c r="DU1146" s="240"/>
      <c r="DV1146" s="240"/>
      <c r="DW1146" s="240"/>
      <c r="DX1146" s="240"/>
      <c r="DY1146" s="240"/>
      <c r="DZ1146" s="240"/>
      <c r="EA1146" s="240"/>
      <c r="EB1146" s="237"/>
      <c r="EC1146" s="241"/>
      <c r="ED1146" s="241"/>
      <c r="EE1146" s="241"/>
      <c r="EG1146" s="241"/>
      <c r="EI1146" s="241"/>
      <c r="EK1146" s="241"/>
    </row>
    <row r="1147" spans="1:141" s="121" customFormat="1" x14ac:dyDescent="0.3">
      <c r="A1147" s="124"/>
      <c r="O1147" s="235"/>
      <c r="X1147" s="117"/>
      <c r="Y1147" s="117"/>
      <c r="DT1147" s="240"/>
      <c r="DU1147" s="240"/>
      <c r="DV1147" s="240"/>
      <c r="DW1147" s="240"/>
      <c r="DX1147" s="240"/>
      <c r="DY1147" s="240"/>
      <c r="DZ1147" s="240"/>
      <c r="EA1147" s="240"/>
      <c r="EB1147" s="237"/>
      <c r="EC1147" s="241"/>
      <c r="ED1147" s="241"/>
      <c r="EE1147" s="241"/>
      <c r="EG1147" s="241"/>
      <c r="EI1147" s="241"/>
      <c r="EK1147" s="241"/>
    </row>
    <row r="1148" spans="1:141" s="121" customFormat="1" x14ac:dyDescent="0.3">
      <c r="A1148" s="124"/>
      <c r="O1148" s="235"/>
      <c r="X1148" s="117"/>
      <c r="Y1148" s="117"/>
      <c r="DT1148" s="240"/>
      <c r="DU1148" s="240"/>
      <c r="DV1148" s="240"/>
      <c r="DW1148" s="240"/>
      <c r="DX1148" s="240"/>
      <c r="DY1148" s="240"/>
      <c r="DZ1148" s="240"/>
      <c r="EA1148" s="240"/>
      <c r="EB1148" s="237"/>
      <c r="EC1148" s="241"/>
      <c r="ED1148" s="241"/>
      <c r="EE1148" s="241"/>
      <c r="EG1148" s="241"/>
      <c r="EI1148" s="241"/>
      <c r="EK1148" s="241"/>
    </row>
    <row r="1149" spans="1:141" s="121" customFormat="1" x14ac:dyDescent="0.3">
      <c r="A1149" s="124"/>
      <c r="O1149" s="235"/>
      <c r="X1149" s="117"/>
      <c r="Y1149" s="117"/>
      <c r="DT1149" s="240"/>
      <c r="DU1149" s="240"/>
      <c r="DV1149" s="240"/>
      <c r="DW1149" s="240"/>
      <c r="DX1149" s="240"/>
      <c r="DY1149" s="240"/>
      <c r="DZ1149" s="240"/>
      <c r="EA1149" s="240"/>
      <c r="EB1149" s="237"/>
      <c r="EC1149" s="241"/>
      <c r="ED1149" s="241"/>
      <c r="EE1149" s="241"/>
      <c r="EG1149" s="241"/>
      <c r="EI1149" s="241"/>
      <c r="EK1149" s="241"/>
    </row>
    <row r="1150" spans="1:141" s="121" customFormat="1" x14ac:dyDescent="0.3">
      <c r="A1150" s="124"/>
      <c r="O1150" s="235"/>
      <c r="X1150" s="117"/>
      <c r="Y1150" s="117"/>
      <c r="DT1150" s="240"/>
      <c r="DU1150" s="240"/>
      <c r="DV1150" s="240"/>
      <c r="DW1150" s="240"/>
      <c r="DX1150" s="240"/>
      <c r="DY1150" s="240"/>
      <c r="DZ1150" s="240"/>
      <c r="EA1150" s="240"/>
      <c r="EB1150" s="237"/>
      <c r="EC1150" s="241"/>
      <c r="ED1150" s="241"/>
      <c r="EE1150" s="241"/>
      <c r="EG1150" s="241"/>
      <c r="EI1150" s="241"/>
      <c r="EK1150" s="241"/>
    </row>
    <row r="1151" spans="1:141" s="121" customFormat="1" x14ac:dyDescent="0.3">
      <c r="A1151" s="124"/>
      <c r="O1151" s="235"/>
      <c r="X1151" s="117"/>
      <c r="Y1151" s="117"/>
      <c r="DT1151" s="240"/>
      <c r="DU1151" s="240"/>
      <c r="DV1151" s="240"/>
      <c r="DW1151" s="240"/>
      <c r="DX1151" s="240"/>
      <c r="DY1151" s="240"/>
      <c r="DZ1151" s="240"/>
      <c r="EA1151" s="240"/>
      <c r="EB1151" s="237"/>
      <c r="EC1151" s="241"/>
      <c r="ED1151" s="241"/>
      <c r="EE1151" s="241"/>
      <c r="EG1151" s="241"/>
      <c r="EI1151" s="241"/>
      <c r="EK1151" s="241"/>
    </row>
    <row r="1152" spans="1:141" s="121" customFormat="1" x14ac:dyDescent="0.3">
      <c r="A1152" s="124"/>
      <c r="O1152" s="235"/>
      <c r="X1152" s="117"/>
      <c r="Y1152" s="117"/>
      <c r="DT1152" s="240"/>
      <c r="DU1152" s="240"/>
      <c r="DV1152" s="240"/>
      <c r="DW1152" s="240"/>
      <c r="DX1152" s="240"/>
      <c r="DY1152" s="240"/>
      <c r="DZ1152" s="240"/>
      <c r="EA1152" s="240"/>
      <c r="EB1152" s="237"/>
      <c r="EC1152" s="241"/>
      <c r="ED1152" s="241"/>
      <c r="EE1152" s="241"/>
      <c r="EG1152" s="241"/>
      <c r="EI1152" s="241"/>
      <c r="EK1152" s="241"/>
    </row>
    <row r="1153" spans="1:141" s="121" customFormat="1" x14ac:dyDescent="0.3">
      <c r="A1153" s="124"/>
      <c r="O1153" s="235"/>
      <c r="X1153" s="117"/>
      <c r="Y1153" s="117"/>
      <c r="DT1153" s="240"/>
      <c r="DU1153" s="240"/>
      <c r="DV1153" s="240"/>
      <c r="DW1153" s="240"/>
      <c r="DX1153" s="240"/>
      <c r="DY1153" s="240"/>
      <c r="DZ1153" s="240"/>
      <c r="EA1153" s="240"/>
      <c r="EB1153" s="237"/>
      <c r="EC1153" s="241"/>
      <c r="ED1153" s="241"/>
      <c r="EE1153" s="241"/>
      <c r="EG1153" s="241"/>
      <c r="EI1153" s="241"/>
      <c r="EK1153" s="241"/>
    </row>
    <row r="1154" spans="1:141" s="121" customFormat="1" x14ac:dyDescent="0.3">
      <c r="A1154" s="124"/>
      <c r="O1154" s="235"/>
      <c r="X1154" s="117"/>
      <c r="Y1154" s="117"/>
      <c r="DT1154" s="240"/>
      <c r="DU1154" s="240"/>
      <c r="DV1154" s="240"/>
      <c r="DW1154" s="240"/>
      <c r="DX1154" s="240"/>
      <c r="DY1154" s="240"/>
      <c r="DZ1154" s="240"/>
      <c r="EA1154" s="240"/>
      <c r="EB1154" s="237"/>
      <c r="EC1154" s="241"/>
      <c r="ED1154" s="241"/>
      <c r="EE1154" s="241"/>
      <c r="EG1154" s="241"/>
      <c r="EI1154" s="241"/>
      <c r="EK1154" s="241"/>
    </row>
    <row r="1155" spans="1:141" s="121" customFormat="1" x14ac:dyDescent="0.3">
      <c r="A1155" s="124"/>
      <c r="O1155" s="235"/>
      <c r="X1155" s="117"/>
      <c r="Y1155" s="117"/>
      <c r="DT1155" s="240"/>
      <c r="DU1155" s="240"/>
      <c r="DV1155" s="240"/>
      <c r="DW1155" s="240"/>
      <c r="DX1155" s="240"/>
      <c r="DY1155" s="240"/>
      <c r="DZ1155" s="240"/>
      <c r="EA1155" s="240"/>
      <c r="EB1155" s="237"/>
      <c r="EC1155" s="241"/>
      <c r="ED1155" s="241"/>
      <c r="EE1155" s="241"/>
      <c r="EG1155" s="241"/>
      <c r="EI1155" s="241"/>
      <c r="EK1155" s="241"/>
    </row>
    <row r="1156" spans="1:141" s="121" customFormat="1" x14ac:dyDescent="0.3">
      <c r="A1156" s="124"/>
      <c r="O1156" s="235"/>
      <c r="X1156" s="117"/>
      <c r="Y1156" s="117"/>
      <c r="DT1156" s="240"/>
      <c r="DU1156" s="240"/>
      <c r="DV1156" s="240"/>
      <c r="DW1156" s="240"/>
      <c r="DX1156" s="240"/>
      <c r="DY1156" s="240"/>
      <c r="DZ1156" s="240"/>
      <c r="EA1156" s="240"/>
      <c r="EB1156" s="237"/>
      <c r="EC1156" s="241"/>
      <c r="ED1156" s="241"/>
      <c r="EE1156" s="241"/>
      <c r="EG1156" s="241"/>
      <c r="EI1156" s="241"/>
      <c r="EK1156" s="241"/>
    </row>
    <row r="1157" spans="1:141" s="121" customFormat="1" x14ac:dyDescent="0.3">
      <c r="A1157" s="124"/>
      <c r="O1157" s="235"/>
      <c r="X1157" s="117"/>
      <c r="Y1157" s="117"/>
      <c r="DT1157" s="240"/>
      <c r="DU1157" s="240"/>
      <c r="DV1157" s="240"/>
      <c r="DW1157" s="240"/>
      <c r="DX1157" s="240"/>
      <c r="DY1157" s="240"/>
      <c r="DZ1157" s="240"/>
      <c r="EA1157" s="240"/>
      <c r="EB1157" s="237"/>
      <c r="EC1157" s="241"/>
      <c r="ED1157" s="241"/>
      <c r="EE1157" s="241"/>
      <c r="EG1157" s="241"/>
      <c r="EI1157" s="241"/>
      <c r="EK1157" s="241"/>
    </row>
    <row r="1158" spans="1:141" s="121" customFormat="1" x14ac:dyDescent="0.3">
      <c r="A1158" s="124"/>
      <c r="O1158" s="235"/>
      <c r="X1158" s="117"/>
      <c r="Y1158" s="117"/>
      <c r="DT1158" s="240"/>
      <c r="DU1158" s="240"/>
      <c r="DV1158" s="240"/>
      <c r="DW1158" s="240"/>
      <c r="DX1158" s="240"/>
      <c r="DY1158" s="240"/>
      <c r="DZ1158" s="240"/>
      <c r="EA1158" s="240"/>
      <c r="EB1158" s="237"/>
      <c r="EC1158" s="241"/>
      <c r="ED1158" s="241"/>
      <c r="EE1158" s="241"/>
      <c r="EG1158" s="241"/>
      <c r="EI1158" s="241"/>
      <c r="EK1158" s="241"/>
    </row>
    <row r="1159" spans="1:141" s="121" customFormat="1" x14ac:dyDescent="0.3">
      <c r="A1159" s="124"/>
      <c r="O1159" s="235"/>
      <c r="X1159" s="117"/>
      <c r="Y1159" s="117"/>
      <c r="DT1159" s="240"/>
      <c r="DU1159" s="240"/>
      <c r="DV1159" s="240"/>
      <c r="DW1159" s="240"/>
      <c r="DX1159" s="240"/>
      <c r="DY1159" s="240"/>
      <c r="DZ1159" s="240"/>
      <c r="EA1159" s="240"/>
      <c r="EB1159" s="237"/>
      <c r="EC1159" s="241"/>
      <c r="ED1159" s="241"/>
      <c r="EE1159" s="241"/>
      <c r="EG1159" s="241"/>
      <c r="EI1159" s="241"/>
      <c r="EK1159" s="241"/>
    </row>
    <row r="1160" spans="1:141" s="121" customFormat="1" x14ac:dyDescent="0.3">
      <c r="A1160" s="124"/>
      <c r="O1160" s="235"/>
      <c r="X1160" s="117"/>
      <c r="Y1160" s="117"/>
      <c r="DT1160" s="240"/>
      <c r="DU1160" s="240"/>
      <c r="DV1160" s="240"/>
      <c r="DW1160" s="240"/>
      <c r="DX1160" s="240"/>
      <c r="DY1160" s="240"/>
      <c r="DZ1160" s="240"/>
      <c r="EA1160" s="240"/>
      <c r="EB1160" s="237"/>
      <c r="EC1160" s="241"/>
      <c r="ED1160" s="241"/>
      <c r="EE1160" s="241"/>
      <c r="EG1160" s="241"/>
      <c r="EI1160" s="241"/>
      <c r="EK1160" s="241"/>
    </row>
    <row r="1161" spans="1:141" s="121" customFormat="1" x14ac:dyDescent="0.3">
      <c r="A1161" s="124"/>
      <c r="O1161" s="235"/>
      <c r="X1161" s="117"/>
      <c r="Y1161" s="117"/>
      <c r="DT1161" s="240"/>
      <c r="DU1161" s="240"/>
      <c r="DV1161" s="240"/>
      <c r="DW1161" s="240"/>
      <c r="DX1161" s="240"/>
      <c r="DY1161" s="240"/>
      <c r="DZ1161" s="240"/>
      <c r="EA1161" s="240"/>
      <c r="EB1161" s="237"/>
      <c r="EC1161" s="241"/>
      <c r="ED1161" s="241"/>
      <c r="EE1161" s="241"/>
      <c r="EG1161" s="241"/>
      <c r="EI1161" s="241"/>
      <c r="EK1161" s="241"/>
    </row>
    <row r="1162" spans="1:141" s="121" customFormat="1" x14ac:dyDescent="0.3">
      <c r="A1162" s="124"/>
      <c r="O1162" s="235"/>
      <c r="X1162" s="117"/>
      <c r="Y1162" s="117"/>
      <c r="DT1162" s="240"/>
      <c r="DU1162" s="240"/>
      <c r="DV1162" s="240"/>
      <c r="DW1162" s="240"/>
      <c r="DX1162" s="240"/>
      <c r="DY1162" s="240"/>
      <c r="DZ1162" s="240"/>
      <c r="EA1162" s="240"/>
      <c r="EB1162" s="237"/>
      <c r="EC1162" s="241"/>
      <c r="ED1162" s="241"/>
      <c r="EE1162" s="241"/>
      <c r="EG1162" s="241"/>
      <c r="EI1162" s="241"/>
      <c r="EK1162" s="241"/>
    </row>
    <row r="1163" spans="1:141" s="121" customFormat="1" x14ac:dyDescent="0.3">
      <c r="A1163" s="124"/>
      <c r="O1163" s="235"/>
      <c r="X1163" s="117"/>
      <c r="Y1163" s="117"/>
      <c r="DT1163" s="240"/>
      <c r="DU1163" s="240"/>
      <c r="DV1163" s="240"/>
      <c r="DW1163" s="240"/>
      <c r="DX1163" s="240"/>
      <c r="DY1163" s="240"/>
      <c r="DZ1163" s="240"/>
      <c r="EA1163" s="240"/>
      <c r="EB1163" s="237"/>
      <c r="EC1163" s="241"/>
      <c r="ED1163" s="241"/>
      <c r="EE1163" s="241"/>
      <c r="EG1163" s="241"/>
      <c r="EI1163" s="241"/>
      <c r="EK1163" s="241"/>
    </row>
    <row r="1164" spans="1:141" s="121" customFormat="1" x14ac:dyDescent="0.3">
      <c r="A1164" s="124"/>
      <c r="O1164" s="235"/>
      <c r="X1164" s="117"/>
      <c r="Y1164" s="117"/>
      <c r="DT1164" s="240"/>
      <c r="DU1164" s="240"/>
      <c r="DV1164" s="240"/>
      <c r="DW1164" s="240"/>
      <c r="DX1164" s="240"/>
      <c r="DY1164" s="240"/>
      <c r="DZ1164" s="240"/>
      <c r="EA1164" s="240"/>
      <c r="EB1164" s="237"/>
      <c r="EC1164" s="241"/>
      <c r="ED1164" s="241"/>
      <c r="EE1164" s="241"/>
      <c r="EG1164" s="241"/>
      <c r="EI1164" s="241"/>
      <c r="EK1164" s="241"/>
    </row>
    <row r="1165" spans="1:141" s="121" customFormat="1" x14ac:dyDescent="0.3">
      <c r="A1165" s="124"/>
      <c r="O1165" s="235"/>
      <c r="X1165" s="117"/>
      <c r="Y1165" s="117"/>
      <c r="DT1165" s="240"/>
      <c r="DU1165" s="240"/>
      <c r="DV1165" s="240"/>
      <c r="DW1165" s="240"/>
      <c r="DX1165" s="240"/>
      <c r="DY1165" s="240"/>
      <c r="DZ1165" s="240"/>
      <c r="EA1165" s="240"/>
      <c r="EB1165" s="237"/>
      <c r="EC1165" s="241"/>
      <c r="ED1165" s="241"/>
      <c r="EE1165" s="241"/>
      <c r="EG1165" s="241"/>
      <c r="EI1165" s="241"/>
      <c r="EK1165" s="241"/>
    </row>
    <row r="1166" spans="1:141" s="121" customFormat="1" x14ac:dyDescent="0.3">
      <c r="A1166" s="124"/>
      <c r="O1166" s="235"/>
      <c r="X1166" s="117"/>
      <c r="Y1166" s="117"/>
      <c r="DT1166" s="240"/>
      <c r="DU1166" s="240"/>
      <c r="DV1166" s="240"/>
      <c r="DW1166" s="240"/>
      <c r="DX1166" s="240"/>
      <c r="DY1166" s="240"/>
      <c r="DZ1166" s="240"/>
      <c r="EA1166" s="240"/>
      <c r="EB1166" s="237"/>
      <c r="EC1166" s="241"/>
      <c r="ED1166" s="241"/>
      <c r="EE1166" s="241"/>
      <c r="EG1166" s="241"/>
      <c r="EI1166" s="241"/>
      <c r="EK1166" s="241"/>
    </row>
    <row r="1167" spans="1:141" s="121" customFormat="1" x14ac:dyDescent="0.3">
      <c r="A1167" s="124"/>
      <c r="O1167" s="235"/>
      <c r="X1167" s="117"/>
      <c r="Y1167" s="117"/>
      <c r="DT1167" s="240"/>
      <c r="DU1167" s="240"/>
      <c r="DV1167" s="240"/>
      <c r="DW1167" s="240"/>
      <c r="DX1167" s="240"/>
      <c r="DY1167" s="240"/>
      <c r="DZ1167" s="240"/>
      <c r="EA1167" s="240"/>
      <c r="EB1167" s="237"/>
      <c r="EC1167" s="241"/>
      <c r="ED1167" s="241"/>
      <c r="EE1167" s="241"/>
      <c r="EG1167" s="241"/>
      <c r="EI1167" s="241"/>
      <c r="EK1167" s="241"/>
    </row>
    <row r="1168" spans="1:141" s="121" customFormat="1" x14ac:dyDescent="0.3">
      <c r="A1168" s="124"/>
      <c r="O1168" s="235"/>
      <c r="X1168" s="117"/>
      <c r="Y1168" s="117"/>
      <c r="DT1168" s="240"/>
      <c r="DU1168" s="240"/>
      <c r="DV1168" s="240"/>
      <c r="DW1168" s="240"/>
      <c r="DX1168" s="240"/>
      <c r="DY1168" s="240"/>
      <c r="DZ1168" s="240"/>
      <c r="EA1168" s="240"/>
      <c r="EB1168" s="237"/>
      <c r="EC1168" s="241"/>
      <c r="ED1168" s="241"/>
      <c r="EE1168" s="241"/>
      <c r="EG1168" s="241"/>
      <c r="EI1168" s="241"/>
      <c r="EK1168" s="241"/>
    </row>
    <row r="1169" spans="1:141" s="121" customFormat="1" x14ac:dyDescent="0.3">
      <c r="A1169" s="124"/>
      <c r="O1169" s="235"/>
      <c r="X1169" s="117"/>
      <c r="Y1169" s="117"/>
      <c r="DT1169" s="240"/>
      <c r="DU1169" s="240"/>
      <c r="DV1169" s="240"/>
      <c r="DW1169" s="240"/>
      <c r="DX1169" s="240"/>
      <c r="DY1169" s="240"/>
      <c r="DZ1169" s="240"/>
      <c r="EA1169" s="240"/>
      <c r="EB1169" s="237"/>
      <c r="EC1169" s="241"/>
      <c r="ED1169" s="241"/>
      <c r="EE1169" s="241"/>
      <c r="EG1169" s="241"/>
      <c r="EI1169" s="241"/>
      <c r="EK1169" s="241"/>
    </row>
    <row r="1170" spans="1:141" s="121" customFormat="1" x14ac:dyDescent="0.3">
      <c r="A1170" s="124"/>
      <c r="O1170" s="235"/>
      <c r="X1170" s="117"/>
      <c r="Y1170" s="117"/>
      <c r="DT1170" s="240"/>
      <c r="DU1170" s="240"/>
      <c r="DV1170" s="240"/>
      <c r="DW1170" s="240"/>
      <c r="DX1170" s="240"/>
      <c r="DY1170" s="240"/>
      <c r="DZ1170" s="240"/>
      <c r="EA1170" s="240"/>
      <c r="EB1170" s="237"/>
      <c r="EC1170" s="241"/>
      <c r="ED1170" s="241"/>
      <c r="EE1170" s="241"/>
      <c r="EG1170" s="241"/>
      <c r="EI1170" s="241"/>
      <c r="EK1170" s="241"/>
    </row>
    <row r="1171" spans="1:141" s="121" customFormat="1" x14ac:dyDescent="0.3">
      <c r="A1171" s="124"/>
      <c r="O1171" s="235"/>
      <c r="X1171" s="117"/>
      <c r="Y1171" s="117"/>
      <c r="DT1171" s="240"/>
      <c r="DU1171" s="240"/>
      <c r="DV1171" s="240"/>
      <c r="DW1171" s="240"/>
      <c r="DX1171" s="240"/>
      <c r="DY1171" s="240"/>
      <c r="DZ1171" s="240"/>
      <c r="EA1171" s="240"/>
      <c r="EB1171" s="237"/>
      <c r="EC1171" s="241"/>
      <c r="ED1171" s="241"/>
      <c r="EE1171" s="241"/>
      <c r="EG1171" s="241"/>
      <c r="EI1171" s="241"/>
      <c r="EK1171" s="241"/>
    </row>
    <row r="1172" spans="1:141" s="121" customFormat="1" x14ac:dyDescent="0.3">
      <c r="A1172" s="124"/>
      <c r="O1172" s="235"/>
      <c r="X1172" s="117"/>
      <c r="Y1172" s="117"/>
      <c r="DT1172" s="240"/>
      <c r="DU1172" s="240"/>
      <c r="DV1172" s="240"/>
      <c r="DW1172" s="240"/>
      <c r="DX1172" s="240"/>
      <c r="DY1172" s="240"/>
      <c r="DZ1172" s="240"/>
      <c r="EA1172" s="240"/>
      <c r="EB1172" s="237"/>
      <c r="EC1172" s="241"/>
      <c r="ED1172" s="241"/>
      <c r="EE1172" s="241"/>
      <c r="EG1172" s="241"/>
      <c r="EI1172" s="241"/>
      <c r="EK1172" s="241"/>
    </row>
    <row r="1173" spans="1:141" s="121" customFormat="1" x14ac:dyDescent="0.3">
      <c r="A1173" s="124"/>
      <c r="O1173" s="235"/>
      <c r="X1173" s="117"/>
      <c r="Y1173" s="117"/>
      <c r="DT1173" s="240"/>
      <c r="DU1173" s="240"/>
      <c r="DV1173" s="240"/>
      <c r="DW1173" s="240"/>
      <c r="DX1173" s="240"/>
      <c r="DY1173" s="240"/>
      <c r="DZ1173" s="240"/>
      <c r="EA1173" s="240"/>
      <c r="EB1173" s="237"/>
      <c r="EC1173" s="241"/>
      <c r="ED1173" s="241"/>
      <c r="EE1173" s="241"/>
      <c r="EG1173" s="241"/>
      <c r="EI1173" s="241"/>
      <c r="EK1173" s="241"/>
    </row>
    <row r="1174" spans="1:141" s="121" customFormat="1" x14ac:dyDescent="0.3">
      <c r="A1174" s="124"/>
      <c r="O1174" s="235"/>
      <c r="X1174" s="117"/>
      <c r="Y1174" s="117"/>
      <c r="DT1174" s="240"/>
      <c r="DU1174" s="240"/>
      <c r="DV1174" s="240"/>
      <c r="DW1174" s="240"/>
      <c r="DX1174" s="240"/>
      <c r="DY1174" s="240"/>
      <c r="DZ1174" s="240"/>
      <c r="EA1174" s="240"/>
      <c r="EB1174" s="237"/>
      <c r="EC1174" s="241"/>
      <c r="ED1174" s="241"/>
      <c r="EE1174" s="241"/>
      <c r="EG1174" s="241"/>
      <c r="EI1174" s="241"/>
      <c r="EK1174" s="241"/>
    </row>
    <row r="1175" spans="1:141" s="121" customFormat="1" x14ac:dyDescent="0.3">
      <c r="A1175" s="124"/>
      <c r="O1175" s="235"/>
      <c r="X1175" s="117"/>
      <c r="Y1175" s="117"/>
      <c r="DT1175" s="240"/>
      <c r="DU1175" s="240"/>
      <c r="DV1175" s="240"/>
      <c r="DW1175" s="240"/>
      <c r="DX1175" s="240"/>
      <c r="DY1175" s="240"/>
      <c r="DZ1175" s="240"/>
      <c r="EA1175" s="240"/>
      <c r="EB1175" s="237"/>
      <c r="EC1175" s="241"/>
      <c r="ED1175" s="241"/>
      <c r="EE1175" s="241"/>
      <c r="EG1175" s="241"/>
      <c r="EI1175" s="241"/>
      <c r="EK1175" s="241"/>
    </row>
    <row r="1176" spans="1:141" s="121" customFormat="1" x14ac:dyDescent="0.3">
      <c r="A1176" s="124"/>
      <c r="O1176" s="235"/>
      <c r="X1176" s="117"/>
      <c r="Y1176" s="117"/>
      <c r="DT1176" s="240"/>
      <c r="DU1176" s="240"/>
      <c r="DV1176" s="240"/>
      <c r="DW1176" s="240"/>
      <c r="DX1176" s="240"/>
      <c r="DY1176" s="240"/>
      <c r="DZ1176" s="240"/>
      <c r="EA1176" s="240"/>
      <c r="EB1176" s="237"/>
      <c r="EC1176" s="241"/>
      <c r="ED1176" s="241"/>
      <c r="EE1176" s="241"/>
      <c r="EG1176" s="241"/>
      <c r="EI1176" s="241"/>
      <c r="EK1176" s="241"/>
    </row>
    <row r="1177" spans="1:141" s="121" customFormat="1" x14ac:dyDescent="0.3">
      <c r="A1177" s="124"/>
      <c r="O1177" s="235"/>
      <c r="X1177" s="117"/>
      <c r="Y1177" s="117"/>
      <c r="DT1177" s="240"/>
      <c r="DU1177" s="240"/>
      <c r="DV1177" s="240"/>
      <c r="DW1177" s="240"/>
      <c r="DX1177" s="240"/>
      <c r="DY1177" s="240"/>
      <c r="DZ1177" s="240"/>
      <c r="EA1177" s="240"/>
      <c r="EB1177" s="237"/>
      <c r="EC1177" s="241"/>
      <c r="ED1177" s="241"/>
      <c r="EE1177" s="241"/>
      <c r="EG1177" s="241"/>
      <c r="EI1177" s="241"/>
      <c r="EK1177" s="241"/>
    </row>
    <row r="1178" spans="1:141" s="121" customFormat="1" x14ac:dyDescent="0.3">
      <c r="A1178" s="124"/>
      <c r="O1178" s="235"/>
      <c r="X1178" s="117"/>
      <c r="Y1178" s="117"/>
      <c r="DT1178" s="240"/>
      <c r="DU1178" s="240"/>
      <c r="DV1178" s="240"/>
      <c r="DW1178" s="240"/>
      <c r="DX1178" s="240"/>
      <c r="DY1178" s="240"/>
      <c r="DZ1178" s="240"/>
      <c r="EA1178" s="240"/>
      <c r="EB1178" s="237"/>
      <c r="EC1178" s="241"/>
      <c r="ED1178" s="241"/>
      <c r="EE1178" s="241"/>
      <c r="EG1178" s="241"/>
      <c r="EI1178" s="241"/>
      <c r="EK1178" s="241"/>
    </row>
    <row r="1179" spans="1:141" s="121" customFormat="1" x14ac:dyDescent="0.3">
      <c r="A1179" s="124"/>
      <c r="O1179" s="235"/>
      <c r="X1179" s="117"/>
      <c r="Y1179" s="117"/>
      <c r="DT1179" s="240"/>
      <c r="DU1179" s="240"/>
      <c r="DV1179" s="240"/>
      <c r="DW1179" s="240"/>
      <c r="DX1179" s="240"/>
      <c r="DY1179" s="240"/>
      <c r="DZ1179" s="240"/>
      <c r="EA1179" s="240"/>
      <c r="EB1179" s="237"/>
      <c r="EC1179" s="241"/>
      <c r="ED1179" s="241"/>
      <c r="EE1179" s="241"/>
      <c r="EG1179" s="241"/>
      <c r="EI1179" s="241"/>
      <c r="EK1179" s="241"/>
    </row>
    <row r="1180" spans="1:141" s="121" customFormat="1" x14ac:dyDescent="0.3">
      <c r="A1180" s="124"/>
      <c r="O1180" s="235"/>
      <c r="X1180" s="117"/>
      <c r="Y1180" s="117"/>
      <c r="DT1180" s="240"/>
      <c r="DU1180" s="240"/>
      <c r="DV1180" s="240"/>
      <c r="DW1180" s="240"/>
      <c r="DX1180" s="240"/>
      <c r="DY1180" s="240"/>
      <c r="DZ1180" s="240"/>
      <c r="EA1180" s="240"/>
      <c r="EB1180" s="237"/>
      <c r="EC1180" s="241"/>
      <c r="ED1180" s="241"/>
      <c r="EE1180" s="241"/>
      <c r="EG1180" s="241"/>
      <c r="EI1180" s="241"/>
      <c r="EK1180" s="241"/>
    </row>
    <row r="1181" spans="1:141" s="121" customFormat="1" x14ac:dyDescent="0.3">
      <c r="A1181" s="124"/>
      <c r="O1181" s="235"/>
      <c r="X1181" s="117"/>
      <c r="Y1181" s="117"/>
      <c r="DT1181" s="240"/>
      <c r="DU1181" s="240"/>
      <c r="DV1181" s="240"/>
      <c r="DW1181" s="240"/>
      <c r="DX1181" s="240"/>
      <c r="DY1181" s="240"/>
      <c r="DZ1181" s="240"/>
      <c r="EA1181" s="240"/>
      <c r="EB1181" s="237"/>
      <c r="EC1181" s="241"/>
      <c r="ED1181" s="241"/>
      <c r="EE1181" s="241"/>
      <c r="EG1181" s="241"/>
      <c r="EI1181" s="241"/>
      <c r="EK1181" s="241"/>
    </row>
    <row r="1182" spans="1:141" s="121" customFormat="1" x14ac:dyDescent="0.3">
      <c r="A1182" s="124"/>
      <c r="O1182" s="235"/>
      <c r="X1182" s="117"/>
      <c r="Y1182" s="117"/>
      <c r="DT1182" s="240"/>
      <c r="DU1182" s="240"/>
      <c r="DV1182" s="240"/>
      <c r="DW1182" s="240"/>
      <c r="DX1182" s="240"/>
      <c r="DY1182" s="240"/>
      <c r="DZ1182" s="240"/>
      <c r="EA1182" s="240"/>
      <c r="EB1182" s="237"/>
      <c r="EC1182" s="241"/>
      <c r="ED1182" s="241"/>
      <c r="EE1182" s="241"/>
      <c r="EG1182" s="241"/>
      <c r="EI1182" s="241"/>
      <c r="EK1182" s="241"/>
    </row>
    <row r="1183" spans="1:141" s="121" customFormat="1" x14ac:dyDescent="0.3">
      <c r="A1183" s="124"/>
      <c r="O1183" s="235"/>
      <c r="X1183" s="117"/>
      <c r="Y1183" s="117"/>
      <c r="DT1183" s="240"/>
      <c r="DU1183" s="240"/>
      <c r="DV1183" s="240"/>
      <c r="DW1183" s="240"/>
      <c r="DX1183" s="240"/>
      <c r="DY1183" s="240"/>
      <c r="DZ1183" s="240"/>
      <c r="EA1183" s="240"/>
      <c r="EB1183" s="237"/>
      <c r="EC1183" s="241"/>
      <c r="ED1183" s="241"/>
      <c r="EE1183" s="241"/>
      <c r="EG1183" s="241"/>
      <c r="EI1183" s="241"/>
      <c r="EK1183" s="241"/>
    </row>
    <row r="1184" spans="1:141" s="121" customFormat="1" x14ac:dyDescent="0.3">
      <c r="A1184" s="124"/>
      <c r="O1184" s="235"/>
      <c r="X1184" s="117"/>
      <c r="Y1184" s="117"/>
      <c r="DT1184" s="240"/>
      <c r="DU1184" s="240"/>
      <c r="DV1184" s="240"/>
      <c r="DW1184" s="240"/>
      <c r="DX1184" s="240"/>
      <c r="DY1184" s="240"/>
      <c r="DZ1184" s="240"/>
      <c r="EA1184" s="240"/>
      <c r="EB1184" s="237"/>
      <c r="EC1184" s="241"/>
      <c r="ED1184" s="241"/>
      <c r="EE1184" s="241"/>
      <c r="EG1184" s="241"/>
      <c r="EI1184" s="241"/>
      <c r="EK1184" s="241"/>
    </row>
    <row r="1185" spans="1:141" s="121" customFormat="1" x14ac:dyDescent="0.3">
      <c r="A1185" s="124"/>
      <c r="O1185" s="235"/>
      <c r="X1185" s="117"/>
      <c r="Y1185" s="117"/>
      <c r="DT1185" s="240"/>
      <c r="DU1185" s="240"/>
      <c r="DV1185" s="240"/>
      <c r="DW1185" s="240"/>
      <c r="DX1185" s="240"/>
      <c r="DY1185" s="240"/>
      <c r="DZ1185" s="240"/>
      <c r="EA1185" s="240"/>
      <c r="EB1185" s="237"/>
      <c r="EC1185" s="241"/>
      <c r="ED1185" s="241"/>
      <c r="EE1185" s="241"/>
      <c r="EG1185" s="241"/>
      <c r="EI1185" s="241"/>
      <c r="EK1185" s="241"/>
    </row>
    <row r="1186" spans="1:141" s="121" customFormat="1" x14ac:dyDescent="0.3">
      <c r="A1186" s="124"/>
      <c r="O1186" s="235"/>
      <c r="X1186" s="117"/>
      <c r="Y1186" s="117"/>
      <c r="DT1186" s="240"/>
      <c r="DU1186" s="240"/>
      <c r="DV1186" s="240"/>
      <c r="DW1186" s="240"/>
      <c r="DX1186" s="240"/>
      <c r="DY1186" s="240"/>
      <c r="DZ1186" s="240"/>
      <c r="EA1186" s="240"/>
      <c r="EB1186" s="237"/>
      <c r="EC1186" s="241"/>
      <c r="ED1186" s="241"/>
      <c r="EE1186" s="241"/>
      <c r="EG1186" s="241"/>
      <c r="EI1186" s="241"/>
      <c r="EK1186" s="241"/>
    </row>
    <row r="1187" spans="1:141" s="121" customFormat="1" x14ac:dyDescent="0.3">
      <c r="A1187" s="124"/>
      <c r="O1187" s="235"/>
      <c r="X1187" s="117"/>
      <c r="Y1187" s="117"/>
      <c r="DT1187" s="240"/>
      <c r="DU1187" s="240"/>
      <c r="DV1187" s="240"/>
      <c r="DW1187" s="240"/>
      <c r="DX1187" s="240"/>
      <c r="DY1187" s="240"/>
      <c r="DZ1187" s="240"/>
      <c r="EA1187" s="240"/>
      <c r="EB1187" s="237"/>
      <c r="EC1187" s="241"/>
      <c r="ED1187" s="241"/>
      <c r="EE1187" s="241"/>
      <c r="EG1187" s="241"/>
      <c r="EI1187" s="241"/>
      <c r="EK1187" s="241"/>
    </row>
    <row r="1188" spans="1:141" s="121" customFormat="1" x14ac:dyDescent="0.3">
      <c r="A1188" s="124"/>
      <c r="O1188" s="235"/>
      <c r="X1188" s="117"/>
      <c r="Y1188" s="117"/>
      <c r="DT1188" s="240"/>
      <c r="DU1188" s="240"/>
      <c r="DV1188" s="240"/>
      <c r="DW1188" s="240"/>
      <c r="DX1188" s="240"/>
      <c r="DY1188" s="240"/>
      <c r="DZ1188" s="240"/>
      <c r="EA1188" s="240"/>
      <c r="EB1188" s="237"/>
      <c r="EC1188" s="241"/>
      <c r="ED1188" s="241"/>
      <c r="EE1188" s="241"/>
      <c r="EG1188" s="241"/>
      <c r="EI1188" s="241"/>
      <c r="EK1188" s="241"/>
    </row>
    <row r="1189" spans="1:141" s="121" customFormat="1" x14ac:dyDescent="0.3">
      <c r="A1189" s="124"/>
      <c r="O1189" s="235"/>
      <c r="X1189" s="117"/>
      <c r="Y1189" s="117"/>
      <c r="DT1189" s="240"/>
      <c r="DU1189" s="240"/>
      <c r="DV1189" s="240"/>
      <c r="DW1189" s="240"/>
      <c r="DX1189" s="240"/>
      <c r="DY1189" s="240"/>
      <c r="DZ1189" s="240"/>
      <c r="EA1189" s="240"/>
      <c r="EB1189" s="237"/>
      <c r="EC1189" s="241"/>
      <c r="ED1189" s="241"/>
      <c r="EE1189" s="241"/>
      <c r="EG1189" s="241"/>
      <c r="EI1189" s="241"/>
      <c r="EK1189" s="241"/>
    </row>
    <row r="1190" spans="1:141" s="121" customFormat="1" x14ac:dyDescent="0.3">
      <c r="A1190" s="124"/>
      <c r="O1190" s="235"/>
      <c r="X1190" s="117"/>
      <c r="Y1190" s="117"/>
      <c r="DT1190" s="240"/>
      <c r="DU1190" s="240"/>
      <c r="DV1190" s="240"/>
      <c r="DW1190" s="240"/>
      <c r="DX1190" s="240"/>
      <c r="DY1190" s="240"/>
      <c r="DZ1190" s="240"/>
      <c r="EA1190" s="240"/>
      <c r="EB1190" s="237"/>
      <c r="EC1190" s="241"/>
      <c r="ED1190" s="241"/>
      <c r="EE1190" s="241"/>
      <c r="EG1190" s="241"/>
      <c r="EI1190" s="241"/>
      <c r="EK1190" s="241"/>
    </row>
    <row r="1191" spans="1:141" s="121" customFormat="1" x14ac:dyDescent="0.3">
      <c r="A1191" s="124"/>
      <c r="O1191" s="235"/>
      <c r="X1191" s="117"/>
      <c r="Y1191" s="117"/>
      <c r="DT1191" s="240"/>
      <c r="DU1191" s="240"/>
      <c r="DV1191" s="240"/>
      <c r="DW1191" s="240"/>
      <c r="DX1191" s="240"/>
      <c r="DY1191" s="240"/>
      <c r="DZ1191" s="240"/>
      <c r="EA1191" s="240"/>
      <c r="EB1191" s="237"/>
      <c r="EC1191" s="241"/>
      <c r="ED1191" s="241"/>
      <c r="EE1191" s="241"/>
      <c r="EG1191" s="241"/>
      <c r="EI1191" s="241"/>
      <c r="EK1191" s="241"/>
    </row>
    <row r="1192" spans="1:141" s="121" customFormat="1" x14ac:dyDescent="0.3">
      <c r="A1192" s="124"/>
      <c r="O1192" s="235"/>
      <c r="X1192" s="117"/>
      <c r="Y1192" s="117"/>
      <c r="DT1192" s="240"/>
      <c r="DU1192" s="240"/>
      <c r="DV1192" s="240"/>
      <c r="DW1192" s="240"/>
      <c r="DX1192" s="240"/>
      <c r="DY1192" s="240"/>
      <c r="DZ1192" s="240"/>
      <c r="EA1192" s="240"/>
      <c r="EB1192" s="237"/>
      <c r="EC1192" s="241"/>
      <c r="ED1192" s="241"/>
      <c r="EE1192" s="241"/>
      <c r="EG1192" s="241"/>
      <c r="EI1192" s="241"/>
      <c r="EK1192" s="241"/>
    </row>
    <row r="1193" spans="1:141" s="121" customFormat="1" x14ac:dyDescent="0.3">
      <c r="A1193" s="124"/>
      <c r="O1193" s="235"/>
      <c r="X1193" s="117"/>
      <c r="Y1193" s="117"/>
      <c r="DT1193" s="240"/>
      <c r="DU1193" s="240"/>
      <c r="DV1193" s="240"/>
      <c r="DW1193" s="240"/>
      <c r="DX1193" s="240"/>
      <c r="DY1193" s="240"/>
      <c r="DZ1193" s="240"/>
      <c r="EA1193" s="240"/>
      <c r="EB1193" s="237"/>
      <c r="EC1193" s="241"/>
      <c r="ED1193" s="241"/>
      <c r="EE1193" s="241"/>
      <c r="EG1193" s="241"/>
      <c r="EI1193" s="241"/>
      <c r="EK1193" s="241"/>
    </row>
    <row r="1194" spans="1:141" s="121" customFormat="1" x14ac:dyDescent="0.3">
      <c r="A1194" s="124"/>
      <c r="O1194" s="235"/>
      <c r="X1194" s="117"/>
      <c r="Y1194" s="117"/>
      <c r="DT1194" s="240"/>
      <c r="DU1194" s="240"/>
      <c r="DV1194" s="240"/>
      <c r="DW1194" s="240"/>
      <c r="DX1194" s="240"/>
      <c r="DY1194" s="240"/>
      <c r="DZ1194" s="240"/>
      <c r="EA1194" s="240"/>
      <c r="EB1194" s="237"/>
      <c r="EC1194" s="241"/>
      <c r="ED1194" s="241"/>
      <c r="EE1194" s="241"/>
      <c r="EG1194" s="241"/>
      <c r="EI1194" s="241"/>
      <c r="EK1194" s="241"/>
    </row>
    <row r="1195" spans="1:141" s="121" customFormat="1" x14ac:dyDescent="0.3">
      <c r="A1195" s="124"/>
      <c r="O1195" s="235"/>
      <c r="X1195" s="117"/>
      <c r="Y1195" s="117"/>
      <c r="DT1195" s="240"/>
      <c r="DU1195" s="240"/>
      <c r="DV1195" s="240"/>
      <c r="DW1195" s="240"/>
      <c r="DX1195" s="240"/>
      <c r="DY1195" s="240"/>
      <c r="DZ1195" s="240"/>
      <c r="EA1195" s="240"/>
      <c r="EB1195" s="237"/>
      <c r="EC1195" s="241"/>
      <c r="ED1195" s="241"/>
      <c r="EE1195" s="241"/>
      <c r="EG1195" s="241"/>
      <c r="EI1195" s="241"/>
      <c r="EK1195" s="241"/>
    </row>
    <row r="1196" spans="1:141" s="121" customFormat="1" x14ac:dyDescent="0.3">
      <c r="A1196" s="124"/>
      <c r="O1196" s="235"/>
      <c r="X1196" s="117"/>
      <c r="Y1196" s="117"/>
      <c r="DT1196" s="240"/>
      <c r="DU1196" s="240"/>
      <c r="DV1196" s="240"/>
      <c r="DW1196" s="240"/>
      <c r="DX1196" s="240"/>
      <c r="DY1196" s="240"/>
      <c r="DZ1196" s="240"/>
      <c r="EA1196" s="240"/>
      <c r="EB1196" s="237"/>
      <c r="EC1196" s="241"/>
      <c r="ED1196" s="241"/>
      <c r="EE1196" s="241"/>
      <c r="EG1196" s="241"/>
      <c r="EI1196" s="241"/>
      <c r="EK1196" s="241"/>
    </row>
    <row r="1197" spans="1:141" s="121" customFormat="1" x14ac:dyDescent="0.3">
      <c r="A1197" s="124"/>
      <c r="O1197" s="235"/>
      <c r="X1197" s="117"/>
      <c r="Y1197" s="117"/>
      <c r="DT1197" s="240"/>
      <c r="DU1197" s="240"/>
      <c r="DV1197" s="240"/>
      <c r="DW1197" s="240"/>
      <c r="DX1197" s="240"/>
      <c r="DY1197" s="240"/>
      <c r="DZ1197" s="240"/>
      <c r="EA1197" s="240"/>
      <c r="EB1197" s="237"/>
      <c r="EC1197" s="241"/>
      <c r="ED1197" s="241"/>
      <c r="EE1197" s="241"/>
      <c r="EG1197" s="241"/>
      <c r="EI1197" s="241"/>
      <c r="EK1197" s="241"/>
    </row>
    <row r="1198" spans="1:141" s="121" customFormat="1" x14ac:dyDescent="0.3">
      <c r="A1198" s="124"/>
      <c r="O1198" s="235"/>
      <c r="X1198" s="117"/>
      <c r="Y1198" s="117"/>
      <c r="DT1198" s="240"/>
      <c r="DU1198" s="240"/>
      <c r="DV1198" s="240"/>
      <c r="DW1198" s="240"/>
      <c r="DX1198" s="240"/>
      <c r="DY1198" s="240"/>
      <c r="DZ1198" s="240"/>
      <c r="EA1198" s="240"/>
      <c r="EB1198" s="237"/>
      <c r="EC1198" s="241"/>
      <c r="ED1198" s="241"/>
      <c r="EE1198" s="241"/>
      <c r="EG1198" s="241"/>
      <c r="EI1198" s="241"/>
      <c r="EK1198" s="241"/>
    </row>
    <row r="1199" spans="1:141" s="121" customFormat="1" x14ac:dyDescent="0.3">
      <c r="A1199" s="124"/>
      <c r="O1199" s="235"/>
      <c r="X1199" s="117"/>
      <c r="Y1199" s="117"/>
      <c r="DT1199" s="240"/>
      <c r="DU1199" s="240"/>
      <c r="DV1199" s="240"/>
      <c r="DW1199" s="240"/>
      <c r="DX1199" s="240"/>
      <c r="DY1199" s="240"/>
      <c r="DZ1199" s="240"/>
      <c r="EA1199" s="240"/>
      <c r="EB1199" s="237"/>
      <c r="EC1199" s="241"/>
      <c r="ED1199" s="241"/>
      <c r="EE1199" s="241"/>
      <c r="EG1199" s="241"/>
      <c r="EI1199" s="241"/>
      <c r="EK1199" s="241"/>
    </row>
    <row r="1200" spans="1:141" s="121" customFormat="1" x14ac:dyDescent="0.3">
      <c r="A1200" s="124"/>
      <c r="O1200" s="235"/>
      <c r="X1200" s="117"/>
      <c r="Y1200" s="117"/>
      <c r="DT1200" s="240"/>
      <c r="DU1200" s="240"/>
      <c r="DV1200" s="240"/>
      <c r="DW1200" s="240"/>
      <c r="DX1200" s="240"/>
      <c r="DY1200" s="240"/>
      <c r="DZ1200" s="240"/>
      <c r="EA1200" s="240"/>
      <c r="EB1200" s="237"/>
      <c r="EC1200" s="241"/>
      <c r="ED1200" s="241"/>
      <c r="EE1200" s="241"/>
      <c r="EG1200" s="241"/>
      <c r="EI1200" s="241"/>
      <c r="EK1200" s="241"/>
    </row>
    <row r="1201" spans="1:141" s="121" customFormat="1" x14ac:dyDescent="0.3">
      <c r="A1201" s="124"/>
      <c r="O1201" s="235"/>
      <c r="X1201" s="117"/>
      <c r="Y1201" s="117"/>
      <c r="DT1201" s="240"/>
      <c r="DU1201" s="240"/>
      <c r="DV1201" s="240"/>
      <c r="DW1201" s="240"/>
      <c r="DX1201" s="240"/>
      <c r="DY1201" s="240"/>
      <c r="DZ1201" s="240"/>
      <c r="EA1201" s="240"/>
      <c r="EB1201" s="237"/>
      <c r="EC1201" s="241"/>
      <c r="ED1201" s="241"/>
      <c r="EE1201" s="241"/>
      <c r="EG1201" s="241"/>
      <c r="EI1201" s="241"/>
      <c r="EK1201" s="241"/>
    </row>
    <row r="1202" spans="1:141" s="121" customFormat="1" x14ac:dyDescent="0.3">
      <c r="A1202" s="124"/>
      <c r="O1202" s="235"/>
      <c r="X1202" s="117"/>
      <c r="Y1202" s="117"/>
      <c r="DT1202" s="240"/>
      <c r="DU1202" s="240"/>
      <c r="DV1202" s="240"/>
      <c r="DW1202" s="240"/>
      <c r="DX1202" s="240"/>
      <c r="DY1202" s="240"/>
      <c r="DZ1202" s="240"/>
      <c r="EA1202" s="240"/>
      <c r="EB1202" s="237"/>
      <c r="EC1202" s="241"/>
      <c r="ED1202" s="241"/>
      <c r="EE1202" s="241"/>
      <c r="EG1202" s="241"/>
      <c r="EI1202" s="241"/>
      <c r="EK1202" s="241"/>
    </row>
    <row r="1203" spans="1:141" s="121" customFormat="1" x14ac:dyDescent="0.3">
      <c r="A1203" s="124"/>
      <c r="O1203" s="235"/>
      <c r="X1203" s="117"/>
      <c r="Y1203" s="117"/>
      <c r="DT1203" s="240"/>
      <c r="DU1203" s="240"/>
      <c r="DV1203" s="240"/>
      <c r="DW1203" s="240"/>
      <c r="DX1203" s="240"/>
      <c r="DY1203" s="240"/>
      <c r="DZ1203" s="240"/>
      <c r="EA1203" s="240"/>
      <c r="EB1203" s="237"/>
      <c r="EC1203" s="241"/>
      <c r="ED1203" s="241"/>
      <c r="EE1203" s="241"/>
      <c r="EG1203" s="241"/>
      <c r="EI1203" s="241"/>
      <c r="EK1203" s="241"/>
    </row>
    <row r="1204" spans="1:141" s="121" customFormat="1" x14ac:dyDescent="0.3">
      <c r="A1204" s="124"/>
      <c r="O1204" s="235"/>
      <c r="X1204" s="117"/>
      <c r="Y1204" s="117"/>
      <c r="DT1204" s="240"/>
      <c r="DU1204" s="240"/>
      <c r="DV1204" s="240"/>
      <c r="DW1204" s="240"/>
      <c r="DX1204" s="240"/>
      <c r="DY1204" s="240"/>
      <c r="DZ1204" s="240"/>
      <c r="EA1204" s="240"/>
      <c r="EB1204" s="237"/>
      <c r="EC1204" s="241"/>
      <c r="ED1204" s="241"/>
      <c r="EE1204" s="241"/>
      <c r="EG1204" s="241"/>
      <c r="EI1204" s="241"/>
      <c r="EK1204" s="241"/>
    </row>
    <row r="1205" spans="1:141" s="121" customFormat="1" x14ac:dyDescent="0.3">
      <c r="A1205" s="124"/>
      <c r="O1205" s="235"/>
      <c r="X1205" s="117"/>
      <c r="Y1205" s="117"/>
      <c r="DT1205" s="240"/>
      <c r="DU1205" s="240"/>
      <c r="DV1205" s="240"/>
      <c r="DW1205" s="240"/>
      <c r="DX1205" s="240"/>
      <c r="DY1205" s="240"/>
      <c r="DZ1205" s="240"/>
      <c r="EA1205" s="240"/>
      <c r="EB1205" s="237"/>
      <c r="EC1205" s="241"/>
      <c r="ED1205" s="241"/>
      <c r="EE1205" s="241"/>
      <c r="EG1205" s="241"/>
      <c r="EI1205" s="241"/>
      <c r="EK1205" s="241"/>
    </row>
    <row r="1206" spans="1:141" s="121" customFormat="1" x14ac:dyDescent="0.3">
      <c r="A1206" s="124"/>
      <c r="O1206" s="235"/>
      <c r="X1206" s="117"/>
      <c r="Y1206" s="117"/>
      <c r="DT1206" s="240"/>
      <c r="DU1206" s="240"/>
      <c r="DV1206" s="240"/>
      <c r="DW1206" s="240"/>
      <c r="DX1206" s="240"/>
      <c r="DY1206" s="240"/>
      <c r="DZ1206" s="240"/>
      <c r="EA1206" s="240"/>
      <c r="EB1206" s="237"/>
      <c r="EC1206" s="241"/>
      <c r="ED1206" s="241"/>
      <c r="EE1206" s="241"/>
      <c r="EG1206" s="241"/>
      <c r="EI1206" s="241"/>
      <c r="EK1206" s="241"/>
    </row>
    <row r="1207" spans="1:141" s="121" customFormat="1" x14ac:dyDescent="0.3">
      <c r="A1207" s="124"/>
      <c r="O1207" s="235"/>
      <c r="X1207" s="117"/>
      <c r="Y1207" s="117"/>
      <c r="DT1207" s="240"/>
      <c r="DU1207" s="240"/>
      <c r="DV1207" s="240"/>
      <c r="DW1207" s="240"/>
      <c r="DX1207" s="240"/>
      <c r="DY1207" s="240"/>
      <c r="DZ1207" s="240"/>
      <c r="EA1207" s="240"/>
      <c r="EB1207" s="237"/>
      <c r="EC1207" s="241"/>
      <c r="ED1207" s="241"/>
      <c r="EE1207" s="241"/>
      <c r="EG1207" s="241"/>
      <c r="EI1207" s="241"/>
      <c r="EK1207" s="241"/>
    </row>
    <row r="1208" spans="1:141" s="121" customFormat="1" x14ac:dyDescent="0.3">
      <c r="A1208" s="124"/>
      <c r="O1208" s="235"/>
      <c r="X1208" s="117"/>
      <c r="Y1208" s="117"/>
      <c r="DT1208" s="240"/>
      <c r="DU1208" s="240"/>
      <c r="DV1208" s="240"/>
      <c r="DW1208" s="240"/>
      <c r="DX1208" s="240"/>
      <c r="DY1208" s="240"/>
      <c r="DZ1208" s="240"/>
      <c r="EA1208" s="240"/>
      <c r="EB1208" s="237"/>
      <c r="EC1208" s="241"/>
      <c r="ED1208" s="241"/>
      <c r="EE1208" s="241"/>
      <c r="EG1208" s="241"/>
      <c r="EI1208" s="241"/>
      <c r="EK1208" s="241"/>
    </row>
    <row r="1209" spans="1:141" s="121" customFormat="1" x14ac:dyDescent="0.3">
      <c r="A1209" s="124"/>
      <c r="O1209" s="235"/>
      <c r="X1209" s="117"/>
      <c r="Y1209" s="117"/>
      <c r="DT1209" s="240"/>
      <c r="DU1209" s="240"/>
      <c r="DV1209" s="240"/>
      <c r="DW1209" s="240"/>
      <c r="DX1209" s="240"/>
      <c r="DY1209" s="240"/>
      <c r="DZ1209" s="240"/>
      <c r="EA1209" s="240"/>
      <c r="EB1209" s="237"/>
      <c r="EC1209" s="241"/>
      <c r="ED1209" s="241"/>
      <c r="EE1209" s="241"/>
      <c r="EG1209" s="241"/>
      <c r="EI1209" s="241"/>
      <c r="EK1209" s="241"/>
    </row>
    <row r="1210" spans="1:141" s="121" customFormat="1" x14ac:dyDescent="0.3">
      <c r="A1210" s="124"/>
      <c r="O1210" s="235"/>
      <c r="X1210" s="117"/>
      <c r="Y1210" s="117"/>
      <c r="DT1210" s="240"/>
      <c r="DU1210" s="240"/>
      <c r="DV1210" s="240"/>
      <c r="DW1210" s="240"/>
      <c r="DX1210" s="240"/>
      <c r="DY1210" s="240"/>
      <c r="DZ1210" s="240"/>
      <c r="EA1210" s="240"/>
      <c r="EB1210" s="237"/>
      <c r="EC1210" s="241"/>
      <c r="ED1210" s="241"/>
      <c r="EE1210" s="241"/>
      <c r="EG1210" s="241"/>
      <c r="EI1210" s="241"/>
      <c r="EK1210" s="241"/>
    </row>
    <row r="1211" spans="1:141" s="121" customFormat="1" x14ac:dyDescent="0.3">
      <c r="A1211" s="124"/>
      <c r="O1211" s="235"/>
      <c r="X1211" s="117"/>
      <c r="Y1211" s="117"/>
      <c r="DT1211" s="240"/>
      <c r="DU1211" s="240"/>
      <c r="DV1211" s="240"/>
      <c r="DW1211" s="240"/>
      <c r="DX1211" s="240"/>
      <c r="DY1211" s="240"/>
      <c r="DZ1211" s="240"/>
      <c r="EA1211" s="240"/>
      <c r="EB1211" s="237"/>
      <c r="EC1211" s="241"/>
      <c r="ED1211" s="241"/>
      <c r="EE1211" s="241"/>
      <c r="EG1211" s="241"/>
      <c r="EI1211" s="241"/>
      <c r="EK1211" s="241"/>
    </row>
    <row r="1212" spans="1:141" s="121" customFormat="1" x14ac:dyDescent="0.3">
      <c r="A1212" s="124"/>
      <c r="O1212" s="235"/>
      <c r="X1212" s="117"/>
      <c r="Y1212" s="117"/>
      <c r="DT1212" s="240"/>
      <c r="DU1212" s="240"/>
      <c r="DV1212" s="240"/>
      <c r="DW1212" s="240"/>
      <c r="DX1212" s="240"/>
      <c r="DY1212" s="240"/>
      <c r="DZ1212" s="240"/>
      <c r="EA1212" s="240"/>
      <c r="EB1212" s="237"/>
      <c r="EC1212" s="241"/>
      <c r="ED1212" s="241"/>
      <c r="EE1212" s="241"/>
      <c r="EG1212" s="241"/>
      <c r="EI1212" s="241"/>
      <c r="EK1212" s="241"/>
    </row>
    <row r="1213" spans="1:141" s="121" customFormat="1" x14ac:dyDescent="0.3">
      <c r="A1213" s="124"/>
      <c r="O1213" s="235"/>
      <c r="X1213" s="117"/>
      <c r="Y1213" s="117"/>
      <c r="DT1213" s="240"/>
      <c r="DU1213" s="240"/>
      <c r="DV1213" s="240"/>
      <c r="DW1213" s="240"/>
      <c r="DX1213" s="240"/>
      <c r="DY1213" s="240"/>
      <c r="DZ1213" s="240"/>
      <c r="EA1213" s="240"/>
      <c r="EB1213" s="237"/>
      <c r="EC1213" s="241"/>
      <c r="ED1213" s="241"/>
      <c r="EE1213" s="241"/>
      <c r="EG1213" s="241"/>
      <c r="EI1213" s="241"/>
      <c r="EK1213" s="241"/>
    </row>
    <row r="1214" spans="1:141" s="121" customFormat="1" x14ac:dyDescent="0.3">
      <c r="A1214" s="124"/>
      <c r="O1214" s="235"/>
      <c r="X1214" s="117"/>
      <c r="Y1214" s="117"/>
      <c r="DT1214" s="240"/>
      <c r="DU1214" s="240"/>
      <c r="DV1214" s="240"/>
      <c r="DW1214" s="240"/>
      <c r="DX1214" s="240"/>
      <c r="DY1214" s="240"/>
      <c r="DZ1214" s="240"/>
      <c r="EA1214" s="240"/>
      <c r="EB1214" s="237"/>
      <c r="EC1214" s="241"/>
      <c r="ED1214" s="241"/>
      <c r="EE1214" s="241"/>
      <c r="EG1214" s="241"/>
      <c r="EI1214" s="241"/>
      <c r="EK1214" s="241"/>
    </row>
    <row r="1215" spans="1:141" s="121" customFormat="1" x14ac:dyDescent="0.3">
      <c r="A1215" s="124"/>
      <c r="O1215" s="235"/>
      <c r="X1215" s="117"/>
      <c r="Y1215" s="117"/>
      <c r="DT1215" s="240"/>
      <c r="DU1215" s="240"/>
      <c r="DV1215" s="240"/>
      <c r="DW1215" s="240"/>
      <c r="DX1215" s="240"/>
      <c r="DY1215" s="240"/>
      <c r="DZ1215" s="240"/>
      <c r="EA1215" s="240"/>
      <c r="EB1215" s="237"/>
      <c r="EC1215" s="241"/>
      <c r="ED1215" s="241"/>
      <c r="EE1215" s="241"/>
      <c r="EG1215" s="241"/>
      <c r="EI1215" s="241"/>
      <c r="EK1215" s="241"/>
    </row>
    <row r="1216" spans="1:141" s="121" customFormat="1" x14ac:dyDescent="0.3">
      <c r="A1216" s="124"/>
      <c r="O1216" s="235"/>
      <c r="X1216" s="117"/>
      <c r="Y1216" s="117"/>
      <c r="DT1216" s="240"/>
      <c r="DU1216" s="240"/>
      <c r="DV1216" s="240"/>
      <c r="DW1216" s="240"/>
      <c r="DX1216" s="240"/>
      <c r="DY1216" s="240"/>
      <c r="DZ1216" s="240"/>
      <c r="EA1216" s="240"/>
      <c r="EB1216" s="237"/>
      <c r="EC1216" s="241"/>
      <c r="ED1216" s="241"/>
      <c r="EE1216" s="241"/>
      <c r="EG1216" s="241"/>
      <c r="EI1216" s="241"/>
      <c r="EK1216" s="241"/>
    </row>
    <row r="1217" spans="1:141" s="121" customFormat="1" x14ac:dyDescent="0.3">
      <c r="A1217" s="124"/>
      <c r="O1217" s="235"/>
      <c r="X1217" s="117"/>
      <c r="Y1217" s="117"/>
      <c r="DT1217" s="240"/>
      <c r="DU1217" s="240"/>
      <c r="DV1217" s="240"/>
      <c r="DW1217" s="240"/>
      <c r="DX1217" s="240"/>
      <c r="DY1217" s="240"/>
      <c r="DZ1217" s="240"/>
      <c r="EA1217" s="240"/>
      <c r="EB1217" s="237"/>
      <c r="EC1217" s="241"/>
      <c r="ED1217" s="241"/>
      <c r="EE1217" s="241"/>
      <c r="EG1217" s="241"/>
      <c r="EI1217" s="241"/>
      <c r="EK1217" s="241"/>
    </row>
    <row r="1218" spans="1:141" s="121" customFormat="1" x14ac:dyDescent="0.3">
      <c r="A1218" s="124"/>
      <c r="O1218" s="235"/>
      <c r="X1218" s="117"/>
      <c r="Y1218" s="117"/>
      <c r="DT1218" s="240"/>
      <c r="DU1218" s="240"/>
      <c r="DV1218" s="240"/>
      <c r="DW1218" s="240"/>
      <c r="DX1218" s="240"/>
      <c r="DY1218" s="240"/>
      <c r="DZ1218" s="240"/>
      <c r="EA1218" s="240"/>
      <c r="EB1218" s="237"/>
      <c r="EC1218" s="241"/>
      <c r="ED1218" s="241"/>
      <c r="EE1218" s="241"/>
      <c r="EG1218" s="241"/>
      <c r="EI1218" s="241"/>
      <c r="EK1218" s="241"/>
    </row>
    <row r="1219" spans="1:141" s="121" customFormat="1" x14ac:dyDescent="0.3">
      <c r="A1219" s="124"/>
      <c r="O1219" s="235"/>
      <c r="X1219" s="117"/>
      <c r="Y1219" s="117"/>
      <c r="DT1219" s="240"/>
      <c r="DU1219" s="240"/>
      <c r="DV1219" s="240"/>
      <c r="DW1219" s="240"/>
      <c r="DX1219" s="240"/>
      <c r="DY1219" s="240"/>
      <c r="DZ1219" s="240"/>
      <c r="EA1219" s="240"/>
      <c r="EB1219" s="237"/>
      <c r="EC1219" s="241"/>
      <c r="ED1219" s="241"/>
      <c r="EE1219" s="241"/>
      <c r="EG1219" s="241"/>
      <c r="EI1219" s="241"/>
      <c r="EK1219" s="241"/>
    </row>
    <row r="1220" spans="1:141" s="121" customFormat="1" x14ac:dyDescent="0.3">
      <c r="A1220" s="124"/>
      <c r="O1220" s="235"/>
      <c r="X1220" s="117"/>
      <c r="Y1220" s="117"/>
      <c r="DT1220" s="240"/>
      <c r="DU1220" s="240"/>
      <c r="DV1220" s="240"/>
      <c r="DW1220" s="240"/>
      <c r="DX1220" s="240"/>
      <c r="DY1220" s="240"/>
      <c r="DZ1220" s="240"/>
      <c r="EA1220" s="240"/>
      <c r="EB1220" s="237"/>
      <c r="EC1220" s="241"/>
      <c r="ED1220" s="241"/>
      <c r="EE1220" s="241"/>
      <c r="EG1220" s="241"/>
      <c r="EI1220" s="241"/>
      <c r="EK1220" s="241"/>
    </row>
    <row r="1221" spans="1:141" s="121" customFormat="1" x14ac:dyDescent="0.3">
      <c r="A1221" s="124"/>
      <c r="O1221" s="235"/>
      <c r="X1221" s="117"/>
      <c r="Y1221" s="117"/>
      <c r="DT1221" s="240"/>
      <c r="DU1221" s="240"/>
      <c r="DV1221" s="240"/>
      <c r="DW1221" s="240"/>
      <c r="DX1221" s="240"/>
      <c r="DY1221" s="240"/>
      <c r="DZ1221" s="240"/>
      <c r="EA1221" s="240"/>
      <c r="EB1221" s="237"/>
      <c r="EC1221" s="241"/>
      <c r="ED1221" s="241"/>
      <c r="EE1221" s="241"/>
      <c r="EG1221" s="241"/>
      <c r="EI1221" s="241"/>
      <c r="EK1221" s="241"/>
    </row>
    <row r="1222" spans="1:141" s="121" customFormat="1" x14ac:dyDescent="0.3">
      <c r="A1222" s="124"/>
      <c r="O1222" s="235"/>
      <c r="X1222" s="117"/>
      <c r="Y1222" s="117"/>
      <c r="DT1222" s="240"/>
      <c r="DU1222" s="240"/>
      <c r="DV1222" s="240"/>
      <c r="DW1222" s="240"/>
      <c r="DX1222" s="240"/>
      <c r="DY1222" s="240"/>
      <c r="DZ1222" s="240"/>
      <c r="EA1222" s="240"/>
      <c r="EB1222" s="237"/>
      <c r="EC1222" s="241"/>
      <c r="ED1222" s="241"/>
      <c r="EE1222" s="241"/>
      <c r="EG1222" s="241"/>
      <c r="EI1222" s="241"/>
      <c r="EK1222" s="241"/>
    </row>
    <row r="1223" spans="1:141" s="121" customFormat="1" x14ac:dyDescent="0.3">
      <c r="A1223" s="124"/>
      <c r="O1223" s="235"/>
      <c r="X1223" s="117"/>
      <c r="Y1223" s="117"/>
      <c r="DT1223" s="240"/>
      <c r="DU1223" s="240"/>
      <c r="DV1223" s="240"/>
      <c r="DW1223" s="240"/>
      <c r="DX1223" s="240"/>
      <c r="DY1223" s="240"/>
      <c r="DZ1223" s="240"/>
      <c r="EA1223" s="240"/>
      <c r="EB1223" s="237"/>
      <c r="EC1223" s="241"/>
      <c r="ED1223" s="241"/>
      <c r="EE1223" s="241"/>
      <c r="EG1223" s="241"/>
      <c r="EI1223" s="241"/>
      <c r="EK1223" s="241"/>
    </row>
    <row r="1224" spans="1:141" s="121" customFormat="1" x14ac:dyDescent="0.3">
      <c r="A1224" s="124"/>
      <c r="O1224" s="235"/>
      <c r="X1224" s="117"/>
      <c r="Y1224" s="117"/>
      <c r="DT1224" s="240"/>
      <c r="DU1224" s="240"/>
      <c r="DV1224" s="240"/>
      <c r="DW1224" s="240"/>
      <c r="DX1224" s="240"/>
      <c r="DY1224" s="240"/>
      <c r="DZ1224" s="240"/>
      <c r="EA1224" s="240"/>
      <c r="EB1224" s="237"/>
      <c r="EC1224" s="241"/>
      <c r="ED1224" s="241"/>
      <c r="EE1224" s="241"/>
      <c r="EG1224" s="241"/>
      <c r="EI1224" s="241"/>
      <c r="EK1224" s="241"/>
    </row>
    <row r="1225" spans="1:141" s="121" customFormat="1" x14ac:dyDescent="0.3">
      <c r="A1225" s="124"/>
      <c r="O1225" s="235"/>
      <c r="X1225" s="117"/>
      <c r="Y1225" s="117"/>
      <c r="DT1225" s="240"/>
      <c r="DU1225" s="240"/>
      <c r="DV1225" s="240"/>
      <c r="DW1225" s="240"/>
      <c r="DX1225" s="240"/>
      <c r="DY1225" s="240"/>
      <c r="DZ1225" s="240"/>
      <c r="EA1225" s="240"/>
      <c r="EB1225" s="237"/>
      <c r="EC1225" s="241"/>
      <c r="ED1225" s="241"/>
      <c r="EE1225" s="241"/>
      <c r="EG1225" s="241"/>
      <c r="EI1225" s="241"/>
      <c r="EK1225" s="241"/>
    </row>
    <row r="1226" spans="1:141" s="121" customFormat="1" x14ac:dyDescent="0.3">
      <c r="A1226" s="124"/>
      <c r="O1226" s="235"/>
      <c r="X1226" s="117"/>
      <c r="Y1226" s="117"/>
      <c r="DT1226" s="240"/>
      <c r="DU1226" s="240"/>
      <c r="DV1226" s="240"/>
      <c r="DW1226" s="240"/>
      <c r="DX1226" s="240"/>
      <c r="DY1226" s="240"/>
      <c r="DZ1226" s="240"/>
      <c r="EA1226" s="240"/>
      <c r="EB1226" s="237"/>
      <c r="EC1226" s="241"/>
      <c r="ED1226" s="241"/>
      <c r="EE1226" s="241"/>
      <c r="EG1226" s="241"/>
      <c r="EI1226" s="241"/>
      <c r="EK1226" s="241"/>
    </row>
    <row r="1227" spans="1:141" s="121" customFormat="1" x14ac:dyDescent="0.3">
      <c r="A1227" s="124"/>
      <c r="O1227" s="235"/>
      <c r="X1227" s="117"/>
      <c r="Y1227" s="117"/>
      <c r="DT1227" s="240"/>
      <c r="DU1227" s="240"/>
      <c r="DV1227" s="240"/>
      <c r="DW1227" s="240"/>
      <c r="DX1227" s="240"/>
      <c r="DY1227" s="240"/>
      <c r="DZ1227" s="240"/>
      <c r="EA1227" s="240"/>
      <c r="EB1227" s="237"/>
      <c r="EC1227" s="241"/>
      <c r="ED1227" s="241"/>
      <c r="EE1227" s="241"/>
      <c r="EG1227" s="241"/>
      <c r="EI1227" s="241"/>
      <c r="EK1227" s="241"/>
    </row>
    <row r="1228" spans="1:141" s="121" customFormat="1" x14ac:dyDescent="0.3">
      <c r="A1228" s="124"/>
      <c r="O1228" s="235"/>
      <c r="X1228" s="117"/>
      <c r="Y1228" s="117"/>
      <c r="DT1228" s="240"/>
      <c r="DU1228" s="240"/>
      <c r="DV1228" s="240"/>
      <c r="DW1228" s="240"/>
      <c r="DX1228" s="240"/>
      <c r="DY1228" s="240"/>
      <c r="DZ1228" s="240"/>
      <c r="EA1228" s="240"/>
      <c r="EB1228" s="237"/>
      <c r="EC1228" s="241"/>
      <c r="ED1228" s="241"/>
      <c r="EE1228" s="241"/>
      <c r="EG1228" s="241"/>
      <c r="EI1228" s="241"/>
      <c r="EK1228" s="241"/>
    </row>
    <row r="1229" spans="1:141" s="121" customFormat="1" x14ac:dyDescent="0.3">
      <c r="A1229" s="124"/>
      <c r="O1229" s="235"/>
      <c r="X1229" s="117"/>
      <c r="Y1229" s="117"/>
      <c r="DT1229" s="240"/>
      <c r="DU1229" s="240"/>
      <c r="DV1229" s="240"/>
      <c r="DW1229" s="240"/>
      <c r="DX1229" s="240"/>
      <c r="DY1229" s="240"/>
      <c r="DZ1229" s="240"/>
      <c r="EA1229" s="240"/>
      <c r="EB1229" s="237"/>
      <c r="EC1229" s="241"/>
      <c r="ED1229" s="241"/>
      <c r="EE1229" s="241"/>
      <c r="EG1229" s="241"/>
      <c r="EI1229" s="241"/>
      <c r="EK1229" s="241"/>
    </row>
    <row r="1230" spans="1:141" s="121" customFormat="1" x14ac:dyDescent="0.3">
      <c r="A1230" s="124"/>
      <c r="O1230" s="235"/>
      <c r="X1230" s="117"/>
      <c r="Y1230" s="117"/>
      <c r="DT1230" s="240"/>
      <c r="DU1230" s="240"/>
      <c r="DV1230" s="240"/>
      <c r="DW1230" s="240"/>
      <c r="DX1230" s="240"/>
      <c r="DY1230" s="240"/>
      <c r="DZ1230" s="240"/>
      <c r="EA1230" s="240"/>
      <c r="EB1230" s="237"/>
      <c r="EC1230" s="241"/>
      <c r="ED1230" s="241"/>
      <c r="EE1230" s="241"/>
      <c r="EG1230" s="241"/>
      <c r="EI1230" s="241"/>
      <c r="EK1230" s="241"/>
    </row>
    <row r="1231" spans="1:141" s="121" customFormat="1" x14ac:dyDescent="0.3">
      <c r="A1231" s="124"/>
      <c r="O1231" s="235"/>
      <c r="X1231" s="117"/>
      <c r="Y1231" s="117"/>
      <c r="DT1231" s="240"/>
      <c r="DU1231" s="240"/>
      <c r="DV1231" s="240"/>
      <c r="DW1231" s="240"/>
      <c r="DX1231" s="240"/>
      <c r="DY1231" s="240"/>
      <c r="DZ1231" s="240"/>
      <c r="EA1231" s="240"/>
      <c r="EB1231" s="237"/>
      <c r="EC1231" s="241"/>
      <c r="ED1231" s="241"/>
      <c r="EE1231" s="241"/>
      <c r="EG1231" s="241"/>
      <c r="EI1231" s="241"/>
      <c r="EK1231" s="241"/>
    </row>
    <row r="1232" spans="1:141" s="121" customFormat="1" x14ac:dyDescent="0.3">
      <c r="A1232" s="124"/>
      <c r="O1232" s="235"/>
      <c r="X1232" s="117"/>
      <c r="Y1232" s="117"/>
      <c r="DT1232" s="240"/>
      <c r="DU1232" s="240"/>
      <c r="DV1232" s="240"/>
      <c r="DW1232" s="240"/>
      <c r="DX1232" s="240"/>
      <c r="DY1232" s="240"/>
      <c r="DZ1232" s="240"/>
      <c r="EA1232" s="240"/>
      <c r="EB1232" s="237"/>
      <c r="EC1232" s="241"/>
      <c r="ED1232" s="241"/>
      <c r="EE1232" s="241"/>
      <c r="EG1232" s="241"/>
      <c r="EI1232" s="241"/>
      <c r="EK1232" s="241"/>
    </row>
    <row r="1233" spans="1:141" s="121" customFormat="1" x14ac:dyDescent="0.3">
      <c r="A1233" s="124"/>
      <c r="O1233" s="235"/>
      <c r="X1233" s="117"/>
      <c r="Y1233" s="117"/>
      <c r="DT1233" s="240"/>
      <c r="DU1233" s="240"/>
      <c r="DV1233" s="240"/>
      <c r="DW1233" s="240"/>
      <c r="DX1233" s="240"/>
      <c r="DY1233" s="240"/>
      <c r="DZ1233" s="240"/>
      <c r="EA1233" s="240"/>
      <c r="EB1233" s="237"/>
      <c r="EC1233" s="241"/>
      <c r="ED1233" s="241"/>
      <c r="EE1233" s="241"/>
      <c r="EG1233" s="241"/>
      <c r="EI1233" s="241"/>
      <c r="EK1233" s="241"/>
    </row>
    <row r="1234" spans="1:141" s="121" customFormat="1" x14ac:dyDescent="0.3">
      <c r="A1234" s="124"/>
      <c r="O1234" s="235"/>
      <c r="X1234" s="117"/>
      <c r="Y1234" s="117"/>
      <c r="DT1234" s="240"/>
      <c r="DU1234" s="240"/>
      <c r="DV1234" s="240"/>
      <c r="DW1234" s="240"/>
      <c r="DX1234" s="240"/>
      <c r="DY1234" s="240"/>
      <c r="DZ1234" s="240"/>
      <c r="EA1234" s="240"/>
      <c r="EB1234" s="237"/>
      <c r="EC1234" s="241"/>
      <c r="ED1234" s="241"/>
      <c r="EE1234" s="241"/>
      <c r="EG1234" s="241"/>
      <c r="EI1234" s="241"/>
      <c r="EK1234" s="241"/>
    </row>
    <row r="1235" spans="1:141" s="121" customFormat="1" x14ac:dyDescent="0.3">
      <c r="A1235" s="124"/>
      <c r="O1235" s="235"/>
      <c r="X1235" s="117"/>
      <c r="Y1235" s="117"/>
      <c r="DT1235" s="240"/>
      <c r="DU1235" s="240"/>
      <c r="DV1235" s="240"/>
      <c r="DW1235" s="240"/>
      <c r="DX1235" s="240"/>
      <c r="DY1235" s="240"/>
      <c r="DZ1235" s="240"/>
      <c r="EA1235" s="240"/>
      <c r="EB1235" s="237"/>
      <c r="EC1235" s="241"/>
      <c r="ED1235" s="241"/>
      <c r="EE1235" s="241"/>
      <c r="EG1235" s="241"/>
      <c r="EI1235" s="241"/>
      <c r="EK1235" s="241"/>
    </row>
    <row r="1236" spans="1:141" s="121" customFormat="1" x14ac:dyDescent="0.3">
      <c r="A1236" s="124"/>
      <c r="O1236" s="235"/>
      <c r="X1236" s="117"/>
      <c r="Y1236" s="117"/>
      <c r="DT1236" s="240"/>
      <c r="DU1236" s="240"/>
      <c r="DV1236" s="240"/>
      <c r="DW1236" s="240"/>
      <c r="DX1236" s="240"/>
      <c r="DY1236" s="240"/>
      <c r="DZ1236" s="240"/>
      <c r="EA1236" s="240"/>
      <c r="EB1236" s="237"/>
      <c r="EC1236" s="241"/>
      <c r="ED1236" s="241"/>
      <c r="EE1236" s="241"/>
      <c r="EG1236" s="241"/>
      <c r="EI1236" s="241"/>
      <c r="EK1236" s="241"/>
    </row>
    <row r="1237" spans="1:141" s="121" customFormat="1" x14ac:dyDescent="0.3">
      <c r="A1237" s="124"/>
      <c r="O1237" s="235"/>
      <c r="X1237" s="117"/>
      <c r="Y1237" s="117"/>
      <c r="DT1237" s="240"/>
      <c r="DU1237" s="240"/>
      <c r="DV1237" s="240"/>
      <c r="DW1237" s="240"/>
      <c r="DX1237" s="240"/>
      <c r="DY1237" s="240"/>
      <c r="DZ1237" s="240"/>
      <c r="EA1237" s="240"/>
      <c r="EB1237" s="237"/>
      <c r="EC1237" s="241"/>
      <c r="ED1237" s="241"/>
      <c r="EE1237" s="241"/>
      <c r="EG1237" s="241"/>
      <c r="EI1237" s="241"/>
      <c r="EK1237" s="241"/>
    </row>
    <row r="1238" spans="1:141" s="121" customFormat="1" x14ac:dyDescent="0.3">
      <c r="A1238" s="124"/>
      <c r="O1238" s="235"/>
      <c r="X1238" s="117"/>
      <c r="Y1238" s="117"/>
      <c r="DT1238" s="240"/>
      <c r="DU1238" s="240"/>
      <c r="DV1238" s="240"/>
      <c r="DW1238" s="240"/>
      <c r="DX1238" s="240"/>
      <c r="DY1238" s="240"/>
      <c r="DZ1238" s="240"/>
      <c r="EA1238" s="240"/>
      <c r="EB1238" s="237"/>
      <c r="EC1238" s="241"/>
      <c r="ED1238" s="241"/>
      <c r="EE1238" s="241"/>
      <c r="EG1238" s="241"/>
      <c r="EI1238" s="241"/>
      <c r="EK1238" s="241"/>
    </row>
    <row r="1239" spans="1:141" s="121" customFormat="1" x14ac:dyDescent="0.3">
      <c r="A1239" s="124"/>
      <c r="O1239" s="235"/>
      <c r="X1239" s="117"/>
      <c r="Y1239" s="117"/>
      <c r="DT1239" s="240"/>
      <c r="DU1239" s="240"/>
      <c r="DV1239" s="240"/>
      <c r="DW1239" s="240"/>
      <c r="DX1239" s="240"/>
      <c r="DY1239" s="240"/>
      <c r="DZ1239" s="240"/>
      <c r="EA1239" s="240"/>
      <c r="EB1239" s="237"/>
      <c r="EC1239" s="241"/>
      <c r="ED1239" s="241"/>
      <c r="EE1239" s="241"/>
      <c r="EG1239" s="241"/>
      <c r="EI1239" s="241"/>
      <c r="EK1239" s="241"/>
    </row>
    <row r="1240" spans="1:141" s="121" customFormat="1" x14ac:dyDescent="0.3">
      <c r="A1240" s="124"/>
      <c r="O1240" s="235"/>
      <c r="X1240" s="117"/>
      <c r="Y1240" s="117"/>
      <c r="DT1240" s="240"/>
      <c r="DU1240" s="240"/>
      <c r="DV1240" s="240"/>
      <c r="DW1240" s="240"/>
      <c r="DX1240" s="240"/>
      <c r="DY1240" s="240"/>
      <c r="DZ1240" s="240"/>
      <c r="EA1240" s="240"/>
      <c r="EB1240" s="237"/>
      <c r="EC1240" s="241"/>
      <c r="ED1240" s="241"/>
      <c r="EE1240" s="241"/>
      <c r="EG1240" s="241"/>
      <c r="EI1240" s="241"/>
      <c r="EK1240" s="241"/>
    </row>
    <row r="1241" spans="1:141" s="121" customFormat="1" x14ac:dyDescent="0.3">
      <c r="A1241" s="124"/>
      <c r="O1241" s="235"/>
      <c r="X1241" s="117"/>
      <c r="Y1241" s="117"/>
      <c r="DT1241" s="240"/>
      <c r="DU1241" s="240"/>
      <c r="DV1241" s="240"/>
      <c r="DW1241" s="240"/>
      <c r="DX1241" s="240"/>
      <c r="DY1241" s="240"/>
      <c r="DZ1241" s="240"/>
      <c r="EA1241" s="240"/>
      <c r="EB1241" s="237"/>
      <c r="EC1241" s="241"/>
      <c r="ED1241" s="241"/>
      <c r="EE1241" s="241"/>
      <c r="EG1241" s="241"/>
      <c r="EI1241" s="241"/>
      <c r="EK1241" s="241"/>
    </row>
    <row r="1242" spans="1:141" s="121" customFormat="1" x14ac:dyDescent="0.3">
      <c r="A1242" s="124"/>
      <c r="O1242" s="235"/>
      <c r="X1242" s="117"/>
      <c r="Y1242" s="117"/>
      <c r="DT1242" s="240"/>
      <c r="DU1242" s="240"/>
      <c r="DV1242" s="240"/>
      <c r="DW1242" s="240"/>
      <c r="DX1242" s="240"/>
      <c r="DY1242" s="240"/>
      <c r="DZ1242" s="240"/>
      <c r="EA1242" s="240"/>
      <c r="EB1242" s="237"/>
      <c r="EC1242" s="241"/>
      <c r="ED1242" s="241"/>
      <c r="EE1242" s="241"/>
      <c r="EG1242" s="241"/>
      <c r="EI1242" s="241"/>
      <c r="EK1242" s="241"/>
    </row>
    <row r="1243" spans="1:141" s="121" customFormat="1" x14ac:dyDescent="0.3">
      <c r="A1243" s="124"/>
      <c r="O1243" s="235"/>
      <c r="X1243" s="117"/>
      <c r="Y1243" s="117"/>
      <c r="DT1243" s="240"/>
      <c r="DU1243" s="240"/>
      <c r="DV1243" s="240"/>
      <c r="DW1243" s="240"/>
      <c r="DX1243" s="240"/>
      <c r="DY1243" s="240"/>
      <c r="DZ1243" s="240"/>
      <c r="EA1243" s="240"/>
      <c r="EB1243" s="237"/>
      <c r="EC1243" s="241"/>
      <c r="ED1243" s="241"/>
      <c r="EE1243" s="241"/>
      <c r="EG1243" s="241"/>
      <c r="EI1243" s="241"/>
      <c r="EK1243" s="241"/>
    </row>
    <row r="1244" spans="1:141" s="121" customFormat="1" x14ac:dyDescent="0.3">
      <c r="A1244" s="124"/>
      <c r="O1244" s="235"/>
      <c r="X1244" s="117"/>
      <c r="Y1244" s="117"/>
      <c r="DT1244" s="240"/>
      <c r="DU1244" s="240"/>
      <c r="DV1244" s="240"/>
      <c r="DW1244" s="240"/>
      <c r="DX1244" s="240"/>
      <c r="DY1244" s="240"/>
      <c r="DZ1244" s="240"/>
      <c r="EA1244" s="240"/>
      <c r="EB1244" s="237"/>
      <c r="EC1244" s="241"/>
      <c r="ED1244" s="241"/>
      <c r="EE1244" s="241"/>
      <c r="EG1244" s="241"/>
      <c r="EI1244" s="241"/>
      <c r="EK1244" s="241"/>
    </row>
    <row r="1245" spans="1:141" s="121" customFormat="1" x14ac:dyDescent="0.3">
      <c r="A1245" s="124"/>
      <c r="O1245" s="235"/>
      <c r="X1245" s="117"/>
      <c r="Y1245" s="117"/>
      <c r="DT1245" s="240"/>
      <c r="DU1245" s="240"/>
      <c r="DV1245" s="240"/>
      <c r="DW1245" s="240"/>
      <c r="DX1245" s="240"/>
      <c r="DY1245" s="240"/>
      <c r="DZ1245" s="240"/>
      <c r="EA1245" s="240"/>
      <c r="EB1245" s="237"/>
      <c r="EC1245" s="241"/>
      <c r="ED1245" s="241"/>
      <c r="EE1245" s="241"/>
      <c r="EG1245" s="241"/>
      <c r="EI1245" s="241"/>
      <c r="EK1245" s="241"/>
    </row>
    <row r="1246" spans="1:141" s="121" customFormat="1" x14ac:dyDescent="0.3">
      <c r="A1246" s="124"/>
      <c r="O1246" s="235"/>
      <c r="X1246" s="117"/>
      <c r="Y1246" s="117"/>
      <c r="DT1246" s="240"/>
      <c r="DU1246" s="240"/>
      <c r="DV1246" s="240"/>
      <c r="DW1246" s="240"/>
      <c r="DX1246" s="240"/>
      <c r="DY1246" s="240"/>
      <c r="DZ1246" s="240"/>
      <c r="EA1246" s="240"/>
      <c r="EB1246" s="237"/>
      <c r="EC1246" s="241"/>
      <c r="ED1246" s="241"/>
      <c r="EE1246" s="241"/>
      <c r="EG1246" s="241"/>
      <c r="EI1246" s="241"/>
      <c r="EK1246" s="241"/>
    </row>
    <row r="1247" spans="1:141" s="121" customFormat="1" x14ac:dyDescent="0.3">
      <c r="A1247" s="124"/>
      <c r="O1247" s="235"/>
      <c r="X1247" s="117"/>
      <c r="Y1247" s="117"/>
      <c r="DT1247" s="240"/>
      <c r="DU1247" s="240"/>
      <c r="DV1247" s="240"/>
      <c r="DW1247" s="240"/>
      <c r="DX1247" s="240"/>
      <c r="DY1247" s="240"/>
      <c r="DZ1247" s="240"/>
      <c r="EA1247" s="240"/>
      <c r="EB1247" s="237"/>
      <c r="EC1247" s="241"/>
      <c r="ED1247" s="241"/>
      <c r="EE1247" s="241"/>
      <c r="EG1247" s="241"/>
      <c r="EI1247" s="241"/>
      <c r="EK1247" s="241"/>
    </row>
    <row r="1248" spans="1:141" s="121" customFormat="1" x14ac:dyDescent="0.3">
      <c r="A1248" s="124"/>
      <c r="O1248" s="235"/>
      <c r="X1248" s="117"/>
      <c r="Y1248" s="117"/>
      <c r="DT1248" s="240"/>
      <c r="DU1248" s="240"/>
      <c r="DV1248" s="240"/>
      <c r="DW1248" s="240"/>
      <c r="DX1248" s="240"/>
      <c r="DY1248" s="240"/>
      <c r="DZ1248" s="240"/>
      <c r="EA1248" s="240"/>
      <c r="EB1248" s="237"/>
      <c r="EC1248" s="241"/>
      <c r="ED1248" s="241"/>
      <c r="EE1248" s="241"/>
      <c r="EG1248" s="241"/>
      <c r="EI1248" s="241"/>
      <c r="EK1248" s="241"/>
    </row>
    <row r="1249" spans="1:141" s="121" customFormat="1" x14ac:dyDescent="0.3">
      <c r="A1249" s="124"/>
      <c r="O1249" s="235"/>
      <c r="X1249" s="117"/>
      <c r="Y1249" s="117"/>
      <c r="DT1249" s="240"/>
      <c r="DU1249" s="240"/>
      <c r="DV1249" s="240"/>
      <c r="DW1249" s="240"/>
      <c r="DX1249" s="240"/>
      <c r="DY1249" s="240"/>
      <c r="DZ1249" s="240"/>
      <c r="EA1249" s="240"/>
      <c r="EB1249" s="237"/>
      <c r="EC1249" s="241"/>
      <c r="ED1249" s="241"/>
      <c r="EE1249" s="241"/>
      <c r="EG1249" s="241"/>
      <c r="EI1249" s="241"/>
      <c r="EK1249" s="241"/>
    </row>
    <row r="1250" spans="1:141" s="121" customFormat="1" x14ac:dyDescent="0.3">
      <c r="A1250" s="124"/>
      <c r="O1250" s="235"/>
      <c r="X1250" s="117"/>
      <c r="Y1250" s="117"/>
      <c r="DT1250" s="240"/>
      <c r="DU1250" s="240"/>
      <c r="DV1250" s="240"/>
      <c r="DW1250" s="240"/>
      <c r="DX1250" s="240"/>
      <c r="DY1250" s="240"/>
      <c r="DZ1250" s="240"/>
      <c r="EA1250" s="240"/>
      <c r="EB1250" s="237"/>
      <c r="EC1250" s="241"/>
      <c r="ED1250" s="241"/>
      <c r="EE1250" s="241"/>
      <c r="EG1250" s="241"/>
      <c r="EI1250" s="241"/>
      <c r="EK1250" s="241"/>
    </row>
    <row r="1251" spans="1:141" s="121" customFormat="1" x14ac:dyDescent="0.3">
      <c r="A1251" s="124"/>
      <c r="O1251" s="235"/>
      <c r="X1251" s="117"/>
      <c r="Y1251" s="117"/>
      <c r="DT1251" s="240"/>
      <c r="DU1251" s="240"/>
      <c r="DV1251" s="240"/>
      <c r="DW1251" s="240"/>
      <c r="DX1251" s="240"/>
      <c r="DY1251" s="240"/>
      <c r="DZ1251" s="240"/>
      <c r="EA1251" s="240"/>
      <c r="EB1251" s="237"/>
      <c r="EC1251" s="241"/>
      <c r="ED1251" s="241"/>
      <c r="EE1251" s="241"/>
      <c r="EG1251" s="241"/>
      <c r="EI1251" s="241"/>
      <c r="EK1251" s="241"/>
    </row>
    <row r="1252" spans="1:141" s="121" customFormat="1" x14ac:dyDescent="0.3">
      <c r="A1252" s="124"/>
      <c r="O1252" s="235"/>
      <c r="X1252" s="117"/>
      <c r="Y1252" s="117"/>
      <c r="DT1252" s="240"/>
      <c r="DU1252" s="240"/>
      <c r="DV1252" s="240"/>
      <c r="DW1252" s="240"/>
      <c r="DX1252" s="240"/>
      <c r="DY1252" s="240"/>
      <c r="DZ1252" s="240"/>
      <c r="EA1252" s="240"/>
      <c r="EB1252" s="237"/>
      <c r="EC1252" s="241"/>
      <c r="ED1252" s="241"/>
      <c r="EE1252" s="241"/>
      <c r="EG1252" s="241"/>
      <c r="EI1252" s="241"/>
      <c r="EK1252" s="241"/>
    </row>
    <row r="1253" spans="1:141" s="121" customFormat="1" x14ac:dyDescent="0.3">
      <c r="A1253" s="124"/>
      <c r="O1253" s="235"/>
      <c r="X1253" s="117"/>
      <c r="Y1253" s="117"/>
      <c r="DT1253" s="240"/>
      <c r="DU1253" s="240"/>
      <c r="DV1253" s="240"/>
      <c r="DW1253" s="240"/>
      <c r="DX1253" s="240"/>
      <c r="DY1253" s="240"/>
      <c r="DZ1253" s="240"/>
      <c r="EA1253" s="240"/>
      <c r="EB1253" s="237"/>
      <c r="EC1253" s="241"/>
      <c r="ED1253" s="241"/>
      <c r="EE1253" s="241"/>
      <c r="EG1253" s="241"/>
      <c r="EI1253" s="241"/>
      <c r="EK1253" s="241"/>
    </row>
    <row r="1254" spans="1:141" s="121" customFormat="1" x14ac:dyDescent="0.3">
      <c r="A1254" s="124"/>
      <c r="O1254" s="235"/>
      <c r="X1254" s="117"/>
      <c r="Y1254" s="117"/>
      <c r="DT1254" s="240"/>
      <c r="DU1254" s="240"/>
      <c r="DV1254" s="240"/>
      <c r="DW1254" s="240"/>
      <c r="DX1254" s="240"/>
      <c r="DY1254" s="240"/>
      <c r="DZ1254" s="240"/>
      <c r="EA1254" s="240"/>
      <c r="EB1254" s="237"/>
      <c r="EC1254" s="241"/>
      <c r="ED1254" s="241"/>
      <c r="EE1254" s="241"/>
      <c r="EG1254" s="241"/>
      <c r="EI1254" s="241"/>
      <c r="EK1254" s="241"/>
    </row>
    <row r="1255" spans="1:141" s="121" customFormat="1" x14ac:dyDescent="0.3">
      <c r="A1255" s="124"/>
      <c r="O1255" s="235"/>
      <c r="X1255" s="117"/>
      <c r="Y1255" s="117"/>
      <c r="DT1255" s="240"/>
      <c r="DU1255" s="240"/>
      <c r="DV1255" s="240"/>
      <c r="DW1255" s="240"/>
      <c r="DX1255" s="240"/>
      <c r="DY1255" s="240"/>
      <c r="DZ1255" s="240"/>
      <c r="EA1255" s="240"/>
      <c r="EB1255" s="237"/>
      <c r="EC1255" s="241"/>
      <c r="ED1255" s="241"/>
      <c r="EE1255" s="241"/>
      <c r="EG1255" s="241"/>
      <c r="EI1255" s="241"/>
      <c r="EK1255" s="241"/>
    </row>
    <row r="1256" spans="1:141" s="121" customFormat="1" x14ac:dyDescent="0.3">
      <c r="A1256" s="124"/>
      <c r="O1256" s="235"/>
      <c r="X1256" s="117"/>
      <c r="Y1256" s="117"/>
      <c r="DT1256" s="240"/>
      <c r="DU1256" s="240"/>
      <c r="DV1256" s="240"/>
      <c r="DW1256" s="240"/>
      <c r="DX1256" s="240"/>
      <c r="DY1256" s="240"/>
      <c r="DZ1256" s="240"/>
      <c r="EA1256" s="240"/>
      <c r="EB1256" s="237"/>
      <c r="EC1256" s="241"/>
      <c r="ED1256" s="241"/>
      <c r="EE1256" s="241"/>
      <c r="EG1256" s="241"/>
      <c r="EI1256" s="241"/>
      <c r="EK1256" s="241"/>
    </row>
    <row r="1257" spans="1:141" s="121" customFormat="1" x14ac:dyDescent="0.3">
      <c r="A1257" s="124"/>
      <c r="O1257" s="235"/>
      <c r="X1257" s="117"/>
      <c r="Y1257" s="117"/>
      <c r="DT1257" s="240"/>
      <c r="DU1257" s="240"/>
      <c r="DV1257" s="240"/>
      <c r="DW1257" s="240"/>
      <c r="DX1257" s="240"/>
      <c r="DY1257" s="240"/>
      <c r="DZ1257" s="240"/>
      <c r="EA1257" s="240"/>
      <c r="EB1257" s="237"/>
      <c r="EC1257" s="241"/>
      <c r="ED1257" s="241"/>
      <c r="EE1257" s="241"/>
      <c r="EG1257" s="241"/>
      <c r="EI1257" s="241"/>
      <c r="EK1257" s="241"/>
    </row>
    <row r="1258" spans="1:141" s="121" customFormat="1" x14ac:dyDescent="0.3">
      <c r="A1258" s="124"/>
      <c r="O1258" s="235"/>
      <c r="X1258" s="117"/>
      <c r="Y1258" s="117"/>
      <c r="DT1258" s="240"/>
      <c r="DU1258" s="240"/>
      <c r="DV1258" s="240"/>
      <c r="DW1258" s="240"/>
      <c r="DX1258" s="240"/>
      <c r="DY1258" s="240"/>
      <c r="DZ1258" s="240"/>
      <c r="EA1258" s="240"/>
      <c r="EB1258" s="237"/>
      <c r="EC1258" s="241"/>
      <c r="ED1258" s="241"/>
      <c r="EE1258" s="241"/>
      <c r="EG1258" s="241"/>
      <c r="EI1258" s="241"/>
      <c r="EK1258" s="241"/>
    </row>
    <row r="1259" spans="1:141" s="121" customFormat="1" x14ac:dyDescent="0.3">
      <c r="A1259" s="124"/>
      <c r="O1259" s="235"/>
      <c r="X1259" s="117"/>
      <c r="Y1259" s="117"/>
      <c r="DT1259" s="240"/>
      <c r="DU1259" s="240"/>
      <c r="DV1259" s="240"/>
      <c r="DW1259" s="240"/>
      <c r="DX1259" s="240"/>
      <c r="DY1259" s="240"/>
      <c r="DZ1259" s="240"/>
      <c r="EA1259" s="240"/>
      <c r="EB1259" s="237"/>
      <c r="EC1259" s="241"/>
      <c r="ED1259" s="241"/>
      <c r="EE1259" s="241"/>
      <c r="EG1259" s="241"/>
      <c r="EI1259" s="241"/>
      <c r="EK1259" s="241"/>
    </row>
    <row r="1260" spans="1:141" s="121" customFormat="1" x14ac:dyDescent="0.3">
      <c r="A1260" s="124"/>
      <c r="O1260" s="235"/>
      <c r="X1260" s="117"/>
      <c r="Y1260" s="117"/>
      <c r="DT1260" s="240"/>
      <c r="DU1260" s="240"/>
      <c r="DV1260" s="240"/>
      <c r="DW1260" s="240"/>
      <c r="DX1260" s="240"/>
      <c r="DY1260" s="240"/>
      <c r="DZ1260" s="240"/>
      <c r="EA1260" s="240"/>
      <c r="EB1260" s="237"/>
      <c r="EC1260" s="241"/>
      <c r="ED1260" s="241"/>
      <c r="EE1260" s="241"/>
      <c r="EG1260" s="241"/>
      <c r="EI1260" s="241"/>
      <c r="EK1260" s="241"/>
    </row>
    <row r="1261" spans="1:141" s="121" customFormat="1" x14ac:dyDescent="0.3">
      <c r="A1261" s="124"/>
      <c r="O1261" s="235"/>
      <c r="X1261" s="117"/>
      <c r="Y1261" s="117"/>
      <c r="DT1261" s="240"/>
      <c r="DU1261" s="240"/>
      <c r="DV1261" s="240"/>
      <c r="DW1261" s="240"/>
      <c r="DX1261" s="240"/>
      <c r="DY1261" s="240"/>
      <c r="DZ1261" s="240"/>
      <c r="EA1261" s="240"/>
      <c r="EB1261" s="237"/>
      <c r="EC1261" s="241"/>
      <c r="ED1261" s="241"/>
      <c r="EE1261" s="241"/>
      <c r="EG1261" s="241"/>
      <c r="EI1261" s="241"/>
      <c r="EK1261" s="241"/>
    </row>
    <row r="1262" spans="1:141" s="121" customFormat="1" x14ac:dyDescent="0.3">
      <c r="A1262" s="124"/>
      <c r="O1262" s="235"/>
      <c r="X1262" s="117"/>
      <c r="Y1262" s="117"/>
      <c r="DT1262" s="240"/>
      <c r="DU1262" s="240"/>
      <c r="DV1262" s="240"/>
      <c r="DW1262" s="240"/>
      <c r="DX1262" s="240"/>
      <c r="DY1262" s="240"/>
      <c r="DZ1262" s="240"/>
      <c r="EA1262" s="240"/>
      <c r="EB1262" s="237"/>
      <c r="EC1262" s="241"/>
      <c r="ED1262" s="241"/>
      <c r="EE1262" s="241"/>
      <c r="EG1262" s="241"/>
      <c r="EI1262" s="241"/>
      <c r="EK1262" s="241"/>
    </row>
    <row r="1263" spans="1:141" s="121" customFormat="1" x14ac:dyDescent="0.3">
      <c r="A1263" s="124"/>
      <c r="O1263" s="235"/>
      <c r="X1263" s="117"/>
      <c r="Y1263" s="117"/>
      <c r="DT1263" s="240"/>
      <c r="DU1263" s="240"/>
      <c r="DV1263" s="240"/>
      <c r="DW1263" s="240"/>
      <c r="DX1263" s="240"/>
      <c r="DY1263" s="240"/>
      <c r="DZ1263" s="240"/>
      <c r="EA1263" s="240"/>
      <c r="EB1263" s="237"/>
      <c r="EC1263" s="241"/>
      <c r="ED1263" s="241"/>
      <c r="EE1263" s="241"/>
      <c r="EG1263" s="241"/>
      <c r="EI1263" s="241"/>
      <c r="EK1263" s="241"/>
    </row>
    <row r="1264" spans="1:141" s="121" customFormat="1" x14ac:dyDescent="0.3">
      <c r="A1264" s="124"/>
      <c r="O1264" s="235"/>
      <c r="X1264" s="117"/>
      <c r="Y1264" s="117"/>
      <c r="DT1264" s="240"/>
      <c r="DU1264" s="240"/>
      <c r="DV1264" s="240"/>
      <c r="DW1264" s="240"/>
      <c r="DX1264" s="240"/>
      <c r="DY1264" s="240"/>
      <c r="DZ1264" s="240"/>
      <c r="EA1264" s="240"/>
      <c r="EB1264" s="237"/>
      <c r="EC1264" s="241"/>
      <c r="ED1264" s="241"/>
      <c r="EE1264" s="241"/>
      <c r="EG1264" s="241"/>
      <c r="EI1264" s="241"/>
      <c r="EK1264" s="241"/>
    </row>
    <row r="1265" spans="1:141" s="121" customFormat="1" x14ac:dyDescent="0.3">
      <c r="A1265" s="124"/>
      <c r="O1265" s="235"/>
      <c r="X1265" s="117"/>
      <c r="Y1265" s="117"/>
      <c r="DT1265" s="240"/>
      <c r="DU1265" s="240"/>
      <c r="DV1265" s="240"/>
      <c r="DW1265" s="240"/>
      <c r="DX1265" s="240"/>
      <c r="DY1265" s="240"/>
      <c r="DZ1265" s="240"/>
      <c r="EA1265" s="240"/>
      <c r="EB1265" s="237"/>
      <c r="EC1265" s="241"/>
      <c r="ED1265" s="241"/>
      <c r="EE1265" s="241"/>
      <c r="EG1265" s="241"/>
      <c r="EI1265" s="241"/>
      <c r="EK1265" s="241"/>
    </row>
    <row r="1266" spans="1:141" s="121" customFormat="1" x14ac:dyDescent="0.3">
      <c r="A1266" s="124"/>
      <c r="O1266" s="235"/>
      <c r="X1266" s="117"/>
      <c r="Y1266" s="117"/>
      <c r="DT1266" s="240"/>
      <c r="DU1266" s="240"/>
      <c r="DV1266" s="240"/>
      <c r="DW1266" s="240"/>
      <c r="DX1266" s="240"/>
      <c r="DY1266" s="240"/>
      <c r="DZ1266" s="240"/>
      <c r="EA1266" s="240"/>
      <c r="EB1266" s="237"/>
      <c r="EC1266" s="241"/>
      <c r="ED1266" s="241"/>
      <c r="EE1266" s="241"/>
      <c r="EG1266" s="241"/>
      <c r="EI1266" s="241"/>
      <c r="EK1266" s="241"/>
    </row>
    <row r="1267" spans="1:141" s="121" customFormat="1" x14ac:dyDescent="0.3">
      <c r="A1267" s="124"/>
      <c r="O1267" s="235"/>
      <c r="X1267" s="117"/>
      <c r="Y1267" s="117"/>
      <c r="DT1267" s="240"/>
      <c r="DU1267" s="240"/>
      <c r="DV1267" s="240"/>
      <c r="DW1267" s="240"/>
      <c r="DX1267" s="240"/>
      <c r="DY1267" s="240"/>
      <c r="DZ1267" s="240"/>
      <c r="EA1267" s="240"/>
      <c r="EB1267" s="237"/>
      <c r="EC1267" s="241"/>
      <c r="ED1267" s="241"/>
      <c r="EE1267" s="241"/>
      <c r="EG1267" s="241"/>
      <c r="EI1267" s="241"/>
      <c r="EK1267" s="241"/>
    </row>
    <row r="1268" spans="1:141" s="121" customFormat="1" x14ac:dyDescent="0.3">
      <c r="A1268" s="124"/>
      <c r="O1268" s="235"/>
      <c r="X1268" s="117"/>
      <c r="Y1268" s="117"/>
      <c r="DT1268" s="240"/>
      <c r="DU1268" s="240"/>
      <c r="DV1268" s="240"/>
      <c r="DW1268" s="240"/>
      <c r="DX1268" s="240"/>
      <c r="DY1268" s="240"/>
      <c r="DZ1268" s="240"/>
      <c r="EA1268" s="240"/>
      <c r="EB1268" s="237"/>
      <c r="EC1268" s="241"/>
      <c r="ED1268" s="241"/>
      <c r="EE1268" s="241"/>
      <c r="EG1268" s="241"/>
      <c r="EI1268" s="241"/>
      <c r="EK1268" s="241"/>
    </row>
    <row r="1269" spans="1:141" s="121" customFormat="1" x14ac:dyDescent="0.3">
      <c r="A1269" s="124"/>
      <c r="O1269" s="235"/>
      <c r="X1269" s="117"/>
      <c r="Y1269" s="117"/>
      <c r="DT1269" s="240"/>
      <c r="DU1269" s="240"/>
      <c r="DV1269" s="240"/>
      <c r="DW1269" s="240"/>
      <c r="DX1269" s="240"/>
      <c r="DY1269" s="240"/>
      <c r="DZ1269" s="240"/>
      <c r="EA1269" s="240"/>
      <c r="EB1269" s="237"/>
      <c r="EC1269" s="241"/>
      <c r="ED1269" s="241"/>
      <c r="EE1269" s="241"/>
      <c r="EG1269" s="241"/>
      <c r="EI1269" s="241"/>
      <c r="EK1269" s="241"/>
    </row>
    <row r="1270" spans="1:141" s="121" customFormat="1" x14ac:dyDescent="0.3">
      <c r="A1270" s="124"/>
      <c r="O1270" s="235"/>
      <c r="X1270" s="117"/>
      <c r="Y1270" s="117"/>
      <c r="DT1270" s="240"/>
      <c r="DU1270" s="240"/>
      <c r="DV1270" s="240"/>
      <c r="DW1270" s="240"/>
      <c r="DX1270" s="240"/>
      <c r="DY1270" s="240"/>
      <c r="DZ1270" s="240"/>
      <c r="EA1270" s="240"/>
      <c r="EB1270" s="237"/>
      <c r="EC1270" s="241"/>
      <c r="ED1270" s="241"/>
      <c r="EE1270" s="241"/>
      <c r="EG1270" s="241"/>
      <c r="EI1270" s="241"/>
      <c r="EK1270" s="241"/>
    </row>
    <row r="1271" spans="1:141" s="121" customFormat="1" x14ac:dyDescent="0.3">
      <c r="A1271" s="124"/>
      <c r="O1271" s="235"/>
      <c r="X1271" s="117"/>
      <c r="Y1271" s="117"/>
      <c r="DT1271" s="240"/>
      <c r="DU1271" s="240"/>
      <c r="DV1271" s="240"/>
      <c r="DW1271" s="240"/>
      <c r="DX1271" s="240"/>
      <c r="DY1271" s="240"/>
      <c r="DZ1271" s="240"/>
      <c r="EA1271" s="240"/>
      <c r="EB1271" s="237"/>
      <c r="EC1271" s="241"/>
      <c r="ED1271" s="241"/>
      <c r="EE1271" s="241"/>
      <c r="EG1271" s="241"/>
      <c r="EI1271" s="241"/>
      <c r="EK1271" s="241"/>
    </row>
    <row r="1272" spans="1:141" s="121" customFormat="1" x14ac:dyDescent="0.3">
      <c r="A1272" s="124"/>
      <c r="O1272" s="235"/>
      <c r="X1272" s="117"/>
      <c r="Y1272" s="117"/>
      <c r="DT1272" s="240"/>
      <c r="DU1272" s="240"/>
      <c r="DV1272" s="240"/>
      <c r="DW1272" s="240"/>
      <c r="DX1272" s="240"/>
      <c r="DY1272" s="240"/>
      <c r="DZ1272" s="240"/>
      <c r="EA1272" s="240"/>
      <c r="EB1272" s="237"/>
      <c r="EC1272" s="241"/>
      <c r="ED1272" s="241"/>
      <c r="EE1272" s="241"/>
      <c r="EG1272" s="241"/>
      <c r="EI1272" s="241"/>
      <c r="EK1272" s="241"/>
    </row>
    <row r="1273" spans="1:141" s="121" customFormat="1" x14ac:dyDescent="0.3">
      <c r="A1273" s="124"/>
      <c r="O1273" s="235"/>
      <c r="X1273" s="117"/>
      <c r="Y1273" s="117"/>
      <c r="DT1273" s="240"/>
      <c r="DU1273" s="240"/>
      <c r="DV1273" s="240"/>
      <c r="DW1273" s="240"/>
      <c r="DX1273" s="240"/>
      <c r="DY1273" s="240"/>
      <c r="DZ1273" s="240"/>
      <c r="EA1273" s="240"/>
      <c r="EB1273" s="237"/>
      <c r="EC1273" s="241"/>
      <c r="ED1273" s="241"/>
      <c r="EE1273" s="241"/>
      <c r="EG1273" s="241"/>
      <c r="EI1273" s="241"/>
      <c r="EK1273" s="241"/>
    </row>
    <row r="1274" spans="1:141" s="121" customFormat="1" x14ac:dyDescent="0.3">
      <c r="A1274" s="124"/>
      <c r="O1274" s="235"/>
      <c r="X1274" s="117"/>
      <c r="Y1274" s="117"/>
      <c r="DT1274" s="240"/>
      <c r="DU1274" s="240"/>
      <c r="DV1274" s="240"/>
      <c r="DW1274" s="240"/>
      <c r="DX1274" s="240"/>
      <c r="DY1274" s="240"/>
      <c r="DZ1274" s="240"/>
      <c r="EA1274" s="240"/>
      <c r="EB1274" s="237"/>
      <c r="EC1274" s="241"/>
      <c r="ED1274" s="241"/>
      <c r="EE1274" s="241"/>
      <c r="EG1274" s="241"/>
      <c r="EI1274" s="241"/>
      <c r="EK1274" s="241"/>
    </row>
    <row r="1275" spans="1:141" s="121" customFormat="1" x14ac:dyDescent="0.3">
      <c r="A1275" s="124"/>
      <c r="O1275" s="235"/>
      <c r="X1275" s="117"/>
      <c r="Y1275" s="117"/>
      <c r="DT1275" s="240"/>
      <c r="DU1275" s="240"/>
      <c r="DV1275" s="240"/>
      <c r="DW1275" s="240"/>
      <c r="DX1275" s="240"/>
      <c r="DY1275" s="240"/>
      <c r="DZ1275" s="240"/>
      <c r="EA1275" s="240"/>
      <c r="EB1275" s="237"/>
      <c r="EC1275" s="241"/>
      <c r="ED1275" s="241"/>
      <c r="EE1275" s="241"/>
      <c r="EG1275" s="241"/>
      <c r="EI1275" s="241"/>
      <c r="EK1275" s="241"/>
    </row>
    <row r="1276" spans="1:141" s="121" customFormat="1" x14ac:dyDescent="0.3">
      <c r="A1276" s="124"/>
      <c r="O1276" s="235"/>
      <c r="X1276" s="117"/>
      <c r="Y1276" s="117"/>
      <c r="DT1276" s="240"/>
      <c r="DU1276" s="240"/>
      <c r="DV1276" s="240"/>
      <c r="DW1276" s="240"/>
      <c r="DX1276" s="240"/>
      <c r="DY1276" s="240"/>
      <c r="DZ1276" s="240"/>
      <c r="EA1276" s="240"/>
      <c r="EB1276" s="237"/>
      <c r="EC1276" s="241"/>
      <c r="ED1276" s="241"/>
      <c r="EE1276" s="241"/>
      <c r="EG1276" s="241"/>
      <c r="EI1276" s="241"/>
      <c r="EK1276" s="241"/>
    </row>
    <row r="1277" spans="1:141" s="121" customFormat="1" x14ac:dyDescent="0.3">
      <c r="A1277" s="124"/>
      <c r="O1277" s="235"/>
      <c r="X1277" s="117"/>
      <c r="Y1277" s="117"/>
      <c r="DT1277" s="240"/>
      <c r="DU1277" s="240"/>
      <c r="DV1277" s="240"/>
      <c r="DW1277" s="240"/>
      <c r="DX1277" s="240"/>
      <c r="DY1277" s="240"/>
      <c r="DZ1277" s="240"/>
      <c r="EA1277" s="240"/>
      <c r="EB1277" s="237"/>
      <c r="EC1277" s="241"/>
      <c r="ED1277" s="241"/>
      <c r="EE1277" s="241"/>
      <c r="EG1277" s="241"/>
      <c r="EI1277" s="241"/>
      <c r="EK1277" s="241"/>
    </row>
    <row r="1278" spans="1:141" s="121" customFormat="1" x14ac:dyDescent="0.3">
      <c r="A1278" s="124"/>
      <c r="O1278" s="235"/>
      <c r="X1278" s="117"/>
      <c r="Y1278" s="117"/>
      <c r="DT1278" s="240"/>
      <c r="DU1278" s="240"/>
      <c r="DV1278" s="240"/>
      <c r="DW1278" s="240"/>
      <c r="DX1278" s="240"/>
      <c r="DY1278" s="240"/>
      <c r="DZ1278" s="240"/>
      <c r="EA1278" s="240"/>
      <c r="EB1278" s="237"/>
      <c r="EC1278" s="241"/>
      <c r="ED1278" s="241"/>
      <c r="EE1278" s="241"/>
      <c r="EG1278" s="241"/>
      <c r="EI1278" s="241"/>
      <c r="EK1278" s="241"/>
    </row>
    <row r="1279" spans="1:141" s="121" customFormat="1" x14ac:dyDescent="0.3">
      <c r="A1279" s="124"/>
      <c r="O1279" s="235"/>
      <c r="X1279" s="117"/>
      <c r="Y1279" s="117"/>
      <c r="DT1279" s="240"/>
      <c r="DU1279" s="240"/>
      <c r="DV1279" s="240"/>
      <c r="DW1279" s="240"/>
      <c r="DX1279" s="240"/>
      <c r="DY1279" s="240"/>
      <c r="DZ1279" s="240"/>
      <c r="EA1279" s="240"/>
      <c r="EB1279" s="237"/>
      <c r="EC1279" s="241"/>
      <c r="ED1279" s="241"/>
      <c r="EE1279" s="241"/>
      <c r="EG1279" s="241"/>
      <c r="EI1279" s="241"/>
      <c r="EK1279" s="241"/>
    </row>
    <row r="1280" spans="1:141" s="121" customFormat="1" x14ac:dyDescent="0.3">
      <c r="A1280" s="124"/>
      <c r="O1280" s="235"/>
      <c r="X1280" s="117"/>
      <c r="Y1280" s="117"/>
      <c r="DT1280" s="240"/>
      <c r="DU1280" s="240"/>
      <c r="DV1280" s="240"/>
      <c r="DW1280" s="240"/>
      <c r="DX1280" s="240"/>
      <c r="DY1280" s="240"/>
      <c r="DZ1280" s="240"/>
      <c r="EA1280" s="240"/>
      <c r="EB1280" s="237"/>
      <c r="EC1280" s="241"/>
      <c r="ED1280" s="241"/>
      <c r="EE1280" s="241"/>
      <c r="EG1280" s="241"/>
      <c r="EI1280" s="241"/>
      <c r="EK1280" s="241"/>
    </row>
    <row r="1281" spans="1:141" s="121" customFormat="1" x14ac:dyDescent="0.3">
      <c r="A1281" s="124"/>
      <c r="O1281" s="235"/>
      <c r="X1281" s="117"/>
      <c r="Y1281" s="117"/>
      <c r="DT1281" s="240"/>
      <c r="DU1281" s="240"/>
      <c r="DV1281" s="240"/>
      <c r="DW1281" s="240"/>
      <c r="DX1281" s="240"/>
      <c r="DY1281" s="240"/>
      <c r="DZ1281" s="240"/>
      <c r="EA1281" s="240"/>
      <c r="EB1281" s="237"/>
      <c r="EC1281" s="241"/>
      <c r="ED1281" s="241"/>
      <c r="EE1281" s="241"/>
      <c r="EG1281" s="241"/>
      <c r="EI1281" s="241"/>
      <c r="EK1281" s="241"/>
    </row>
    <row r="1282" spans="1:141" s="121" customFormat="1" x14ac:dyDescent="0.3">
      <c r="A1282" s="124"/>
      <c r="O1282" s="235"/>
      <c r="X1282" s="117"/>
      <c r="Y1282" s="117"/>
      <c r="DT1282" s="240"/>
      <c r="DU1282" s="240"/>
      <c r="DV1282" s="240"/>
      <c r="DW1282" s="240"/>
      <c r="DX1282" s="240"/>
      <c r="DY1282" s="240"/>
      <c r="DZ1282" s="240"/>
      <c r="EA1282" s="240"/>
      <c r="EB1282" s="237"/>
      <c r="EC1282" s="241"/>
      <c r="ED1282" s="241"/>
      <c r="EE1282" s="241"/>
      <c r="EG1282" s="241"/>
      <c r="EI1282" s="241"/>
      <c r="EK1282" s="241"/>
    </row>
    <row r="1283" spans="1:141" s="121" customFormat="1" x14ac:dyDescent="0.3">
      <c r="A1283" s="124"/>
      <c r="O1283" s="235"/>
      <c r="X1283" s="117"/>
      <c r="Y1283" s="117"/>
      <c r="DT1283" s="240"/>
      <c r="DU1283" s="240"/>
      <c r="DV1283" s="240"/>
      <c r="DW1283" s="240"/>
      <c r="DX1283" s="240"/>
      <c r="DY1283" s="240"/>
      <c r="DZ1283" s="240"/>
      <c r="EA1283" s="240"/>
      <c r="EB1283" s="237"/>
      <c r="EC1283" s="241"/>
      <c r="ED1283" s="241"/>
      <c r="EE1283" s="241"/>
      <c r="EG1283" s="241"/>
      <c r="EI1283" s="241"/>
      <c r="EK1283" s="241"/>
    </row>
    <row r="1284" spans="1:141" s="121" customFormat="1" x14ac:dyDescent="0.3">
      <c r="A1284" s="124"/>
      <c r="O1284" s="235"/>
      <c r="X1284" s="117"/>
      <c r="Y1284" s="117"/>
      <c r="DT1284" s="240"/>
      <c r="DU1284" s="240"/>
      <c r="DV1284" s="240"/>
      <c r="DW1284" s="240"/>
      <c r="DX1284" s="240"/>
      <c r="DY1284" s="240"/>
      <c r="DZ1284" s="240"/>
      <c r="EA1284" s="240"/>
      <c r="EB1284" s="237"/>
      <c r="EC1284" s="241"/>
      <c r="ED1284" s="241"/>
      <c r="EE1284" s="241"/>
      <c r="EG1284" s="241"/>
      <c r="EI1284" s="241"/>
      <c r="EK1284" s="241"/>
    </row>
    <row r="1285" spans="1:141" s="121" customFormat="1" x14ac:dyDescent="0.3">
      <c r="A1285" s="124"/>
      <c r="O1285" s="235"/>
      <c r="X1285" s="117"/>
      <c r="Y1285" s="117"/>
      <c r="DT1285" s="240"/>
      <c r="DU1285" s="240"/>
      <c r="DV1285" s="240"/>
      <c r="DW1285" s="240"/>
      <c r="DX1285" s="240"/>
      <c r="DY1285" s="240"/>
      <c r="DZ1285" s="240"/>
      <c r="EA1285" s="240"/>
      <c r="EB1285" s="237"/>
      <c r="EC1285" s="241"/>
      <c r="ED1285" s="241"/>
      <c r="EE1285" s="241"/>
      <c r="EG1285" s="241"/>
      <c r="EI1285" s="241"/>
      <c r="EK1285" s="241"/>
    </row>
    <row r="1286" spans="1:141" s="121" customFormat="1" x14ac:dyDescent="0.3">
      <c r="A1286" s="124"/>
      <c r="O1286" s="235"/>
      <c r="X1286" s="117"/>
      <c r="Y1286" s="117"/>
      <c r="DT1286" s="240"/>
      <c r="DU1286" s="240"/>
      <c r="DV1286" s="240"/>
      <c r="DW1286" s="240"/>
      <c r="DX1286" s="240"/>
      <c r="DY1286" s="240"/>
      <c r="DZ1286" s="240"/>
      <c r="EA1286" s="240"/>
      <c r="EB1286" s="237"/>
      <c r="EC1286" s="241"/>
      <c r="ED1286" s="241"/>
      <c r="EE1286" s="241"/>
      <c r="EG1286" s="241"/>
      <c r="EI1286" s="241"/>
      <c r="EK1286" s="241"/>
    </row>
    <row r="1287" spans="1:141" s="121" customFormat="1" x14ac:dyDescent="0.3">
      <c r="A1287" s="124"/>
      <c r="O1287" s="235"/>
      <c r="X1287" s="117"/>
      <c r="Y1287" s="117"/>
      <c r="DT1287" s="240"/>
      <c r="DU1287" s="240"/>
      <c r="DV1287" s="240"/>
      <c r="DW1287" s="240"/>
      <c r="DX1287" s="240"/>
      <c r="DY1287" s="240"/>
      <c r="DZ1287" s="240"/>
      <c r="EA1287" s="240"/>
      <c r="EB1287" s="237"/>
      <c r="EC1287" s="241"/>
      <c r="ED1287" s="241"/>
      <c r="EE1287" s="241"/>
      <c r="EG1287" s="241"/>
      <c r="EI1287" s="241"/>
      <c r="EK1287" s="241"/>
    </row>
    <row r="1288" spans="1:141" s="121" customFormat="1" x14ac:dyDescent="0.3">
      <c r="A1288" s="124"/>
      <c r="O1288" s="235"/>
      <c r="X1288" s="117"/>
      <c r="Y1288" s="117"/>
      <c r="DT1288" s="240"/>
      <c r="DU1288" s="240"/>
      <c r="DV1288" s="240"/>
      <c r="DW1288" s="240"/>
      <c r="DX1288" s="240"/>
      <c r="DY1288" s="240"/>
      <c r="DZ1288" s="240"/>
      <c r="EA1288" s="240"/>
      <c r="EB1288" s="237"/>
      <c r="EC1288" s="241"/>
      <c r="ED1288" s="241"/>
      <c r="EE1288" s="241"/>
      <c r="EG1288" s="241"/>
      <c r="EI1288" s="241"/>
      <c r="EK1288" s="241"/>
    </row>
    <row r="1289" spans="1:141" s="121" customFormat="1" x14ac:dyDescent="0.3">
      <c r="A1289" s="124"/>
      <c r="O1289" s="235"/>
      <c r="X1289" s="117"/>
      <c r="Y1289" s="117"/>
      <c r="DT1289" s="240"/>
      <c r="DU1289" s="240"/>
      <c r="DV1289" s="240"/>
      <c r="DW1289" s="240"/>
      <c r="DX1289" s="240"/>
      <c r="DY1289" s="240"/>
      <c r="DZ1289" s="240"/>
      <c r="EA1289" s="240"/>
      <c r="EB1289" s="237"/>
      <c r="EC1289" s="241"/>
      <c r="ED1289" s="241"/>
      <c r="EE1289" s="241"/>
      <c r="EG1289" s="241"/>
      <c r="EI1289" s="241"/>
      <c r="EK1289" s="241"/>
    </row>
    <row r="1290" spans="1:141" s="121" customFormat="1" x14ac:dyDescent="0.3">
      <c r="A1290" s="124"/>
      <c r="O1290" s="235"/>
      <c r="X1290" s="117"/>
      <c r="Y1290" s="117"/>
      <c r="DT1290" s="240"/>
      <c r="DU1290" s="240"/>
      <c r="DV1290" s="240"/>
      <c r="DW1290" s="240"/>
      <c r="DX1290" s="240"/>
      <c r="DY1290" s="240"/>
      <c r="DZ1290" s="240"/>
      <c r="EA1290" s="240"/>
      <c r="EB1290" s="237"/>
      <c r="EC1290" s="241"/>
      <c r="ED1290" s="241"/>
      <c r="EE1290" s="241"/>
      <c r="EG1290" s="241"/>
      <c r="EI1290" s="241"/>
      <c r="EK1290" s="241"/>
    </row>
    <row r="1291" spans="1:141" s="121" customFormat="1" x14ac:dyDescent="0.3">
      <c r="A1291" s="124"/>
      <c r="O1291" s="235"/>
      <c r="X1291" s="117"/>
      <c r="Y1291" s="117"/>
      <c r="DT1291" s="240"/>
      <c r="DU1291" s="240"/>
      <c r="DV1291" s="240"/>
      <c r="DW1291" s="240"/>
      <c r="DX1291" s="240"/>
      <c r="DY1291" s="240"/>
      <c r="DZ1291" s="240"/>
      <c r="EA1291" s="240"/>
      <c r="EB1291" s="237"/>
      <c r="EC1291" s="241"/>
      <c r="ED1291" s="241"/>
      <c r="EE1291" s="241"/>
      <c r="EG1291" s="241"/>
      <c r="EI1291" s="241"/>
      <c r="EK1291" s="241"/>
    </row>
    <row r="1292" spans="1:141" s="121" customFormat="1" x14ac:dyDescent="0.3">
      <c r="A1292" s="124"/>
      <c r="O1292" s="235"/>
      <c r="X1292" s="117"/>
      <c r="Y1292" s="117"/>
      <c r="DT1292" s="240"/>
      <c r="DU1292" s="240"/>
      <c r="DV1292" s="240"/>
      <c r="DW1292" s="240"/>
      <c r="DX1292" s="240"/>
      <c r="DY1292" s="240"/>
      <c r="DZ1292" s="240"/>
      <c r="EA1292" s="240"/>
      <c r="EB1292" s="237"/>
      <c r="EC1292" s="241"/>
      <c r="ED1292" s="241"/>
      <c r="EE1292" s="241"/>
      <c r="EG1292" s="241"/>
      <c r="EI1292" s="241"/>
      <c r="EK1292" s="241"/>
    </row>
    <row r="1293" spans="1:141" s="121" customFormat="1" x14ac:dyDescent="0.3">
      <c r="A1293" s="124"/>
      <c r="O1293" s="235"/>
      <c r="X1293" s="117"/>
      <c r="Y1293" s="117"/>
      <c r="DT1293" s="240"/>
      <c r="DU1293" s="240"/>
      <c r="DV1293" s="240"/>
      <c r="DW1293" s="240"/>
      <c r="DX1293" s="240"/>
      <c r="DY1293" s="240"/>
      <c r="DZ1293" s="240"/>
      <c r="EA1293" s="240"/>
      <c r="EB1293" s="237"/>
      <c r="EC1293" s="241"/>
      <c r="ED1293" s="241"/>
      <c r="EE1293" s="241"/>
      <c r="EG1293" s="241"/>
      <c r="EI1293" s="241"/>
      <c r="EK1293" s="241"/>
    </row>
    <row r="1294" spans="1:141" s="121" customFormat="1" x14ac:dyDescent="0.3">
      <c r="A1294" s="124"/>
      <c r="O1294" s="235"/>
      <c r="X1294" s="117"/>
      <c r="Y1294" s="117"/>
      <c r="DT1294" s="240"/>
      <c r="DU1294" s="240"/>
      <c r="DV1294" s="240"/>
      <c r="DW1294" s="240"/>
      <c r="DX1294" s="240"/>
      <c r="DY1294" s="240"/>
      <c r="DZ1294" s="240"/>
      <c r="EA1294" s="240"/>
      <c r="EB1294" s="237"/>
      <c r="EC1294" s="241"/>
      <c r="ED1294" s="241"/>
      <c r="EE1294" s="241"/>
      <c r="EG1294" s="241"/>
      <c r="EI1294" s="241"/>
      <c r="EK1294" s="241"/>
    </row>
    <row r="1295" spans="1:141" s="121" customFormat="1" x14ac:dyDescent="0.3">
      <c r="A1295" s="124"/>
      <c r="O1295" s="235"/>
      <c r="X1295" s="117"/>
      <c r="Y1295" s="117"/>
      <c r="DT1295" s="240"/>
      <c r="DU1295" s="240"/>
      <c r="DV1295" s="240"/>
      <c r="DW1295" s="240"/>
      <c r="DX1295" s="240"/>
      <c r="DY1295" s="240"/>
      <c r="DZ1295" s="240"/>
      <c r="EA1295" s="240"/>
      <c r="EB1295" s="237"/>
      <c r="EC1295" s="241"/>
      <c r="ED1295" s="241"/>
      <c r="EE1295" s="241"/>
      <c r="EG1295" s="241"/>
      <c r="EI1295" s="241"/>
      <c r="EK1295" s="241"/>
    </row>
    <row r="1296" spans="1:141" s="121" customFormat="1" x14ac:dyDescent="0.3">
      <c r="A1296" s="124"/>
      <c r="O1296" s="235"/>
      <c r="X1296" s="117"/>
      <c r="Y1296" s="117"/>
      <c r="DT1296" s="240"/>
      <c r="DU1296" s="240"/>
      <c r="DV1296" s="240"/>
      <c r="DW1296" s="240"/>
      <c r="DX1296" s="240"/>
      <c r="DY1296" s="240"/>
      <c r="DZ1296" s="240"/>
      <c r="EA1296" s="240"/>
      <c r="EB1296" s="237"/>
      <c r="EC1296" s="241"/>
      <c r="ED1296" s="241"/>
      <c r="EE1296" s="241"/>
      <c r="EG1296" s="241"/>
      <c r="EI1296" s="241"/>
      <c r="EK1296" s="241"/>
    </row>
    <row r="1297" spans="1:141" s="121" customFormat="1" x14ac:dyDescent="0.3">
      <c r="A1297" s="124"/>
      <c r="O1297" s="235"/>
      <c r="X1297" s="117"/>
      <c r="Y1297" s="117"/>
      <c r="DT1297" s="240"/>
      <c r="DU1297" s="240"/>
      <c r="DV1297" s="240"/>
      <c r="DW1297" s="240"/>
      <c r="DX1297" s="240"/>
      <c r="DY1297" s="240"/>
      <c r="DZ1297" s="240"/>
      <c r="EA1297" s="240"/>
      <c r="EB1297" s="237"/>
      <c r="EC1297" s="241"/>
      <c r="ED1297" s="241"/>
      <c r="EE1297" s="241"/>
      <c r="EG1297" s="241"/>
      <c r="EI1297" s="241"/>
      <c r="EK1297" s="241"/>
    </row>
    <row r="1298" spans="1:141" s="121" customFormat="1" x14ac:dyDescent="0.3">
      <c r="A1298" s="124"/>
      <c r="O1298" s="235"/>
      <c r="X1298" s="117"/>
      <c r="Y1298" s="117"/>
      <c r="DT1298" s="240"/>
      <c r="DU1298" s="240"/>
      <c r="DV1298" s="240"/>
      <c r="DW1298" s="240"/>
      <c r="DX1298" s="240"/>
      <c r="DY1298" s="240"/>
      <c r="DZ1298" s="240"/>
      <c r="EA1298" s="240"/>
      <c r="EB1298" s="237"/>
      <c r="EC1298" s="241"/>
      <c r="ED1298" s="241"/>
      <c r="EE1298" s="241"/>
      <c r="EG1298" s="241"/>
      <c r="EI1298" s="241"/>
      <c r="EK1298" s="241"/>
    </row>
    <row r="1299" spans="1:141" s="121" customFormat="1" x14ac:dyDescent="0.3">
      <c r="A1299" s="124"/>
      <c r="O1299" s="235"/>
      <c r="X1299" s="117"/>
      <c r="Y1299" s="117"/>
      <c r="DT1299" s="240"/>
      <c r="DU1299" s="240"/>
      <c r="DV1299" s="240"/>
      <c r="DW1299" s="240"/>
      <c r="DX1299" s="240"/>
      <c r="DY1299" s="240"/>
      <c r="DZ1299" s="240"/>
      <c r="EA1299" s="240"/>
      <c r="EB1299" s="237"/>
      <c r="EC1299" s="241"/>
      <c r="ED1299" s="241"/>
      <c r="EE1299" s="241"/>
      <c r="EG1299" s="241"/>
      <c r="EI1299" s="241"/>
      <c r="EK1299" s="241"/>
    </row>
    <row r="1300" spans="1:141" s="121" customFormat="1" x14ac:dyDescent="0.3">
      <c r="A1300" s="124"/>
      <c r="O1300" s="235"/>
      <c r="X1300" s="117"/>
      <c r="Y1300" s="117"/>
      <c r="DT1300" s="240"/>
      <c r="DU1300" s="240"/>
      <c r="DV1300" s="240"/>
      <c r="DW1300" s="240"/>
      <c r="DX1300" s="240"/>
      <c r="DY1300" s="240"/>
      <c r="DZ1300" s="240"/>
      <c r="EA1300" s="240"/>
      <c r="EB1300" s="237"/>
      <c r="EC1300" s="241"/>
      <c r="ED1300" s="241"/>
      <c r="EE1300" s="241"/>
      <c r="EG1300" s="241"/>
      <c r="EI1300" s="241"/>
      <c r="EK1300" s="241"/>
    </row>
    <row r="1301" spans="1:141" s="121" customFormat="1" x14ac:dyDescent="0.3">
      <c r="A1301" s="124"/>
      <c r="O1301" s="235"/>
      <c r="X1301" s="117"/>
      <c r="Y1301" s="117"/>
      <c r="DT1301" s="240"/>
      <c r="DU1301" s="240"/>
      <c r="DV1301" s="240"/>
      <c r="DW1301" s="240"/>
      <c r="DX1301" s="240"/>
      <c r="DY1301" s="240"/>
      <c r="DZ1301" s="240"/>
      <c r="EA1301" s="240"/>
      <c r="EB1301" s="237"/>
      <c r="EC1301" s="241"/>
      <c r="ED1301" s="241"/>
      <c r="EE1301" s="241"/>
      <c r="EG1301" s="241"/>
      <c r="EI1301" s="241"/>
      <c r="EK1301" s="241"/>
    </row>
    <row r="1302" spans="1:141" s="121" customFormat="1" x14ac:dyDescent="0.3">
      <c r="A1302" s="124"/>
      <c r="O1302" s="235"/>
      <c r="X1302" s="117"/>
      <c r="Y1302" s="117"/>
      <c r="DT1302" s="240"/>
      <c r="DU1302" s="240"/>
      <c r="DV1302" s="240"/>
      <c r="DW1302" s="240"/>
      <c r="DX1302" s="240"/>
      <c r="DY1302" s="240"/>
      <c r="DZ1302" s="240"/>
      <c r="EA1302" s="240"/>
      <c r="EB1302" s="237"/>
      <c r="EC1302" s="241"/>
      <c r="ED1302" s="241"/>
      <c r="EE1302" s="241"/>
      <c r="EG1302" s="241"/>
      <c r="EI1302" s="241"/>
      <c r="EK1302" s="241"/>
    </row>
    <row r="1303" spans="1:141" s="121" customFormat="1" x14ac:dyDescent="0.3">
      <c r="A1303" s="124"/>
      <c r="O1303" s="235"/>
      <c r="X1303" s="117"/>
      <c r="Y1303" s="117"/>
      <c r="DT1303" s="240"/>
      <c r="DU1303" s="240"/>
      <c r="DV1303" s="240"/>
      <c r="DW1303" s="240"/>
      <c r="DX1303" s="240"/>
      <c r="DY1303" s="240"/>
      <c r="DZ1303" s="240"/>
      <c r="EA1303" s="240"/>
      <c r="EB1303" s="237"/>
      <c r="EC1303" s="241"/>
      <c r="ED1303" s="241"/>
      <c r="EE1303" s="241"/>
      <c r="EG1303" s="241"/>
      <c r="EI1303" s="241"/>
      <c r="EK1303" s="241"/>
    </row>
    <row r="1304" spans="1:141" s="121" customFormat="1" x14ac:dyDescent="0.3">
      <c r="A1304" s="124"/>
      <c r="O1304" s="235"/>
      <c r="X1304" s="117"/>
      <c r="Y1304" s="117"/>
      <c r="DT1304" s="240"/>
      <c r="DU1304" s="240"/>
      <c r="DV1304" s="240"/>
      <c r="DW1304" s="240"/>
      <c r="DX1304" s="240"/>
      <c r="DY1304" s="240"/>
      <c r="DZ1304" s="240"/>
      <c r="EA1304" s="240"/>
      <c r="EB1304" s="237"/>
      <c r="EC1304" s="241"/>
      <c r="ED1304" s="241"/>
      <c r="EE1304" s="241"/>
      <c r="EG1304" s="241"/>
      <c r="EI1304" s="241"/>
      <c r="EK1304" s="241"/>
    </row>
    <row r="1305" spans="1:141" s="121" customFormat="1" x14ac:dyDescent="0.3">
      <c r="A1305" s="124"/>
      <c r="O1305" s="235"/>
      <c r="X1305" s="117"/>
      <c r="Y1305" s="117"/>
      <c r="DT1305" s="240"/>
      <c r="DU1305" s="240"/>
      <c r="DV1305" s="240"/>
      <c r="DW1305" s="240"/>
      <c r="DX1305" s="240"/>
      <c r="DY1305" s="240"/>
      <c r="DZ1305" s="240"/>
      <c r="EA1305" s="240"/>
      <c r="EB1305" s="237"/>
      <c r="EC1305" s="241"/>
      <c r="ED1305" s="241"/>
      <c r="EE1305" s="241"/>
      <c r="EG1305" s="241"/>
      <c r="EI1305" s="241"/>
      <c r="EK1305" s="241"/>
    </row>
    <row r="1306" spans="1:141" s="121" customFormat="1" x14ac:dyDescent="0.3">
      <c r="A1306" s="124"/>
      <c r="O1306" s="235"/>
      <c r="X1306" s="117"/>
      <c r="Y1306" s="117"/>
      <c r="DT1306" s="240"/>
      <c r="DU1306" s="240"/>
      <c r="DV1306" s="240"/>
      <c r="DW1306" s="240"/>
      <c r="DX1306" s="240"/>
      <c r="DY1306" s="240"/>
      <c r="DZ1306" s="240"/>
      <c r="EA1306" s="240"/>
      <c r="EB1306" s="237"/>
      <c r="EC1306" s="241"/>
      <c r="ED1306" s="241"/>
      <c r="EE1306" s="241"/>
      <c r="EG1306" s="241"/>
      <c r="EI1306" s="241"/>
      <c r="EK1306" s="241"/>
    </row>
    <row r="1307" spans="1:141" s="121" customFormat="1" x14ac:dyDescent="0.3">
      <c r="A1307" s="124"/>
      <c r="O1307" s="235"/>
      <c r="X1307" s="117"/>
      <c r="Y1307" s="117"/>
      <c r="DT1307" s="240"/>
      <c r="DU1307" s="240"/>
      <c r="DV1307" s="240"/>
      <c r="DW1307" s="240"/>
      <c r="DX1307" s="240"/>
      <c r="DY1307" s="240"/>
      <c r="DZ1307" s="240"/>
      <c r="EA1307" s="240"/>
      <c r="EB1307" s="237"/>
      <c r="EC1307" s="241"/>
      <c r="ED1307" s="241"/>
      <c r="EE1307" s="241"/>
      <c r="EG1307" s="241"/>
      <c r="EI1307" s="241"/>
      <c r="EK1307" s="241"/>
    </row>
    <row r="1308" spans="1:141" s="121" customFormat="1" x14ac:dyDescent="0.3">
      <c r="A1308" s="124"/>
      <c r="O1308" s="235"/>
      <c r="X1308" s="117"/>
      <c r="Y1308" s="117"/>
      <c r="DT1308" s="240"/>
      <c r="DU1308" s="240"/>
      <c r="DV1308" s="240"/>
      <c r="DW1308" s="240"/>
      <c r="DX1308" s="240"/>
      <c r="DY1308" s="240"/>
      <c r="DZ1308" s="240"/>
      <c r="EA1308" s="240"/>
      <c r="EB1308" s="237"/>
      <c r="EC1308" s="241"/>
      <c r="ED1308" s="241"/>
      <c r="EE1308" s="241"/>
      <c r="EG1308" s="241"/>
      <c r="EI1308" s="241"/>
      <c r="EK1308" s="241"/>
    </row>
    <row r="1309" spans="1:141" s="121" customFormat="1" x14ac:dyDescent="0.3">
      <c r="A1309" s="124"/>
      <c r="O1309" s="235"/>
      <c r="X1309" s="117"/>
      <c r="Y1309" s="117"/>
      <c r="DT1309" s="240"/>
      <c r="DU1309" s="240"/>
      <c r="DV1309" s="240"/>
      <c r="DW1309" s="240"/>
      <c r="DX1309" s="240"/>
      <c r="DY1309" s="240"/>
      <c r="DZ1309" s="240"/>
      <c r="EA1309" s="240"/>
      <c r="EB1309" s="237"/>
      <c r="EC1309" s="241"/>
      <c r="ED1309" s="241"/>
      <c r="EE1309" s="241"/>
      <c r="EG1309" s="241"/>
      <c r="EI1309" s="241"/>
      <c r="EK1309" s="241"/>
    </row>
    <row r="1310" spans="1:141" s="121" customFormat="1" x14ac:dyDescent="0.3">
      <c r="A1310" s="124"/>
      <c r="O1310" s="235"/>
      <c r="X1310" s="117"/>
      <c r="Y1310" s="117"/>
      <c r="DT1310" s="240"/>
      <c r="DU1310" s="240"/>
      <c r="DV1310" s="240"/>
      <c r="DW1310" s="240"/>
      <c r="DX1310" s="240"/>
      <c r="DY1310" s="240"/>
      <c r="DZ1310" s="240"/>
      <c r="EA1310" s="240"/>
      <c r="EB1310" s="237"/>
      <c r="EC1310" s="241"/>
      <c r="ED1310" s="241"/>
      <c r="EE1310" s="241"/>
      <c r="EG1310" s="241"/>
      <c r="EI1310" s="241"/>
      <c r="EK1310" s="241"/>
    </row>
    <row r="1311" spans="1:141" s="121" customFormat="1" x14ac:dyDescent="0.3">
      <c r="A1311" s="124"/>
      <c r="O1311" s="235"/>
      <c r="X1311" s="117"/>
      <c r="Y1311" s="117"/>
      <c r="DT1311" s="240"/>
      <c r="DU1311" s="240"/>
      <c r="DV1311" s="240"/>
      <c r="DW1311" s="240"/>
      <c r="DX1311" s="240"/>
      <c r="DY1311" s="240"/>
      <c r="DZ1311" s="240"/>
      <c r="EA1311" s="240"/>
      <c r="EB1311" s="237"/>
      <c r="EC1311" s="241"/>
      <c r="ED1311" s="241"/>
      <c r="EE1311" s="241"/>
      <c r="EG1311" s="241"/>
      <c r="EI1311" s="241"/>
      <c r="EK1311" s="241"/>
    </row>
    <row r="1312" spans="1:141" s="121" customFormat="1" x14ac:dyDescent="0.3">
      <c r="A1312" s="124"/>
      <c r="O1312" s="235"/>
      <c r="X1312" s="117"/>
      <c r="Y1312" s="117"/>
      <c r="DT1312" s="240"/>
      <c r="DU1312" s="240"/>
      <c r="DV1312" s="240"/>
      <c r="DW1312" s="240"/>
      <c r="DX1312" s="240"/>
      <c r="DY1312" s="240"/>
      <c r="DZ1312" s="240"/>
      <c r="EA1312" s="240"/>
      <c r="EB1312" s="237"/>
      <c r="EC1312" s="241"/>
      <c r="ED1312" s="241"/>
      <c r="EE1312" s="241"/>
      <c r="EG1312" s="241"/>
      <c r="EI1312" s="241"/>
      <c r="EK1312" s="241"/>
    </row>
    <row r="1313" spans="1:141" s="121" customFormat="1" x14ac:dyDescent="0.3">
      <c r="A1313" s="124"/>
      <c r="O1313" s="235"/>
      <c r="X1313" s="117"/>
      <c r="Y1313" s="117"/>
      <c r="DT1313" s="240"/>
      <c r="DU1313" s="240"/>
      <c r="DV1313" s="240"/>
      <c r="DW1313" s="240"/>
      <c r="DX1313" s="240"/>
      <c r="DY1313" s="240"/>
      <c r="DZ1313" s="240"/>
      <c r="EA1313" s="240"/>
      <c r="EB1313" s="237"/>
      <c r="EC1313" s="241"/>
      <c r="ED1313" s="241"/>
      <c r="EE1313" s="241"/>
      <c r="EG1313" s="241"/>
      <c r="EI1313" s="241"/>
      <c r="EK1313" s="241"/>
    </row>
    <row r="1314" spans="1:141" s="121" customFormat="1" x14ac:dyDescent="0.3">
      <c r="A1314" s="124"/>
      <c r="O1314" s="235"/>
      <c r="X1314" s="117"/>
      <c r="Y1314" s="117"/>
      <c r="DT1314" s="240"/>
      <c r="DU1314" s="240"/>
      <c r="DV1314" s="240"/>
      <c r="DW1314" s="240"/>
      <c r="DX1314" s="240"/>
      <c r="DY1314" s="240"/>
      <c r="DZ1314" s="240"/>
      <c r="EA1314" s="240"/>
      <c r="EB1314" s="237"/>
      <c r="EC1314" s="241"/>
      <c r="ED1314" s="241"/>
      <c r="EE1314" s="241"/>
      <c r="EG1314" s="241"/>
      <c r="EI1314" s="241"/>
      <c r="EK1314" s="241"/>
    </row>
    <row r="1315" spans="1:141" s="121" customFormat="1" x14ac:dyDescent="0.3">
      <c r="A1315" s="124"/>
      <c r="O1315" s="235"/>
      <c r="X1315" s="117"/>
      <c r="Y1315" s="117"/>
      <c r="DT1315" s="240"/>
      <c r="DU1315" s="240"/>
      <c r="DV1315" s="240"/>
      <c r="DW1315" s="240"/>
      <c r="DX1315" s="240"/>
      <c r="DY1315" s="240"/>
      <c r="DZ1315" s="240"/>
      <c r="EA1315" s="240"/>
      <c r="EB1315" s="237"/>
      <c r="EC1315" s="241"/>
      <c r="ED1315" s="241"/>
      <c r="EE1315" s="241"/>
      <c r="EG1315" s="241"/>
      <c r="EI1315" s="241"/>
      <c r="EK1315" s="241"/>
    </row>
    <row r="1316" spans="1:141" s="121" customFormat="1" x14ac:dyDescent="0.3">
      <c r="A1316" s="124"/>
      <c r="O1316" s="235"/>
      <c r="X1316" s="117"/>
      <c r="Y1316" s="117"/>
      <c r="DT1316" s="240"/>
      <c r="DU1316" s="240"/>
      <c r="DV1316" s="240"/>
      <c r="DW1316" s="240"/>
      <c r="DX1316" s="240"/>
      <c r="DY1316" s="240"/>
      <c r="DZ1316" s="240"/>
      <c r="EA1316" s="240"/>
      <c r="EB1316" s="237"/>
      <c r="EC1316" s="241"/>
      <c r="ED1316" s="241"/>
      <c r="EE1316" s="241"/>
      <c r="EG1316" s="241"/>
      <c r="EI1316" s="241"/>
      <c r="EK1316" s="241"/>
    </row>
    <row r="1317" spans="1:141" s="121" customFormat="1" x14ac:dyDescent="0.3">
      <c r="A1317" s="124"/>
      <c r="O1317" s="235"/>
      <c r="X1317" s="117"/>
      <c r="Y1317" s="117"/>
      <c r="DT1317" s="240"/>
      <c r="DU1317" s="240"/>
      <c r="DV1317" s="240"/>
      <c r="DW1317" s="240"/>
      <c r="DX1317" s="240"/>
      <c r="DY1317" s="240"/>
      <c r="DZ1317" s="240"/>
      <c r="EA1317" s="240"/>
      <c r="EB1317" s="237"/>
      <c r="EC1317" s="241"/>
      <c r="ED1317" s="241"/>
      <c r="EE1317" s="241"/>
      <c r="EG1317" s="241"/>
      <c r="EI1317" s="241"/>
      <c r="EK1317" s="241"/>
    </row>
    <row r="1318" spans="1:141" s="121" customFormat="1" x14ac:dyDescent="0.3">
      <c r="A1318" s="124"/>
      <c r="O1318" s="235"/>
      <c r="X1318" s="117"/>
      <c r="Y1318" s="117"/>
      <c r="DT1318" s="240"/>
      <c r="DU1318" s="240"/>
      <c r="DV1318" s="240"/>
      <c r="DW1318" s="240"/>
      <c r="DX1318" s="240"/>
      <c r="DY1318" s="240"/>
      <c r="DZ1318" s="240"/>
      <c r="EA1318" s="240"/>
      <c r="EB1318" s="237"/>
      <c r="EC1318" s="241"/>
      <c r="ED1318" s="241"/>
      <c r="EE1318" s="241"/>
      <c r="EG1318" s="241"/>
      <c r="EI1318" s="241"/>
      <c r="EK1318" s="241"/>
    </row>
    <row r="1319" spans="1:141" s="121" customFormat="1" x14ac:dyDescent="0.3">
      <c r="A1319" s="124"/>
      <c r="O1319" s="235"/>
      <c r="X1319" s="117"/>
      <c r="Y1319" s="117"/>
      <c r="DT1319" s="240"/>
      <c r="DU1319" s="240"/>
      <c r="DV1319" s="240"/>
      <c r="DW1319" s="240"/>
      <c r="DX1319" s="240"/>
      <c r="DY1319" s="240"/>
      <c r="DZ1319" s="240"/>
      <c r="EA1319" s="240"/>
      <c r="EB1319" s="237"/>
      <c r="EC1319" s="241"/>
      <c r="ED1319" s="241"/>
      <c r="EE1319" s="241"/>
      <c r="EG1319" s="241"/>
      <c r="EI1319" s="241"/>
      <c r="EK1319" s="241"/>
    </row>
    <row r="1320" spans="1:141" s="121" customFormat="1" x14ac:dyDescent="0.3">
      <c r="A1320" s="124"/>
      <c r="O1320" s="235"/>
      <c r="X1320" s="117"/>
      <c r="Y1320" s="117"/>
      <c r="DT1320" s="240"/>
      <c r="DU1320" s="240"/>
      <c r="DV1320" s="240"/>
      <c r="DW1320" s="240"/>
      <c r="DX1320" s="240"/>
      <c r="DY1320" s="240"/>
      <c r="DZ1320" s="240"/>
      <c r="EA1320" s="240"/>
      <c r="EB1320" s="237"/>
      <c r="EC1320" s="241"/>
      <c r="ED1320" s="241"/>
      <c r="EE1320" s="241"/>
      <c r="EG1320" s="241"/>
      <c r="EI1320" s="241"/>
      <c r="EK1320" s="241"/>
    </row>
    <row r="1321" spans="1:141" s="121" customFormat="1" x14ac:dyDescent="0.3">
      <c r="A1321" s="124"/>
      <c r="O1321" s="235"/>
      <c r="X1321" s="117"/>
      <c r="Y1321" s="117"/>
      <c r="DT1321" s="240"/>
      <c r="DU1321" s="240"/>
      <c r="DV1321" s="240"/>
      <c r="DW1321" s="240"/>
      <c r="DX1321" s="240"/>
      <c r="DY1321" s="240"/>
      <c r="DZ1321" s="240"/>
      <c r="EA1321" s="240"/>
      <c r="EB1321" s="237"/>
      <c r="EC1321" s="241"/>
      <c r="ED1321" s="241"/>
      <c r="EE1321" s="241"/>
      <c r="EG1321" s="241"/>
      <c r="EI1321" s="241"/>
      <c r="EK1321" s="241"/>
    </row>
    <row r="1322" spans="1:141" s="121" customFormat="1" x14ac:dyDescent="0.3">
      <c r="A1322" s="124"/>
      <c r="O1322" s="235"/>
      <c r="X1322" s="117"/>
      <c r="Y1322" s="117"/>
      <c r="DT1322" s="240"/>
      <c r="DU1322" s="240"/>
      <c r="DV1322" s="240"/>
      <c r="DW1322" s="240"/>
      <c r="DX1322" s="240"/>
      <c r="DY1322" s="240"/>
      <c r="DZ1322" s="240"/>
      <c r="EA1322" s="240"/>
      <c r="EB1322" s="237"/>
      <c r="EC1322" s="241"/>
      <c r="ED1322" s="241"/>
      <c r="EE1322" s="241"/>
      <c r="EG1322" s="241"/>
      <c r="EI1322" s="241"/>
      <c r="EK1322" s="241"/>
    </row>
    <row r="1323" spans="1:141" s="121" customFormat="1" x14ac:dyDescent="0.3">
      <c r="A1323" s="124"/>
      <c r="O1323" s="235"/>
      <c r="X1323" s="117"/>
      <c r="Y1323" s="117"/>
      <c r="DT1323" s="240"/>
      <c r="DU1323" s="240"/>
      <c r="DV1323" s="240"/>
      <c r="DW1323" s="240"/>
      <c r="DX1323" s="240"/>
      <c r="DY1323" s="240"/>
      <c r="DZ1323" s="240"/>
      <c r="EA1323" s="240"/>
      <c r="EB1323" s="237"/>
      <c r="EC1323" s="241"/>
      <c r="ED1323" s="241"/>
      <c r="EE1323" s="241"/>
      <c r="EG1323" s="241"/>
      <c r="EI1323" s="241"/>
      <c r="EK1323" s="241"/>
    </row>
    <row r="1324" spans="1:141" s="121" customFormat="1" x14ac:dyDescent="0.3">
      <c r="A1324" s="124"/>
      <c r="O1324" s="235"/>
      <c r="X1324" s="117"/>
      <c r="Y1324" s="117"/>
      <c r="DT1324" s="240"/>
      <c r="DU1324" s="240"/>
      <c r="DV1324" s="240"/>
      <c r="DW1324" s="240"/>
      <c r="DX1324" s="240"/>
      <c r="DY1324" s="240"/>
      <c r="DZ1324" s="240"/>
      <c r="EA1324" s="240"/>
      <c r="EB1324" s="237"/>
      <c r="EC1324" s="241"/>
      <c r="ED1324" s="241"/>
      <c r="EE1324" s="241"/>
      <c r="EG1324" s="241"/>
      <c r="EI1324" s="241"/>
      <c r="EK1324" s="241"/>
    </row>
    <row r="1325" spans="1:141" s="121" customFormat="1" x14ac:dyDescent="0.3">
      <c r="A1325" s="124"/>
      <c r="O1325" s="235"/>
      <c r="X1325" s="117"/>
      <c r="Y1325" s="117"/>
      <c r="DT1325" s="240"/>
      <c r="DU1325" s="240"/>
      <c r="DV1325" s="240"/>
      <c r="DW1325" s="240"/>
      <c r="DX1325" s="240"/>
      <c r="DY1325" s="240"/>
      <c r="DZ1325" s="240"/>
      <c r="EA1325" s="240"/>
      <c r="EB1325" s="237"/>
      <c r="EC1325" s="241"/>
      <c r="ED1325" s="241"/>
      <c r="EE1325" s="241"/>
      <c r="EG1325" s="241"/>
      <c r="EI1325" s="241"/>
      <c r="EK1325" s="241"/>
    </row>
    <row r="1326" spans="1:141" s="121" customFormat="1" x14ac:dyDescent="0.3">
      <c r="A1326" s="124"/>
      <c r="O1326" s="235"/>
      <c r="X1326" s="117"/>
      <c r="Y1326" s="117"/>
      <c r="DT1326" s="240"/>
      <c r="DU1326" s="240"/>
      <c r="DV1326" s="240"/>
      <c r="DW1326" s="240"/>
      <c r="DX1326" s="240"/>
      <c r="DY1326" s="240"/>
      <c r="DZ1326" s="240"/>
      <c r="EA1326" s="240"/>
      <c r="EB1326" s="237"/>
      <c r="EC1326" s="241"/>
      <c r="ED1326" s="241"/>
      <c r="EE1326" s="241"/>
      <c r="EG1326" s="241"/>
      <c r="EI1326" s="241"/>
      <c r="EK1326" s="241"/>
    </row>
    <row r="1327" spans="1:141" s="121" customFormat="1" x14ac:dyDescent="0.3">
      <c r="A1327" s="124"/>
      <c r="O1327" s="235"/>
      <c r="X1327" s="117"/>
      <c r="Y1327" s="117"/>
      <c r="DT1327" s="240"/>
      <c r="DU1327" s="240"/>
      <c r="DV1327" s="240"/>
      <c r="DW1327" s="240"/>
      <c r="DX1327" s="240"/>
      <c r="DY1327" s="240"/>
      <c r="DZ1327" s="240"/>
      <c r="EA1327" s="240"/>
      <c r="EB1327" s="237"/>
      <c r="EC1327" s="241"/>
      <c r="ED1327" s="241"/>
      <c r="EE1327" s="241"/>
      <c r="EG1327" s="241"/>
      <c r="EI1327" s="241"/>
      <c r="EK1327" s="241"/>
    </row>
    <row r="1328" spans="1:141" s="121" customFormat="1" x14ac:dyDescent="0.3">
      <c r="A1328" s="124"/>
      <c r="O1328" s="235"/>
      <c r="X1328" s="117"/>
      <c r="Y1328" s="117"/>
      <c r="DT1328" s="240"/>
      <c r="DU1328" s="240"/>
      <c r="DV1328" s="240"/>
      <c r="DW1328" s="240"/>
      <c r="DX1328" s="240"/>
      <c r="DY1328" s="240"/>
      <c r="DZ1328" s="240"/>
      <c r="EA1328" s="240"/>
      <c r="EB1328" s="237"/>
      <c r="EC1328" s="241"/>
      <c r="ED1328" s="241"/>
      <c r="EE1328" s="241"/>
      <c r="EG1328" s="241"/>
      <c r="EI1328" s="241"/>
      <c r="EK1328" s="241"/>
    </row>
    <row r="1329" spans="1:141" s="121" customFormat="1" x14ac:dyDescent="0.3">
      <c r="A1329" s="124"/>
      <c r="O1329" s="235"/>
      <c r="X1329" s="117"/>
      <c r="Y1329" s="117"/>
      <c r="DT1329" s="240"/>
      <c r="DU1329" s="240"/>
      <c r="DV1329" s="240"/>
      <c r="DW1329" s="240"/>
      <c r="DX1329" s="240"/>
      <c r="DY1329" s="240"/>
      <c r="DZ1329" s="240"/>
      <c r="EA1329" s="240"/>
      <c r="EB1329" s="237"/>
      <c r="EC1329" s="241"/>
      <c r="ED1329" s="241"/>
      <c r="EE1329" s="241"/>
      <c r="EG1329" s="241"/>
      <c r="EI1329" s="241"/>
      <c r="EK1329" s="241"/>
    </row>
    <row r="1330" spans="1:141" s="121" customFormat="1" x14ac:dyDescent="0.3">
      <c r="A1330" s="124"/>
      <c r="O1330" s="235"/>
      <c r="X1330" s="117"/>
      <c r="Y1330" s="117"/>
      <c r="DT1330" s="240"/>
      <c r="DU1330" s="240"/>
      <c r="DV1330" s="240"/>
      <c r="DW1330" s="240"/>
      <c r="DX1330" s="240"/>
      <c r="DY1330" s="240"/>
      <c r="DZ1330" s="240"/>
      <c r="EA1330" s="240"/>
      <c r="EB1330" s="237"/>
      <c r="EC1330" s="241"/>
      <c r="ED1330" s="241"/>
      <c r="EE1330" s="241"/>
      <c r="EG1330" s="241"/>
      <c r="EI1330" s="241"/>
      <c r="EK1330" s="241"/>
    </row>
    <row r="1331" spans="1:141" s="121" customFormat="1" x14ac:dyDescent="0.3">
      <c r="A1331" s="124"/>
      <c r="O1331" s="235"/>
      <c r="X1331" s="117"/>
      <c r="Y1331" s="117"/>
      <c r="DT1331" s="240"/>
      <c r="DU1331" s="240"/>
      <c r="DV1331" s="240"/>
      <c r="DW1331" s="240"/>
      <c r="DX1331" s="240"/>
      <c r="DY1331" s="240"/>
      <c r="DZ1331" s="240"/>
      <c r="EA1331" s="240"/>
      <c r="EB1331" s="237"/>
      <c r="EC1331" s="241"/>
      <c r="ED1331" s="241"/>
      <c r="EE1331" s="241"/>
      <c r="EG1331" s="241"/>
      <c r="EI1331" s="241"/>
      <c r="EK1331" s="241"/>
    </row>
    <row r="1332" spans="1:141" s="121" customFormat="1" x14ac:dyDescent="0.3">
      <c r="A1332" s="124"/>
      <c r="O1332" s="235"/>
      <c r="X1332" s="117"/>
      <c r="Y1332" s="117"/>
      <c r="DT1332" s="240"/>
      <c r="DU1332" s="240"/>
      <c r="DV1332" s="240"/>
      <c r="DW1332" s="240"/>
      <c r="DX1332" s="240"/>
      <c r="DY1332" s="240"/>
      <c r="DZ1332" s="240"/>
      <c r="EA1332" s="240"/>
      <c r="EB1332" s="237"/>
      <c r="EC1332" s="241"/>
      <c r="ED1332" s="241"/>
      <c r="EE1332" s="241"/>
      <c r="EG1332" s="241"/>
      <c r="EI1332" s="241"/>
      <c r="EK1332" s="241"/>
    </row>
    <row r="1333" spans="1:141" s="121" customFormat="1" x14ac:dyDescent="0.3">
      <c r="A1333" s="124"/>
      <c r="O1333" s="235"/>
      <c r="X1333" s="117"/>
      <c r="Y1333" s="117"/>
      <c r="DT1333" s="240"/>
      <c r="DU1333" s="240"/>
      <c r="DV1333" s="240"/>
      <c r="DW1333" s="240"/>
      <c r="DX1333" s="240"/>
      <c r="DY1333" s="240"/>
      <c r="DZ1333" s="240"/>
      <c r="EA1333" s="240"/>
      <c r="EB1333" s="237"/>
      <c r="EC1333" s="241"/>
      <c r="ED1333" s="241"/>
      <c r="EE1333" s="241"/>
      <c r="EG1333" s="241"/>
      <c r="EI1333" s="241"/>
      <c r="EK1333" s="241"/>
    </row>
    <row r="1334" spans="1:141" s="121" customFormat="1" x14ac:dyDescent="0.3">
      <c r="A1334" s="124"/>
      <c r="O1334" s="235"/>
      <c r="X1334" s="117"/>
      <c r="Y1334" s="117"/>
      <c r="DT1334" s="240"/>
      <c r="DU1334" s="240"/>
      <c r="DV1334" s="240"/>
      <c r="DW1334" s="240"/>
      <c r="DX1334" s="240"/>
      <c r="DY1334" s="240"/>
      <c r="DZ1334" s="240"/>
      <c r="EA1334" s="240"/>
      <c r="EB1334" s="237"/>
      <c r="EC1334" s="241"/>
      <c r="ED1334" s="241"/>
      <c r="EE1334" s="241"/>
      <c r="EG1334" s="241"/>
      <c r="EI1334" s="241"/>
      <c r="EK1334" s="241"/>
    </row>
    <row r="1335" spans="1:141" s="121" customFormat="1" x14ac:dyDescent="0.3">
      <c r="A1335" s="124"/>
      <c r="O1335" s="235"/>
      <c r="X1335" s="117"/>
      <c r="Y1335" s="117"/>
      <c r="DT1335" s="240"/>
      <c r="DU1335" s="240"/>
      <c r="DV1335" s="240"/>
      <c r="DW1335" s="240"/>
      <c r="DX1335" s="240"/>
      <c r="DY1335" s="240"/>
      <c r="DZ1335" s="240"/>
      <c r="EA1335" s="240"/>
      <c r="EB1335" s="237"/>
      <c r="EC1335" s="241"/>
      <c r="ED1335" s="241"/>
      <c r="EE1335" s="241"/>
      <c r="EG1335" s="241"/>
      <c r="EI1335" s="241"/>
      <c r="EK1335" s="241"/>
    </row>
    <row r="1336" spans="1:141" s="121" customFormat="1" x14ac:dyDescent="0.3">
      <c r="A1336" s="124"/>
      <c r="O1336" s="235"/>
      <c r="X1336" s="117"/>
      <c r="Y1336" s="117"/>
      <c r="DT1336" s="240"/>
      <c r="DU1336" s="240"/>
      <c r="DV1336" s="240"/>
      <c r="DW1336" s="240"/>
      <c r="DX1336" s="240"/>
      <c r="DY1336" s="240"/>
      <c r="DZ1336" s="240"/>
      <c r="EA1336" s="240"/>
      <c r="EB1336" s="237"/>
      <c r="EC1336" s="241"/>
      <c r="ED1336" s="241"/>
      <c r="EE1336" s="241"/>
      <c r="EG1336" s="241"/>
      <c r="EI1336" s="241"/>
      <c r="EK1336" s="241"/>
    </row>
    <row r="1337" spans="1:141" s="121" customFormat="1" x14ac:dyDescent="0.3">
      <c r="A1337" s="124"/>
      <c r="O1337" s="235"/>
      <c r="X1337" s="117"/>
      <c r="Y1337" s="117"/>
      <c r="DT1337" s="240"/>
      <c r="DU1337" s="240"/>
      <c r="DV1337" s="240"/>
      <c r="DW1337" s="240"/>
      <c r="DX1337" s="240"/>
      <c r="DY1337" s="240"/>
      <c r="DZ1337" s="240"/>
      <c r="EA1337" s="240"/>
      <c r="EB1337" s="237"/>
      <c r="EC1337" s="241"/>
      <c r="ED1337" s="241"/>
      <c r="EE1337" s="241"/>
      <c r="EG1337" s="241"/>
      <c r="EI1337" s="241"/>
      <c r="EK1337" s="241"/>
    </row>
    <row r="1338" spans="1:141" s="121" customFormat="1" x14ac:dyDescent="0.3">
      <c r="A1338" s="124"/>
      <c r="O1338" s="235"/>
      <c r="X1338" s="117"/>
      <c r="Y1338" s="117"/>
      <c r="DT1338" s="240"/>
      <c r="DU1338" s="240"/>
      <c r="DV1338" s="240"/>
      <c r="DW1338" s="240"/>
      <c r="DX1338" s="240"/>
      <c r="DY1338" s="240"/>
      <c r="DZ1338" s="240"/>
      <c r="EA1338" s="240"/>
      <c r="EB1338" s="237"/>
      <c r="EC1338" s="241"/>
      <c r="ED1338" s="241"/>
      <c r="EE1338" s="241"/>
      <c r="EG1338" s="241"/>
      <c r="EI1338" s="241"/>
      <c r="EK1338" s="241"/>
    </row>
    <row r="1339" spans="1:141" s="121" customFormat="1" x14ac:dyDescent="0.3">
      <c r="A1339" s="124"/>
      <c r="O1339" s="235"/>
      <c r="X1339" s="117"/>
      <c r="Y1339" s="117"/>
      <c r="DT1339" s="240"/>
      <c r="DU1339" s="240"/>
      <c r="DV1339" s="240"/>
      <c r="DW1339" s="240"/>
      <c r="DX1339" s="240"/>
      <c r="DY1339" s="240"/>
      <c r="DZ1339" s="240"/>
      <c r="EA1339" s="240"/>
      <c r="EB1339" s="237"/>
      <c r="EC1339" s="241"/>
      <c r="ED1339" s="241"/>
      <c r="EE1339" s="241"/>
      <c r="EG1339" s="241"/>
      <c r="EI1339" s="241"/>
      <c r="EK1339" s="241"/>
    </row>
    <row r="1340" spans="1:141" s="121" customFormat="1" x14ac:dyDescent="0.3">
      <c r="A1340" s="124"/>
      <c r="O1340" s="235"/>
      <c r="X1340" s="117"/>
      <c r="Y1340" s="117"/>
      <c r="DT1340" s="240"/>
      <c r="DU1340" s="240"/>
      <c r="DV1340" s="240"/>
      <c r="DW1340" s="240"/>
      <c r="DX1340" s="240"/>
      <c r="DY1340" s="240"/>
      <c r="DZ1340" s="240"/>
      <c r="EA1340" s="240"/>
      <c r="EB1340" s="237"/>
      <c r="EC1340" s="241"/>
      <c r="ED1340" s="241"/>
      <c r="EE1340" s="241"/>
      <c r="EG1340" s="241"/>
      <c r="EI1340" s="241"/>
      <c r="EK1340" s="241"/>
    </row>
    <row r="1341" spans="1:141" s="121" customFormat="1" x14ac:dyDescent="0.3">
      <c r="A1341" s="124"/>
      <c r="O1341" s="235"/>
      <c r="X1341" s="117"/>
      <c r="Y1341" s="117"/>
      <c r="DT1341" s="240"/>
      <c r="DU1341" s="240"/>
      <c r="DV1341" s="240"/>
      <c r="DW1341" s="240"/>
      <c r="DX1341" s="240"/>
      <c r="DY1341" s="240"/>
      <c r="DZ1341" s="240"/>
      <c r="EA1341" s="240"/>
      <c r="EB1341" s="237"/>
      <c r="EC1341" s="241"/>
      <c r="ED1341" s="241"/>
      <c r="EE1341" s="241"/>
      <c r="EG1341" s="241"/>
      <c r="EI1341" s="241"/>
      <c r="EK1341" s="241"/>
    </row>
    <row r="1342" spans="1:141" s="121" customFormat="1" x14ac:dyDescent="0.3">
      <c r="A1342" s="124"/>
      <c r="O1342" s="235"/>
      <c r="X1342" s="117"/>
      <c r="Y1342" s="117"/>
      <c r="DT1342" s="240"/>
      <c r="DU1342" s="240"/>
      <c r="DV1342" s="240"/>
      <c r="DW1342" s="240"/>
      <c r="DX1342" s="240"/>
      <c r="DY1342" s="240"/>
      <c r="DZ1342" s="240"/>
      <c r="EA1342" s="240"/>
      <c r="EB1342" s="237"/>
      <c r="EC1342" s="241"/>
      <c r="ED1342" s="241"/>
      <c r="EE1342" s="241"/>
      <c r="EG1342" s="241"/>
      <c r="EI1342" s="241"/>
      <c r="EK1342" s="241"/>
    </row>
    <row r="1343" spans="1:141" s="121" customFormat="1" x14ac:dyDescent="0.3">
      <c r="A1343" s="124"/>
      <c r="O1343" s="235"/>
      <c r="X1343" s="117"/>
      <c r="Y1343" s="117"/>
      <c r="DT1343" s="240"/>
      <c r="DU1343" s="240"/>
      <c r="DV1343" s="240"/>
      <c r="DW1343" s="240"/>
      <c r="DX1343" s="240"/>
      <c r="DY1343" s="240"/>
      <c r="DZ1343" s="240"/>
      <c r="EA1343" s="240"/>
      <c r="EB1343" s="237"/>
      <c r="EC1343" s="241"/>
      <c r="ED1343" s="241"/>
      <c r="EE1343" s="241"/>
      <c r="EG1343" s="241"/>
      <c r="EI1343" s="241"/>
      <c r="EK1343" s="241"/>
    </row>
    <row r="1344" spans="1:141" s="121" customFormat="1" x14ac:dyDescent="0.3">
      <c r="A1344" s="124"/>
      <c r="O1344" s="235"/>
      <c r="X1344" s="117"/>
      <c r="Y1344" s="117"/>
      <c r="DT1344" s="240"/>
      <c r="DU1344" s="240"/>
      <c r="DV1344" s="240"/>
      <c r="DW1344" s="240"/>
      <c r="DX1344" s="240"/>
      <c r="DY1344" s="240"/>
      <c r="DZ1344" s="240"/>
      <c r="EA1344" s="240"/>
      <c r="EB1344" s="237"/>
      <c r="EC1344" s="241"/>
      <c r="ED1344" s="241"/>
      <c r="EE1344" s="241"/>
      <c r="EG1344" s="241"/>
      <c r="EI1344" s="241"/>
      <c r="EK1344" s="241"/>
    </row>
    <row r="1345" spans="1:141" s="121" customFormat="1" x14ac:dyDescent="0.3">
      <c r="A1345" s="124"/>
      <c r="O1345" s="235"/>
      <c r="X1345" s="117"/>
      <c r="Y1345" s="117"/>
      <c r="DT1345" s="240"/>
      <c r="DU1345" s="240"/>
      <c r="DV1345" s="240"/>
      <c r="DW1345" s="240"/>
      <c r="DX1345" s="240"/>
      <c r="DY1345" s="240"/>
      <c r="DZ1345" s="240"/>
      <c r="EA1345" s="240"/>
      <c r="EB1345" s="237"/>
      <c r="EC1345" s="241"/>
      <c r="ED1345" s="241"/>
      <c r="EE1345" s="241"/>
      <c r="EG1345" s="241"/>
      <c r="EI1345" s="241"/>
      <c r="EK1345" s="241"/>
    </row>
    <row r="1346" spans="1:141" s="121" customFormat="1" x14ac:dyDescent="0.3">
      <c r="A1346" s="124"/>
      <c r="O1346" s="235"/>
      <c r="X1346" s="117"/>
      <c r="Y1346" s="117"/>
      <c r="DT1346" s="240"/>
      <c r="DU1346" s="240"/>
      <c r="DV1346" s="240"/>
      <c r="DW1346" s="240"/>
      <c r="DX1346" s="240"/>
      <c r="DY1346" s="240"/>
      <c r="DZ1346" s="240"/>
      <c r="EA1346" s="240"/>
      <c r="EB1346" s="237"/>
      <c r="EC1346" s="241"/>
      <c r="ED1346" s="241"/>
      <c r="EE1346" s="241"/>
      <c r="EG1346" s="241"/>
      <c r="EI1346" s="241"/>
      <c r="EK1346" s="241"/>
    </row>
    <row r="1347" spans="1:141" s="121" customFormat="1" x14ac:dyDescent="0.3">
      <c r="A1347" s="124"/>
      <c r="O1347" s="235"/>
      <c r="X1347" s="117"/>
      <c r="Y1347" s="117"/>
      <c r="DT1347" s="240"/>
      <c r="DU1347" s="240"/>
      <c r="DV1347" s="240"/>
      <c r="DW1347" s="240"/>
      <c r="DX1347" s="240"/>
      <c r="DY1347" s="240"/>
      <c r="DZ1347" s="240"/>
      <c r="EA1347" s="240"/>
      <c r="EB1347" s="237"/>
      <c r="EC1347" s="241"/>
      <c r="ED1347" s="241"/>
      <c r="EE1347" s="241"/>
      <c r="EG1347" s="241"/>
      <c r="EI1347" s="241"/>
      <c r="EK1347" s="241"/>
    </row>
    <row r="1348" spans="1:141" s="121" customFormat="1" x14ac:dyDescent="0.3">
      <c r="A1348" s="124"/>
      <c r="O1348" s="235"/>
      <c r="X1348" s="117"/>
      <c r="Y1348" s="117"/>
      <c r="DT1348" s="240"/>
      <c r="DU1348" s="240"/>
      <c r="DV1348" s="240"/>
      <c r="DW1348" s="240"/>
      <c r="DX1348" s="240"/>
      <c r="DY1348" s="240"/>
      <c r="DZ1348" s="240"/>
      <c r="EA1348" s="240"/>
      <c r="EB1348" s="237"/>
      <c r="EC1348" s="241"/>
      <c r="ED1348" s="241"/>
      <c r="EE1348" s="241"/>
      <c r="EG1348" s="241"/>
      <c r="EI1348" s="241"/>
      <c r="EK1348" s="241"/>
    </row>
    <row r="1349" spans="1:141" s="121" customFormat="1" x14ac:dyDescent="0.3">
      <c r="A1349" s="124"/>
      <c r="O1349" s="235"/>
      <c r="X1349" s="117"/>
      <c r="Y1349" s="117"/>
      <c r="DT1349" s="240"/>
      <c r="DU1349" s="240"/>
      <c r="DV1349" s="240"/>
      <c r="DW1349" s="240"/>
      <c r="DX1349" s="240"/>
      <c r="DY1349" s="240"/>
      <c r="DZ1349" s="240"/>
      <c r="EA1349" s="240"/>
      <c r="EB1349" s="237"/>
      <c r="EC1349" s="241"/>
      <c r="ED1349" s="241"/>
      <c r="EE1349" s="241"/>
      <c r="EG1349" s="241"/>
      <c r="EI1349" s="241"/>
      <c r="EK1349" s="241"/>
    </row>
    <row r="1350" spans="1:141" s="121" customFormat="1" x14ac:dyDescent="0.3">
      <c r="A1350" s="124"/>
      <c r="O1350" s="235"/>
      <c r="X1350" s="117"/>
      <c r="Y1350" s="117"/>
      <c r="DT1350" s="240"/>
      <c r="DU1350" s="240"/>
      <c r="DV1350" s="240"/>
      <c r="DW1350" s="240"/>
      <c r="DX1350" s="240"/>
      <c r="DY1350" s="240"/>
      <c r="DZ1350" s="240"/>
      <c r="EA1350" s="240"/>
      <c r="EB1350" s="237"/>
      <c r="EC1350" s="241"/>
      <c r="ED1350" s="241"/>
      <c r="EE1350" s="241"/>
      <c r="EG1350" s="241"/>
      <c r="EI1350" s="241"/>
      <c r="EK1350" s="241"/>
    </row>
    <row r="1351" spans="1:141" s="121" customFormat="1" x14ac:dyDescent="0.3">
      <c r="A1351" s="124"/>
      <c r="O1351" s="235"/>
      <c r="X1351" s="117"/>
      <c r="Y1351" s="117"/>
      <c r="DT1351" s="240"/>
      <c r="DU1351" s="240"/>
      <c r="DV1351" s="240"/>
      <c r="DW1351" s="240"/>
      <c r="DX1351" s="240"/>
      <c r="DY1351" s="240"/>
      <c r="DZ1351" s="240"/>
      <c r="EA1351" s="240"/>
      <c r="EB1351" s="237"/>
      <c r="EC1351" s="241"/>
      <c r="ED1351" s="241"/>
      <c r="EE1351" s="241"/>
      <c r="EG1351" s="241"/>
      <c r="EI1351" s="241"/>
      <c r="EK1351" s="241"/>
    </row>
    <row r="1352" spans="1:141" s="121" customFormat="1" x14ac:dyDescent="0.3">
      <c r="A1352" s="124"/>
      <c r="O1352" s="235"/>
      <c r="X1352" s="117"/>
      <c r="Y1352" s="117"/>
      <c r="DT1352" s="240"/>
      <c r="DU1352" s="240"/>
      <c r="DV1352" s="240"/>
      <c r="DW1352" s="240"/>
      <c r="DX1352" s="240"/>
      <c r="DY1352" s="240"/>
      <c r="DZ1352" s="240"/>
      <c r="EA1352" s="240"/>
      <c r="EB1352" s="237"/>
      <c r="EC1352" s="241"/>
      <c r="ED1352" s="241"/>
      <c r="EE1352" s="241"/>
      <c r="EG1352" s="241"/>
      <c r="EI1352" s="241"/>
      <c r="EK1352" s="241"/>
    </row>
    <row r="1353" spans="1:141" s="121" customFormat="1" x14ac:dyDescent="0.3">
      <c r="A1353" s="124"/>
      <c r="O1353" s="235"/>
      <c r="X1353" s="117"/>
      <c r="Y1353" s="117"/>
      <c r="DT1353" s="240"/>
      <c r="DU1353" s="240"/>
      <c r="DV1353" s="240"/>
      <c r="DW1353" s="240"/>
      <c r="DX1353" s="240"/>
      <c r="DY1353" s="240"/>
      <c r="DZ1353" s="240"/>
      <c r="EA1353" s="240"/>
      <c r="EB1353" s="237"/>
      <c r="EC1353" s="241"/>
      <c r="ED1353" s="241"/>
      <c r="EE1353" s="241"/>
      <c r="EG1353" s="241"/>
      <c r="EI1353" s="241"/>
      <c r="EK1353" s="241"/>
    </row>
    <row r="1354" spans="1:141" s="121" customFormat="1" x14ac:dyDescent="0.3">
      <c r="A1354" s="124"/>
      <c r="O1354" s="235"/>
      <c r="X1354" s="117"/>
      <c r="Y1354" s="117"/>
      <c r="DT1354" s="240"/>
      <c r="DU1354" s="240"/>
      <c r="DV1354" s="240"/>
      <c r="DW1354" s="240"/>
      <c r="DX1354" s="240"/>
      <c r="DY1354" s="240"/>
      <c r="DZ1354" s="240"/>
      <c r="EA1354" s="240"/>
      <c r="EB1354" s="237"/>
      <c r="EC1354" s="241"/>
      <c r="ED1354" s="241"/>
      <c r="EE1354" s="241"/>
      <c r="EG1354" s="241"/>
      <c r="EI1354" s="241"/>
      <c r="EK1354" s="241"/>
    </row>
    <row r="1355" spans="1:141" s="121" customFormat="1" x14ac:dyDescent="0.3">
      <c r="A1355" s="124"/>
      <c r="O1355" s="235"/>
      <c r="X1355" s="117"/>
      <c r="Y1355" s="117"/>
      <c r="DT1355" s="240"/>
      <c r="DU1355" s="240"/>
      <c r="DV1355" s="240"/>
      <c r="DW1355" s="240"/>
      <c r="DX1355" s="240"/>
      <c r="DY1355" s="240"/>
      <c r="DZ1355" s="240"/>
      <c r="EA1355" s="240"/>
      <c r="EB1355" s="237"/>
      <c r="EC1355" s="241"/>
      <c r="ED1355" s="241"/>
      <c r="EE1355" s="241"/>
      <c r="EG1355" s="241"/>
      <c r="EI1355" s="241"/>
      <c r="EK1355" s="241"/>
    </row>
    <row r="1356" spans="1:141" s="121" customFormat="1" x14ac:dyDescent="0.3">
      <c r="A1356" s="124"/>
      <c r="O1356" s="235"/>
      <c r="X1356" s="117"/>
      <c r="Y1356" s="117"/>
      <c r="DT1356" s="240"/>
      <c r="DU1356" s="240"/>
      <c r="DV1356" s="240"/>
      <c r="DW1356" s="240"/>
      <c r="DX1356" s="240"/>
      <c r="DY1356" s="240"/>
      <c r="DZ1356" s="240"/>
      <c r="EA1356" s="240"/>
      <c r="EB1356" s="237"/>
      <c r="EC1356" s="241"/>
      <c r="ED1356" s="241"/>
      <c r="EE1356" s="241"/>
      <c r="EG1356" s="241"/>
      <c r="EI1356" s="241"/>
      <c r="EK1356" s="241"/>
    </row>
    <row r="1357" spans="1:141" s="121" customFormat="1" x14ac:dyDescent="0.3">
      <c r="A1357" s="124"/>
      <c r="O1357" s="235"/>
      <c r="X1357" s="117"/>
      <c r="Y1357" s="117"/>
      <c r="DT1357" s="240"/>
      <c r="DU1357" s="240"/>
      <c r="DV1357" s="240"/>
      <c r="DW1357" s="240"/>
      <c r="DX1357" s="240"/>
      <c r="DY1357" s="240"/>
      <c r="DZ1357" s="240"/>
      <c r="EA1357" s="240"/>
      <c r="EB1357" s="237"/>
      <c r="EC1357" s="241"/>
      <c r="ED1357" s="241"/>
      <c r="EE1357" s="241"/>
      <c r="EG1357" s="241"/>
      <c r="EI1357" s="241"/>
      <c r="EK1357" s="241"/>
    </row>
    <row r="1358" spans="1:141" s="121" customFormat="1" x14ac:dyDescent="0.3">
      <c r="A1358" s="124"/>
      <c r="O1358" s="235"/>
      <c r="X1358" s="117"/>
      <c r="Y1358" s="117"/>
      <c r="DT1358" s="240"/>
      <c r="DU1358" s="240"/>
      <c r="DV1358" s="240"/>
      <c r="DW1358" s="240"/>
      <c r="DX1358" s="240"/>
      <c r="DY1358" s="240"/>
      <c r="DZ1358" s="240"/>
      <c r="EA1358" s="240"/>
      <c r="EB1358" s="237"/>
      <c r="EC1358" s="241"/>
      <c r="ED1358" s="241"/>
      <c r="EE1358" s="241"/>
      <c r="EG1358" s="241"/>
      <c r="EI1358" s="241"/>
      <c r="EK1358" s="241"/>
    </row>
    <row r="1359" spans="1:141" s="121" customFormat="1" x14ac:dyDescent="0.3">
      <c r="A1359" s="124"/>
      <c r="O1359" s="235"/>
      <c r="X1359" s="117"/>
      <c r="Y1359" s="117"/>
      <c r="DT1359" s="240"/>
      <c r="DU1359" s="240"/>
      <c r="DV1359" s="240"/>
      <c r="DW1359" s="240"/>
      <c r="DX1359" s="240"/>
      <c r="DY1359" s="240"/>
      <c r="DZ1359" s="240"/>
      <c r="EA1359" s="240"/>
      <c r="EB1359" s="237"/>
      <c r="EC1359" s="241"/>
      <c r="ED1359" s="241"/>
      <c r="EE1359" s="241"/>
      <c r="EG1359" s="241"/>
      <c r="EI1359" s="241"/>
      <c r="EK1359" s="241"/>
    </row>
    <row r="1360" spans="1:141" s="121" customFormat="1" x14ac:dyDescent="0.3">
      <c r="A1360" s="124"/>
      <c r="O1360" s="235"/>
      <c r="X1360" s="117"/>
      <c r="Y1360" s="117"/>
      <c r="DT1360" s="240"/>
      <c r="DU1360" s="240"/>
      <c r="DV1360" s="240"/>
      <c r="DW1360" s="240"/>
      <c r="DX1360" s="240"/>
      <c r="DY1360" s="240"/>
      <c r="DZ1360" s="240"/>
      <c r="EA1360" s="240"/>
      <c r="EB1360" s="237"/>
      <c r="EC1360" s="241"/>
      <c r="ED1360" s="241"/>
      <c r="EE1360" s="241"/>
      <c r="EG1360" s="241"/>
      <c r="EI1360" s="241"/>
      <c r="EK1360" s="241"/>
    </row>
    <row r="1361" spans="1:141" s="121" customFormat="1" x14ac:dyDescent="0.3">
      <c r="A1361" s="124"/>
      <c r="O1361" s="235"/>
      <c r="X1361" s="117"/>
      <c r="Y1361" s="117"/>
      <c r="DT1361" s="240"/>
      <c r="DU1361" s="240"/>
      <c r="DV1361" s="240"/>
      <c r="DW1361" s="240"/>
      <c r="DX1361" s="240"/>
      <c r="DY1361" s="240"/>
      <c r="DZ1361" s="240"/>
      <c r="EA1361" s="240"/>
      <c r="EB1361" s="237"/>
      <c r="EC1361" s="241"/>
      <c r="ED1361" s="241"/>
      <c r="EE1361" s="241"/>
      <c r="EG1361" s="241"/>
      <c r="EI1361" s="241"/>
      <c r="EK1361" s="241"/>
    </row>
    <row r="1362" spans="1:141" s="121" customFormat="1" x14ac:dyDescent="0.3">
      <c r="A1362" s="124"/>
      <c r="O1362" s="235"/>
      <c r="X1362" s="117"/>
      <c r="Y1362" s="117"/>
      <c r="DT1362" s="240"/>
      <c r="DU1362" s="240"/>
      <c r="DV1362" s="240"/>
      <c r="DW1362" s="240"/>
      <c r="DX1362" s="240"/>
      <c r="DY1362" s="240"/>
      <c r="DZ1362" s="240"/>
      <c r="EA1362" s="240"/>
      <c r="EB1362" s="237"/>
      <c r="EC1362" s="241"/>
      <c r="ED1362" s="241"/>
      <c r="EE1362" s="241"/>
      <c r="EG1362" s="241"/>
      <c r="EI1362" s="241"/>
      <c r="EK1362" s="241"/>
    </row>
    <row r="1363" spans="1:141" s="121" customFormat="1" x14ac:dyDescent="0.3">
      <c r="A1363" s="124"/>
      <c r="O1363" s="235"/>
      <c r="X1363" s="117"/>
      <c r="Y1363" s="117"/>
      <c r="DT1363" s="240"/>
      <c r="DU1363" s="240"/>
      <c r="DV1363" s="240"/>
      <c r="DW1363" s="240"/>
      <c r="DX1363" s="240"/>
      <c r="DY1363" s="240"/>
      <c r="DZ1363" s="240"/>
      <c r="EA1363" s="240"/>
      <c r="EB1363" s="237"/>
      <c r="EC1363" s="241"/>
      <c r="ED1363" s="241"/>
      <c r="EE1363" s="241"/>
      <c r="EG1363" s="241"/>
      <c r="EI1363" s="241"/>
      <c r="EK1363" s="241"/>
    </row>
    <row r="1364" spans="1:141" s="121" customFormat="1" x14ac:dyDescent="0.3">
      <c r="A1364" s="124"/>
      <c r="O1364" s="235"/>
      <c r="X1364" s="117"/>
      <c r="Y1364" s="117"/>
      <c r="DT1364" s="240"/>
      <c r="DU1364" s="240"/>
      <c r="DV1364" s="240"/>
      <c r="DW1364" s="240"/>
      <c r="DX1364" s="240"/>
      <c r="DY1364" s="240"/>
      <c r="DZ1364" s="240"/>
      <c r="EA1364" s="240"/>
      <c r="EB1364" s="237"/>
      <c r="EC1364" s="241"/>
      <c r="ED1364" s="241"/>
      <c r="EE1364" s="241"/>
      <c r="EG1364" s="241"/>
      <c r="EI1364" s="241"/>
      <c r="EK1364" s="241"/>
    </row>
    <row r="1365" spans="1:141" s="121" customFormat="1" x14ac:dyDescent="0.3">
      <c r="A1365" s="124"/>
      <c r="O1365" s="235"/>
      <c r="X1365" s="117"/>
      <c r="Y1365" s="117"/>
      <c r="DT1365" s="240"/>
      <c r="DU1365" s="240"/>
      <c r="DV1365" s="240"/>
      <c r="DW1365" s="240"/>
      <c r="DX1365" s="240"/>
      <c r="DY1365" s="240"/>
      <c r="DZ1365" s="240"/>
      <c r="EA1365" s="240"/>
      <c r="EB1365" s="237"/>
      <c r="EC1365" s="241"/>
      <c r="ED1365" s="241"/>
      <c r="EE1365" s="241"/>
      <c r="EG1365" s="241"/>
      <c r="EI1365" s="241"/>
      <c r="EK1365" s="241"/>
    </row>
    <row r="1366" spans="1:141" s="121" customFormat="1" x14ac:dyDescent="0.3">
      <c r="A1366" s="124"/>
      <c r="O1366" s="235"/>
      <c r="X1366" s="117"/>
      <c r="Y1366" s="117"/>
      <c r="DT1366" s="240"/>
      <c r="DU1366" s="240"/>
      <c r="DV1366" s="240"/>
      <c r="DW1366" s="240"/>
      <c r="DX1366" s="240"/>
      <c r="DY1366" s="240"/>
      <c r="DZ1366" s="240"/>
      <c r="EA1366" s="240"/>
      <c r="EB1366" s="237"/>
      <c r="EC1366" s="241"/>
      <c r="ED1366" s="241"/>
      <c r="EE1366" s="241"/>
      <c r="EG1366" s="241"/>
      <c r="EI1366" s="241"/>
      <c r="EK1366" s="241"/>
    </row>
    <row r="1367" spans="1:141" s="121" customFormat="1" x14ac:dyDescent="0.3">
      <c r="A1367" s="124"/>
      <c r="O1367" s="235"/>
      <c r="X1367" s="117"/>
      <c r="Y1367" s="117"/>
      <c r="DT1367" s="240"/>
      <c r="DU1367" s="240"/>
      <c r="DV1367" s="240"/>
      <c r="DW1367" s="240"/>
      <c r="DX1367" s="240"/>
      <c r="DY1367" s="240"/>
      <c r="DZ1367" s="240"/>
      <c r="EA1367" s="240"/>
      <c r="EB1367" s="237"/>
      <c r="EC1367" s="241"/>
      <c r="ED1367" s="241"/>
      <c r="EE1367" s="241"/>
      <c r="EG1367" s="241"/>
      <c r="EI1367" s="241"/>
      <c r="EK1367" s="241"/>
    </row>
    <row r="1368" spans="1:141" s="121" customFormat="1" x14ac:dyDescent="0.3">
      <c r="A1368" s="124"/>
      <c r="O1368" s="235"/>
      <c r="X1368" s="117"/>
      <c r="Y1368" s="117"/>
      <c r="DT1368" s="240"/>
      <c r="DU1368" s="240"/>
      <c r="DV1368" s="240"/>
      <c r="DW1368" s="240"/>
      <c r="DX1368" s="240"/>
      <c r="DY1368" s="240"/>
      <c r="DZ1368" s="240"/>
      <c r="EA1368" s="240"/>
      <c r="EB1368" s="237"/>
      <c r="EC1368" s="241"/>
      <c r="ED1368" s="241"/>
      <c r="EE1368" s="241"/>
      <c r="EG1368" s="241"/>
      <c r="EI1368" s="241"/>
      <c r="EK1368" s="241"/>
    </row>
    <row r="1369" spans="1:141" s="121" customFormat="1" x14ac:dyDescent="0.3">
      <c r="A1369" s="124"/>
      <c r="O1369" s="235"/>
      <c r="X1369" s="117"/>
      <c r="Y1369" s="117"/>
      <c r="DT1369" s="240"/>
      <c r="DU1369" s="240"/>
      <c r="DV1369" s="240"/>
      <c r="DW1369" s="240"/>
      <c r="DX1369" s="240"/>
      <c r="DY1369" s="240"/>
      <c r="DZ1369" s="240"/>
      <c r="EA1369" s="240"/>
      <c r="EB1369" s="237"/>
      <c r="EC1369" s="241"/>
      <c r="ED1369" s="241"/>
      <c r="EE1369" s="241"/>
      <c r="EG1369" s="241"/>
      <c r="EI1369" s="241"/>
      <c r="EK1369" s="241"/>
    </row>
    <row r="1370" spans="1:141" s="121" customFormat="1" x14ac:dyDescent="0.3">
      <c r="A1370" s="124"/>
      <c r="O1370" s="235"/>
      <c r="X1370" s="117"/>
      <c r="Y1370" s="117"/>
      <c r="DT1370" s="240"/>
      <c r="DU1370" s="240"/>
      <c r="DV1370" s="240"/>
      <c r="DW1370" s="240"/>
      <c r="DX1370" s="240"/>
      <c r="DY1370" s="240"/>
      <c r="DZ1370" s="240"/>
      <c r="EA1370" s="240"/>
      <c r="EB1370" s="237"/>
      <c r="EC1370" s="241"/>
      <c r="ED1370" s="241"/>
      <c r="EE1370" s="241"/>
      <c r="EG1370" s="241"/>
      <c r="EI1370" s="241"/>
      <c r="EK1370" s="241"/>
    </row>
    <row r="1371" spans="1:141" s="121" customFormat="1" x14ac:dyDescent="0.3">
      <c r="A1371" s="124"/>
      <c r="O1371" s="235"/>
      <c r="X1371" s="117"/>
      <c r="Y1371" s="117"/>
      <c r="DT1371" s="240"/>
      <c r="DU1371" s="240"/>
      <c r="DV1371" s="240"/>
      <c r="DW1371" s="240"/>
      <c r="DX1371" s="240"/>
      <c r="DY1371" s="240"/>
      <c r="DZ1371" s="240"/>
      <c r="EA1371" s="240"/>
      <c r="EB1371" s="237"/>
      <c r="EC1371" s="241"/>
      <c r="ED1371" s="241"/>
      <c r="EE1371" s="241"/>
      <c r="EG1371" s="241"/>
      <c r="EI1371" s="241"/>
      <c r="EK1371" s="241"/>
    </row>
    <row r="1372" spans="1:141" s="121" customFormat="1" x14ac:dyDescent="0.3">
      <c r="A1372" s="124"/>
      <c r="O1372" s="235"/>
      <c r="X1372" s="117"/>
      <c r="Y1372" s="117"/>
      <c r="DT1372" s="240"/>
      <c r="DU1372" s="240"/>
      <c r="DV1372" s="240"/>
      <c r="DW1372" s="240"/>
      <c r="DX1372" s="240"/>
      <c r="DY1372" s="240"/>
      <c r="DZ1372" s="240"/>
      <c r="EA1372" s="240"/>
      <c r="EB1372" s="237"/>
      <c r="EC1372" s="241"/>
      <c r="ED1372" s="241"/>
      <c r="EE1372" s="241"/>
      <c r="EG1372" s="241"/>
      <c r="EI1372" s="241"/>
      <c r="EK1372" s="241"/>
    </row>
    <row r="1373" spans="1:141" s="121" customFormat="1" x14ac:dyDescent="0.3">
      <c r="A1373" s="124"/>
      <c r="O1373" s="235"/>
      <c r="X1373" s="117"/>
      <c r="Y1373" s="117"/>
      <c r="DT1373" s="240"/>
      <c r="DU1373" s="240"/>
      <c r="DV1373" s="240"/>
      <c r="DW1373" s="240"/>
      <c r="DX1373" s="240"/>
      <c r="DY1373" s="240"/>
      <c r="DZ1373" s="240"/>
      <c r="EA1373" s="240"/>
      <c r="EB1373" s="237"/>
      <c r="EC1373" s="241"/>
      <c r="ED1373" s="241"/>
      <c r="EE1373" s="241"/>
      <c r="EG1373" s="241"/>
      <c r="EI1373" s="241"/>
      <c r="EK1373" s="241"/>
    </row>
    <row r="1374" spans="1:141" s="121" customFormat="1" x14ac:dyDescent="0.3">
      <c r="A1374" s="124"/>
      <c r="O1374" s="235"/>
      <c r="X1374" s="117"/>
      <c r="Y1374" s="117"/>
      <c r="DT1374" s="240"/>
      <c r="DU1374" s="240"/>
      <c r="DV1374" s="240"/>
      <c r="DW1374" s="240"/>
      <c r="DX1374" s="240"/>
      <c r="DY1374" s="240"/>
      <c r="DZ1374" s="240"/>
      <c r="EA1374" s="240"/>
      <c r="EB1374" s="237"/>
      <c r="EC1374" s="241"/>
      <c r="ED1374" s="241"/>
      <c r="EE1374" s="241"/>
      <c r="EG1374" s="241"/>
      <c r="EI1374" s="241"/>
      <c r="EK1374" s="241"/>
    </row>
    <row r="1375" spans="1:141" s="121" customFormat="1" x14ac:dyDescent="0.3">
      <c r="A1375" s="124"/>
      <c r="O1375" s="235"/>
      <c r="X1375" s="117"/>
      <c r="Y1375" s="117"/>
      <c r="DT1375" s="240"/>
      <c r="DU1375" s="240"/>
      <c r="DV1375" s="240"/>
      <c r="DW1375" s="240"/>
      <c r="DX1375" s="240"/>
      <c r="DY1375" s="240"/>
      <c r="DZ1375" s="240"/>
      <c r="EA1375" s="240"/>
      <c r="EB1375" s="237"/>
      <c r="EC1375" s="241"/>
      <c r="ED1375" s="241"/>
      <c r="EE1375" s="241"/>
      <c r="EG1375" s="241"/>
      <c r="EI1375" s="241"/>
      <c r="EK1375" s="241"/>
    </row>
    <row r="1376" spans="1:141" s="121" customFormat="1" x14ac:dyDescent="0.3">
      <c r="A1376" s="124"/>
      <c r="O1376" s="235"/>
      <c r="X1376" s="117"/>
      <c r="Y1376" s="117"/>
      <c r="DT1376" s="240"/>
      <c r="DU1376" s="240"/>
      <c r="DV1376" s="240"/>
      <c r="DW1376" s="240"/>
      <c r="DX1376" s="240"/>
      <c r="DY1376" s="240"/>
      <c r="DZ1376" s="240"/>
      <c r="EA1376" s="240"/>
      <c r="EB1376" s="237"/>
      <c r="EC1376" s="241"/>
      <c r="ED1376" s="241"/>
      <c r="EE1376" s="241"/>
      <c r="EG1376" s="241"/>
      <c r="EI1376" s="241"/>
      <c r="EK1376" s="241"/>
    </row>
    <row r="1377" spans="1:141" s="121" customFormat="1" x14ac:dyDescent="0.3">
      <c r="A1377" s="124"/>
      <c r="O1377" s="235"/>
      <c r="X1377" s="117"/>
      <c r="Y1377" s="117"/>
      <c r="DT1377" s="240"/>
      <c r="DU1377" s="240"/>
      <c r="DV1377" s="240"/>
      <c r="DW1377" s="240"/>
      <c r="DX1377" s="240"/>
      <c r="DY1377" s="240"/>
      <c r="DZ1377" s="240"/>
      <c r="EA1377" s="240"/>
      <c r="EB1377" s="237"/>
      <c r="EC1377" s="241"/>
      <c r="ED1377" s="241"/>
      <c r="EE1377" s="241"/>
      <c r="EG1377" s="241"/>
      <c r="EI1377" s="241"/>
      <c r="EK1377" s="241"/>
    </row>
    <row r="1378" spans="1:141" s="121" customFormat="1" x14ac:dyDescent="0.3">
      <c r="A1378" s="124"/>
      <c r="O1378" s="235"/>
      <c r="X1378" s="117"/>
      <c r="Y1378" s="117"/>
      <c r="DT1378" s="240"/>
      <c r="DU1378" s="240"/>
      <c r="DV1378" s="240"/>
      <c r="DW1378" s="240"/>
      <c r="DX1378" s="240"/>
      <c r="DY1378" s="240"/>
      <c r="DZ1378" s="240"/>
      <c r="EA1378" s="240"/>
      <c r="EB1378" s="237"/>
      <c r="EC1378" s="241"/>
      <c r="ED1378" s="241"/>
      <c r="EE1378" s="241"/>
      <c r="EG1378" s="241"/>
      <c r="EI1378" s="241"/>
      <c r="EK1378" s="241"/>
    </row>
    <row r="1379" spans="1:141" s="121" customFormat="1" x14ac:dyDescent="0.3">
      <c r="A1379" s="124"/>
      <c r="O1379" s="235"/>
      <c r="X1379" s="117"/>
      <c r="Y1379" s="117"/>
      <c r="DT1379" s="240"/>
      <c r="DU1379" s="240"/>
      <c r="DV1379" s="240"/>
      <c r="DW1379" s="240"/>
      <c r="DX1379" s="240"/>
      <c r="DY1379" s="240"/>
      <c r="DZ1379" s="240"/>
      <c r="EA1379" s="240"/>
      <c r="EB1379" s="237"/>
      <c r="EC1379" s="241"/>
      <c r="ED1379" s="241"/>
      <c r="EE1379" s="241"/>
      <c r="EG1379" s="241"/>
      <c r="EI1379" s="241"/>
      <c r="EK1379" s="241"/>
    </row>
    <row r="1380" spans="1:141" s="121" customFormat="1" x14ac:dyDescent="0.3">
      <c r="A1380" s="124"/>
      <c r="O1380" s="235"/>
      <c r="X1380" s="117"/>
      <c r="Y1380" s="117"/>
      <c r="DT1380" s="240"/>
      <c r="DU1380" s="240"/>
      <c r="DV1380" s="240"/>
      <c r="DW1380" s="240"/>
      <c r="DX1380" s="240"/>
      <c r="DY1380" s="240"/>
      <c r="DZ1380" s="240"/>
      <c r="EA1380" s="240"/>
      <c r="EB1380" s="237"/>
      <c r="EC1380" s="241"/>
      <c r="ED1380" s="241"/>
      <c r="EE1380" s="241"/>
      <c r="EG1380" s="241"/>
      <c r="EI1380" s="241"/>
      <c r="EK1380" s="241"/>
    </row>
    <row r="1381" spans="1:141" s="121" customFormat="1" x14ac:dyDescent="0.3">
      <c r="A1381" s="124"/>
      <c r="O1381" s="235"/>
      <c r="X1381" s="117"/>
      <c r="Y1381" s="117"/>
      <c r="DT1381" s="240"/>
      <c r="DU1381" s="240"/>
      <c r="DV1381" s="240"/>
      <c r="DW1381" s="240"/>
      <c r="DX1381" s="240"/>
      <c r="DY1381" s="240"/>
      <c r="DZ1381" s="240"/>
      <c r="EA1381" s="240"/>
      <c r="EB1381" s="237"/>
      <c r="EC1381" s="241"/>
      <c r="ED1381" s="241"/>
      <c r="EE1381" s="241"/>
      <c r="EG1381" s="241"/>
      <c r="EI1381" s="241"/>
      <c r="EK1381" s="241"/>
    </row>
    <row r="1382" spans="1:141" s="121" customFormat="1" x14ac:dyDescent="0.3">
      <c r="A1382" s="124"/>
      <c r="O1382" s="235"/>
      <c r="X1382" s="117"/>
      <c r="Y1382" s="117"/>
      <c r="DT1382" s="240"/>
      <c r="DU1382" s="240"/>
      <c r="DV1382" s="240"/>
      <c r="DW1382" s="240"/>
      <c r="DX1382" s="240"/>
      <c r="DY1382" s="240"/>
      <c r="DZ1382" s="240"/>
      <c r="EA1382" s="240"/>
      <c r="EB1382" s="237"/>
      <c r="EC1382" s="241"/>
      <c r="ED1382" s="241"/>
      <c r="EE1382" s="241"/>
      <c r="EG1382" s="241"/>
      <c r="EI1382" s="241"/>
      <c r="EK1382" s="241"/>
    </row>
    <row r="1383" spans="1:141" s="121" customFormat="1" x14ac:dyDescent="0.3">
      <c r="A1383" s="124"/>
      <c r="O1383" s="235"/>
      <c r="X1383" s="117"/>
      <c r="Y1383" s="117"/>
      <c r="DT1383" s="240"/>
      <c r="DU1383" s="240"/>
      <c r="DV1383" s="240"/>
      <c r="DW1383" s="240"/>
      <c r="DX1383" s="240"/>
      <c r="DY1383" s="240"/>
      <c r="DZ1383" s="240"/>
      <c r="EA1383" s="240"/>
      <c r="EB1383" s="237"/>
      <c r="EC1383" s="241"/>
      <c r="ED1383" s="241"/>
      <c r="EE1383" s="241"/>
      <c r="EG1383" s="241"/>
      <c r="EI1383" s="241"/>
      <c r="EK1383" s="241"/>
    </row>
    <row r="1384" spans="1:141" s="121" customFormat="1" x14ac:dyDescent="0.3">
      <c r="A1384" s="124"/>
      <c r="O1384" s="235"/>
      <c r="X1384" s="117"/>
      <c r="Y1384" s="117"/>
      <c r="DT1384" s="240"/>
      <c r="DU1384" s="240"/>
      <c r="DV1384" s="240"/>
      <c r="DW1384" s="240"/>
      <c r="DX1384" s="240"/>
      <c r="DY1384" s="240"/>
      <c r="DZ1384" s="240"/>
      <c r="EA1384" s="240"/>
      <c r="EB1384" s="237"/>
      <c r="EC1384" s="241"/>
      <c r="ED1384" s="241"/>
      <c r="EE1384" s="241"/>
      <c r="EG1384" s="241"/>
      <c r="EI1384" s="241"/>
      <c r="EK1384" s="241"/>
    </row>
    <row r="1385" spans="1:141" s="121" customFormat="1" x14ac:dyDescent="0.3">
      <c r="A1385" s="124"/>
      <c r="O1385" s="235"/>
      <c r="X1385" s="117"/>
      <c r="Y1385" s="117"/>
      <c r="DT1385" s="240"/>
      <c r="DU1385" s="240"/>
      <c r="DV1385" s="240"/>
      <c r="DW1385" s="240"/>
      <c r="DX1385" s="240"/>
      <c r="DY1385" s="240"/>
      <c r="DZ1385" s="240"/>
      <c r="EA1385" s="240"/>
      <c r="EB1385" s="237"/>
      <c r="EC1385" s="241"/>
      <c r="ED1385" s="241"/>
      <c r="EE1385" s="241"/>
      <c r="EG1385" s="241"/>
      <c r="EI1385" s="241"/>
      <c r="EK1385" s="241"/>
    </row>
    <row r="1386" spans="1:141" s="121" customFormat="1" x14ac:dyDescent="0.3">
      <c r="A1386" s="124"/>
      <c r="O1386" s="235"/>
      <c r="X1386" s="117"/>
      <c r="Y1386" s="117"/>
      <c r="DT1386" s="240"/>
      <c r="DU1386" s="240"/>
      <c r="DV1386" s="240"/>
      <c r="DW1386" s="240"/>
      <c r="DX1386" s="240"/>
      <c r="DY1386" s="240"/>
      <c r="DZ1386" s="240"/>
      <c r="EA1386" s="240"/>
      <c r="EB1386" s="237"/>
      <c r="EC1386" s="241"/>
      <c r="ED1386" s="241"/>
      <c r="EE1386" s="241"/>
      <c r="EG1386" s="241"/>
      <c r="EI1386" s="241"/>
      <c r="EK1386" s="241"/>
    </row>
    <row r="1387" spans="1:141" s="121" customFormat="1" x14ac:dyDescent="0.3">
      <c r="A1387" s="124"/>
      <c r="O1387" s="235"/>
      <c r="X1387" s="117"/>
      <c r="Y1387" s="117"/>
      <c r="DT1387" s="240"/>
      <c r="DU1387" s="240"/>
      <c r="DV1387" s="240"/>
      <c r="DW1387" s="240"/>
      <c r="DX1387" s="240"/>
      <c r="DY1387" s="240"/>
      <c r="DZ1387" s="240"/>
      <c r="EA1387" s="240"/>
      <c r="EB1387" s="237"/>
      <c r="EC1387" s="241"/>
      <c r="ED1387" s="241"/>
      <c r="EE1387" s="241"/>
      <c r="EG1387" s="241"/>
      <c r="EI1387" s="241"/>
      <c r="EK1387" s="241"/>
    </row>
    <row r="1388" spans="1:141" s="121" customFormat="1" x14ac:dyDescent="0.3">
      <c r="A1388" s="124"/>
      <c r="O1388" s="235"/>
      <c r="X1388" s="117"/>
      <c r="Y1388" s="117"/>
      <c r="DT1388" s="240"/>
      <c r="DU1388" s="240"/>
      <c r="DV1388" s="240"/>
      <c r="DW1388" s="240"/>
      <c r="DX1388" s="240"/>
      <c r="DY1388" s="240"/>
      <c r="DZ1388" s="240"/>
      <c r="EA1388" s="240"/>
      <c r="EB1388" s="237"/>
      <c r="EC1388" s="241"/>
      <c r="ED1388" s="241"/>
      <c r="EE1388" s="241"/>
      <c r="EG1388" s="241"/>
      <c r="EI1388" s="241"/>
      <c r="EK1388" s="241"/>
    </row>
    <row r="1389" spans="1:141" s="121" customFormat="1" x14ac:dyDescent="0.3">
      <c r="A1389" s="124"/>
      <c r="O1389" s="235"/>
      <c r="X1389" s="117"/>
      <c r="Y1389" s="117"/>
      <c r="DT1389" s="240"/>
      <c r="DU1389" s="240"/>
      <c r="DV1389" s="240"/>
      <c r="DW1389" s="240"/>
      <c r="DX1389" s="240"/>
      <c r="DY1389" s="240"/>
      <c r="DZ1389" s="240"/>
      <c r="EA1389" s="240"/>
      <c r="EB1389" s="237"/>
      <c r="EC1389" s="241"/>
      <c r="ED1389" s="241"/>
      <c r="EE1389" s="241"/>
      <c r="EG1389" s="241"/>
      <c r="EI1389" s="241"/>
      <c r="EK1389" s="241"/>
    </row>
    <row r="1390" spans="1:141" s="121" customFormat="1" x14ac:dyDescent="0.3">
      <c r="A1390" s="124"/>
      <c r="O1390" s="235"/>
      <c r="X1390" s="117"/>
      <c r="Y1390" s="117"/>
      <c r="DT1390" s="240"/>
      <c r="DU1390" s="240"/>
      <c r="DV1390" s="240"/>
      <c r="DW1390" s="240"/>
      <c r="DX1390" s="240"/>
      <c r="DY1390" s="240"/>
      <c r="DZ1390" s="240"/>
      <c r="EA1390" s="240"/>
      <c r="EB1390" s="237"/>
      <c r="EC1390" s="241"/>
      <c r="ED1390" s="241"/>
      <c r="EE1390" s="241"/>
      <c r="EG1390" s="241"/>
      <c r="EI1390" s="241"/>
      <c r="EK1390" s="241"/>
    </row>
    <row r="1391" spans="1:141" s="121" customFormat="1" x14ac:dyDescent="0.3">
      <c r="A1391" s="124"/>
      <c r="O1391" s="235"/>
      <c r="X1391" s="117"/>
      <c r="Y1391" s="117"/>
      <c r="DT1391" s="240"/>
      <c r="DU1391" s="240"/>
      <c r="DV1391" s="240"/>
      <c r="DW1391" s="240"/>
      <c r="DX1391" s="240"/>
      <c r="DY1391" s="240"/>
      <c r="DZ1391" s="240"/>
      <c r="EA1391" s="240"/>
      <c r="EB1391" s="237"/>
      <c r="EC1391" s="241"/>
      <c r="ED1391" s="241"/>
      <c r="EE1391" s="241"/>
      <c r="EG1391" s="241"/>
      <c r="EI1391" s="241"/>
      <c r="EK1391" s="241"/>
    </row>
    <row r="1392" spans="1:141" s="121" customFormat="1" x14ac:dyDescent="0.3">
      <c r="A1392" s="124"/>
      <c r="O1392" s="235"/>
      <c r="X1392" s="117"/>
      <c r="Y1392" s="117"/>
      <c r="DT1392" s="240"/>
      <c r="DU1392" s="240"/>
      <c r="DV1392" s="240"/>
      <c r="DW1392" s="240"/>
      <c r="DX1392" s="240"/>
      <c r="DY1392" s="240"/>
      <c r="DZ1392" s="240"/>
      <c r="EA1392" s="240"/>
      <c r="EB1392" s="237"/>
      <c r="EC1392" s="241"/>
      <c r="ED1392" s="241"/>
      <c r="EE1392" s="241"/>
      <c r="EG1392" s="241"/>
      <c r="EI1392" s="241"/>
      <c r="EK1392" s="241"/>
    </row>
    <row r="1393" spans="1:141" s="121" customFormat="1" x14ac:dyDescent="0.3">
      <c r="A1393" s="124"/>
      <c r="O1393" s="235"/>
      <c r="X1393" s="117"/>
      <c r="Y1393" s="117"/>
      <c r="DT1393" s="240"/>
      <c r="DU1393" s="240"/>
      <c r="DV1393" s="240"/>
      <c r="DW1393" s="240"/>
      <c r="DX1393" s="240"/>
      <c r="DY1393" s="240"/>
      <c r="DZ1393" s="240"/>
      <c r="EA1393" s="240"/>
      <c r="EB1393" s="237"/>
      <c r="EC1393" s="241"/>
      <c r="ED1393" s="241"/>
      <c r="EE1393" s="241"/>
      <c r="EG1393" s="241"/>
      <c r="EI1393" s="241"/>
      <c r="EK1393" s="241"/>
    </row>
    <row r="1394" spans="1:141" s="121" customFormat="1" x14ac:dyDescent="0.3">
      <c r="A1394" s="124"/>
      <c r="O1394" s="235"/>
      <c r="X1394" s="117"/>
      <c r="Y1394" s="117"/>
      <c r="DT1394" s="240"/>
      <c r="DU1394" s="240"/>
      <c r="DV1394" s="240"/>
      <c r="DW1394" s="240"/>
      <c r="DX1394" s="240"/>
      <c r="DY1394" s="240"/>
      <c r="DZ1394" s="240"/>
      <c r="EA1394" s="240"/>
      <c r="EB1394" s="237"/>
      <c r="EC1394" s="241"/>
      <c r="ED1394" s="241"/>
      <c r="EE1394" s="241"/>
      <c r="EG1394" s="241"/>
      <c r="EI1394" s="241"/>
      <c r="EK1394" s="241"/>
    </row>
    <row r="1395" spans="1:141" s="121" customFormat="1" x14ac:dyDescent="0.3">
      <c r="A1395" s="124"/>
      <c r="O1395" s="235"/>
      <c r="X1395" s="117"/>
      <c r="Y1395" s="117"/>
      <c r="DT1395" s="240"/>
      <c r="DU1395" s="240"/>
      <c r="DV1395" s="240"/>
      <c r="DW1395" s="240"/>
      <c r="DX1395" s="240"/>
      <c r="DY1395" s="240"/>
      <c r="DZ1395" s="240"/>
      <c r="EA1395" s="240"/>
      <c r="EB1395" s="237"/>
      <c r="EC1395" s="241"/>
      <c r="ED1395" s="241"/>
      <c r="EE1395" s="241"/>
      <c r="EG1395" s="241"/>
      <c r="EI1395" s="241"/>
      <c r="EK1395" s="241"/>
    </row>
    <row r="1396" spans="1:141" s="121" customFormat="1" x14ac:dyDescent="0.3">
      <c r="A1396" s="124"/>
      <c r="O1396" s="235"/>
      <c r="X1396" s="117"/>
      <c r="Y1396" s="117"/>
      <c r="DT1396" s="240"/>
      <c r="DU1396" s="240"/>
      <c r="DV1396" s="240"/>
      <c r="DW1396" s="240"/>
      <c r="DX1396" s="240"/>
      <c r="DY1396" s="240"/>
      <c r="DZ1396" s="240"/>
      <c r="EA1396" s="240"/>
      <c r="EB1396" s="237"/>
      <c r="EC1396" s="241"/>
      <c r="ED1396" s="241"/>
      <c r="EE1396" s="241"/>
      <c r="EG1396" s="241"/>
      <c r="EI1396" s="241"/>
      <c r="EK1396" s="241"/>
    </row>
    <row r="1397" spans="1:141" s="121" customFormat="1" x14ac:dyDescent="0.3">
      <c r="A1397" s="124"/>
      <c r="O1397" s="235"/>
      <c r="X1397" s="117"/>
      <c r="Y1397" s="117"/>
      <c r="DT1397" s="240"/>
      <c r="DU1397" s="240"/>
      <c r="DV1397" s="240"/>
      <c r="DW1397" s="240"/>
      <c r="DX1397" s="240"/>
      <c r="DY1397" s="240"/>
      <c r="DZ1397" s="240"/>
      <c r="EA1397" s="240"/>
      <c r="EB1397" s="237"/>
      <c r="EC1397" s="241"/>
      <c r="ED1397" s="241"/>
      <c r="EE1397" s="241"/>
      <c r="EG1397" s="241"/>
      <c r="EI1397" s="241"/>
      <c r="EK1397" s="241"/>
    </row>
    <row r="1398" spans="1:141" s="121" customFormat="1" x14ac:dyDescent="0.3">
      <c r="A1398" s="124"/>
      <c r="O1398" s="235"/>
      <c r="X1398" s="117"/>
      <c r="Y1398" s="117"/>
      <c r="DT1398" s="240"/>
      <c r="DU1398" s="240"/>
      <c r="DV1398" s="240"/>
      <c r="DW1398" s="240"/>
      <c r="DX1398" s="240"/>
      <c r="DY1398" s="240"/>
      <c r="DZ1398" s="240"/>
      <c r="EA1398" s="240"/>
      <c r="EB1398" s="237"/>
      <c r="EC1398" s="241"/>
      <c r="ED1398" s="241"/>
      <c r="EE1398" s="241"/>
      <c r="EG1398" s="241"/>
      <c r="EI1398" s="241"/>
      <c r="EK1398" s="241"/>
    </row>
    <row r="1399" spans="1:141" s="121" customFormat="1" x14ac:dyDescent="0.3">
      <c r="A1399" s="124"/>
      <c r="O1399" s="235"/>
      <c r="X1399" s="117"/>
      <c r="Y1399" s="117"/>
      <c r="DT1399" s="240"/>
      <c r="DU1399" s="240"/>
      <c r="DV1399" s="240"/>
      <c r="DW1399" s="240"/>
      <c r="DX1399" s="240"/>
      <c r="DY1399" s="240"/>
      <c r="DZ1399" s="240"/>
      <c r="EA1399" s="240"/>
      <c r="EB1399" s="237"/>
      <c r="EC1399" s="241"/>
      <c r="ED1399" s="241"/>
      <c r="EE1399" s="241"/>
      <c r="EG1399" s="241"/>
      <c r="EI1399" s="241"/>
      <c r="EK1399" s="241"/>
    </row>
    <row r="1400" spans="1:141" s="121" customFormat="1" x14ac:dyDescent="0.3">
      <c r="A1400" s="124"/>
      <c r="O1400" s="235"/>
      <c r="X1400" s="117"/>
      <c r="Y1400" s="117"/>
      <c r="DT1400" s="240"/>
      <c r="DU1400" s="240"/>
      <c r="DV1400" s="240"/>
      <c r="DW1400" s="240"/>
      <c r="DX1400" s="240"/>
      <c r="DY1400" s="240"/>
      <c r="DZ1400" s="240"/>
      <c r="EA1400" s="240"/>
      <c r="EB1400" s="237"/>
      <c r="EC1400" s="241"/>
      <c r="ED1400" s="241"/>
      <c r="EE1400" s="241"/>
      <c r="EG1400" s="241"/>
      <c r="EI1400" s="241"/>
      <c r="EK1400" s="241"/>
    </row>
    <row r="1401" spans="1:141" s="121" customFormat="1" x14ac:dyDescent="0.3">
      <c r="A1401" s="124"/>
      <c r="O1401" s="235"/>
      <c r="X1401" s="117"/>
      <c r="Y1401" s="117"/>
      <c r="DT1401" s="240"/>
      <c r="DU1401" s="240"/>
      <c r="DV1401" s="240"/>
      <c r="DW1401" s="240"/>
      <c r="DX1401" s="240"/>
      <c r="DY1401" s="240"/>
      <c r="DZ1401" s="240"/>
      <c r="EA1401" s="240"/>
      <c r="EB1401" s="237"/>
      <c r="EC1401" s="241"/>
      <c r="ED1401" s="241"/>
      <c r="EE1401" s="241"/>
      <c r="EG1401" s="241"/>
      <c r="EI1401" s="241"/>
      <c r="EK1401" s="241"/>
    </row>
    <row r="1402" spans="1:141" s="121" customFormat="1" x14ac:dyDescent="0.3">
      <c r="A1402" s="124"/>
      <c r="O1402" s="235"/>
      <c r="X1402" s="117"/>
      <c r="Y1402" s="117"/>
      <c r="DT1402" s="240"/>
      <c r="DU1402" s="240"/>
      <c r="DV1402" s="240"/>
      <c r="DW1402" s="240"/>
      <c r="DX1402" s="240"/>
      <c r="DY1402" s="240"/>
      <c r="DZ1402" s="240"/>
      <c r="EA1402" s="240"/>
      <c r="EB1402" s="237"/>
      <c r="EC1402" s="241"/>
      <c r="ED1402" s="241"/>
      <c r="EE1402" s="241"/>
      <c r="EG1402" s="241"/>
      <c r="EI1402" s="241"/>
      <c r="EK1402" s="241"/>
    </row>
    <row r="1403" spans="1:141" s="121" customFormat="1" x14ac:dyDescent="0.3">
      <c r="A1403" s="124"/>
      <c r="O1403" s="235"/>
      <c r="X1403" s="117"/>
      <c r="Y1403" s="117"/>
      <c r="DT1403" s="240"/>
      <c r="DU1403" s="240"/>
      <c r="DV1403" s="240"/>
      <c r="DW1403" s="240"/>
      <c r="DX1403" s="240"/>
      <c r="DY1403" s="240"/>
      <c r="DZ1403" s="240"/>
      <c r="EA1403" s="240"/>
      <c r="EB1403" s="237"/>
      <c r="EC1403" s="241"/>
      <c r="ED1403" s="241"/>
      <c r="EE1403" s="241"/>
      <c r="EG1403" s="241"/>
      <c r="EI1403" s="241"/>
      <c r="EK1403" s="241"/>
    </row>
    <row r="1404" spans="1:141" s="121" customFormat="1" x14ac:dyDescent="0.3">
      <c r="A1404" s="124"/>
      <c r="O1404" s="235"/>
      <c r="X1404" s="117"/>
      <c r="Y1404" s="117"/>
      <c r="DT1404" s="240"/>
      <c r="DU1404" s="240"/>
      <c r="DV1404" s="240"/>
      <c r="DW1404" s="240"/>
      <c r="DX1404" s="240"/>
      <c r="DY1404" s="240"/>
      <c r="DZ1404" s="240"/>
      <c r="EA1404" s="240"/>
      <c r="EB1404" s="237"/>
      <c r="EC1404" s="241"/>
      <c r="ED1404" s="241"/>
      <c r="EE1404" s="241"/>
      <c r="EG1404" s="241"/>
      <c r="EI1404" s="241"/>
      <c r="EK1404" s="241"/>
    </row>
    <row r="1405" spans="1:141" s="121" customFormat="1" x14ac:dyDescent="0.3">
      <c r="A1405" s="124"/>
      <c r="O1405" s="235"/>
      <c r="X1405" s="117"/>
      <c r="Y1405" s="117"/>
      <c r="DT1405" s="240"/>
      <c r="DU1405" s="240"/>
      <c r="DV1405" s="240"/>
      <c r="DW1405" s="240"/>
      <c r="DX1405" s="240"/>
      <c r="DY1405" s="240"/>
      <c r="DZ1405" s="240"/>
      <c r="EA1405" s="240"/>
      <c r="EB1405" s="237"/>
      <c r="EC1405" s="241"/>
      <c r="ED1405" s="241"/>
      <c r="EE1405" s="241"/>
      <c r="EG1405" s="241"/>
      <c r="EI1405" s="241"/>
      <c r="EK1405" s="241"/>
    </row>
    <row r="1406" spans="1:141" s="121" customFormat="1" x14ac:dyDescent="0.3">
      <c r="A1406" s="124"/>
      <c r="O1406" s="235"/>
      <c r="X1406" s="117"/>
      <c r="Y1406" s="117"/>
      <c r="DT1406" s="240"/>
      <c r="DU1406" s="240"/>
      <c r="DV1406" s="240"/>
      <c r="DW1406" s="240"/>
      <c r="DX1406" s="240"/>
      <c r="DY1406" s="240"/>
      <c r="DZ1406" s="240"/>
      <c r="EA1406" s="240"/>
      <c r="EB1406" s="237"/>
      <c r="EC1406" s="241"/>
      <c r="ED1406" s="241"/>
      <c r="EE1406" s="241"/>
      <c r="EG1406" s="241"/>
      <c r="EI1406" s="241"/>
      <c r="EK1406" s="241"/>
    </row>
    <row r="1407" spans="1:141" s="121" customFormat="1" x14ac:dyDescent="0.3">
      <c r="A1407" s="124"/>
      <c r="O1407" s="235"/>
      <c r="X1407" s="117"/>
      <c r="Y1407" s="117"/>
      <c r="DT1407" s="240"/>
      <c r="DU1407" s="240"/>
      <c r="DV1407" s="240"/>
      <c r="DW1407" s="240"/>
      <c r="DX1407" s="240"/>
      <c r="DY1407" s="240"/>
      <c r="DZ1407" s="240"/>
      <c r="EA1407" s="240"/>
      <c r="EB1407" s="237"/>
      <c r="EC1407" s="241"/>
      <c r="ED1407" s="241"/>
      <c r="EE1407" s="241"/>
      <c r="EG1407" s="241"/>
      <c r="EI1407" s="241"/>
      <c r="EK1407" s="241"/>
    </row>
    <row r="1408" spans="1:141" s="121" customFormat="1" x14ac:dyDescent="0.3">
      <c r="A1408" s="124"/>
      <c r="O1408" s="235"/>
      <c r="X1408" s="117"/>
      <c r="Y1408" s="117"/>
      <c r="DT1408" s="240"/>
      <c r="DU1408" s="240"/>
      <c r="DV1408" s="240"/>
      <c r="DW1408" s="240"/>
      <c r="DX1408" s="240"/>
      <c r="DY1408" s="240"/>
      <c r="DZ1408" s="240"/>
      <c r="EA1408" s="240"/>
      <c r="EB1408" s="237"/>
      <c r="EC1408" s="241"/>
      <c r="ED1408" s="241"/>
      <c r="EE1408" s="241"/>
      <c r="EG1408" s="241"/>
      <c r="EI1408" s="241"/>
      <c r="EK1408" s="241"/>
    </row>
    <row r="1409" spans="1:141" s="121" customFormat="1" x14ac:dyDescent="0.3">
      <c r="A1409" s="124"/>
      <c r="O1409" s="235"/>
      <c r="X1409" s="117"/>
      <c r="Y1409" s="117"/>
      <c r="DT1409" s="240"/>
      <c r="DU1409" s="240"/>
      <c r="DV1409" s="240"/>
      <c r="DW1409" s="240"/>
      <c r="DX1409" s="240"/>
      <c r="DY1409" s="240"/>
      <c r="DZ1409" s="240"/>
      <c r="EA1409" s="240"/>
      <c r="EB1409" s="237"/>
      <c r="EC1409" s="241"/>
      <c r="ED1409" s="241"/>
      <c r="EE1409" s="241"/>
      <c r="EG1409" s="241"/>
      <c r="EI1409" s="241"/>
      <c r="EK1409" s="241"/>
    </row>
    <row r="1410" spans="1:141" s="121" customFormat="1" x14ac:dyDescent="0.3">
      <c r="A1410" s="124"/>
      <c r="O1410" s="235"/>
      <c r="X1410" s="117"/>
      <c r="Y1410" s="117"/>
      <c r="DT1410" s="240"/>
      <c r="DU1410" s="240"/>
      <c r="DV1410" s="240"/>
      <c r="DW1410" s="240"/>
      <c r="DX1410" s="240"/>
      <c r="DY1410" s="240"/>
      <c r="DZ1410" s="240"/>
      <c r="EA1410" s="240"/>
      <c r="EB1410" s="237"/>
      <c r="EC1410" s="241"/>
      <c r="ED1410" s="241"/>
      <c r="EE1410" s="241"/>
      <c r="EG1410" s="241"/>
      <c r="EI1410" s="241"/>
      <c r="EK1410" s="241"/>
    </row>
    <row r="1411" spans="1:141" s="121" customFormat="1" x14ac:dyDescent="0.3">
      <c r="A1411" s="124"/>
      <c r="O1411" s="235"/>
      <c r="X1411" s="117"/>
      <c r="Y1411" s="117"/>
      <c r="DT1411" s="240"/>
      <c r="DU1411" s="240"/>
      <c r="DV1411" s="240"/>
      <c r="DW1411" s="240"/>
      <c r="DX1411" s="240"/>
      <c r="DY1411" s="240"/>
      <c r="DZ1411" s="240"/>
      <c r="EA1411" s="240"/>
      <c r="EB1411" s="237"/>
      <c r="EC1411" s="241"/>
      <c r="ED1411" s="241"/>
      <c r="EE1411" s="241"/>
      <c r="EG1411" s="241"/>
      <c r="EI1411" s="241"/>
      <c r="EK1411" s="241"/>
    </row>
    <row r="1412" spans="1:141" s="121" customFormat="1" x14ac:dyDescent="0.3">
      <c r="A1412" s="124"/>
      <c r="O1412" s="235"/>
      <c r="X1412" s="117"/>
      <c r="Y1412" s="117"/>
      <c r="DT1412" s="240"/>
      <c r="DU1412" s="240"/>
      <c r="DV1412" s="240"/>
      <c r="DW1412" s="240"/>
      <c r="DX1412" s="240"/>
      <c r="DY1412" s="240"/>
      <c r="DZ1412" s="240"/>
      <c r="EA1412" s="240"/>
      <c r="EB1412" s="237"/>
      <c r="EC1412" s="241"/>
      <c r="ED1412" s="241"/>
      <c r="EE1412" s="241"/>
      <c r="EG1412" s="241"/>
      <c r="EI1412" s="241"/>
      <c r="EK1412" s="241"/>
    </row>
    <row r="1413" spans="1:141" s="121" customFormat="1" x14ac:dyDescent="0.3">
      <c r="A1413" s="124"/>
      <c r="O1413" s="235"/>
      <c r="X1413" s="117"/>
      <c r="Y1413" s="117"/>
      <c r="DT1413" s="240"/>
      <c r="DU1413" s="240"/>
      <c r="DV1413" s="240"/>
      <c r="DW1413" s="240"/>
      <c r="DX1413" s="240"/>
      <c r="DY1413" s="240"/>
      <c r="DZ1413" s="240"/>
      <c r="EA1413" s="240"/>
      <c r="EB1413" s="237"/>
      <c r="EC1413" s="241"/>
      <c r="ED1413" s="241"/>
      <c r="EE1413" s="241"/>
      <c r="EG1413" s="241"/>
      <c r="EI1413" s="241"/>
      <c r="EK1413" s="241"/>
    </row>
    <row r="1414" spans="1:141" s="121" customFormat="1" x14ac:dyDescent="0.3">
      <c r="A1414" s="124"/>
      <c r="O1414" s="235"/>
      <c r="X1414" s="117"/>
      <c r="Y1414" s="117"/>
      <c r="DT1414" s="240"/>
      <c r="DU1414" s="240"/>
      <c r="DV1414" s="240"/>
      <c r="DW1414" s="240"/>
      <c r="DX1414" s="240"/>
      <c r="DY1414" s="240"/>
      <c r="DZ1414" s="240"/>
      <c r="EA1414" s="240"/>
      <c r="EB1414" s="237"/>
      <c r="EC1414" s="241"/>
      <c r="ED1414" s="241"/>
      <c r="EE1414" s="241"/>
      <c r="EG1414" s="241"/>
      <c r="EI1414" s="241"/>
      <c r="EK1414" s="241"/>
    </row>
    <row r="1415" spans="1:141" s="121" customFormat="1" x14ac:dyDescent="0.3">
      <c r="A1415" s="124"/>
      <c r="O1415" s="235"/>
      <c r="X1415" s="117"/>
      <c r="Y1415" s="117"/>
      <c r="DT1415" s="240"/>
      <c r="DU1415" s="240"/>
      <c r="DV1415" s="240"/>
      <c r="DW1415" s="240"/>
      <c r="DX1415" s="240"/>
      <c r="DY1415" s="240"/>
      <c r="DZ1415" s="240"/>
      <c r="EA1415" s="240"/>
      <c r="EB1415" s="237"/>
      <c r="EC1415" s="241"/>
      <c r="ED1415" s="241"/>
      <c r="EE1415" s="241"/>
      <c r="EG1415" s="241"/>
      <c r="EI1415" s="241"/>
      <c r="EK1415" s="241"/>
    </row>
    <row r="1416" spans="1:141" s="121" customFormat="1" x14ac:dyDescent="0.3">
      <c r="A1416" s="124"/>
      <c r="O1416" s="235"/>
      <c r="X1416" s="117"/>
      <c r="Y1416" s="117"/>
      <c r="DT1416" s="240"/>
      <c r="DU1416" s="240"/>
      <c r="DV1416" s="240"/>
      <c r="DW1416" s="240"/>
      <c r="DX1416" s="240"/>
      <c r="DY1416" s="240"/>
      <c r="DZ1416" s="240"/>
      <c r="EA1416" s="240"/>
      <c r="EB1416" s="237"/>
      <c r="EC1416" s="241"/>
      <c r="ED1416" s="241"/>
      <c r="EE1416" s="241"/>
      <c r="EG1416" s="241"/>
      <c r="EI1416" s="241"/>
      <c r="EK1416" s="241"/>
    </row>
    <row r="1417" spans="1:141" s="121" customFormat="1" x14ac:dyDescent="0.3">
      <c r="A1417" s="124"/>
      <c r="O1417" s="235"/>
      <c r="X1417" s="117"/>
      <c r="Y1417" s="117"/>
      <c r="DT1417" s="240"/>
      <c r="DU1417" s="240"/>
      <c r="DV1417" s="240"/>
      <c r="DW1417" s="240"/>
      <c r="DX1417" s="240"/>
      <c r="DY1417" s="240"/>
      <c r="DZ1417" s="240"/>
      <c r="EA1417" s="240"/>
      <c r="EB1417" s="237"/>
      <c r="EC1417" s="241"/>
      <c r="ED1417" s="241"/>
      <c r="EE1417" s="241"/>
      <c r="EG1417" s="241"/>
      <c r="EI1417" s="241"/>
      <c r="EK1417" s="241"/>
    </row>
    <row r="1418" spans="1:141" s="121" customFormat="1" x14ac:dyDescent="0.3">
      <c r="A1418" s="124"/>
      <c r="O1418" s="235"/>
      <c r="X1418" s="117"/>
      <c r="Y1418" s="117"/>
      <c r="DT1418" s="240"/>
      <c r="DU1418" s="240"/>
      <c r="DV1418" s="240"/>
      <c r="DW1418" s="240"/>
      <c r="DX1418" s="240"/>
      <c r="DY1418" s="240"/>
      <c r="DZ1418" s="240"/>
      <c r="EA1418" s="240"/>
      <c r="EB1418" s="237"/>
      <c r="EC1418" s="241"/>
      <c r="ED1418" s="241"/>
      <c r="EE1418" s="241"/>
      <c r="EG1418" s="241"/>
      <c r="EI1418" s="241"/>
      <c r="EK1418" s="241"/>
    </row>
    <row r="1419" spans="1:141" s="121" customFormat="1" x14ac:dyDescent="0.3">
      <c r="A1419" s="124"/>
      <c r="O1419" s="235"/>
      <c r="X1419" s="117"/>
      <c r="Y1419" s="117"/>
      <c r="DT1419" s="240"/>
      <c r="DU1419" s="240"/>
      <c r="DV1419" s="240"/>
      <c r="DW1419" s="240"/>
      <c r="DX1419" s="240"/>
      <c r="DY1419" s="240"/>
      <c r="DZ1419" s="240"/>
      <c r="EA1419" s="240"/>
      <c r="EB1419" s="237"/>
      <c r="EC1419" s="241"/>
      <c r="ED1419" s="241"/>
      <c r="EE1419" s="241"/>
      <c r="EG1419" s="241"/>
      <c r="EI1419" s="241"/>
      <c r="EK1419" s="241"/>
    </row>
    <row r="1420" spans="1:141" s="121" customFormat="1" x14ac:dyDescent="0.3">
      <c r="A1420" s="124"/>
      <c r="O1420" s="235"/>
      <c r="X1420" s="117"/>
      <c r="Y1420" s="117"/>
      <c r="DT1420" s="240"/>
      <c r="DU1420" s="240"/>
      <c r="DV1420" s="240"/>
      <c r="DW1420" s="240"/>
      <c r="DX1420" s="240"/>
      <c r="DY1420" s="240"/>
      <c r="DZ1420" s="240"/>
      <c r="EA1420" s="240"/>
      <c r="EB1420" s="237"/>
      <c r="EC1420" s="241"/>
      <c r="ED1420" s="241"/>
      <c r="EE1420" s="241"/>
      <c r="EG1420" s="241"/>
      <c r="EI1420" s="241"/>
      <c r="EK1420" s="241"/>
    </row>
    <row r="1421" spans="1:141" s="121" customFormat="1" x14ac:dyDescent="0.3">
      <c r="A1421" s="124"/>
      <c r="O1421" s="235"/>
      <c r="X1421" s="117"/>
      <c r="Y1421" s="117"/>
      <c r="DT1421" s="240"/>
      <c r="DU1421" s="240"/>
      <c r="DV1421" s="240"/>
      <c r="DW1421" s="240"/>
      <c r="DX1421" s="240"/>
      <c r="DY1421" s="240"/>
      <c r="DZ1421" s="240"/>
      <c r="EA1421" s="240"/>
      <c r="EB1421" s="237"/>
      <c r="EC1421" s="241"/>
      <c r="ED1421" s="241"/>
      <c r="EE1421" s="241"/>
      <c r="EG1421" s="241"/>
      <c r="EI1421" s="241"/>
      <c r="EK1421" s="241"/>
    </row>
    <row r="1422" spans="1:141" s="121" customFormat="1" x14ac:dyDescent="0.3">
      <c r="A1422" s="124"/>
      <c r="O1422" s="235"/>
      <c r="X1422" s="117"/>
      <c r="Y1422" s="117"/>
      <c r="DT1422" s="240"/>
      <c r="DU1422" s="240"/>
      <c r="DV1422" s="240"/>
      <c r="DW1422" s="240"/>
      <c r="DX1422" s="240"/>
      <c r="DY1422" s="240"/>
      <c r="DZ1422" s="240"/>
      <c r="EA1422" s="240"/>
      <c r="EB1422" s="237"/>
      <c r="EC1422" s="241"/>
      <c r="ED1422" s="241"/>
      <c r="EE1422" s="241"/>
      <c r="EG1422" s="241"/>
      <c r="EI1422" s="241"/>
      <c r="EK1422" s="241"/>
    </row>
    <row r="1423" spans="1:141" s="121" customFormat="1" x14ac:dyDescent="0.3">
      <c r="A1423" s="124"/>
      <c r="O1423" s="235"/>
      <c r="X1423" s="117"/>
      <c r="Y1423" s="117"/>
      <c r="DT1423" s="240"/>
      <c r="DU1423" s="240"/>
      <c r="DV1423" s="240"/>
      <c r="DW1423" s="240"/>
      <c r="DX1423" s="240"/>
      <c r="DY1423" s="240"/>
      <c r="DZ1423" s="240"/>
      <c r="EA1423" s="240"/>
      <c r="EB1423" s="237"/>
      <c r="EC1423" s="241"/>
      <c r="ED1423" s="241"/>
      <c r="EE1423" s="241"/>
      <c r="EG1423" s="241"/>
      <c r="EI1423" s="241"/>
      <c r="EK1423" s="241"/>
    </row>
    <row r="1424" spans="1:141" s="121" customFormat="1" x14ac:dyDescent="0.3">
      <c r="A1424" s="124"/>
      <c r="O1424" s="235"/>
      <c r="X1424" s="117"/>
      <c r="Y1424" s="117"/>
      <c r="DT1424" s="240"/>
      <c r="DU1424" s="240"/>
      <c r="DV1424" s="240"/>
      <c r="DW1424" s="240"/>
      <c r="DX1424" s="240"/>
      <c r="DY1424" s="240"/>
      <c r="DZ1424" s="240"/>
      <c r="EA1424" s="240"/>
      <c r="EB1424" s="237"/>
      <c r="EC1424" s="241"/>
      <c r="ED1424" s="241"/>
      <c r="EE1424" s="241"/>
      <c r="EG1424" s="241"/>
      <c r="EI1424" s="241"/>
      <c r="EK1424" s="241"/>
    </row>
    <row r="1425" spans="1:141" s="121" customFormat="1" x14ac:dyDescent="0.3">
      <c r="A1425" s="124"/>
      <c r="O1425" s="235"/>
      <c r="X1425" s="117"/>
      <c r="Y1425" s="117"/>
      <c r="DT1425" s="240"/>
      <c r="DU1425" s="240"/>
      <c r="DV1425" s="240"/>
      <c r="DW1425" s="240"/>
      <c r="DX1425" s="240"/>
      <c r="DY1425" s="240"/>
      <c r="DZ1425" s="240"/>
      <c r="EA1425" s="240"/>
      <c r="EB1425" s="237"/>
      <c r="EC1425" s="241"/>
      <c r="ED1425" s="241"/>
      <c r="EE1425" s="241"/>
      <c r="EG1425" s="241"/>
      <c r="EI1425" s="241"/>
      <c r="EK1425" s="241"/>
    </row>
    <row r="1426" spans="1:141" s="121" customFormat="1" x14ac:dyDescent="0.3">
      <c r="A1426" s="124"/>
      <c r="O1426" s="235"/>
      <c r="X1426" s="117"/>
      <c r="Y1426" s="117"/>
      <c r="DT1426" s="240"/>
      <c r="DU1426" s="240"/>
      <c r="DV1426" s="240"/>
      <c r="DW1426" s="240"/>
      <c r="DX1426" s="240"/>
      <c r="DY1426" s="240"/>
      <c r="DZ1426" s="240"/>
      <c r="EA1426" s="240"/>
      <c r="EB1426" s="237"/>
      <c r="EC1426" s="241"/>
      <c r="ED1426" s="241"/>
      <c r="EE1426" s="241"/>
      <c r="EG1426" s="241"/>
      <c r="EI1426" s="241"/>
      <c r="EK1426" s="241"/>
    </row>
    <row r="1427" spans="1:141" s="121" customFormat="1" x14ac:dyDescent="0.3">
      <c r="A1427" s="124"/>
      <c r="O1427" s="235"/>
      <c r="X1427" s="117"/>
      <c r="Y1427" s="117"/>
      <c r="DT1427" s="240"/>
      <c r="DU1427" s="240"/>
      <c r="DV1427" s="240"/>
      <c r="DW1427" s="240"/>
      <c r="DX1427" s="240"/>
      <c r="DY1427" s="240"/>
      <c r="DZ1427" s="240"/>
      <c r="EA1427" s="240"/>
      <c r="EB1427" s="237"/>
      <c r="EC1427" s="241"/>
      <c r="ED1427" s="241"/>
      <c r="EE1427" s="241"/>
      <c r="EG1427" s="241"/>
      <c r="EI1427" s="241"/>
      <c r="EK1427" s="241"/>
    </row>
    <row r="1428" spans="1:141" s="121" customFormat="1" x14ac:dyDescent="0.3">
      <c r="A1428" s="124"/>
      <c r="O1428" s="235"/>
      <c r="X1428" s="117"/>
      <c r="Y1428" s="117"/>
      <c r="DT1428" s="240"/>
      <c r="DU1428" s="240"/>
      <c r="DV1428" s="240"/>
      <c r="DW1428" s="240"/>
      <c r="DX1428" s="240"/>
      <c r="DY1428" s="240"/>
      <c r="DZ1428" s="240"/>
      <c r="EA1428" s="240"/>
      <c r="EB1428" s="237"/>
      <c r="EC1428" s="241"/>
      <c r="ED1428" s="241"/>
      <c r="EE1428" s="241"/>
      <c r="EG1428" s="241"/>
      <c r="EI1428" s="241"/>
      <c r="EK1428" s="241"/>
    </row>
    <row r="1429" spans="1:141" s="121" customFormat="1" x14ac:dyDescent="0.3">
      <c r="A1429" s="124"/>
      <c r="O1429" s="235"/>
      <c r="X1429" s="117"/>
      <c r="Y1429" s="117"/>
      <c r="DT1429" s="240"/>
      <c r="DU1429" s="240"/>
      <c r="DV1429" s="240"/>
      <c r="DW1429" s="240"/>
      <c r="DX1429" s="240"/>
      <c r="DY1429" s="240"/>
      <c r="DZ1429" s="240"/>
      <c r="EA1429" s="240"/>
      <c r="EB1429" s="237"/>
      <c r="EC1429" s="241"/>
      <c r="ED1429" s="241"/>
      <c r="EE1429" s="241"/>
      <c r="EG1429" s="241"/>
      <c r="EI1429" s="241"/>
      <c r="EK1429" s="241"/>
    </row>
    <row r="1430" spans="1:141" s="121" customFormat="1" x14ac:dyDescent="0.3">
      <c r="A1430" s="124"/>
      <c r="O1430" s="235"/>
      <c r="X1430" s="117"/>
      <c r="Y1430" s="117"/>
      <c r="DT1430" s="240"/>
      <c r="DU1430" s="240"/>
      <c r="DV1430" s="240"/>
      <c r="DW1430" s="240"/>
      <c r="DX1430" s="240"/>
      <c r="DY1430" s="240"/>
      <c r="DZ1430" s="240"/>
      <c r="EA1430" s="240"/>
      <c r="EB1430" s="237"/>
      <c r="EC1430" s="241"/>
      <c r="ED1430" s="241"/>
      <c r="EE1430" s="241"/>
      <c r="EG1430" s="241"/>
      <c r="EI1430" s="241"/>
      <c r="EK1430" s="241"/>
    </row>
    <row r="1431" spans="1:141" s="121" customFormat="1" x14ac:dyDescent="0.3">
      <c r="A1431" s="124"/>
      <c r="O1431" s="235"/>
      <c r="X1431" s="117"/>
      <c r="Y1431" s="117"/>
      <c r="DT1431" s="240"/>
      <c r="DU1431" s="240"/>
      <c r="DV1431" s="240"/>
      <c r="DW1431" s="240"/>
      <c r="DX1431" s="240"/>
      <c r="DY1431" s="240"/>
      <c r="DZ1431" s="240"/>
      <c r="EA1431" s="240"/>
      <c r="EB1431" s="237"/>
      <c r="EC1431" s="241"/>
      <c r="ED1431" s="241"/>
      <c r="EE1431" s="241"/>
      <c r="EG1431" s="241"/>
      <c r="EI1431" s="241"/>
      <c r="EK1431" s="241"/>
    </row>
    <row r="1432" spans="1:141" s="121" customFormat="1" x14ac:dyDescent="0.3">
      <c r="A1432" s="124"/>
      <c r="O1432" s="235"/>
      <c r="X1432" s="117"/>
      <c r="Y1432" s="117"/>
      <c r="DT1432" s="240"/>
      <c r="DU1432" s="240"/>
      <c r="DV1432" s="240"/>
      <c r="DW1432" s="240"/>
      <c r="DX1432" s="240"/>
      <c r="DY1432" s="240"/>
      <c r="DZ1432" s="240"/>
      <c r="EA1432" s="240"/>
      <c r="EB1432" s="237"/>
      <c r="EC1432" s="241"/>
      <c r="ED1432" s="241"/>
      <c r="EE1432" s="241"/>
      <c r="EG1432" s="241"/>
      <c r="EI1432" s="241"/>
      <c r="EK1432" s="241"/>
    </row>
    <row r="1433" spans="1:141" s="121" customFormat="1" x14ac:dyDescent="0.3">
      <c r="A1433" s="124"/>
      <c r="O1433" s="235"/>
      <c r="X1433" s="117"/>
      <c r="Y1433" s="117"/>
      <c r="DT1433" s="240"/>
      <c r="DU1433" s="240"/>
      <c r="DV1433" s="240"/>
      <c r="DW1433" s="240"/>
      <c r="DX1433" s="240"/>
      <c r="DY1433" s="240"/>
      <c r="DZ1433" s="240"/>
      <c r="EA1433" s="240"/>
      <c r="EB1433" s="237"/>
      <c r="EC1433" s="241"/>
      <c r="ED1433" s="241"/>
      <c r="EE1433" s="241"/>
      <c r="EG1433" s="241"/>
      <c r="EI1433" s="241"/>
      <c r="EK1433" s="241"/>
    </row>
    <row r="1434" spans="1:141" s="121" customFormat="1" x14ac:dyDescent="0.3">
      <c r="A1434" s="124"/>
      <c r="O1434" s="235"/>
      <c r="X1434" s="117"/>
      <c r="Y1434" s="117"/>
      <c r="DT1434" s="240"/>
      <c r="DU1434" s="240"/>
      <c r="DV1434" s="240"/>
      <c r="DW1434" s="240"/>
      <c r="DX1434" s="240"/>
      <c r="DY1434" s="240"/>
      <c r="DZ1434" s="240"/>
      <c r="EA1434" s="240"/>
      <c r="EB1434" s="237"/>
      <c r="EC1434" s="241"/>
      <c r="ED1434" s="241"/>
      <c r="EE1434" s="241"/>
      <c r="EG1434" s="241"/>
      <c r="EI1434" s="241"/>
      <c r="EK1434" s="241"/>
    </row>
    <row r="1435" spans="1:141" s="121" customFormat="1" x14ac:dyDescent="0.3">
      <c r="A1435" s="124"/>
      <c r="O1435" s="235"/>
      <c r="X1435" s="117"/>
      <c r="Y1435" s="117"/>
      <c r="DT1435" s="240"/>
      <c r="DU1435" s="240"/>
      <c r="DV1435" s="240"/>
      <c r="DW1435" s="240"/>
      <c r="DX1435" s="240"/>
      <c r="DY1435" s="240"/>
      <c r="DZ1435" s="240"/>
      <c r="EA1435" s="240"/>
      <c r="EB1435" s="237"/>
      <c r="EC1435" s="241"/>
      <c r="ED1435" s="241"/>
      <c r="EE1435" s="241"/>
      <c r="EG1435" s="241"/>
      <c r="EI1435" s="241"/>
      <c r="EK1435" s="241"/>
    </row>
    <row r="1436" spans="1:141" s="121" customFormat="1" x14ac:dyDescent="0.3">
      <c r="A1436" s="124"/>
      <c r="O1436" s="235"/>
      <c r="X1436" s="117"/>
      <c r="Y1436" s="117"/>
      <c r="DT1436" s="240"/>
      <c r="DU1436" s="240"/>
      <c r="DV1436" s="240"/>
      <c r="DW1436" s="240"/>
      <c r="DX1436" s="240"/>
      <c r="DY1436" s="240"/>
      <c r="DZ1436" s="240"/>
      <c r="EA1436" s="240"/>
      <c r="EB1436" s="237"/>
      <c r="EC1436" s="241"/>
      <c r="ED1436" s="241"/>
      <c r="EE1436" s="241"/>
      <c r="EG1436" s="241"/>
      <c r="EI1436" s="241"/>
      <c r="EK1436" s="241"/>
    </row>
    <row r="1437" spans="1:141" s="121" customFormat="1" x14ac:dyDescent="0.3">
      <c r="A1437" s="124"/>
      <c r="O1437" s="235"/>
      <c r="X1437" s="117"/>
      <c r="Y1437" s="117"/>
      <c r="DT1437" s="240"/>
      <c r="DU1437" s="240"/>
      <c r="DV1437" s="240"/>
      <c r="DW1437" s="240"/>
      <c r="DX1437" s="240"/>
      <c r="DY1437" s="240"/>
      <c r="DZ1437" s="240"/>
      <c r="EA1437" s="240"/>
      <c r="EB1437" s="237"/>
      <c r="EC1437" s="241"/>
      <c r="ED1437" s="241"/>
      <c r="EE1437" s="241"/>
      <c r="EG1437" s="241"/>
      <c r="EI1437" s="241"/>
      <c r="EK1437" s="241"/>
    </row>
    <row r="1438" spans="1:141" s="121" customFormat="1" x14ac:dyDescent="0.3">
      <c r="A1438" s="124"/>
      <c r="O1438" s="235"/>
      <c r="X1438" s="117"/>
      <c r="Y1438" s="117"/>
      <c r="DT1438" s="240"/>
      <c r="DU1438" s="240"/>
      <c r="DV1438" s="240"/>
      <c r="DW1438" s="240"/>
      <c r="DX1438" s="240"/>
      <c r="DY1438" s="240"/>
      <c r="DZ1438" s="240"/>
      <c r="EA1438" s="240"/>
      <c r="EB1438" s="237"/>
      <c r="EC1438" s="241"/>
      <c r="ED1438" s="241"/>
      <c r="EE1438" s="241"/>
      <c r="EG1438" s="241"/>
      <c r="EI1438" s="241"/>
      <c r="EK1438" s="241"/>
    </row>
    <row r="1439" spans="1:141" s="121" customFormat="1" x14ac:dyDescent="0.3">
      <c r="A1439" s="124"/>
      <c r="O1439" s="235"/>
      <c r="X1439" s="117"/>
      <c r="Y1439" s="117"/>
      <c r="DT1439" s="240"/>
      <c r="DU1439" s="240"/>
      <c r="DV1439" s="240"/>
      <c r="DW1439" s="240"/>
      <c r="DX1439" s="240"/>
      <c r="DY1439" s="240"/>
      <c r="DZ1439" s="240"/>
      <c r="EA1439" s="240"/>
      <c r="EB1439" s="237"/>
      <c r="EC1439" s="241"/>
      <c r="ED1439" s="241"/>
      <c r="EE1439" s="241"/>
      <c r="EG1439" s="241"/>
      <c r="EI1439" s="241"/>
      <c r="EK1439" s="241"/>
    </row>
    <row r="1440" spans="1:141" s="121" customFormat="1" x14ac:dyDescent="0.3">
      <c r="A1440" s="124"/>
      <c r="O1440" s="235"/>
      <c r="X1440" s="117"/>
      <c r="Y1440" s="117"/>
      <c r="DT1440" s="240"/>
      <c r="DU1440" s="240"/>
      <c r="DV1440" s="240"/>
      <c r="DW1440" s="240"/>
      <c r="DX1440" s="240"/>
      <c r="DY1440" s="240"/>
      <c r="DZ1440" s="240"/>
      <c r="EA1440" s="240"/>
      <c r="EB1440" s="237"/>
      <c r="EC1440" s="241"/>
      <c r="ED1440" s="241"/>
      <c r="EE1440" s="241"/>
      <c r="EG1440" s="241"/>
      <c r="EI1440" s="241"/>
      <c r="EK1440" s="241"/>
    </row>
    <row r="1441" spans="1:141" s="121" customFormat="1" x14ac:dyDescent="0.3">
      <c r="A1441" s="124"/>
      <c r="O1441" s="235"/>
      <c r="X1441" s="117"/>
      <c r="Y1441" s="117"/>
      <c r="DT1441" s="240"/>
      <c r="DU1441" s="240"/>
      <c r="DV1441" s="240"/>
      <c r="DW1441" s="240"/>
      <c r="DX1441" s="240"/>
      <c r="DY1441" s="240"/>
      <c r="DZ1441" s="240"/>
      <c r="EA1441" s="240"/>
      <c r="EB1441" s="237"/>
      <c r="EC1441" s="241"/>
      <c r="ED1441" s="241"/>
      <c r="EE1441" s="241"/>
      <c r="EG1441" s="241"/>
      <c r="EI1441" s="241"/>
      <c r="EK1441" s="241"/>
    </row>
    <row r="1442" spans="1:141" s="121" customFormat="1" x14ac:dyDescent="0.3">
      <c r="A1442" s="124"/>
      <c r="O1442" s="235"/>
      <c r="X1442" s="117"/>
      <c r="Y1442" s="117"/>
      <c r="DT1442" s="240"/>
      <c r="DU1442" s="240"/>
      <c r="DV1442" s="240"/>
      <c r="DW1442" s="240"/>
      <c r="DX1442" s="240"/>
      <c r="DY1442" s="240"/>
      <c r="DZ1442" s="240"/>
      <c r="EA1442" s="240"/>
      <c r="EB1442" s="237"/>
      <c r="EC1442" s="241"/>
      <c r="ED1442" s="241"/>
      <c r="EE1442" s="241"/>
      <c r="EG1442" s="241"/>
      <c r="EI1442" s="241"/>
      <c r="EK1442" s="241"/>
    </row>
    <row r="1443" spans="1:141" s="121" customFormat="1" x14ac:dyDescent="0.3">
      <c r="A1443" s="124"/>
      <c r="O1443" s="235"/>
      <c r="X1443" s="117"/>
      <c r="Y1443" s="117"/>
      <c r="DT1443" s="240"/>
      <c r="DU1443" s="240"/>
      <c r="DV1443" s="240"/>
      <c r="DW1443" s="240"/>
      <c r="DX1443" s="240"/>
      <c r="DY1443" s="240"/>
      <c r="DZ1443" s="240"/>
      <c r="EA1443" s="240"/>
      <c r="EB1443" s="237"/>
      <c r="EC1443" s="241"/>
      <c r="ED1443" s="241"/>
      <c r="EE1443" s="241"/>
      <c r="EG1443" s="241"/>
      <c r="EI1443" s="241"/>
      <c r="EK1443" s="241"/>
    </row>
    <row r="1444" spans="1:141" s="121" customFormat="1" x14ac:dyDescent="0.3">
      <c r="A1444" s="124"/>
      <c r="O1444" s="235"/>
      <c r="X1444" s="117"/>
      <c r="Y1444" s="117"/>
      <c r="DT1444" s="240"/>
      <c r="DU1444" s="240"/>
      <c r="DV1444" s="240"/>
      <c r="DW1444" s="240"/>
      <c r="DX1444" s="240"/>
      <c r="DY1444" s="240"/>
      <c r="DZ1444" s="240"/>
      <c r="EA1444" s="240"/>
      <c r="EB1444" s="237"/>
      <c r="EC1444" s="241"/>
      <c r="ED1444" s="241"/>
      <c r="EE1444" s="241"/>
      <c r="EG1444" s="241"/>
      <c r="EI1444" s="241"/>
      <c r="EK1444" s="241"/>
    </row>
    <row r="1445" spans="1:141" s="121" customFormat="1" x14ac:dyDescent="0.3">
      <c r="A1445" s="124"/>
      <c r="O1445" s="235"/>
      <c r="X1445" s="117"/>
      <c r="Y1445" s="117"/>
      <c r="DT1445" s="240"/>
      <c r="DU1445" s="240"/>
      <c r="DV1445" s="240"/>
      <c r="DW1445" s="240"/>
      <c r="DX1445" s="240"/>
      <c r="DY1445" s="240"/>
      <c r="DZ1445" s="240"/>
      <c r="EA1445" s="240"/>
      <c r="EB1445" s="237"/>
      <c r="EC1445" s="241"/>
      <c r="ED1445" s="241"/>
      <c r="EE1445" s="241"/>
      <c r="EG1445" s="241"/>
      <c r="EI1445" s="241"/>
      <c r="EK1445" s="241"/>
    </row>
    <row r="1446" spans="1:141" s="121" customFormat="1" x14ac:dyDescent="0.3">
      <c r="A1446" s="124"/>
      <c r="O1446" s="235"/>
      <c r="X1446" s="117"/>
      <c r="Y1446" s="117"/>
      <c r="DT1446" s="240"/>
      <c r="DU1446" s="240"/>
      <c r="DV1446" s="240"/>
      <c r="DW1446" s="240"/>
      <c r="DX1446" s="240"/>
      <c r="DY1446" s="240"/>
      <c r="DZ1446" s="240"/>
      <c r="EA1446" s="240"/>
      <c r="EB1446" s="237"/>
      <c r="EC1446" s="241"/>
      <c r="ED1446" s="241"/>
      <c r="EE1446" s="241"/>
      <c r="EG1446" s="241"/>
      <c r="EI1446" s="241"/>
      <c r="EK1446" s="241"/>
    </row>
    <row r="1447" spans="1:141" s="121" customFormat="1" x14ac:dyDescent="0.3">
      <c r="A1447" s="124"/>
      <c r="O1447" s="235"/>
      <c r="X1447" s="117"/>
      <c r="Y1447" s="117"/>
      <c r="DT1447" s="240"/>
      <c r="DU1447" s="240"/>
      <c r="DV1447" s="240"/>
      <c r="DW1447" s="240"/>
      <c r="DX1447" s="240"/>
      <c r="DY1447" s="240"/>
      <c r="DZ1447" s="240"/>
      <c r="EA1447" s="240"/>
      <c r="EB1447" s="237"/>
      <c r="EC1447" s="241"/>
      <c r="ED1447" s="241"/>
      <c r="EE1447" s="241"/>
      <c r="EG1447" s="241"/>
      <c r="EI1447" s="241"/>
      <c r="EK1447" s="241"/>
    </row>
    <row r="1448" spans="1:141" s="121" customFormat="1" x14ac:dyDescent="0.3">
      <c r="A1448" s="124"/>
      <c r="O1448" s="235"/>
      <c r="X1448" s="117"/>
      <c r="Y1448" s="117"/>
      <c r="DT1448" s="240"/>
      <c r="DU1448" s="240"/>
      <c r="DV1448" s="240"/>
      <c r="DW1448" s="240"/>
      <c r="DX1448" s="240"/>
      <c r="DY1448" s="240"/>
      <c r="DZ1448" s="240"/>
      <c r="EA1448" s="240"/>
      <c r="EB1448" s="237"/>
      <c r="EC1448" s="241"/>
      <c r="ED1448" s="241"/>
      <c r="EE1448" s="241"/>
      <c r="EG1448" s="241"/>
      <c r="EI1448" s="241"/>
      <c r="EK1448" s="241"/>
    </row>
    <row r="1449" spans="1:141" s="121" customFormat="1" x14ac:dyDescent="0.3">
      <c r="A1449" s="124"/>
      <c r="O1449" s="235"/>
      <c r="X1449" s="117"/>
      <c r="Y1449" s="117"/>
      <c r="DT1449" s="240"/>
      <c r="DU1449" s="240"/>
      <c r="DV1449" s="240"/>
      <c r="DW1449" s="240"/>
      <c r="DX1449" s="240"/>
      <c r="DY1449" s="240"/>
      <c r="DZ1449" s="240"/>
      <c r="EA1449" s="240"/>
      <c r="EB1449" s="237"/>
      <c r="EC1449" s="241"/>
      <c r="ED1449" s="241"/>
      <c r="EE1449" s="241"/>
      <c r="EG1449" s="241"/>
      <c r="EI1449" s="241"/>
      <c r="EK1449" s="241"/>
    </row>
    <row r="1450" spans="1:141" s="121" customFormat="1" x14ac:dyDescent="0.3">
      <c r="A1450" s="124"/>
      <c r="O1450" s="235"/>
      <c r="X1450" s="117"/>
      <c r="Y1450" s="117"/>
      <c r="DT1450" s="240"/>
      <c r="DU1450" s="240"/>
      <c r="DV1450" s="240"/>
      <c r="DW1450" s="240"/>
      <c r="DX1450" s="240"/>
      <c r="DY1450" s="240"/>
      <c r="DZ1450" s="240"/>
      <c r="EA1450" s="240"/>
      <c r="EB1450" s="237"/>
      <c r="EC1450" s="241"/>
      <c r="ED1450" s="241"/>
      <c r="EE1450" s="241"/>
      <c r="EG1450" s="241"/>
      <c r="EI1450" s="241"/>
      <c r="EK1450" s="241"/>
    </row>
    <row r="1451" spans="1:141" s="121" customFormat="1" x14ac:dyDescent="0.3">
      <c r="A1451" s="124"/>
      <c r="O1451" s="235"/>
      <c r="X1451" s="117"/>
      <c r="Y1451" s="117"/>
      <c r="DT1451" s="240"/>
      <c r="DU1451" s="240"/>
      <c r="DV1451" s="240"/>
      <c r="DW1451" s="240"/>
      <c r="DX1451" s="240"/>
      <c r="DY1451" s="240"/>
      <c r="DZ1451" s="240"/>
      <c r="EA1451" s="240"/>
      <c r="EB1451" s="237"/>
      <c r="EC1451" s="241"/>
      <c r="ED1451" s="241"/>
      <c r="EE1451" s="241"/>
      <c r="EG1451" s="241"/>
      <c r="EI1451" s="241"/>
      <c r="EK1451" s="241"/>
    </row>
    <row r="1452" spans="1:141" s="121" customFormat="1" x14ac:dyDescent="0.3">
      <c r="A1452" s="124"/>
      <c r="O1452" s="235"/>
      <c r="X1452" s="117"/>
      <c r="Y1452" s="117"/>
      <c r="DT1452" s="240"/>
      <c r="DU1452" s="240"/>
      <c r="DV1452" s="240"/>
      <c r="DW1452" s="240"/>
      <c r="DX1452" s="240"/>
      <c r="DY1452" s="240"/>
      <c r="DZ1452" s="240"/>
      <c r="EA1452" s="240"/>
      <c r="EB1452" s="237"/>
      <c r="EC1452" s="241"/>
      <c r="ED1452" s="241"/>
      <c r="EE1452" s="241"/>
      <c r="EG1452" s="241"/>
      <c r="EI1452" s="241"/>
      <c r="EK1452" s="241"/>
    </row>
    <row r="1453" spans="1:141" s="121" customFormat="1" x14ac:dyDescent="0.3">
      <c r="A1453" s="124"/>
      <c r="O1453" s="235"/>
      <c r="X1453" s="117"/>
      <c r="Y1453" s="117"/>
      <c r="DT1453" s="240"/>
      <c r="DU1453" s="240"/>
      <c r="DV1453" s="240"/>
      <c r="DW1453" s="240"/>
      <c r="DX1453" s="240"/>
      <c r="DY1453" s="240"/>
      <c r="DZ1453" s="240"/>
      <c r="EA1453" s="240"/>
      <c r="EB1453" s="237"/>
      <c r="EC1453" s="241"/>
      <c r="ED1453" s="241"/>
      <c r="EE1453" s="241"/>
      <c r="EG1453" s="241"/>
      <c r="EI1453" s="241"/>
      <c r="EK1453" s="241"/>
    </row>
    <row r="1454" spans="1:141" s="121" customFormat="1" x14ac:dyDescent="0.3">
      <c r="A1454" s="124"/>
      <c r="O1454" s="235"/>
      <c r="X1454" s="117"/>
      <c r="Y1454" s="117"/>
      <c r="DT1454" s="240"/>
      <c r="DU1454" s="240"/>
      <c r="DV1454" s="240"/>
      <c r="DW1454" s="240"/>
      <c r="DX1454" s="240"/>
      <c r="DY1454" s="240"/>
      <c r="DZ1454" s="240"/>
      <c r="EA1454" s="240"/>
      <c r="EB1454" s="237"/>
      <c r="EC1454" s="241"/>
      <c r="ED1454" s="241"/>
      <c r="EE1454" s="241"/>
      <c r="EG1454" s="241"/>
      <c r="EI1454" s="241"/>
      <c r="EK1454" s="241"/>
    </row>
    <row r="1455" spans="1:141" s="121" customFormat="1" x14ac:dyDescent="0.3">
      <c r="A1455" s="124"/>
      <c r="O1455" s="235"/>
      <c r="X1455" s="117"/>
      <c r="Y1455" s="117"/>
      <c r="DT1455" s="240"/>
      <c r="DU1455" s="240"/>
      <c r="DV1455" s="240"/>
      <c r="DW1455" s="240"/>
      <c r="DX1455" s="240"/>
      <c r="DY1455" s="240"/>
      <c r="DZ1455" s="240"/>
      <c r="EA1455" s="240"/>
      <c r="EB1455" s="237"/>
      <c r="EC1455" s="241"/>
      <c r="ED1455" s="241"/>
      <c r="EE1455" s="241"/>
      <c r="EG1455" s="241"/>
      <c r="EI1455" s="241"/>
      <c r="EK1455" s="241"/>
    </row>
    <row r="1456" spans="1:141" s="121" customFormat="1" x14ac:dyDescent="0.3">
      <c r="A1456" s="124"/>
      <c r="O1456" s="235"/>
      <c r="X1456" s="117"/>
      <c r="Y1456" s="117"/>
      <c r="DT1456" s="240"/>
      <c r="DU1456" s="240"/>
      <c r="DV1456" s="240"/>
      <c r="DW1456" s="240"/>
      <c r="DX1456" s="240"/>
      <c r="DY1456" s="240"/>
      <c r="DZ1456" s="240"/>
      <c r="EA1456" s="240"/>
      <c r="EB1456" s="237"/>
      <c r="EC1456" s="241"/>
      <c r="ED1456" s="241"/>
      <c r="EE1456" s="241"/>
      <c r="EG1456" s="241"/>
      <c r="EI1456" s="241"/>
      <c r="EK1456" s="241"/>
    </row>
    <row r="1457" spans="1:141" s="121" customFormat="1" x14ac:dyDescent="0.3">
      <c r="A1457" s="124"/>
      <c r="O1457" s="235"/>
      <c r="X1457" s="117"/>
      <c r="Y1457" s="117"/>
      <c r="DT1457" s="240"/>
      <c r="DU1457" s="240"/>
      <c r="DV1457" s="240"/>
      <c r="DW1457" s="240"/>
      <c r="DX1457" s="240"/>
      <c r="DY1457" s="240"/>
      <c r="DZ1457" s="240"/>
      <c r="EA1457" s="240"/>
      <c r="EB1457" s="237"/>
      <c r="EC1457" s="241"/>
      <c r="ED1457" s="241"/>
      <c r="EE1457" s="241"/>
      <c r="EG1457" s="241"/>
      <c r="EI1457" s="241"/>
      <c r="EK1457" s="241"/>
    </row>
    <row r="1458" spans="1:141" s="121" customFormat="1" x14ac:dyDescent="0.3">
      <c r="A1458" s="124"/>
      <c r="O1458" s="235"/>
      <c r="X1458" s="117"/>
      <c r="Y1458" s="117"/>
      <c r="DT1458" s="240"/>
      <c r="DU1458" s="240"/>
      <c r="DV1458" s="240"/>
      <c r="DW1458" s="240"/>
      <c r="DX1458" s="240"/>
      <c r="DY1458" s="240"/>
      <c r="DZ1458" s="240"/>
      <c r="EA1458" s="240"/>
      <c r="EB1458" s="237"/>
      <c r="EC1458" s="241"/>
      <c r="ED1458" s="241"/>
      <c r="EE1458" s="241"/>
      <c r="EG1458" s="241"/>
      <c r="EI1458" s="241"/>
      <c r="EK1458" s="241"/>
    </row>
    <row r="1459" spans="1:141" s="121" customFormat="1" x14ac:dyDescent="0.3">
      <c r="A1459" s="124"/>
      <c r="O1459" s="235"/>
      <c r="X1459" s="117"/>
      <c r="Y1459" s="117"/>
      <c r="DT1459" s="240"/>
      <c r="DU1459" s="240"/>
      <c r="DV1459" s="240"/>
      <c r="DW1459" s="240"/>
      <c r="DX1459" s="240"/>
      <c r="DY1459" s="240"/>
      <c r="DZ1459" s="240"/>
      <c r="EA1459" s="240"/>
      <c r="EB1459" s="237"/>
      <c r="EC1459" s="241"/>
      <c r="ED1459" s="241"/>
      <c r="EE1459" s="241"/>
      <c r="EG1459" s="241"/>
      <c r="EI1459" s="241"/>
      <c r="EK1459" s="241"/>
    </row>
    <row r="1460" spans="1:141" s="121" customFormat="1" x14ac:dyDescent="0.3">
      <c r="A1460" s="124"/>
      <c r="O1460" s="235"/>
      <c r="X1460" s="117"/>
      <c r="Y1460" s="117"/>
      <c r="DT1460" s="240"/>
      <c r="DU1460" s="240"/>
      <c r="DV1460" s="240"/>
      <c r="DW1460" s="240"/>
      <c r="DX1460" s="240"/>
      <c r="DY1460" s="240"/>
      <c r="DZ1460" s="240"/>
      <c r="EA1460" s="240"/>
      <c r="EB1460" s="237"/>
      <c r="EC1460" s="241"/>
      <c r="ED1460" s="241"/>
      <c r="EE1460" s="241"/>
      <c r="EG1460" s="241"/>
      <c r="EI1460" s="241"/>
      <c r="EK1460" s="241"/>
    </row>
    <row r="1461" spans="1:141" s="121" customFormat="1" x14ac:dyDescent="0.3">
      <c r="A1461" s="124"/>
      <c r="O1461" s="235"/>
      <c r="X1461" s="117"/>
      <c r="Y1461" s="117"/>
      <c r="DT1461" s="240"/>
      <c r="DU1461" s="240"/>
      <c r="DV1461" s="240"/>
      <c r="DW1461" s="240"/>
      <c r="DX1461" s="240"/>
      <c r="DY1461" s="240"/>
      <c r="DZ1461" s="240"/>
      <c r="EA1461" s="240"/>
      <c r="EB1461" s="237"/>
      <c r="EC1461" s="241"/>
      <c r="ED1461" s="241"/>
      <c r="EE1461" s="241"/>
      <c r="EG1461" s="241"/>
      <c r="EI1461" s="241"/>
      <c r="EK1461" s="241"/>
    </row>
    <row r="1462" spans="1:141" s="121" customFormat="1" x14ac:dyDescent="0.3">
      <c r="A1462" s="124"/>
      <c r="O1462" s="235"/>
      <c r="X1462" s="117"/>
      <c r="Y1462" s="117"/>
      <c r="DT1462" s="240"/>
      <c r="DU1462" s="240"/>
      <c r="DV1462" s="240"/>
      <c r="DW1462" s="240"/>
      <c r="DX1462" s="240"/>
      <c r="DY1462" s="240"/>
      <c r="DZ1462" s="240"/>
      <c r="EA1462" s="240"/>
      <c r="EB1462" s="237"/>
      <c r="EC1462" s="241"/>
      <c r="ED1462" s="241"/>
      <c r="EE1462" s="241"/>
      <c r="EG1462" s="241"/>
      <c r="EI1462" s="241"/>
      <c r="EK1462" s="241"/>
    </row>
    <row r="1463" spans="1:141" s="121" customFormat="1" x14ac:dyDescent="0.3">
      <c r="A1463" s="124"/>
      <c r="O1463" s="235"/>
      <c r="X1463" s="117"/>
      <c r="Y1463" s="117"/>
      <c r="DT1463" s="240"/>
      <c r="DU1463" s="240"/>
      <c r="DV1463" s="240"/>
      <c r="DW1463" s="240"/>
      <c r="DX1463" s="240"/>
      <c r="DY1463" s="240"/>
      <c r="DZ1463" s="240"/>
      <c r="EA1463" s="240"/>
      <c r="EB1463" s="237"/>
      <c r="EC1463" s="241"/>
      <c r="ED1463" s="241"/>
      <c r="EE1463" s="241"/>
      <c r="EG1463" s="241"/>
      <c r="EI1463" s="241"/>
      <c r="EK1463" s="241"/>
    </row>
    <row r="1464" spans="1:141" s="121" customFormat="1" x14ac:dyDescent="0.3">
      <c r="A1464" s="124"/>
      <c r="O1464" s="235"/>
      <c r="X1464" s="117"/>
      <c r="Y1464" s="117"/>
      <c r="DT1464" s="240"/>
      <c r="DU1464" s="240"/>
      <c r="DV1464" s="240"/>
      <c r="DW1464" s="240"/>
      <c r="DX1464" s="240"/>
      <c r="DY1464" s="240"/>
      <c r="DZ1464" s="240"/>
      <c r="EA1464" s="240"/>
      <c r="EB1464" s="237"/>
      <c r="EC1464" s="241"/>
      <c r="ED1464" s="241"/>
      <c r="EE1464" s="241"/>
      <c r="EG1464" s="241"/>
      <c r="EI1464" s="241"/>
      <c r="EK1464" s="241"/>
    </row>
    <row r="1465" spans="1:141" s="121" customFormat="1" x14ac:dyDescent="0.3">
      <c r="A1465" s="124"/>
      <c r="O1465" s="235"/>
      <c r="X1465" s="117"/>
      <c r="Y1465" s="117"/>
      <c r="DT1465" s="240"/>
      <c r="DU1465" s="240"/>
      <c r="DV1465" s="240"/>
      <c r="DW1465" s="240"/>
      <c r="DX1465" s="240"/>
      <c r="DY1465" s="240"/>
      <c r="DZ1465" s="240"/>
      <c r="EA1465" s="240"/>
      <c r="EB1465" s="237"/>
      <c r="EC1465" s="241"/>
      <c r="ED1465" s="241"/>
      <c r="EE1465" s="241"/>
      <c r="EG1465" s="241"/>
      <c r="EI1465" s="241"/>
      <c r="EK1465" s="241"/>
    </row>
    <row r="1466" spans="1:141" s="121" customFormat="1" x14ac:dyDescent="0.3">
      <c r="A1466" s="124"/>
      <c r="O1466" s="235"/>
      <c r="X1466" s="117"/>
      <c r="Y1466" s="117"/>
      <c r="DT1466" s="240"/>
      <c r="DU1466" s="240"/>
      <c r="DV1466" s="240"/>
      <c r="DW1466" s="240"/>
      <c r="DX1466" s="240"/>
      <c r="DY1466" s="240"/>
      <c r="DZ1466" s="240"/>
      <c r="EA1466" s="240"/>
      <c r="EB1466" s="237"/>
      <c r="EC1466" s="241"/>
      <c r="ED1466" s="241"/>
      <c r="EE1466" s="241"/>
      <c r="EG1466" s="241"/>
      <c r="EI1466" s="241"/>
      <c r="EK1466" s="241"/>
    </row>
    <row r="1467" spans="1:141" s="121" customFormat="1" x14ac:dyDescent="0.3">
      <c r="A1467" s="124"/>
      <c r="O1467" s="235"/>
      <c r="X1467" s="117"/>
      <c r="Y1467" s="117"/>
      <c r="DT1467" s="240"/>
      <c r="DU1467" s="240"/>
      <c r="DV1467" s="240"/>
      <c r="DW1467" s="240"/>
      <c r="DX1467" s="240"/>
      <c r="DY1467" s="240"/>
      <c r="DZ1467" s="240"/>
      <c r="EA1467" s="240"/>
      <c r="EB1467" s="237"/>
      <c r="EC1467" s="241"/>
      <c r="ED1467" s="241"/>
      <c r="EE1467" s="241"/>
      <c r="EG1467" s="241"/>
      <c r="EI1467" s="241"/>
      <c r="EK1467" s="241"/>
    </row>
    <row r="1468" spans="1:141" s="121" customFormat="1" x14ac:dyDescent="0.3">
      <c r="A1468" s="124"/>
      <c r="O1468" s="235"/>
      <c r="X1468" s="117"/>
      <c r="Y1468" s="117"/>
      <c r="DT1468" s="240"/>
      <c r="DU1468" s="240"/>
      <c r="DV1468" s="240"/>
      <c r="DW1468" s="240"/>
      <c r="DX1468" s="240"/>
      <c r="DY1468" s="240"/>
      <c r="DZ1468" s="240"/>
      <c r="EA1468" s="240"/>
      <c r="EB1468" s="237"/>
      <c r="EC1468" s="241"/>
      <c r="ED1468" s="241"/>
      <c r="EE1468" s="241"/>
      <c r="EG1468" s="241"/>
      <c r="EI1468" s="241"/>
      <c r="EK1468" s="241"/>
    </row>
    <row r="1469" spans="1:141" s="121" customFormat="1" x14ac:dyDescent="0.3">
      <c r="A1469" s="124"/>
      <c r="O1469" s="235"/>
      <c r="X1469" s="117"/>
      <c r="Y1469" s="117"/>
      <c r="DT1469" s="240"/>
      <c r="DU1469" s="240"/>
      <c r="DV1469" s="240"/>
      <c r="DW1469" s="240"/>
      <c r="DX1469" s="240"/>
      <c r="DY1469" s="240"/>
      <c r="DZ1469" s="240"/>
      <c r="EA1469" s="240"/>
      <c r="EB1469" s="237"/>
      <c r="EC1469" s="241"/>
      <c r="ED1469" s="241"/>
      <c r="EE1469" s="241"/>
      <c r="EG1469" s="241"/>
      <c r="EI1469" s="241"/>
      <c r="EK1469" s="241"/>
    </row>
    <row r="1470" spans="1:141" s="121" customFormat="1" x14ac:dyDescent="0.3">
      <c r="A1470" s="124"/>
      <c r="O1470" s="235"/>
      <c r="X1470" s="117"/>
      <c r="Y1470" s="117"/>
      <c r="DT1470" s="240"/>
      <c r="DU1470" s="240"/>
      <c r="DV1470" s="240"/>
      <c r="DW1470" s="240"/>
      <c r="DX1470" s="240"/>
      <c r="DY1470" s="240"/>
      <c r="DZ1470" s="240"/>
      <c r="EA1470" s="240"/>
      <c r="EB1470" s="237"/>
      <c r="EC1470" s="241"/>
      <c r="ED1470" s="241"/>
      <c r="EE1470" s="241"/>
      <c r="EG1470" s="241"/>
      <c r="EI1470" s="241"/>
      <c r="EK1470" s="241"/>
    </row>
    <row r="1471" spans="1:141" s="121" customFormat="1" x14ac:dyDescent="0.3">
      <c r="A1471" s="124"/>
      <c r="O1471" s="235"/>
      <c r="X1471" s="117"/>
      <c r="Y1471" s="117"/>
      <c r="DT1471" s="240"/>
      <c r="DU1471" s="240"/>
      <c r="DV1471" s="240"/>
      <c r="DW1471" s="240"/>
      <c r="DX1471" s="240"/>
      <c r="DY1471" s="240"/>
      <c r="DZ1471" s="240"/>
      <c r="EA1471" s="240"/>
      <c r="EB1471" s="237"/>
      <c r="EC1471" s="241"/>
      <c r="ED1471" s="241"/>
      <c r="EE1471" s="241"/>
      <c r="EG1471" s="241"/>
      <c r="EI1471" s="241"/>
      <c r="EK1471" s="241"/>
    </row>
    <row r="1472" spans="1:141" s="121" customFormat="1" x14ac:dyDescent="0.3">
      <c r="A1472" s="124"/>
      <c r="O1472" s="235"/>
      <c r="X1472" s="117"/>
      <c r="Y1472" s="117"/>
      <c r="DT1472" s="240"/>
      <c r="DU1472" s="240"/>
      <c r="DV1472" s="240"/>
      <c r="DW1472" s="240"/>
      <c r="DX1472" s="240"/>
      <c r="DY1472" s="240"/>
      <c r="DZ1472" s="240"/>
      <c r="EA1472" s="240"/>
      <c r="EB1472" s="237"/>
      <c r="EC1472" s="241"/>
      <c r="ED1472" s="241"/>
      <c r="EE1472" s="241"/>
      <c r="EG1472" s="241"/>
      <c r="EI1472" s="241"/>
      <c r="EK1472" s="241"/>
    </row>
    <row r="1473" spans="1:141" s="121" customFormat="1" x14ac:dyDescent="0.3">
      <c r="A1473" s="124"/>
      <c r="O1473" s="235"/>
      <c r="X1473" s="117"/>
      <c r="Y1473" s="117"/>
      <c r="DT1473" s="240"/>
      <c r="DU1473" s="240"/>
      <c r="DV1473" s="240"/>
      <c r="DW1473" s="240"/>
      <c r="DX1473" s="240"/>
      <c r="DY1473" s="240"/>
      <c r="DZ1473" s="240"/>
      <c r="EA1473" s="240"/>
      <c r="EB1473" s="237"/>
      <c r="EC1473" s="241"/>
      <c r="ED1473" s="241"/>
      <c r="EE1473" s="241"/>
      <c r="EG1473" s="241"/>
      <c r="EI1473" s="241"/>
      <c r="EK1473" s="241"/>
    </row>
    <row r="1474" spans="1:141" s="121" customFormat="1" x14ac:dyDescent="0.3">
      <c r="A1474" s="124"/>
      <c r="O1474" s="235"/>
      <c r="X1474" s="117"/>
      <c r="Y1474" s="117"/>
      <c r="DT1474" s="240"/>
      <c r="DU1474" s="240"/>
      <c r="DV1474" s="240"/>
      <c r="DW1474" s="240"/>
      <c r="DX1474" s="240"/>
      <c r="DY1474" s="240"/>
      <c r="DZ1474" s="240"/>
      <c r="EA1474" s="240"/>
      <c r="EB1474" s="237"/>
      <c r="EC1474" s="241"/>
      <c r="ED1474" s="241"/>
      <c r="EE1474" s="241"/>
      <c r="EG1474" s="241"/>
      <c r="EI1474" s="241"/>
      <c r="EK1474" s="241"/>
    </row>
    <row r="1475" spans="1:141" s="121" customFormat="1" x14ac:dyDescent="0.3">
      <c r="A1475" s="124"/>
      <c r="O1475" s="235"/>
      <c r="X1475" s="117"/>
      <c r="Y1475" s="117"/>
      <c r="DT1475" s="240"/>
      <c r="DU1475" s="240"/>
      <c r="DV1475" s="240"/>
      <c r="DW1475" s="240"/>
      <c r="DX1475" s="240"/>
      <c r="DY1475" s="240"/>
      <c r="DZ1475" s="240"/>
      <c r="EA1475" s="240"/>
      <c r="EB1475" s="237"/>
      <c r="EC1475" s="241"/>
      <c r="ED1475" s="241"/>
      <c r="EE1475" s="241"/>
      <c r="EG1475" s="241"/>
      <c r="EI1475" s="241"/>
      <c r="EK1475" s="241"/>
    </row>
    <row r="1476" spans="1:141" s="121" customFormat="1" x14ac:dyDescent="0.3">
      <c r="A1476" s="124"/>
      <c r="O1476" s="235"/>
      <c r="X1476" s="117"/>
      <c r="Y1476" s="117"/>
      <c r="DT1476" s="240"/>
      <c r="DU1476" s="240"/>
      <c r="DV1476" s="240"/>
      <c r="DW1476" s="240"/>
      <c r="DX1476" s="240"/>
      <c r="DY1476" s="240"/>
      <c r="DZ1476" s="240"/>
      <c r="EA1476" s="240"/>
      <c r="EB1476" s="237"/>
      <c r="EC1476" s="241"/>
      <c r="ED1476" s="241"/>
      <c r="EE1476" s="241"/>
      <c r="EG1476" s="241"/>
      <c r="EI1476" s="241"/>
      <c r="EK1476" s="241"/>
    </row>
    <row r="1477" spans="1:141" s="121" customFormat="1" x14ac:dyDescent="0.3">
      <c r="A1477" s="124"/>
      <c r="O1477" s="235"/>
      <c r="X1477" s="117"/>
      <c r="Y1477" s="117"/>
      <c r="DT1477" s="240"/>
      <c r="DU1477" s="240"/>
      <c r="DV1477" s="240"/>
      <c r="DW1477" s="240"/>
      <c r="DX1477" s="240"/>
      <c r="DY1477" s="240"/>
      <c r="DZ1477" s="240"/>
      <c r="EA1477" s="240"/>
      <c r="EB1477" s="237"/>
      <c r="EC1477" s="241"/>
      <c r="ED1477" s="241"/>
      <c r="EE1477" s="241"/>
      <c r="EG1477" s="241"/>
      <c r="EI1477" s="241"/>
      <c r="EK1477" s="241"/>
    </row>
    <row r="1478" spans="1:141" s="121" customFormat="1" x14ac:dyDescent="0.3">
      <c r="A1478" s="124"/>
      <c r="O1478" s="235"/>
      <c r="X1478" s="117"/>
      <c r="Y1478" s="117"/>
      <c r="DT1478" s="240"/>
      <c r="DU1478" s="240"/>
      <c r="DV1478" s="240"/>
      <c r="DW1478" s="240"/>
      <c r="DX1478" s="240"/>
      <c r="DY1478" s="240"/>
      <c r="DZ1478" s="240"/>
      <c r="EA1478" s="240"/>
      <c r="EB1478" s="237"/>
      <c r="EC1478" s="241"/>
      <c r="ED1478" s="241"/>
      <c r="EE1478" s="241"/>
      <c r="EG1478" s="241"/>
      <c r="EI1478" s="241"/>
      <c r="EK1478" s="241"/>
    </row>
    <row r="1479" spans="1:141" s="121" customFormat="1" x14ac:dyDescent="0.3">
      <c r="A1479" s="124"/>
      <c r="O1479" s="235"/>
      <c r="X1479" s="117"/>
      <c r="Y1479" s="117"/>
      <c r="DT1479" s="240"/>
      <c r="DU1479" s="240"/>
      <c r="DV1479" s="240"/>
      <c r="DW1479" s="240"/>
      <c r="DX1479" s="240"/>
      <c r="DY1479" s="240"/>
      <c r="DZ1479" s="240"/>
      <c r="EA1479" s="240"/>
      <c r="EB1479" s="237"/>
      <c r="EC1479" s="241"/>
      <c r="ED1479" s="241"/>
      <c r="EE1479" s="241"/>
      <c r="EG1479" s="241"/>
      <c r="EI1479" s="241"/>
      <c r="EK1479" s="241"/>
    </row>
    <row r="1480" spans="1:141" s="121" customFormat="1" x14ac:dyDescent="0.3">
      <c r="A1480" s="124"/>
      <c r="O1480" s="235"/>
      <c r="X1480" s="117"/>
      <c r="Y1480" s="117"/>
      <c r="DT1480" s="240"/>
      <c r="DU1480" s="240"/>
      <c r="DV1480" s="240"/>
      <c r="DW1480" s="240"/>
      <c r="DX1480" s="240"/>
      <c r="DY1480" s="240"/>
      <c r="DZ1480" s="240"/>
      <c r="EA1480" s="240"/>
      <c r="EB1480" s="237"/>
      <c r="EC1480" s="241"/>
      <c r="ED1480" s="241"/>
      <c r="EE1480" s="241"/>
      <c r="EG1480" s="241"/>
      <c r="EI1480" s="241"/>
      <c r="EK1480" s="241"/>
    </row>
    <row r="1481" spans="1:141" s="121" customFormat="1" x14ac:dyDescent="0.3">
      <c r="A1481" s="124"/>
      <c r="O1481" s="235"/>
      <c r="X1481" s="117"/>
      <c r="Y1481" s="117"/>
      <c r="DT1481" s="240"/>
      <c r="DU1481" s="240"/>
      <c r="DV1481" s="240"/>
      <c r="DW1481" s="240"/>
      <c r="DX1481" s="240"/>
      <c r="DY1481" s="240"/>
      <c r="DZ1481" s="240"/>
      <c r="EA1481" s="240"/>
      <c r="EB1481" s="237"/>
      <c r="EC1481" s="241"/>
      <c r="ED1481" s="241"/>
      <c r="EE1481" s="241"/>
      <c r="EG1481" s="241"/>
      <c r="EI1481" s="241"/>
      <c r="EK1481" s="241"/>
    </row>
    <row r="1482" spans="1:141" s="121" customFormat="1" x14ac:dyDescent="0.3">
      <c r="A1482" s="124"/>
      <c r="O1482" s="235"/>
      <c r="X1482" s="117"/>
      <c r="Y1482" s="117"/>
      <c r="DT1482" s="240"/>
      <c r="DU1482" s="240"/>
      <c r="DV1482" s="240"/>
      <c r="DW1482" s="240"/>
      <c r="DX1482" s="240"/>
      <c r="DY1482" s="240"/>
      <c r="DZ1482" s="240"/>
      <c r="EA1482" s="240"/>
      <c r="EB1482" s="237"/>
      <c r="EC1482" s="241"/>
      <c r="ED1482" s="241"/>
      <c r="EE1482" s="241"/>
      <c r="EG1482" s="241"/>
      <c r="EI1482" s="241"/>
      <c r="EK1482" s="241"/>
    </row>
    <row r="1483" spans="1:141" s="121" customFormat="1" x14ac:dyDescent="0.3">
      <c r="A1483" s="124"/>
      <c r="O1483" s="235"/>
      <c r="X1483" s="117"/>
      <c r="Y1483" s="117"/>
      <c r="DT1483" s="240"/>
      <c r="DU1483" s="240"/>
      <c r="DV1483" s="240"/>
      <c r="DW1483" s="240"/>
      <c r="DX1483" s="240"/>
      <c r="DY1483" s="240"/>
      <c r="DZ1483" s="240"/>
      <c r="EA1483" s="240"/>
      <c r="EB1483" s="237"/>
      <c r="EC1483" s="241"/>
      <c r="ED1483" s="241"/>
      <c r="EE1483" s="241"/>
      <c r="EG1483" s="241"/>
      <c r="EI1483" s="241"/>
      <c r="EK1483" s="241"/>
    </row>
    <row r="1484" spans="1:141" s="121" customFormat="1" x14ac:dyDescent="0.3">
      <c r="A1484" s="124"/>
      <c r="O1484" s="235"/>
      <c r="X1484" s="117"/>
      <c r="Y1484" s="117"/>
      <c r="DT1484" s="240"/>
      <c r="DU1484" s="240"/>
      <c r="DV1484" s="240"/>
      <c r="DW1484" s="240"/>
      <c r="DX1484" s="240"/>
      <c r="DY1484" s="240"/>
      <c r="DZ1484" s="240"/>
      <c r="EA1484" s="240"/>
      <c r="EB1484" s="237"/>
      <c r="EC1484" s="241"/>
      <c r="ED1484" s="241"/>
      <c r="EE1484" s="241"/>
      <c r="EG1484" s="241"/>
      <c r="EI1484" s="241"/>
      <c r="EK1484" s="241"/>
    </row>
    <row r="1485" spans="1:141" s="121" customFormat="1" x14ac:dyDescent="0.3">
      <c r="A1485" s="124"/>
      <c r="O1485" s="235"/>
      <c r="X1485" s="117"/>
      <c r="Y1485" s="117"/>
      <c r="DT1485" s="240"/>
      <c r="DU1485" s="240"/>
      <c r="DV1485" s="240"/>
      <c r="DW1485" s="240"/>
      <c r="DX1485" s="240"/>
      <c r="DY1485" s="240"/>
      <c r="DZ1485" s="240"/>
      <c r="EA1485" s="240"/>
      <c r="EB1485" s="237"/>
      <c r="EC1485" s="241"/>
      <c r="ED1485" s="241"/>
      <c r="EE1485" s="241"/>
      <c r="EG1485" s="241"/>
      <c r="EI1485" s="241"/>
      <c r="EK1485" s="241"/>
    </row>
    <row r="1486" spans="1:141" s="121" customFormat="1" x14ac:dyDescent="0.3">
      <c r="A1486" s="124"/>
      <c r="O1486" s="235"/>
      <c r="X1486" s="117"/>
      <c r="Y1486" s="117"/>
      <c r="DT1486" s="240"/>
      <c r="DU1486" s="240"/>
      <c r="DV1486" s="240"/>
      <c r="DW1486" s="240"/>
      <c r="DX1486" s="240"/>
      <c r="DY1486" s="240"/>
      <c r="DZ1486" s="240"/>
      <c r="EA1486" s="240"/>
      <c r="EB1486" s="237"/>
      <c r="EC1486" s="241"/>
      <c r="ED1486" s="241"/>
      <c r="EE1486" s="241"/>
      <c r="EG1486" s="241"/>
      <c r="EI1486" s="241"/>
      <c r="EK1486" s="241"/>
    </row>
    <row r="1487" spans="1:141" s="121" customFormat="1" x14ac:dyDescent="0.3">
      <c r="A1487" s="124"/>
      <c r="O1487" s="235"/>
      <c r="X1487" s="117"/>
      <c r="Y1487" s="117"/>
      <c r="DT1487" s="240"/>
      <c r="DU1487" s="240"/>
      <c r="DV1487" s="240"/>
      <c r="DW1487" s="240"/>
      <c r="DX1487" s="240"/>
      <c r="DY1487" s="240"/>
      <c r="DZ1487" s="240"/>
      <c r="EA1487" s="240"/>
      <c r="EB1487" s="237"/>
      <c r="EC1487" s="241"/>
      <c r="ED1487" s="241"/>
      <c r="EE1487" s="241"/>
      <c r="EG1487" s="241"/>
      <c r="EI1487" s="241"/>
      <c r="EK1487" s="241"/>
    </row>
    <row r="1488" spans="1:141" s="121" customFormat="1" x14ac:dyDescent="0.3">
      <c r="A1488" s="124"/>
      <c r="O1488" s="235"/>
      <c r="X1488" s="117"/>
      <c r="Y1488" s="117"/>
      <c r="DT1488" s="240"/>
      <c r="DU1488" s="240"/>
      <c r="DV1488" s="240"/>
      <c r="DW1488" s="240"/>
      <c r="DX1488" s="240"/>
      <c r="DY1488" s="240"/>
      <c r="DZ1488" s="240"/>
      <c r="EA1488" s="240"/>
      <c r="EB1488" s="237"/>
      <c r="EC1488" s="241"/>
      <c r="ED1488" s="241"/>
      <c r="EE1488" s="241"/>
      <c r="EG1488" s="241"/>
      <c r="EI1488" s="241"/>
      <c r="EK1488" s="241"/>
    </row>
    <row r="1489" spans="1:141" s="121" customFormat="1" x14ac:dyDescent="0.3">
      <c r="A1489" s="124"/>
      <c r="O1489" s="235"/>
      <c r="X1489" s="117"/>
      <c r="Y1489" s="117"/>
      <c r="DT1489" s="240"/>
      <c r="DU1489" s="240"/>
      <c r="DV1489" s="240"/>
      <c r="DW1489" s="240"/>
      <c r="DX1489" s="240"/>
      <c r="DY1489" s="240"/>
      <c r="DZ1489" s="240"/>
      <c r="EA1489" s="240"/>
      <c r="EB1489" s="237"/>
      <c r="EC1489" s="241"/>
      <c r="ED1489" s="241"/>
      <c r="EE1489" s="241"/>
      <c r="EG1489" s="241"/>
      <c r="EI1489" s="241"/>
      <c r="EK1489" s="241"/>
    </row>
    <row r="1490" spans="1:141" s="121" customFormat="1" x14ac:dyDescent="0.3">
      <c r="A1490" s="124"/>
      <c r="O1490" s="235"/>
      <c r="X1490" s="117"/>
      <c r="Y1490" s="117"/>
      <c r="DT1490" s="240"/>
      <c r="DU1490" s="240"/>
      <c r="DV1490" s="240"/>
      <c r="DW1490" s="240"/>
      <c r="DX1490" s="240"/>
      <c r="DY1490" s="240"/>
      <c r="DZ1490" s="240"/>
      <c r="EA1490" s="240"/>
      <c r="EB1490" s="237"/>
      <c r="EC1490" s="241"/>
      <c r="ED1490" s="241"/>
      <c r="EE1490" s="241"/>
      <c r="EG1490" s="241"/>
      <c r="EI1490" s="241"/>
      <c r="EK1490" s="241"/>
    </row>
    <row r="1491" spans="1:141" s="121" customFormat="1" x14ac:dyDescent="0.3">
      <c r="A1491" s="124"/>
      <c r="O1491" s="235"/>
      <c r="X1491" s="117"/>
      <c r="Y1491" s="117"/>
      <c r="DT1491" s="240"/>
      <c r="DU1491" s="240"/>
      <c r="DV1491" s="240"/>
      <c r="DW1491" s="240"/>
      <c r="DX1491" s="240"/>
      <c r="DY1491" s="240"/>
      <c r="DZ1491" s="240"/>
      <c r="EA1491" s="240"/>
      <c r="EB1491" s="237"/>
      <c r="EC1491" s="241"/>
      <c r="ED1491" s="241"/>
      <c r="EE1491" s="241"/>
      <c r="EG1491" s="241"/>
      <c r="EI1491" s="241"/>
      <c r="EK1491" s="241"/>
    </row>
    <row r="1492" spans="1:141" s="121" customFormat="1" x14ac:dyDescent="0.3">
      <c r="A1492" s="124"/>
      <c r="O1492" s="235"/>
      <c r="X1492" s="117"/>
      <c r="Y1492" s="117"/>
      <c r="DT1492" s="240"/>
      <c r="DU1492" s="240"/>
      <c r="DV1492" s="240"/>
      <c r="DW1492" s="240"/>
      <c r="DX1492" s="240"/>
      <c r="DY1492" s="240"/>
      <c r="DZ1492" s="240"/>
      <c r="EA1492" s="240"/>
      <c r="EB1492" s="237"/>
      <c r="EC1492" s="241"/>
      <c r="ED1492" s="241"/>
      <c r="EE1492" s="241"/>
      <c r="EG1492" s="241"/>
      <c r="EI1492" s="241"/>
      <c r="EK1492" s="241"/>
    </row>
    <row r="1493" spans="1:141" s="121" customFormat="1" x14ac:dyDescent="0.3">
      <c r="A1493" s="124"/>
      <c r="O1493" s="235"/>
      <c r="X1493" s="117"/>
      <c r="Y1493" s="117"/>
      <c r="DT1493" s="240"/>
      <c r="DU1493" s="240"/>
      <c r="DV1493" s="240"/>
      <c r="DW1493" s="240"/>
      <c r="DX1493" s="240"/>
      <c r="DY1493" s="240"/>
      <c r="DZ1493" s="240"/>
      <c r="EA1493" s="240"/>
      <c r="EB1493" s="237"/>
      <c r="EC1493" s="241"/>
      <c r="ED1493" s="241"/>
      <c r="EE1493" s="241"/>
      <c r="EG1493" s="241"/>
      <c r="EI1493" s="241"/>
      <c r="EK1493" s="241"/>
    </row>
    <row r="1494" spans="1:141" s="121" customFormat="1" x14ac:dyDescent="0.3">
      <c r="A1494" s="124"/>
      <c r="O1494" s="235"/>
      <c r="X1494" s="117"/>
      <c r="Y1494" s="117"/>
      <c r="DT1494" s="240"/>
      <c r="DU1494" s="240"/>
      <c r="DV1494" s="240"/>
      <c r="DW1494" s="240"/>
      <c r="DX1494" s="240"/>
      <c r="DY1494" s="240"/>
      <c r="DZ1494" s="240"/>
      <c r="EA1494" s="240"/>
      <c r="EB1494" s="237"/>
      <c r="EC1494" s="241"/>
      <c r="ED1494" s="241"/>
      <c r="EE1494" s="241"/>
      <c r="EG1494" s="241"/>
      <c r="EI1494" s="241"/>
      <c r="EK1494" s="241"/>
    </row>
    <row r="1495" spans="1:141" s="121" customFormat="1" x14ac:dyDescent="0.3">
      <c r="A1495" s="124"/>
      <c r="O1495" s="235"/>
      <c r="X1495" s="117"/>
      <c r="Y1495" s="117"/>
      <c r="DT1495" s="240"/>
      <c r="DU1495" s="240"/>
      <c r="DV1495" s="240"/>
      <c r="DW1495" s="240"/>
      <c r="DX1495" s="240"/>
      <c r="DY1495" s="240"/>
      <c r="DZ1495" s="240"/>
      <c r="EA1495" s="240"/>
      <c r="EB1495" s="237"/>
      <c r="EC1495" s="241"/>
      <c r="ED1495" s="241"/>
      <c r="EE1495" s="241"/>
      <c r="EG1495" s="241"/>
      <c r="EI1495" s="241"/>
      <c r="EK1495" s="241"/>
    </row>
    <row r="1496" spans="1:141" s="121" customFormat="1" x14ac:dyDescent="0.3">
      <c r="A1496" s="124"/>
      <c r="O1496" s="235"/>
      <c r="X1496" s="117"/>
      <c r="Y1496" s="117"/>
      <c r="DT1496" s="240"/>
      <c r="DU1496" s="240"/>
      <c r="DV1496" s="240"/>
      <c r="DW1496" s="240"/>
      <c r="DX1496" s="240"/>
      <c r="DY1496" s="240"/>
      <c r="DZ1496" s="240"/>
      <c r="EA1496" s="240"/>
      <c r="EB1496" s="237"/>
      <c r="EC1496" s="241"/>
      <c r="ED1496" s="241"/>
      <c r="EE1496" s="241"/>
      <c r="EG1496" s="241"/>
      <c r="EI1496" s="241"/>
      <c r="EK1496" s="241"/>
    </row>
    <row r="1497" spans="1:141" s="121" customFormat="1" x14ac:dyDescent="0.3">
      <c r="A1497" s="124"/>
      <c r="O1497" s="235"/>
      <c r="X1497" s="117"/>
      <c r="Y1497" s="117"/>
      <c r="DT1497" s="240"/>
      <c r="DU1497" s="240"/>
      <c r="DV1497" s="240"/>
      <c r="DW1497" s="240"/>
      <c r="DX1497" s="240"/>
      <c r="DY1497" s="240"/>
      <c r="DZ1497" s="240"/>
      <c r="EA1497" s="240"/>
      <c r="EB1497" s="237"/>
      <c r="EC1497" s="241"/>
      <c r="ED1497" s="241"/>
      <c r="EE1497" s="241"/>
      <c r="EG1497" s="241"/>
      <c r="EI1497" s="241"/>
      <c r="EK1497" s="241"/>
    </row>
    <row r="1498" spans="1:141" s="121" customFormat="1" x14ac:dyDescent="0.3">
      <c r="A1498" s="124"/>
      <c r="O1498" s="235"/>
      <c r="X1498" s="117"/>
      <c r="Y1498" s="117"/>
      <c r="DT1498" s="240"/>
      <c r="DU1498" s="240"/>
      <c r="DV1498" s="240"/>
      <c r="DW1498" s="240"/>
      <c r="DX1498" s="240"/>
      <c r="DY1498" s="240"/>
      <c r="DZ1498" s="240"/>
      <c r="EA1498" s="240"/>
      <c r="EB1498" s="237"/>
      <c r="EC1498" s="241"/>
      <c r="ED1498" s="241"/>
      <c r="EE1498" s="241"/>
      <c r="EG1498" s="241"/>
      <c r="EI1498" s="241"/>
      <c r="EK1498" s="241"/>
    </row>
    <row r="1499" spans="1:141" s="121" customFormat="1" x14ac:dyDescent="0.3">
      <c r="A1499" s="124"/>
      <c r="O1499" s="235"/>
      <c r="X1499" s="117"/>
      <c r="Y1499" s="117"/>
      <c r="DT1499" s="240"/>
      <c r="DU1499" s="240"/>
      <c r="DV1499" s="240"/>
      <c r="DW1499" s="240"/>
      <c r="DX1499" s="240"/>
      <c r="DY1499" s="240"/>
      <c r="DZ1499" s="240"/>
      <c r="EA1499" s="240"/>
      <c r="EB1499" s="237"/>
      <c r="EC1499" s="241"/>
      <c r="ED1499" s="241"/>
      <c r="EE1499" s="241"/>
      <c r="EG1499" s="241"/>
      <c r="EI1499" s="241"/>
      <c r="EK1499" s="241"/>
    </row>
    <row r="1500" spans="1:141" s="121" customFormat="1" x14ac:dyDescent="0.3">
      <c r="A1500" s="124"/>
      <c r="O1500" s="235"/>
      <c r="X1500" s="117"/>
      <c r="Y1500" s="117"/>
      <c r="DT1500" s="240"/>
      <c r="DU1500" s="240"/>
      <c r="DV1500" s="240"/>
      <c r="DW1500" s="240"/>
      <c r="DX1500" s="240"/>
      <c r="DY1500" s="240"/>
      <c r="DZ1500" s="240"/>
      <c r="EA1500" s="240"/>
      <c r="EB1500" s="237"/>
      <c r="EC1500" s="241"/>
      <c r="ED1500" s="241"/>
      <c r="EE1500" s="241"/>
      <c r="EG1500" s="241"/>
      <c r="EI1500" s="241"/>
      <c r="EK1500" s="241"/>
    </row>
    <row r="1501" spans="1:141" s="121" customFormat="1" x14ac:dyDescent="0.3">
      <c r="A1501" s="124"/>
      <c r="O1501" s="235"/>
      <c r="X1501" s="117"/>
      <c r="Y1501" s="117"/>
      <c r="DT1501" s="240"/>
      <c r="DU1501" s="240"/>
      <c r="DV1501" s="240"/>
      <c r="DW1501" s="240"/>
      <c r="DX1501" s="240"/>
      <c r="DY1501" s="240"/>
      <c r="DZ1501" s="240"/>
      <c r="EA1501" s="240"/>
      <c r="EB1501" s="237"/>
      <c r="EC1501" s="241"/>
      <c r="ED1501" s="241"/>
      <c r="EE1501" s="241"/>
      <c r="EG1501" s="241"/>
      <c r="EI1501" s="241"/>
      <c r="EK1501" s="241"/>
    </row>
    <row r="1502" spans="1:141" s="121" customFormat="1" x14ac:dyDescent="0.3">
      <c r="A1502" s="124"/>
      <c r="O1502" s="235"/>
      <c r="X1502" s="117"/>
      <c r="Y1502" s="117"/>
      <c r="DT1502" s="240"/>
      <c r="DU1502" s="240"/>
      <c r="DV1502" s="240"/>
      <c r="DW1502" s="240"/>
      <c r="DX1502" s="240"/>
      <c r="DY1502" s="240"/>
      <c r="DZ1502" s="240"/>
      <c r="EA1502" s="240"/>
      <c r="EB1502" s="237"/>
      <c r="EC1502" s="241"/>
      <c r="ED1502" s="241"/>
      <c r="EE1502" s="241"/>
      <c r="EG1502" s="241"/>
      <c r="EI1502" s="241"/>
      <c r="EK1502" s="241"/>
    </row>
    <row r="1503" spans="1:141" s="121" customFormat="1" x14ac:dyDescent="0.3">
      <c r="A1503" s="124"/>
      <c r="O1503" s="235"/>
      <c r="X1503" s="117"/>
      <c r="Y1503" s="117"/>
      <c r="DT1503" s="240"/>
      <c r="DU1503" s="240"/>
      <c r="DV1503" s="240"/>
      <c r="DW1503" s="240"/>
      <c r="DX1503" s="240"/>
      <c r="DY1503" s="240"/>
      <c r="DZ1503" s="240"/>
      <c r="EA1503" s="240"/>
      <c r="EB1503" s="237"/>
      <c r="EC1503" s="241"/>
      <c r="ED1503" s="241"/>
      <c r="EE1503" s="241"/>
      <c r="EG1503" s="241"/>
      <c r="EI1503" s="241"/>
      <c r="EK1503" s="241"/>
    </row>
    <row r="1504" spans="1:141" s="121" customFormat="1" x14ac:dyDescent="0.3">
      <c r="A1504" s="124"/>
      <c r="O1504" s="235"/>
      <c r="X1504" s="117"/>
      <c r="Y1504" s="117"/>
      <c r="DT1504" s="240"/>
      <c r="DU1504" s="240"/>
      <c r="DV1504" s="240"/>
      <c r="DW1504" s="240"/>
      <c r="DX1504" s="240"/>
      <c r="DY1504" s="240"/>
      <c r="DZ1504" s="240"/>
      <c r="EA1504" s="240"/>
      <c r="EB1504" s="237"/>
      <c r="EC1504" s="241"/>
      <c r="ED1504" s="241"/>
      <c r="EE1504" s="241"/>
      <c r="EG1504" s="241"/>
      <c r="EI1504" s="241"/>
      <c r="EK1504" s="241"/>
    </row>
    <row r="1505" spans="1:141" s="121" customFormat="1" x14ac:dyDescent="0.3">
      <c r="A1505" s="124"/>
      <c r="O1505" s="235"/>
      <c r="X1505" s="117"/>
      <c r="Y1505" s="117"/>
      <c r="DT1505" s="240"/>
      <c r="DU1505" s="240"/>
      <c r="DV1505" s="240"/>
      <c r="DW1505" s="240"/>
      <c r="DX1505" s="240"/>
      <c r="DY1505" s="240"/>
      <c r="DZ1505" s="240"/>
      <c r="EA1505" s="240"/>
      <c r="EB1505" s="237"/>
      <c r="EC1505" s="241"/>
      <c r="ED1505" s="241"/>
      <c r="EE1505" s="241"/>
      <c r="EG1505" s="241"/>
      <c r="EI1505" s="241"/>
      <c r="EK1505" s="241"/>
    </row>
    <row r="1506" spans="1:141" s="121" customFormat="1" x14ac:dyDescent="0.3">
      <c r="A1506" s="124"/>
      <c r="O1506" s="235"/>
      <c r="X1506" s="117"/>
      <c r="Y1506" s="117"/>
      <c r="DT1506" s="240"/>
      <c r="DU1506" s="240"/>
      <c r="DV1506" s="240"/>
      <c r="DW1506" s="240"/>
      <c r="DX1506" s="240"/>
      <c r="DY1506" s="240"/>
      <c r="DZ1506" s="240"/>
      <c r="EA1506" s="240"/>
      <c r="EB1506" s="237"/>
      <c r="EC1506" s="241"/>
      <c r="ED1506" s="241"/>
      <c r="EE1506" s="241"/>
      <c r="EG1506" s="241"/>
      <c r="EI1506" s="241"/>
      <c r="EK1506" s="241"/>
    </row>
    <row r="1507" spans="1:141" s="121" customFormat="1" x14ac:dyDescent="0.3">
      <c r="A1507" s="124"/>
      <c r="O1507" s="235"/>
      <c r="X1507" s="117"/>
      <c r="Y1507" s="117"/>
      <c r="DT1507" s="240"/>
      <c r="DU1507" s="240"/>
      <c r="DV1507" s="240"/>
      <c r="DW1507" s="240"/>
      <c r="DX1507" s="240"/>
      <c r="DY1507" s="240"/>
      <c r="DZ1507" s="240"/>
      <c r="EA1507" s="240"/>
      <c r="EB1507" s="237"/>
      <c r="EC1507" s="241"/>
      <c r="ED1507" s="241"/>
      <c r="EE1507" s="241"/>
      <c r="EG1507" s="241"/>
      <c r="EI1507" s="241"/>
      <c r="EK1507" s="241"/>
    </row>
    <row r="1508" spans="1:141" s="121" customFormat="1" x14ac:dyDescent="0.3">
      <c r="A1508" s="124"/>
      <c r="O1508" s="235"/>
      <c r="X1508" s="117"/>
      <c r="Y1508" s="117"/>
      <c r="DT1508" s="240"/>
      <c r="DU1508" s="240"/>
      <c r="DV1508" s="240"/>
      <c r="DW1508" s="240"/>
      <c r="DX1508" s="240"/>
      <c r="DY1508" s="240"/>
      <c r="DZ1508" s="240"/>
      <c r="EA1508" s="240"/>
      <c r="EB1508" s="237"/>
      <c r="EC1508" s="241"/>
      <c r="ED1508" s="241"/>
      <c r="EE1508" s="241"/>
      <c r="EG1508" s="241"/>
      <c r="EI1508" s="241"/>
      <c r="EK1508" s="241"/>
    </row>
    <row r="1509" spans="1:141" s="121" customFormat="1" x14ac:dyDescent="0.3">
      <c r="A1509" s="124"/>
      <c r="O1509" s="235"/>
      <c r="X1509" s="117"/>
      <c r="Y1509" s="117"/>
      <c r="DT1509" s="240"/>
      <c r="DU1509" s="240"/>
      <c r="DV1509" s="240"/>
      <c r="DW1509" s="240"/>
      <c r="DX1509" s="240"/>
      <c r="DY1509" s="240"/>
      <c r="DZ1509" s="240"/>
      <c r="EA1509" s="240"/>
      <c r="EB1509" s="237"/>
      <c r="EC1509" s="241"/>
      <c r="ED1509" s="241"/>
      <c r="EE1509" s="241"/>
      <c r="EG1509" s="241"/>
      <c r="EI1509" s="241"/>
      <c r="EK1509" s="241"/>
    </row>
    <row r="1510" spans="1:141" s="121" customFormat="1" x14ac:dyDescent="0.3">
      <c r="A1510" s="124"/>
      <c r="O1510" s="235"/>
      <c r="X1510" s="117"/>
      <c r="Y1510" s="117"/>
      <c r="DT1510" s="240"/>
      <c r="DU1510" s="240"/>
      <c r="DV1510" s="240"/>
      <c r="DW1510" s="240"/>
      <c r="DX1510" s="240"/>
      <c r="DY1510" s="240"/>
      <c r="DZ1510" s="240"/>
      <c r="EA1510" s="240"/>
      <c r="EB1510" s="237"/>
      <c r="EC1510" s="241"/>
      <c r="ED1510" s="241"/>
      <c r="EE1510" s="241"/>
      <c r="EG1510" s="241"/>
      <c r="EI1510" s="241"/>
      <c r="EK1510" s="241"/>
    </row>
    <row r="1511" spans="1:141" s="121" customFormat="1" x14ac:dyDescent="0.3">
      <c r="A1511" s="124"/>
      <c r="O1511" s="235"/>
      <c r="X1511" s="117"/>
      <c r="Y1511" s="117"/>
      <c r="DT1511" s="240"/>
      <c r="DU1511" s="240"/>
      <c r="DV1511" s="240"/>
      <c r="DW1511" s="240"/>
      <c r="DX1511" s="240"/>
      <c r="DY1511" s="240"/>
      <c r="DZ1511" s="240"/>
      <c r="EA1511" s="240"/>
      <c r="EB1511" s="237"/>
      <c r="EC1511" s="241"/>
      <c r="ED1511" s="241"/>
      <c r="EE1511" s="241"/>
      <c r="EG1511" s="241"/>
      <c r="EI1511" s="241"/>
      <c r="EK1511" s="241"/>
    </row>
    <row r="1512" spans="1:141" s="121" customFormat="1" x14ac:dyDescent="0.3">
      <c r="A1512" s="124"/>
      <c r="O1512" s="235"/>
      <c r="X1512" s="117"/>
      <c r="Y1512" s="117"/>
      <c r="DT1512" s="240"/>
      <c r="DU1512" s="240"/>
      <c r="DV1512" s="240"/>
      <c r="DW1512" s="240"/>
      <c r="DX1512" s="240"/>
      <c r="DY1512" s="240"/>
      <c r="DZ1512" s="240"/>
      <c r="EA1512" s="240"/>
      <c r="EB1512" s="237"/>
      <c r="EC1512" s="241"/>
      <c r="ED1512" s="241"/>
      <c r="EE1512" s="241"/>
      <c r="EG1512" s="241"/>
      <c r="EI1512" s="241"/>
      <c r="EK1512" s="241"/>
    </row>
    <row r="1513" spans="1:141" s="121" customFormat="1" x14ac:dyDescent="0.3">
      <c r="A1513" s="124"/>
      <c r="O1513" s="235"/>
      <c r="X1513" s="117"/>
      <c r="Y1513" s="117"/>
      <c r="DT1513" s="240"/>
      <c r="DU1513" s="240"/>
      <c r="DV1513" s="240"/>
      <c r="DW1513" s="240"/>
      <c r="DX1513" s="240"/>
      <c r="DY1513" s="240"/>
      <c r="DZ1513" s="240"/>
      <c r="EA1513" s="240"/>
      <c r="EB1513" s="237"/>
      <c r="EC1513" s="241"/>
      <c r="ED1513" s="241"/>
      <c r="EE1513" s="241"/>
      <c r="EG1513" s="241"/>
      <c r="EI1513" s="241"/>
      <c r="EK1513" s="241"/>
    </row>
    <row r="1514" spans="1:141" s="121" customFormat="1" x14ac:dyDescent="0.3">
      <c r="A1514" s="124"/>
      <c r="O1514" s="235"/>
      <c r="X1514" s="117"/>
      <c r="Y1514" s="117"/>
      <c r="DT1514" s="240"/>
      <c r="DU1514" s="240"/>
      <c r="DV1514" s="240"/>
      <c r="DW1514" s="240"/>
      <c r="DX1514" s="240"/>
      <c r="DY1514" s="240"/>
      <c r="DZ1514" s="240"/>
      <c r="EA1514" s="240"/>
      <c r="EB1514" s="237"/>
      <c r="EC1514" s="241"/>
      <c r="ED1514" s="241"/>
      <c r="EE1514" s="241"/>
      <c r="EG1514" s="241"/>
      <c r="EI1514" s="241"/>
      <c r="EK1514" s="241"/>
    </row>
    <row r="1515" spans="1:141" s="121" customFormat="1" x14ac:dyDescent="0.3">
      <c r="A1515" s="124"/>
      <c r="O1515" s="235"/>
      <c r="X1515" s="117"/>
      <c r="Y1515" s="117"/>
      <c r="DT1515" s="240"/>
      <c r="DU1515" s="240"/>
      <c r="DV1515" s="240"/>
      <c r="DW1515" s="240"/>
      <c r="DX1515" s="240"/>
      <c r="DY1515" s="240"/>
      <c r="DZ1515" s="240"/>
      <c r="EA1515" s="240"/>
      <c r="EB1515" s="237"/>
      <c r="EC1515" s="241"/>
      <c r="ED1515" s="241"/>
      <c r="EE1515" s="241"/>
      <c r="EG1515" s="241"/>
      <c r="EI1515" s="241"/>
      <c r="EK1515" s="241"/>
    </row>
    <row r="1516" spans="1:141" s="121" customFormat="1" x14ac:dyDescent="0.3">
      <c r="A1516" s="124"/>
      <c r="O1516" s="235"/>
      <c r="X1516" s="117"/>
      <c r="Y1516" s="117"/>
      <c r="DT1516" s="240"/>
      <c r="DU1516" s="240"/>
      <c r="DV1516" s="240"/>
      <c r="DW1516" s="240"/>
      <c r="DX1516" s="240"/>
      <c r="DY1516" s="240"/>
      <c r="DZ1516" s="240"/>
      <c r="EA1516" s="240"/>
      <c r="EB1516" s="237"/>
      <c r="EC1516" s="241"/>
      <c r="ED1516" s="241"/>
      <c r="EE1516" s="241"/>
      <c r="EG1516" s="241"/>
      <c r="EI1516" s="241"/>
      <c r="EK1516" s="241"/>
    </row>
    <row r="1517" spans="1:141" s="121" customFormat="1" x14ac:dyDescent="0.3">
      <c r="A1517" s="124"/>
      <c r="O1517" s="235"/>
      <c r="X1517" s="117"/>
      <c r="Y1517" s="117"/>
      <c r="DT1517" s="240"/>
      <c r="DU1517" s="240"/>
      <c r="DV1517" s="240"/>
      <c r="DW1517" s="240"/>
      <c r="DX1517" s="240"/>
      <c r="DY1517" s="240"/>
      <c r="DZ1517" s="240"/>
      <c r="EA1517" s="240"/>
      <c r="EB1517" s="237"/>
      <c r="EC1517" s="241"/>
      <c r="ED1517" s="241"/>
      <c r="EE1517" s="241"/>
      <c r="EG1517" s="241"/>
      <c r="EI1517" s="241"/>
      <c r="EK1517" s="241"/>
    </row>
    <row r="1518" spans="1:141" s="121" customFormat="1" x14ac:dyDescent="0.3">
      <c r="A1518" s="124"/>
      <c r="O1518" s="235"/>
      <c r="X1518" s="117"/>
      <c r="Y1518" s="117"/>
      <c r="DT1518" s="240"/>
      <c r="DU1518" s="240"/>
      <c r="DV1518" s="240"/>
      <c r="DW1518" s="240"/>
      <c r="DX1518" s="240"/>
      <c r="DY1518" s="240"/>
      <c r="DZ1518" s="240"/>
      <c r="EA1518" s="240"/>
      <c r="EB1518" s="237"/>
      <c r="EC1518" s="241"/>
      <c r="ED1518" s="241"/>
      <c r="EE1518" s="241"/>
      <c r="EG1518" s="241"/>
      <c r="EI1518" s="241"/>
      <c r="EK1518" s="241"/>
    </row>
    <row r="1519" spans="1:141" s="121" customFormat="1" x14ac:dyDescent="0.3">
      <c r="A1519" s="124"/>
      <c r="O1519" s="235"/>
      <c r="X1519" s="117"/>
      <c r="Y1519" s="117"/>
      <c r="DT1519" s="240"/>
      <c r="DU1519" s="240"/>
      <c r="DV1519" s="240"/>
      <c r="DW1519" s="240"/>
      <c r="DX1519" s="240"/>
      <c r="DY1519" s="240"/>
      <c r="DZ1519" s="240"/>
      <c r="EA1519" s="240"/>
      <c r="EB1519" s="237"/>
      <c r="EC1519" s="241"/>
      <c r="ED1519" s="241"/>
      <c r="EE1519" s="241"/>
      <c r="EG1519" s="241"/>
      <c r="EI1519" s="241"/>
      <c r="EK1519" s="241"/>
    </row>
    <row r="1520" spans="1:141" s="121" customFormat="1" x14ac:dyDescent="0.3">
      <c r="A1520" s="124"/>
      <c r="O1520" s="235"/>
      <c r="X1520" s="117"/>
      <c r="Y1520" s="117"/>
      <c r="DT1520" s="240"/>
      <c r="DU1520" s="240"/>
      <c r="DV1520" s="240"/>
      <c r="DW1520" s="240"/>
      <c r="DX1520" s="240"/>
      <c r="DY1520" s="240"/>
      <c r="DZ1520" s="240"/>
      <c r="EA1520" s="240"/>
      <c r="EB1520" s="237"/>
      <c r="EC1520" s="241"/>
      <c r="ED1520" s="241"/>
      <c r="EE1520" s="241"/>
      <c r="EG1520" s="241"/>
      <c r="EI1520" s="241"/>
      <c r="EK1520" s="241"/>
    </row>
    <row r="1521" spans="1:141" s="121" customFormat="1" x14ac:dyDescent="0.3">
      <c r="A1521" s="124"/>
      <c r="O1521" s="235"/>
      <c r="X1521" s="117"/>
      <c r="Y1521" s="117"/>
      <c r="DT1521" s="240"/>
      <c r="DU1521" s="240"/>
      <c r="DV1521" s="240"/>
      <c r="DW1521" s="240"/>
      <c r="DX1521" s="240"/>
      <c r="DY1521" s="240"/>
      <c r="DZ1521" s="240"/>
      <c r="EA1521" s="240"/>
      <c r="EB1521" s="237"/>
      <c r="EC1521" s="241"/>
      <c r="ED1521" s="241"/>
      <c r="EE1521" s="241"/>
      <c r="EG1521" s="241"/>
      <c r="EI1521" s="241"/>
      <c r="EK1521" s="241"/>
    </row>
    <row r="1522" spans="1:141" s="121" customFormat="1" x14ac:dyDescent="0.3">
      <c r="A1522" s="124"/>
      <c r="O1522" s="235"/>
      <c r="X1522" s="117"/>
      <c r="Y1522" s="117"/>
      <c r="DT1522" s="240"/>
      <c r="DU1522" s="240"/>
      <c r="DV1522" s="240"/>
      <c r="DW1522" s="240"/>
      <c r="DX1522" s="240"/>
      <c r="DY1522" s="240"/>
      <c r="DZ1522" s="240"/>
      <c r="EA1522" s="240"/>
      <c r="EB1522" s="237"/>
      <c r="EC1522" s="241"/>
      <c r="ED1522" s="241"/>
      <c r="EE1522" s="241"/>
      <c r="EG1522" s="241"/>
      <c r="EI1522" s="241"/>
      <c r="EK1522" s="241"/>
    </row>
    <row r="1523" spans="1:141" s="121" customFormat="1" x14ac:dyDescent="0.3">
      <c r="A1523" s="124"/>
      <c r="O1523" s="235"/>
      <c r="X1523" s="117"/>
      <c r="Y1523" s="117"/>
      <c r="DT1523" s="240"/>
      <c r="DU1523" s="240"/>
      <c r="DV1523" s="240"/>
      <c r="DW1523" s="240"/>
      <c r="DX1523" s="240"/>
      <c r="DY1523" s="240"/>
      <c r="DZ1523" s="240"/>
      <c r="EA1523" s="240"/>
      <c r="EB1523" s="237"/>
      <c r="EC1523" s="241"/>
      <c r="ED1523" s="241"/>
      <c r="EE1523" s="241"/>
      <c r="EG1523" s="241"/>
      <c r="EI1523" s="241"/>
      <c r="EK1523" s="241"/>
    </row>
    <row r="1524" spans="1:141" s="121" customFormat="1" x14ac:dyDescent="0.3">
      <c r="A1524" s="124"/>
      <c r="O1524" s="235"/>
      <c r="X1524" s="117"/>
      <c r="Y1524" s="117"/>
      <c r="DT1524" s="240"/>
      <c r="DU1524" s="240"/>
      <c r="DV1524" s="240"/>
      <c r="DW1524" s="240"/>
      <c r="DX1524" s="240"/>
      <c r="DY1524" s="240"/>
      <c r="DZ1524" s="240"/>
      <c r="EA1524" s="240"/>
      <c r="EB1524" s="237"/>
      <c r="EC1524" s="241"/>
      <c r="ED1524" s="241"/>
      <c r="EE1524" s="241"/>
      <c r="EG1524" s="241"/>
      <c r="EI1524" s="241"/>
      <c r="EK1524" s="241"/>
    </row>
    <row r="1525" spans="1:141" s="121" customFormat="1" x14ac:dyDescent="0.3">
      <c r="A1525" s="124"/>
      <c r="O1525" s="235"/>
      <c r="X1525" s="117"/>
      <c r="Y1525" s="117"/>
      <c r="DT1525" s="240"/>
      <c r="DU1525" s="240"/>
      <c r="DV1525" s="240"/>
      <c r="DW1525" s="240"/>
      <c r="DX1525" s="240"/>
      <c r="DY1525" s="240"/>
      <c r="DZ1525" s="240"/>
      <c r="EA1525" s="240"/>
      <c r="EB1525" s="237"/>
      <c r="EC1525" s="241"/>
      <c r="ED1525" s="241"/>
      <c r="EE1525" s="241"/>
      <c r="EG1525" s="241"/>
      <c r="EI1525" s="241"/>
      <c r="EK1525" s="241"/>
    </row>
    <row r="1526" spans="1:141" s="121" customFormat="1" x14ac:dyDescent="0.3">
      <c r="A1526" s="124"/>
      <c r="O1526" s="235"/>
      <c r="X1526" s="117"/>
      <c r="Y1526" s="117"/>
      <c r="DT1526" s="240"/>
      <c r="DU1526" s="240"/>
      <c r="DV1526" s="240"/>
      <c r="DW1526" s="240"/>
      <c r="DX1526" s="240"/>
      <c r="DY1526" s="240"/>
      <c r="DZ1526" s="240"/>
      <c r="EA1526" s="240"/>
      <c r="EB1526" s="237"/>
      <c r="EC1526" s="241"/>
      <c r="ED1526" s="241"/>
      <c r="EE1526" s="241"/>
      <c r="EG1526" s="241"/>
      <c r="EI1526" s="241"/>
      <c r="EK1526" s="241"/>
    </row>
    <row r="1527" spans="1:141" s="121" customFormat="1" x14ac:dyDescent="0.3">
      <c r="A1527" s="124"/>
      <c r="O1527" s="235"/>
      <c r="X1527" s="117"/>
      <c r="Y1527" s="117"/>
      <c r="DT1527" s="240"/>
      <c r="DU1527" s="240"/>
      <c r="DV1527" s="240"/>
      <c r="DW1527" s="240"/>
      <c r="DX1527" s="240"/>
      <c r="DY1527" s="240"/>
      <c r="DZ1527" s="240"/>
      <c r="EA1527" s="240"/>
      <c r="EB1527" s="237"/>
      <c r="EC1527" s="241"/>
      <c r="ED1527" s="241"/>
      <c r="EE1527" s="241"/>
      <c r="EG1527" s="241"/>
      <c r="EI1527" s="241"/>
      <c r="EK1527" s="241"/>
    </row>
    <row r="1528" spans="1:141" s="121" customFormat="1" x14ac:dyDescent="0.3">
      <c r="A1528" s="124"/>
      <c r="O1528" s="235"/>
      <c r="X1528" s="117"/>
      <c r="Y1528" s="117"/>
      <c r="DT1528" s="240"/>
      <c r="DU1528" s="240"/>
      <c r="DV1528" s="240"/>
      <c r="DW1528" s="240"/>
      <c r="DX1528" s="240"/>
      <c r="DY1528" s="240"/>
      <c r="DZ1528" s="240"/>
      <c r="EA1528" s="240"/>
      <c r="EB1528" s="237"/>
      <c r="EC1528" s="241"/>
      <c r="ED1528" s="241"/>
      <c r="EE1528" s="241"/>
      <c r="EG1528" s="241"/>
      <c r="EI1528" s="241"/>
      <c r="EK1528" s="241"/>
    </row>
    <row r="1529" spans="1:141" s="121" customFormat="1" x14ac:dyDescent="0.3">
      <c r="A1529" s="124"/>
      <c r="O1529" s="235"/>
      <c r="X1529" s="117"/>
      <c r="Y1529" s="117"/>
      <c r="DT1529" s="240"/>
      <c r="DU1529" s="240"/>
      <c r="DV1529" s="240"/>
      <c r="DW1529" s="240"/>
      <c r="DX1529" s="240"/>
      <c r="DY1529" s="240"/>
      <c r="DZ1529" s="240"/>
      <c r="EA1529" s="240"/>
      <c r="EB1529" s="237"/>
      <c r="EC1529" s="241"/>
      <c r="ED1529" s="241"/>
      <c r="EE1529" s="241"/>
      <c r="EG1529" s="241"/>
      <c r="EI1529" s="241"/>
      <c r="EK1529" s="241"/>
    </row>
    <row r="1530" spans="1:141" s="121" customFormat="1" x14ac:dyDescent="0.3">
      <c r="A1530" s="124"/>
      <c r="O1530" s="235"/>
      <c r="X1530" s="117"/>
      <c r="Y1530" s="117"/>
      <c r="DT1530" s="240"/>
      <c r="DU1530" s="240"/>
      <c r="DV1530" s="240"/>
      <c r="DW1530" s="240"/>
      <c r="DX1530" s="240"/>
      <c r="DY1530" s="240"/>
      <c r="DZ1530" s="240"/>
      <c r="EA1530" s="240"/>
      <c r="EB1530" s="237"/>
      <c r="EC1530" s="241"/>
      <c r="ED1530" s="241"/>
      <c r="EE1530" s="241"/>
      <c r="EG1530" s="241"/>
      <c r="EI1530" s="241"/>
      <c r="EK1530" s="241"/>
    </row>
    <row r="1531" spans="1:141" s="121" customFormat="1" x14ac:dyDescent="0.3">
      <c r="A1531" s="124"/>
      <c r="O1531" s="235"/>
      <c r="X1531" s="117"/>
      <c r="Y1531" s="117"/>
      <c r="DT1531" s="240"/>
      <c r="DU1531" s="240"/>
      <c r="DV1531" s="240"/>
      <c r="DW1531" s="240"/>
      <c r="DX1531" s="240"/>
      <c r="DY1531" s="240"/>
      <c r="DZ1531" s="240"/>
      <c r="EA1531" s="240"/>
      <c r="EB1531" s="237"/>
      <c r="EC1531" s="241"/>
      <c r="ED1531" s="241"/>
      <c r="EE1531" s="241"/>
      <c r="EG1531" s="241"/>
      <c r="EI1531" s="241"/>
      <c r="EK1531" s="241"/>
    </row>
    <row r="1532" spans="1:141" s="121" customFormat="1" x14ac:dyDescent="0.3">
      <c r="A1532" s="124"/>
      <c r="O1532" s="235"/>
      <c r="X1532" s="117"/>
      <c r="Y1532" s="117"/>
      <c r="DT1532" s="240"/>
      <c r="DU1532" s="240"/>
      <c r="DV1532" s="240"/>
      <c r="DW1532" s="240"/>
      <c r="DX1532" s="240"/>
      <c r="DY1532" s="240"/>
      <c r="DZ1532" s="240"/>
      <c r="EA1532" s="240"/>
      <c r="EB1532" s="237"/>
      <c r="EC1532" s="241"/>
      <c r="ED1532" s="241"/>
      <c r="EE1532" s="241"/>
      <c r="EG1532" s="241"/>
      <c r="EI1532" s="241"/>
      <c r="EK1532" s="241"/>
    </row>
    <row r="1533" spans="1:141" s="121" customFormat="1" x14ac:dyDescent="0.3">
      <c r="A1533" s="124"/>
      <c r="O1533" s="235"/>
      <c r="X1533" s="117"/>
      <c r="Y1533" s="117"/>
      <c r="DT1533" s="240"/>
      <c r="DU1533" s="240"/>
      <c r="DV1533" s="240"/>
      <c r="DW1533" s="240"/>
      <c r="DX1533" s="240"/>
      <c r="DY1533" s="240"/>
      <c r="DZ1533" s="240"/>
      <c r="EA1533" s="240"/>
      <c r="EB1533" s="237"/>
      <c r="EC1533" s="241"/>
      <c r="ED1533" s="241"/>
      <c r="EE1533" s="241"/>
      <c r="EG1533" s="241"/>
      <c r="EI1533" s="241"/>
      <c r="EK1533" s="241"/>
    </row>
    <row r="1534" spans="1:141" s="121" customFormat="1" x14ac:dyDescent="0.3">
      <c r="A1534" s="124"/>
      <c r="O1534" s="235"/>
      <c r="X1534" s="117"/>
      <c r="Y1534" s="117"/>
      <c r="DT1534" s="240"/>
      <c r="DU1534" s="240"/>
      <c r="DV1534" s="240"/>
      <c r="DW1534" s="240"/>
      <c r="DX1534" s="240"/>
      <c r="DY1534" s="240"/>
      <c r="DZ1534" s="240"/>
      <c r="EA1534" s="240"/>
      <c r="EB1534" s="237"/>
      <c r="EC1534" s="241"/>
      <c r="ED1534" s="241"/>
      <c r="EE1534" s="241"/>
      <c r="EG1534" s="241"/>
      <c r="EI1534" s="241"/>
      <c r="EK1534" s="241"/>
    </row>
    <row r="1535" spans="1:141" s="121" customFormat="1" x14ac:dyDescent="0.3">
      <c r="A1535" s="124"/>
      <c r="O1535" s="235"/>
      <c r="X1535" s="117"/>
      <c r="Y1535" s="117"/>
      <c r="DT1535" s="240"/>
      <c r="DU1535" s="240"/>
      <c r="DV1535" s="240"/>
      <c r="DW1535" s="240"/>
      <c r="DX1535" s="240"/>
      <c r="DY1535" s="240"/>
      <c r="DZ1535" s="240"/>
      <c r="EA1535" s="240"/>
      <c r="EB1535" s="237"/>
      <c r="EC1535" s="241"/>
      <c r="ED1535" s="241"/>
      <c r="EE1535" s="241"/>
      <c r="EG1535" s="241"/>
      <c r="EI1535" s="241"/>
      <c r="EK1535" s="241"/>
    </row>
    <row r="1536" spans="1:141" s="121" customFormat="1" x14ac:dyDescent="0.3">
      <c r="A1536" s="124"/>
      <c r="O1536" s="235"/>
      <c r="X1536" s="117"/>
      <c r="Y1536" s="117"/>
      <c r="DT1536" s="240"/>
      <c r="DU1536" s="240"/>
      <c r="DV1536" s="240"/>
      <c r="DW1536" s="240"/>
      <c r="DX1536" s="240"/>
      <c r="DY1536" s="240"/>
      <c r="DZ1536" s="240"/>
      <c r="EA1536" s="240"/>
      <c r="EB1536" s="237"/>
      <c r="EC1536" s="241"/>
      <c r="ED1536" s="241"/>
      <c r="EE1536" s="241"/>
      <c r="EG1536" s="241"/>
      <c r="EI1536" s="241"/>
      <c r="EK1536" s="241"/>
    </row>
    <row r="1537" spans="1:141" s="121" customFormat="1" x14ac:dyDescent="0.3">
      <c r="A1537" s="124"/>
      <c r="O1537" s="235"/>
      <c r="X1537" s="117"/>
      <c r="Y1537" s="117"/>
      <c r="DT1537" s="240"/>
      <c r="DU1537" s="240"/>
      <c r="DV1537" s="240"/>
      <c r="DW1537" s="240"/>
      <c r="DX1537" s="240"/>
      <c r="DY1537" s="240"/>
      <c r="DZ1537" s="240"/>
      <c r="EA1537" s="240"/>
      <c r="EB1537" s="237"/>
      <c r="EC1537" s="241"/>
      <c r="ED1537" s="241"/>
      <c r="EE1537" s="241"/>
      <c r="EG1537" s="241"/>
      <c r="EI1537" s="241"/>
      <c r="EK1537" s="241"/>
    </row>
    <row r="1538" spans="1:141" s="121" customFormat="1" x14ac:dyDescent="0.3">
      <c r="A1538" s="124"/>
      <c r="O1538" s="235"/>
      <c r="X1538" s="117"/>
      <c r="Y1538" s="117"/>
      <c r="DT1538" s="240"/>
      <c r="DU1538" s="240"/>
      <c r="DV1538" s="240"/>
      <c r="DW1538" s="240"/>
      <c r="DX1538" s="240"/>
      <c r="DY1538" s="240"/>
      <c r="DZ1538" s="240"/>
      <c r="EA1538" s="240"/>
      <c r="EB1538" s="237"/>
      <c r="EC1538" s="241"/>
      <c r="ED1538" s="241"/>
      <c r="EE1538" s="241"/>
      <c r="EG1538" s="241"/>
      <c r="EI1538" s="241"/>
      <c r="EK1538" s="241"/>
    </row>
    <row r="1539" spans="1:141" s="121" customFormat="1" x14ac:dyDescent="0.3">
      <c r="A1539" s="124"/>
      <c r="O1539" s="235"/>
      <c r="X1539" s="117"/>
      <c r="Y1539" s="117"/>
      <c r="DT1539" s="240"/>
      <c r="DU1539" s="240"/>
      <c r="DV1539" s="240"/>
      <c r="DW1539" s="240"/>
      <c r="DX1539" s="240"/>
      <c r="DY1539" s="240"/>
      <c r="DZ1539" s="240"/>
      <c r="EA1539" s="240"/>
      <c r="EB1539" s="237"/>
      <c r="EC1539" s="241"/>
      <c r="ED1539" s="241"/>
      <c r="EE1539" s="241"/>
      <c r="EG1539" s="241"/>
      <c r="EI1539" s="241"/>
      <c r="EK1539" s="241"/>
    </row>
    <row r="1540" spans="1:141" s="121" customFormat="1" x14ac:dyDescent="0.3">
      <c r="A1540" s="124"/>
      <c r="O1540" s="235"/>
      <c r="X1540" s="117"/>
      <c r="Y1540" s="117"/>
      <c r="DT1540" s="240"/>
      <c r="DU1540" s="240"/>
      <c r="DV1540" s="240"/>
      <c r="DW1540" s="240"/>
      <c r="DX1540" s="240"/>
      <c r="DY1540" s="240"/>
      <c r="DZ1540" s="240"/>
      <c r="EA1540" s="240"/>
      <c r="EB1540" s="237"/>
      <c r="EC1540" s="241"/>
      <c r="ED1540" s="241"/>
      <c r="EE1540" s="241"/>
      <c r="EG1540" s="241"/>
      <c r="EI1540" s="241"/>
      <c r="EK1540" s="241"/>
    </row>
    <row r="1541" spans="1:141" s="121" customFormat="1" x14ac:dyDescent="0.3">
      <c r="A1541" s="124"/>
      <c r="O1541" s="235"/>
      <c r="X1541" s="117"/>
      <c r="Y1541" s="117"/>
      <c r="DT1541" s="240"/>
      <c r="DU1541" s="240"/>
      <c r="DV1541" s="240"/>
      <c r="DW1541" s="240"/>
      <c r="DX1541" s="240"/>
      <c r="DY1541" s="240"/>
      <c r="DZ1541" s="240"/>
      <c r="EA1541" s="240"/>
      <c r="EB1541" s="237"/>
      <c r="EC1541" s="241"/>
      <c r="ED1541" s="241"/>
      <c r="EE1541" s="241"/>
      <c r="EG1541" s="241"/>
      <c r="EI1541" s="241"/>
      <c r="EK1541" s="241"/>
    </row>
    <row r="1542" spans="1:141" s="121" customFormat="1" x14ac:dyDescent="0.3">
      <c r="A1542" s="124"/>
      <c r="O1542" s="235"/>
      <c r="X1542" s="117"/>
      <c r="Y1542" s="117"/>
      <c r="DT1542" s="240"/>
      <c r="DU1542" s="240"/>
      <c r="DV1542" s="240"/>
      <c r="DW1542" s="240"/>
      <c r="DX1542" s="240"/>
      <c r="DY1542" s="240"/>
      <c r="DZ1542" s="240"/>
      <c r="EA1542" s="240"/>
      <c r="EB1542" s="237"/>
      <c r="EC1542" s="241"/>
      <c r="ED1542" s="241"/>
      <c r="EE1542" s="241"/>
      <c r="EG1542" s="241"/>
      <c r="EI1542" s="241"/>
      <c r="EK1542" s="241"/>
    </row>
    <row r="1543" spans="1:141" s="121" customFormat="1" x14ac:dyDescent="0.3">
      <c r="A1543" s="124"/>
      <c r="O1543" s="235"/>
      <c r="X1543" s="117"/>
      <c r="Y1543" s="117"/>
      <c r="DT1543" s="240"/>
      <c r="DU1543" s="240"/>
      <c r="DV1543" s="240"/>
      <c r="DW1543" s="240"/>
      <c r="DX1543" s="240"/>
      <c r="DY1543" s="240"/>
      <c r="DZ1543" s="240"/>
      <c r="EA1543" s="240"/>
      <c r="EB1543" s="237"/>
      <c r="EC1543" s="241"/>
      <c r="ED1543" s="241"/>
      <c r="EE1543" s="241"/>
      <c r="EG1543" s="241"/>
      <c r="EI1543" s="241"/>
      <c r="EK1543" s="241"/>
    </row>
    <row r="1544" spans="1:141" s="121" customFormat="1" x14ac:dyDescent="0.3">
      <c r="A1544" s="124"/>
      <c r="O1544" s="235"/>
      <c r="X1544" s="117"/>
      <c r="Y1544" s="117"/>
      <c r="DT1544" s="240"/>
      <c r="DU1544" s="240"/>
      <c r="DV1544" s="240"/>
      <c r="DW1544" s="240"/>
      <c r="DX1544" s="240"/>
      <c r="DY1544" s="240"/>
      <c r="DZ1544" s="240"/>
      <c r="EA1544" s="240"/>
      <c r="EB1544" s="237"/>
      <c r="EC1544" s="241"/>
      <c r="ED1544" s="241"/>
      <c r="EE1544" s="241"/>
      <c r="EG1544" s="241"/>
      <c r="EI1544" s="241"/>
      <c r="EK1544" s="241"/>
    </row>
    <row r="1545" spans="1:141" s="121" customFormat="1" x14ac:dyDescent="0.3">
      <c r="A1545" s="124"/>
      <c r="O1545" s="235"/>
      <c r="X1545" s="117"/>
      <c r="Y1545" s="117"/>
      <c r="DT1545" s="240"/>
      <c r="DU1545" s="240"/>
      <c r="DV1545" s="240"/>
      <c r="DW1545" s="240"/>
      <c r="DX1545" s="240"/>
      <c r="DY1545" s="240"/>
      <c r="DZ1545" s="240"/>
      <c r="EA1545" s="240"/>
      <c r="EB1545" s="237"/>
      <c r="EC1545" s="241"/>
      <c r="ED1545" s="241"/>
      <c r="EE1545" s="241"/>
      <c r="EG1545" s="241"/>
      <c r="EI1545" s="241"/>
      <c r="EK1545" s="241"/>
    </row>
    <row r="1546" spans="1:141" s="121" customFormat="1" x14ac:dyDescent="0.3">
      <c r="A1546" s="124"/>
      <c r="O1546" s="235"/>
      <c r="X1546" s="117"/>
      <c r="Y1546" s="117"/>
      <c r="DT1546" s="240"/>
      <c r="DU1546" s="240"/>
      <c r="DV1546" s="240"/>
      <c r="DW1546" s="240"/>
      <c r="DX1546" s="240"/>
      <c r="DY1546" s="240"/>
      <c r="DZ1546" s="240"/>
      <c r="EA1546" s="240"/>
      <c r="EB1546" s="237"/>
      <c r="EC1546" s="241"/>
      <c r="ED1546" s="241"/>
      <c r="EE1546" s="241"/>
      <c r="EG1546" s="241"/>
      <c r="EI1546" s="241"/>
      <c r="EK1546" s="241"/>
    </row>
    <row r="1547" spans="1:141" s="121" customFormat="1" x14ac:dyDescent="0.3">
      <c r="A1547" s="124"/>
      <c r="O1547" s="235"/>
      <c r="X1547" s="117"/>
      <c r="Y1547" s="117"/>
      <c r="DT1547" s="240"/>
      <c r="DU1547" s="240"/>
      <c r="DV1547" s="240"/>
      <c r="DW1547" s="240"/>
      <c r="DX1547" s="240"/>
      <c r="DY1547" s="240"/>
      <c r="DZ1547" s="240"/>
      <c r="EA1547" s="240"/>
      <c r="EB1547" s="237"/>
      <c r="EC1547" s="241"/>
      <c r="ED1547" s="241"/>
      <c r="EE1547" s="241"/>
      <c r="EG1547" s="241"/>
      <c r="EI1547" s="241"/>
      <c r="EK1547" s="241"/>
    </row>
    <row r="1548" spans="1:141" s="121" customFormat="1" x14ac:dyDescent="0.3">
      <c r="A1548" s="124"/>
      <c r="O1548" s="235"/>
      <c r="X1548" s="117"/>
      <c r="Y1548" s="117"/>
      <c r="DT1548" s="240"/>
      <c r="DU1548" s="240"/>
      <c r="DV1548" s="240"/>
      <c r="DW1548" s="240"/>
      <c r="DX1548" s="240"/>
      <c r="DY1548" s="240"/>
      <c r="DZ1548" s="240"/>
      <c r="EA1548" s="240"/>
      <c r="EB1548" s="237"/>
      <c r="EC1548" s="241"/>
      <c r="ED1548" s="241"/>
      <c r="EE1548" s="241"/>
      <c r="EG1548" s="241"/>
      <c r="EI1548" s="241"/>
      <c r="EK1548" s="241"/>
    </row>
    <row r="1549" spans="1:141" s="121" customFormat="1" x14ac:dyDescent="0.3">
      <c r="A1549" s="124"/>
      <c r="O1549" s="235"/>
      <c r="X1549" s="117"/>
      <c r="Y1549" s="117"/>
      <c r="DT1549" s="240"/>
      <c r="DU1549" s="240"/>
      <c r="DV1549" s="240"/>
      <c r="DW1549" s="240"/>
      <c r="DX1549" s="240"/>
      <c r="DY1549" s="240"/>
      <c r="DZ1549" s="240"/>
      <c r="EA1549" s="240"/>
      <c r="EB1549" s="237"/>
      <c r="EC1549" s="241"/>
      <c r="ED1549" s="241"/>
      <c r="EE1549" s="241"/>
      <c r="EG1549" s="241"/>
      <c r="EI1549" s="241"/>
      <c r="EK1549" s="241"/>
    </row>
    <row r="1550" spans="1:141" s="121" customFormat="1" x14ac:dyDescent="0.3">
      <c r="A1550" s="124"/>
      <c r="O1550" s="235"/>
      <c r="X1550" s="117"/>
      <c r="Y1550" s="117"/>
      <c r="DT1550" s="240"/>
      <c r="DU1550" s="240"/>
      <c r="DV1550" s="240"/>
      <c r="DW1550" s="240"/>
      <c r="DX1550" s="240"/>
      <c r="DY1550" s="240"/>
      <c r="DZ1550" s="240"/>
      <c r="EA1550" s="240"/>
      <c r="EB1550" s="237"/>
      <c r="EC1550" s="241"/>
      <c r="ED1550" s="241"/>
      <c r="EE1550" s="241"/>
      <c r="EG1550" s="241"/>
      <c r="EI1550" s="241"/>
      <c r="EK1550" s="241"/>
    </row>
    <row r="1551" spans="1:141" s="121" customFormat="1" x14ac:dyDescent="0.3">
      <c r="A1551" s="124"/>
      <c r="O1551" s="235"/>
      <c r="X1551" s="117"/>
      <c r="Y1551" s="117"/>
      <c r="DT1551" s="240"/>
      <c r="DU1551" s="240"/>
      <c r="DV1551" s="240"/>
      <c r="DW1551" s="240"/>
      <c r="DX1551" s="240"/>
      <c r="DY1551" s="240"/>
      <c r="DZ1551" s="240"/>
      <c r="EA1551" s="240"/>
      <c r="EB1551" s="237"/>
      <c r="EC1551" s="241"/>
      <c r="ED1551" s="241"/>
      <c r="EE1551" s="241"/>
      <c r="EG1551" s="241"/>
      <c r="EI1551" s="241"/>
      <c r="EK1551" s="241"/>
    </row>
    <row r="1552" spans="1:141" s="121" customFormat="1" x14ac:dyDescent="0.3">
      <c r="A1552" s="124"/>
      <c r="O1552" s="235"/>
      <c r="X1552" s="117"/>
      <c r="Y1552" s="117"/>
      <c r="DT1552" s="240"/>
      <c r="DU1552" s="240"/>
      <c r="DV1552" s="240"/>
      <c r="DW1552" s="240"/>
      <c r="DX1552" s="240"/>
      <c r="DY1552" s="240"/>
      <c r="DZ1552" s="240"/>
      <c r="EA1552" s="240"/>
      <c r="EB1552" s="237"/>
      <c r="EC1552" s="241"/>
      <c r="ED1552" s="241"/>
      <c r="EE1552" s="241"/>
      <c r="EG1552" s="241"/>
      <c r="EI1552" s="241"/>
      <c r="EK1552" s="241"/>
    </row>
    <row r="1553" spans="1:141" s="121" customFormat="1" x14ac:dyDescent="0.3">
      <c r="A1553" s="124"/>
      <c r="O1553" s="235"/>
      <c r="X1553" s="117"/>
      <c r="Y1553" s="117"/>
      <c r="DT1553" s="240"/>
      <c r="DU1553" s="240"/>
      <c r="DV1553" s="240"/>
      <c r="DW1553" s="240"/>
      <c r="DX1553" s="240"/>
      <c r="DY1553" s="240"/>
      <c r="DZ1553" s="240"/>
      <c r="EA1553" s="240"/>
      <c r="EB1553" s="237"/>
      <c r="EC1553" s="241"/>
      <c r="ED1553" s="241"/>
      <c r="EE1553" s="241"/>
      <c r="EG1553" s="241"/>
      <c r="EI1553" s="241"/>
      <c r="EK1553" s="241"/>
    </row>
    <row r="1554" spans="1:141" s="121" customFormat="1" x14ac:dyDescent="0.3">
      <c r="A1554" s="124"/>
      <c r="O1554" s="235"/>
      <c r="X1554" s="117"/>
      <c r="Y1554" s="117"/>
      <c r="DT1554" s="240"/>
      <c r="DU1554" s="240"/>
      <c r="DV1554" s="240"/>
      <c r="DW1554" s="240"/>
      <c r="DX1554" s="240"/>
      <c r="DY1554" s="240"/>
      <c r="DZ1554" s="240"/>
      <c r="EA1554" s="240"/>
      <c r="EB1554" s="237"/>
      <c r="EC1554" s="241"/>
      <c r="ED1554" s="241"/>
      <c r="EE1554" s="241"/>
      <c r="EG1554" s="241"/>
      <c r="EI1554" s="241"/>
      <c r="EK1554" s="241"/>
    </row>
    <row r="1555" spans="1:141" s="121" customFormat="1" x14ac:dyDescent="0.3">
      <c r="A1555" s="124"/>
      <c r="O1555" s="235"/>
      <c r="X1555" s="117"/>
      <c r="Y1555" s="117"/>
      <c r="DT1555" s="240"/>
      <c r="DU1555" s="240"/>
      <c r="DV1555" s="240"/>
      <c r="DW1555" s="240"/>
      <c r="DX1555" s="240"/>
      <c r="DY1555" s="240"/>
      <c r="DZ1555" s="240"/>
      <c r="EA1555" s="240"/>
      <c r="EB1555" s="237"/>
      <c r="EC1555" s="241"/>
      <c r="ED1555" s="241"/>
      <c r="EE1555" s="241"/>
      <c r="EG1555" s="241"/>
      <c r="EI1555" s="241"/>
      <c r="EK1555" s="241"/>
    </row>
    <row r="1556" spans="1:141" s="121" customFormat="1" x14ac:dyDescent="0.3">
      <c r="A1556" s="124"/>
      <c r="O1556" s="235"/>
      <c r="X1556" s="117"/>
      <c r="Y1556" s="117"/>
      <c r="DT1556" s="240"/>
      <c r="DU1556" s="240"/>
      <c r="DV1556" s="240"/>
      <c r="DW1556" s="240"/>
      <c r="DX1556" s="240"/>
      <c r="DY1556" s="240"/>
      <c r="DZ1556" s="240"/>
      <c r="EA1556" s="240"/>
      <c r="EB1556" s="237"/>
      <c r="EC1556" s="241"/>
      <c r="ED1556" s="241"/>
      <c r="EE1556" s="241"/>
      <c r="EG1556" s="241"/>
      <c r="EI1556" s="241"/>
      <c r="EK1556" s="241"/>
    </row>
    <row r="1557" spans="1:141" s="121" customFormat="1" x14ac:dyDescent="0.3">
      <c r="A1557" s="124"/>
      <c r="O1557" s="235"/>
      <c r="X1557" s="117"/>
      <c r="Y1557" s="117"/>
      <c r="DT1557" s="240"/>
      <c r="DU1557" s="240"/>
      <c r="DV1557" s="240"/>
      <c r="DW1557" s="240"/>
      <c r="DX1557" s="240"/>
      <c r="DY1557" s="240"/>
      <c r="DZ1557" s="240"/>
      <c r="EA1557" s="240"/>
      <c r="EB1557" s="237"/>
      <c r="EC1557" s="241"/>
      <c r="ED1557" s="241"/>
      <c r="EE1557" s="241"/>
      <c r="EG1557" s="241"/>
      <c r="EI1557" s="241"/>
      <c r="EK1557" s="241"/>
    </row>
    <row r="1558" spans="1:141" s="121" customFormat="1" x14ac:dyDescent="0.3">
      <c r="A1558" s="124"/>
      <c r="O1558" s="235"/>
      <c r="X1558" s="117"/>
      <c r="Y1558" s="117"/>
      <c r="DT1558" s="240"/>
      <c r="DU1558" s="240"/>
      <c r="DV1558" s="240"/>
      <c r="DW1558" s="240"/>
      <c r="DX1558" s="240"/>
      <c r="DY1558" s="240"/>
      <c r="DZ1558" s="240"/>
      <c r="EA1558" s="240"/>
      <c r="EB1558" s="237"/>
      <c r="EC1558" s="241"/>
      <c r="ED1558" s="241"/>
      <c r="EE1558" s="241"/>
      <c r="EG1558" s="241"/>
      <c r="EI1558" s="241"/>
      <c r="EK1558" s="241"/>
    </row>
    <row r="1559" spans="1:141" s="121" customFormat="1" x14ac:dyDescent="0.3">
      <c r="A1559" s="124"/>
      <c r="O1559" s="235"/>
      <c r="X1559" s="117"/>
      <c r="Y1559" s="117"/>
      <c r="DT1559" s="240"/>
      <c r="DU1559" s="240"/>
      <c r="DV1559" s="240"/>
      <c r="DW1559" s="240"/>
      <c r="DX1559" s="240"/>
      <c r="DY1559" s="240"/>
      <c r="DZ1559" s="240"/>
      <c r="EA1559" s="240"/>
      <c r="EB1559" s="237"/>
      <c r="EC1559" s="241"/>
      <c r="ED1559" s="241"/>
      <c r="EE1559" s="241"/>
      <c r="EG1559" s="241"/>
      <c r="EI1559" s="241"/>
      <c r="EK1559" s="241"/>
    </row>
    <row r="1560" spans="1:141" s="121" customFormat="1" x14ac:dyDescent="0.3">
      <c r="A1560" s="124"/>
      <c r="O1560" s="235"/>
      <c r="X1560" s="117"/>
      <c r="Y1560" s="117"/>
      <c r="DT1560" s="240"/>
      <c r="DU1560" s="240"/>
      <c r="DV1560" s="240"/>
      <c r="DW1560" s="240"/>
      <c r="DX1560" s="240"/>
      <c r="DY1560" s="240"/>
      <c r="DZ1560" s="240"/>
      <c r="EA1560" s="240"/>
      <c r="EB1560" s="237"/>
      <c r="EC1560" s="241"/>
      <c r="ED1560" s="241"/>
      <c r="EE1560" s="241"/>
      <c r="EG1560" s="241"/>
      <c r="EI1560" s="241"/>
      <c r="EK1560" s="241"/>
    </row>
    <row r="1561" spans="1:141" s="121" customFormat="1" x14ac:dyDescent="0.3">
      <c r="A1561" s="124"/>
      <c r="O1561" s="235"/>
      <c r="X1561" s="117"/>
      <c r="Y1561" s="117"/>
      <c r="DT1561" s="240"/>
      <c r="DU1561" s="240"/>
      <c r="DV1561" s="240"/>
      <c r="DW1561" s="240"/>
      <c r="DX1561" s="240"/>
      <c r="DY1561" s="240"/>
      <c r="DZ1561" s="240"/>
      <c r="EA1561" s="240"/>
      <c r="EB1561" s="237"/>
      <c r="EC1561" s="241"/>
      <c r="ED1561" s="241"/>
      <c r="EE1561" s="241"/>
      <c r="EG1561" s="241"/>
      <c r="EI1561" s="241"/>
      <c r="EK1561" s="241"/>
    </row>
    <row r="1562" spans="1:141" s="121" customFormat="1" x14ac:dyDescent="0.3">
      <c r="A1562" s="124"/>
      <c r="O1562" s="235"/>
      <c r="X1562" s="117"/>
      <c r="Y1562" s="117"/>
      <c r="DT1562" s="240"/>
      <c r="DU1562" s="240"/>
      <c r="DV1562" s="240"/>
      <c r="DW1562" s="240"/>
      <c r="DX1562" s="240"/>
      <c r="DY1562" s="240"/>
      <c r="DZ1562" s="240"/>
      <c r="EA1562" s="240"/>
      <c r="EB1562" s="237"/>
      <c r="EC1562" s="241"/>
      <c r="ED1562" s="241"/>
      <c r="EE1562" s="241"/>
      <c r="EG1562" s="241"/>
      <c r="EI1562" s="241"/>
      <c r="EK1562" s="241"/>
    </row>
    <row r="1563" spans="1:141" s="121" customFormat="1" x14ac:dyDescent="0.3">
      <c r="A1563" s="124"/>
      <c r="O1563" s="235"/>
      <c r="X1563" s="117"/>
      <c r="Y1563" s="117"/>
      <c r="DT1563" s="240"/>
      <c r="DU1563" s="240"/>
      <c r="DV1563" s="240"/>
      <c r="DW1563" s="240"/>
      <c r="DX1563" s="240"/>
      <c r="DY1563" s="240"/>
      <c r="DZ1563" s="240"/>
      <c r="EA1563" s="240"/>
      <c r="EB1563" s="237"/>
      <c r="EC1563" s="241"/>
      <c r="ED1563" s="241"/>
      <c r="EE1563" s="241"/>
      <c r="EG1563" s="241"/>
      <c r="EI1563" s="241"/>
      <c r="EK1563" s="241"/>
    </row>
    <row r="1564" spans="1:141" s="121" customFormat="1" x14ac:dyDescent="0.3">
      <c r="A1564" s="124"/>
      <c r="O1564" s="235"/>
      <c r="X1564" s="117"/>
      <c r="Y1564" s="117"/>
      <c r="DT1564" s="240"/>
      <c r="DU1564" s="240"/>
      <c r="DV1564" s="240"/>
      <c r="DW1564" s="240"/>
      <c r="DX1564" s="240"/>
      <c r="DY1564" s="240"/>
      <c r="DZ1564" s="240"/>
      <c r="EA1564" s="240"/>
      <c r="EB1564" s="237"/>
      <c r="EC1564" s="241"/>
      <c r="ED1564" s="241"/>
      <c r="EE1564" s="241"/>
      <c r="EG1564" s="241"/>
      <c r="EI1564" s="241"/>
      <c r="EK1564" s="241"/>
    </row>
    <row r="1565" spans="1:141" s="121" customFormat="1" x14ac:dyDescent="0.3">
      <c r="A1565" s="124"/>
      <c r="O1565" s="235"/>
      <c r="X1565" s="117"/>
      <c r="Y1565" s="117"/>
      <c r="DT1565" s="240"/>
      <c r="DU1565" s="240"/>
      <c r="DV1565" s="240"/>
      <c r="DW1565" s="240"/>
      <c r="DX1565" s="240"/>
      <c r="DY1565" s="240"/>
      <c r="DZ1565" s="240"/>
      <c r="EA1565" s="240"/>
      <c r="EB1565" s="237"/>
      <c r="EC1565" s="241"/>
      <c r="ED1565" s="241"/>
      <c r="EE1565" s="241"/>
      <c r="EG1565" s="241"/>
      <c r="EI1565" s="241"/>
      <c r="EK1565" s="241"/>
    </row>
    <row r="1566" spans="1:141" s="121" customFormat="1" x14ac:dyDescent="0.3">
      <c r="A1566" s="124"/>
      <c r="O1566" s="235"/>
      <c r="X1566" s="117"/>
      <c r="Y1566" s="117"/>
      <c r="DT1566" s="240"/>
      <c r="DU1566" s="240"/>
      <c r="DV1566" s="240"/>
      <c r="DW1566" s="240"/>
      <c r="DX1566" s="240"/>
      <c r="DY1566" s="240"/>
      <c r="DZ1566" s="240"/>
      <c r="EA1566" s="240"/>
      <c r="EB1566" s="237"/>
      <c r="EC1566" s="241"/>
      <c r="ED1566" s="241"/>
      <c r="EE1566" s="241"/>
      <c r="EG1566" s="241"/>
      <c r="EI1566" s="241"/>
      <c r="EK1566" s="241"/>
    </row>
    <row r="1567" spans="1:141" s="121" customFormat="1" x14ac:dyDescent="0.3">
      <c r="A1567" s="124"/>
      <c r="O1567" s="235"/>
      <c r="X1567" s="117"/>
      <c r="Y1567" s="117"/>
      <c r="DT1567" s="240"/>
      <c r="DU1567" s="240"/>
      <c r="DV1567" s="240"/>
      <c r="DW1567" s="240"/>
      <c r="DX1567" s="240"/>
      <c r="DY1567" s="240"/>
      <c r="DZ1567" s="240"/>
      <c r="EA1567" s="240"/>
      <c r="EB1567" s="237"/>
      <c r="EC1567" s="241"/>
      <c r="ED1567" s="241"/>
      <c r="EE1567" s="241"/>
      <c r="EG1567" s="241"/>
      <c r="EI1567" s="241"/>
      <c r="EK1567" s="241"/>
    </row>
    <row r="1568" spans="1:141" s="121" customFormat="1" x14ac:dyDescent="0.3">
      <c r="A1568" s="124"/>
      <c r="O1568" s="235"/>
      <c r="X1568" s="117"/>
      <c r="Y1568" s="117"/>
      <c r="DT1568" s="240"/>
      <c r="DU1568" s="240"/>
      <c r="DV1568" s="240"/>
      <c r="DW1568" s="240"/>
      <c r="DX1568" s="240"/>
      <c r="DY1568" s="240"/>
      <c r="DZ1568" s="240"/>
      <c r="EA1568" s="240"/>
      <c r="EB1568" s="237"/>
      <c r="EC1568" s="241"/>
      <c r="ED1568" s="241"/>
      <c r="EE1568" s="241"/>
      <c r="EG1568" s="241"/>
      <c r="EI1568" s="241"/>
      <c r="EK1568" s="241"/>
    </row>
    <row r="1569" spans="1:141" s="121" customFormat="1" x14ac:dyDescent="0.3">
      <c r="A1569" s="124"/>
      <c r="O1569" s="235"/>
      <c r="X1569" s="117"/>
      <c r="Y1569" s="117"/>
      <c r="DT1569" s="240"/>
      <c r="DU1569" s="240"/>
      <c r="DV1569" s="240"/>
      <c r="DW1569" s="240"/>
      <c r="DX1569" s="240"/>
      <c r="DY1569" s="240"/>
      <c r="DZ1569" s="240"/>
      <c r="EA1569" s="240"/>
      <c r="EB1569" s="237"/>
      <c r="EC1569" s="241"/>
      <c r="ED1569" s="241"/>
      <c r="EE1569" s="241"/>
      <c r="EG1569" s="241"/>
      <c r="EI1569" s="241"/>
      <c r="EK1569" s="241"/>
    </row>
    <row r="1570" spans="1:141" s="121" customFormat="1" x14ac:dyDescent="0.3">
      <c r="A1570" s="124"/>
      <c r="O1570" s="235"/>
      <c r="X1570" s="117"/>
      <c r="Y1570" s="117"/>
      <c r="DT1570" s="240"/>
      <c r="DU1570" s="240"/>
      <c r="DV1570" s="240"/>
      <c r="DW1570" s="240"/>
      <c r="DX1570" s="240"/>
      <c r="DY1570" s="240"/>
      <c r="DZ1570" s="240"/>
      <c r="EA1570" s="240"/>
      <c r="EB1570" s="237"/>
      <c r="EC1570" s="241"/>
      <c r="ED1570" s="241"/>
      <c r="EE1570" s="241"/>
      <c r="EG1570" s="241"/>
      <c r="EI1570" s="241"/>
      <c r="EK1570" s="241"/>
    </row>
    <row r="1571" spans="1:141" s="121" customFormat="1" x14ac:dyDescent="0.3">
      <c r="A1571" s="124"/>
      <c r="O1571" s="235"/>
      <c r="X1571" s="117"/>
      <c r="Y1571" s="117"/>
      <c r="DT1571" s="240"/>
      <c r="DU1571" s="240"/>
      <c r="DV1571" s="240"/>
      <c r="DW1571" s="240"/>
      <c r="DX1571" s="240"/>
      <c r="DY1571" s="240"/>
      <c r="DZ1571" s="240"/>
      <c r="EA1571" s="240"/>
      <c r="EB1571" s="237"/>
      <c r="EC1571" s="241"/>
      <c r="ED1571" s="241"/>
      <c r="EE1571" s="241"/>
      <c r="EG1571" s="241"/>
      <c r="EI1571" s="241"/>
      <c r="EK1571" s="241"/>
    </row>
    <row r="1572" spans="1:141" s="121" customFormat="1" x14ac:dyDescent="0.3">
      <c r="A1572" s="124"/>
      <c r="O1572" s="235"/>
      <c r="X1572" s="117"/>
      <c r="Y1572" s="117"/>
      <c r="DT1572" s="240"/>
      <c r="DU1572" s="240"/>
      <c r="DV1572" s="240"/>
      <c r="DW1572" s="240"/>
      <c r="DX1572" s="240"/>
      <c r="DY1572" s="240"/>
      <c r="DZ1572" s="240"/>
      <c r="EA1572" s="240"/>
      <c r="EB1572" s="237"/>
      <c r="EC1572" s="241"/>
      <c r="ED1572" s="241"/>
      <c r="EE1572" s="241"/>
      <c r="EG1572" s="241"/>
      <c r="EI1572" s="241"/>
      <c r="EK1572" s="241"/>
    </row>
    <row r="1573" spans="1:141" s="121" customFormat="1" x14ac:dyDescent="0.3">
      <c r="A1573" s="124"/>
      <c r="O1573" s="235"/>
      <c r="X1573" s="117"/>
      <c r="Y1573" s="117"/>
      <c r="DT1573" s="240"/>
      <c r="DU1573" s="240"/>
      <c r="DV1573" s="240"/>
      <c r="DW1573" s="240"/>
      <c r="DX1573" s="240"/>
      <c r="DY1573" s="240"/>
      <c r="DZ1573" s="240"/>
      <c r="EA1573" s="240"/>
      <c r="EB1573" s="237"/>
      <c r="EC1573" s="241"/>
      <c r="ED1573" s="241"/>
      <c r="EE1573" s="241"/>
      <c r="EG1573" s="241"/>
      <c r="EI1573" s="241"/>
      <c r="EK1573" s="241"/>
    </row>
    <row r="1574" spans="1:141" s="121" customFormat="1" x14ac:dyDescent="0.3">
      <c r="A1574" s="124"/>
      <c r="O1574" s="235"/>
      <c r="X1574" s="117"/>
      <c r="Y1574" s="117"/>
      <c r="DT1574" s="240"/>
      <c r="DU1574" s="240"/>
      <c r="DV1574" s="240"/>
      <c r="DW1574" s="240"/>
      <c r="DX1574" s="240"/>
      <c r="DY1574" s="240"/>
      <c r="DZ1574" s="240"/>
      <c r="EA1574" s="240"/>
      <c r="EB1574" s="237"/>
      <c r="EC1574" s="241"/>
      <c r="ED1574" s="241"/>
      <c r="EE1574" s="241"/>
      <c r="EG1574" s="241"/>
      <c r="EI1574" s="241"/>
      <c r="EK1574" s="241"/>
    </row>
    <row r="1575" spans="1:141" s="121" customFormat="1" x14ac:dyDescent="0.3">
      <c r="A1575" s="124"/>
      <c r="O1575" s="235"/>
      <c r="X1575" s="117"/>
      <c r="Y1575" s="117"/>
      <c r="DT1575" s="240"/>
      <c r="DU1575" s="240"/>
      <c r="DV1575" s="240"/>
      <c r="DW1575" s="240"/>
      <c r="DX1575" s="240"/>
      <c r="DY1575" s="240"/>
      <c r="DZ1575" s="240"/>
      <c r="EA1575" s="240"/>
      <c r="EB1575" s="237"/>
      <c r="EC1575" s="241"/>
      <c r="ED1575" s="241"/>
      <c r="EE1575" s="241"/>
      <c r="EG1575" s="241"/>
      <c r="EI1575" s="241"/>
      <c r="EK1575" s="241"/>
    </row>
    <row r="1576" spans="1:141" s="121" customFormat="1" x14ac:dyDescent="0.3">
      <c r="A1576" s="124"/>
      <c r="O1576" s="235"/>
      <c r="X1576" s="117"/>
      <c r="Y1576" s="117"/>
      <c r="DT1576" s="240"/>
      <c r="DU1576" s="240"/>
      <c r="DV1576" s="240"/>
      <c r="DW1576" s="240"/>
      <c r="DX1576" s="240"/>
      <c r="DY1576" s="240"/>
      <c r="DZ1576" s="240"/>
      <c r="EA1576" s="240"/>
      <c r="EB1576" s="237"/>
      <c r="EC1576" s="241"/>
      <c r="ED1576" s="241"/>
      <c r="EE1576" s="241"/>
      <c r="EG1576" s="241"/>
      <c r="EI1576" s="241"/>
      <c r="EK1576" s="241"/>
    </row>
    <row r="1577" spans="1:141" s="121" customFormat="1" x14ac:dyDescent="0.3">
      <c r="A1577" s="124"/>
      <c r="O1577" s="235"/>
      <c r="X1577" s="117"/>
      <c r="Y1577" s="117"/>
      <c r="DT1577" s="240"/>
      <c r="DU1577" s="240"/>
      <c r="DV1577" s="240"/>
      <c r="DW1577" s="240"/>
      <c r="DX1577" s="240"/>
      <c r="DY1577" s="240"/>
      <c r="DZ1577" s="240"/>
      <c r="EA1577" s="240"/>
      <c r="EB1577" s="237"/>
      <c r="EC1577" s="241"/>
      <c r="ED1577" s="241"/>
      <c r="EE1577" s="241"/>
      <c r="EG1577" s="241"/>
      <c r="EI1577" s="241"/>
      <c r="EK1577" s="241"/>
    </row>
    <row r="1578" spans="1:141" s="121" customFormat="1" x14ac:dyDescent="0.3">
      <c r="A1578" s="124"/>
      <c r="O1578" s="235"/>
      <c r="X1578" s="117"/>
      <c r="Y1578" s="117"/>
      <c r="DT1578" s="240"/>
      <c r="DU1578" s="240"/>
      <c r="DV1578" s="240"/>
      <c r="DW1578" s="240"/>
      <c r="DX1578" s="240"/>
      <c r="DY1578" s="240"/>
      <c r="DZ1578" s="240"/>
      <c r="EA1578" s="240"/>
      <c r="EB1578" s="237"/>
      <c r="EC1578" s="241"/>
      <c r="ED1578" s="241"/>
      <c r="EE1578" s="241"/>
      <c r="EG1578" s="241"/>
      <c r="EI1578" s="241"/>
      <c r="EK1578" s="241"/>
    </row>
    <row r="1579" spans="1:141" s="121" customFormat="1" x14ac:dyDescent="0.3">
      <c r="A1579" s="124"/>
      <c r="O1579" s="235"/>
      <c r="X1579" s="117"/>
      <c r="Y1579" s="117"/>
      <c r="DT1579" s="240"/>
      <c r="DU1579" s="240"/>
      <c r="DV1579" s="240"/>
      <c r="DW1579" s="240"/>
      <c r="DX1579" s="240"/>
      <c r="DY1579" s="240"/>
      <c r="DZ1579" s="240"/>
      <c r="EA1579" s="240"/>
      <c r="EB1579" s="237"/>
      <c r="EC1579" s="241"/>
      <c r="ED1579" s="241"/>
      <c r="EE1579" s="241"/>
      <c r="EG1579" s="241"/>
      <c r="EI1579" s="241"/>
      <c r="EK1579" s="241"/>
    </row>
    <row r="1580" spans="1:141" s="121" customFormat="1" x14ac:dyDescent="0.3">
      <c r="A1580" s="124"/>
      <c r="O1580" s="235"/>
      <c r="X1580" s="117"/>
      <c r="Y1580" s="117"/>
      <c r="DT1580" s="240"/>
      <c r="DU1580" s="240"/>
      <c r="DV1580" s="240"/>
      <c r="DW1580" s="240"/>
      <c r="DX1580" s="240"/>
      <c r="DY1580" s="240"/>
      <c r="DZ1580" s="240"/>
      <c r="EA1580" s="240"/>
      <c r="EB1580" s="237"/>
      <c r="EC1580" s="241"/>
      <c r="ED1580" s="241"/>
      <c r="EE1580" s="241"/>
      <c r="EG1580" s="241"/>
      <c r="EI1580" s="241"/>
      <c r="EK1580" s="241"/>
    </row>
    <row r="1581" spans="1:141" s="121" customFormat="1" x14ac:dyDescent="0.3">
      <c r="A1581" s="124"/>
      <c r="O1581" s="235"/>
      <c r="X1581" s="117"/>
      <c r="Y1581" s="117"/>
      <c r="DT1581" s="240"/>
      <c r="DU1581" s="240"/>
      <c r="DV1581" s="240"/>
      <c r="DW1581" s="240"/>
      <c r="DX1581" s="240"/>
      <c r="DY1581" s="240"/>
      <c r="DZ1581" s="240"/>
      <c r="EA1581" s="240"/>
      <c r="EB1581" s="237"/>
      <c r="EC1581" s="241"/>
      <c r="ED1581" s="241"/>
      <c r="EE1581" s="241"/>
      <c r="EG1581" s="241"/>
      <c r="EI1581" s="241"/>
      <c r="EK1581" s="241"/>
    </row>
    <row r="1582" spans="1:141" s="121" customFormat="1" x14ac:dyDescent="0.3">
      <c r="A1582" s="124"/>
      <c r="O1582" s="235"/>
      <c r="X1582" s="117"/>
      <c r="Y1582" s="117"/>
      <c r="DT1582" s="240"/>
      <c r="DU1582" s="240"/>
      <c r="DV1582" s="240"/>
      <c r="DW1582" s="240"/>
      <c r="DX1582" s="240"/>
      <c r="DY1582" s="240"/>
      <c r="DZ1582" s="240"/>
      <c r="EA1582" s="240"/>
      <c r="EB1582" s="237"/>
      <c r="EC1582" s="241"/>
      <c r="ED1582" s="241"/>
      <c r="EE1582" s="241"/>
      <c r="EG1582" s="241"/>
      <c r="EI1582" s="241"/>
      <c r="EK1582" s="241"/>
    </row>
    <row r="1583" spans="1:141" s="121" customFormat="1" x14ac:dyDescent="0.3">
      <c r="A1583" s="124"/>
      <c r="O1583" s="235"/>
      <c r="X1583" s="117"/>
      <c r="Y1583" s="117"/>
      <c r="DT1583" s="240"/>
      <c r="DU1583" s="240"/>
      <c r="DV1583" s="240"/>
      <c r="DW1583" s="240"/>
      <c r="DX1583" s="240"/>
      <c r="DY1583" s="240"/>
      <c r="DZ1583" s="240"/>
      <c r="EA1583" s="240"/>
      <c r="EB1583" s="237"/>
      <c r="EC1583" s="241"/>
      <c r="ED1583" s="241"/>
      <c r="EE1583" s="241"/>
      <c r="EG1583" s="241"/>
      <c r="EI1583" s="241"/>
      <c r="EK1583" s="241"/>
    </row>
    <row r="1584" spans="1:141" s="121" customFormat="1" x14ac:dyDescent="0.3">
      <c r="A1584" s="124"/>
      <c r="O1584" s="235"/>
      <c r="X1584" s="117"/>
      <c r="Y1584" s="117"/>
      <c r="DT1584" s="240"/>
      <c r="DU1584" s="240"/>
      <c r="DV1584" s="240"/>
      <c r="DW1584" s="240"/>
      <c r="DX1584" s="240"/>
      <c r="DY1584" s="240"/>
      <c r="DZ1584" s="240"/>
      <c r="EA1584" s="240"/>
      <c r="EB1584" s="237"/>
      <c r="EC1584" s="241"/>
      <c r="ED1584" s="241"/>
      <c r="EE1584" s="241"/>
      <c r="EG1584" s="241"/>
      <c r="EI1584" s="241"/>
      <c r="EK1584" s="241"/>
    </row>
    <row r="1585" spans="1:141" s="121" customFormat="1" x14ac:dyDescent="0.3">
      <c r="A1585" s="124"/>
      <c r="O1585" s="235"/>
      <c r="X1585" s="117"/>
      <c r="Y1585" s="117"/>
      <c r="DT1585" s="240"/>
      <c r="DU1585" s="240"/>
      <c r="DV1585" s="240"/>
      <c r="DW1585" s="240"/>
      <c r="DX1585" s="240"/>
      <c r="DY1585" s="240"/>
      <c r="DZ1585" s="240"/>
      <c r="EA1585" s="240"/>
      <c r="EB1585" s="237"/>
      <c r="EC1585" s="241"/>
      <c r="ED1585" s="241"/>
      <c r="EE1585" s="241"/>
      <c r="EG1585" s="241"/>
      <c r="EI1585" s="241"/>
      <c r="EK1585" s="241"/>
    </row>
    <row r="1586" spans="1:141" s="121" customFormat="1" x14ac:dyDescent="0.3">
      <c r="A1586" s="124"/>
      <c r="O1586" s="235"/>
      <c r="X1586" s="117"/>
      <c r="Y1586" s="117"/>
      <c r="DT1586" s="240"/>
      <c r="DU1586" s="240"/>
      <c r="DV1586" s="240"/>
      <c r="DW1586" s="240"/>
      <c r="DX1586" s="240"/>
      <c r="DY1586" s="240"/>
      <c r="DZ1586" s="240"/>
      <c r="EA1586" s="240"/>
      <c r="EB1586" s="237"/>
      <c r="EC1586" s="241"/>
      <c r="ED1586" s="241"/>
      <c r="EE1586" s="241"/>
      <c r="EG1586" s="241"/>
      <c r="EI1586" s="241"/>
      <c r="EK1586" s="241"/>
    </row>
    <row r="1587" spans="1:141" s="121" customFormat="1" x14ac:dyDescent="0.3">
      <c r="A1587" s="124"/>
      <c r="O1587" s="235"/>
      <c r="X1587" s="117"/>
      <c r="Y1587" s="117"/>
      <c r="DT1587" s="240"/>
      <c r="DU1587" s="240"/>
      <c r="DV1587" s="240"/>
      <c r="DW1587" s="240"/>
      <c r="DX1587" s="240"/>
      <c r="DY1587" s="240"/>
      <c r="DZ1587" s="240"/>
      <c r="EA1587" s="240"/>
      <c r="EB1587" s="237"/>
      <c r="EC1587" s="241"/>
      <c r="ED1587" s="241"/>
      <c r="EE1587" s="241"/>
      <c r="EG1587" s="241"/>
      <c r="EI1587" s="241"/>
      <c r="EK1587" s="241"/>
    </row>
    <row r="1588" spans="1:141" s="121" customFormat="1" x14ac:dyDescent="0.3">
      <c r="A1588" s="124"/>
      <c r="O1588" s="235"/>
      <c r="X1588" s="117"/>
      <c r="Y1588" s="117"/>
      <c r="DT1588" s="240"/>
      <c r="DU1588" s="240"/>
      <c r="DV1588" s="240"/>
      <c r="DW1588" s="240"/>
      <c r="DX1588" s="240"/>
      <c r="DY1588" s="240"/>
      <c r="DZ1588" s="240"/>
      <c r="EA1588" s="240"/>
      <c r="EB1588" s="237"/>
      <c r="EC1588" s="241"/>
      <c r="ED1588" s="241"/>
      <c r="EE1588" s="241"/>
      <c r="EG1588" s="241"/>
      <c r="EI1588" s="241"/>
      <c r="EK1588" s="241"/>
    </row>
    <row r="1589" spans="1:141" s="121" customFormat="1" x14ac:dyDescent="0.3">
      <c r="A1589" s="124"/>
      <c r="O1589" s="235"/>
      <c r="X1589" s="117"/>
      <c r="Y1589" s="117"/>
      <c r="DT1589" s="240"/>
      <c r="DU1589" s="240"/>
      <c r="DV1589" s="240"/>
      <c r="DW1589" s="240"/>
      <c r="DX1589" s="240"/>
      <c r="DY1589" s="240"/>
      <c r="DZ1589" s="240"/>
      <c r="EA1589" s="240"/>
      <c r="EB1589" s="237"/>
      <c r="EC1589" s="241"/>
      <c r="ED1589" s="241"/>
      <c r="EE1589" s="241"/>
      <c r="EG1589" s="241"/>
      <c r="EI1589" s="241"/>
      <c r="EK1589" s="241"/>
    </row>
    <row r="1590" spans="1:141" s="121" customFormat="1" x14ac:dyDescent="0.3">
      <c r="A1590" s="124"/>
      <c r="O1590" s="235"/>
      <c r="X1590" s="117"/>
      <c r="Y1590" s="117"/>
      <c r="DT1590" s="240"/>
      <c r="DU1590" s="240"/>
      <c r="DV1590" s="240"/>
      <c r="DW1590" s="240"/>
      <c r="DX1590" s="240"/>
      <c r="DY1590" s="240"/>
      <c r="DZ1590" s="240"/>
      <c r="EA1590" s="240"/>
      <c r="EB1590" s="237"/>
      <c r="EC1590" s="241"/>
      <c r="ED1590" s="241"/>
      <c r="EE1590" s="241"/>
      <c r="EG1590" s="241"/>
      <c r="EI1590" s="241"/>
      <c r="EK1590" s="241"/>
    </row>
    <row r="1591" spans="1:141" s="121" customFormat="1" x14ac:dyDescent="0.3">
      <c r="A1591" s="124"/>
      <c r="O1591" s="235"/>
      <c r="X1591" s="117"/>
      <c r="Y1591" s="117"/>
      <c r="DT1591" s="240"/>
      <c r="DU1591" s="240"/>
      <c r="DV1591" s="240"/>
      <c r="DW1591" s="240"/>
      <c r="DX1591" s="240"/>
      <c r="DY1591" s="240"/>
      <c r="DZ1591" s="240"/>
      <c r="EA1591" s="240"/>
      <c r="EB1591" s="237"/>
      <c r="EC1591" s="241"/>
      <c r="ED1591" s="241"/>
      <c r="EE1591" s="241"/>
      <c r="EG1591" s="241"/>
      <c r="EI1591" s="241"/>
      <c r="EK1591" s="241"/>
    </row>
    <row r="1592" spans="1:141" s="121" customFormat="1" x14ac:dyDescent="0.3">
      <c r="A1592" s="124"/>
      <c r="O1592" s="235"/>
      <c r="X1592" s="117"/>
      <c r="Y1592" s="117"/>
      <c r="DT1592" s="240"/>
      <c r="DU1592" s="240"/>
      <c r="DV1592" s="240"/>
      <c r="DW1592" s="240"/>
      <c r="DX1592" s="240"/>
      <c r="DY1592" s="240"/>
      <c r="DZ1592" s="240"/>
      <c r="EA1592" s="240"/>
      <c r="EB1592" s="237"/>
      <c r="EC1592" s="241"/>
      <c r="ED1592" s="241"/>
      <c r="EE1592" s="241"/>
      <c r="EG1592" s="241"/>
      <c r="EI1592" s="241"/>
      <c r="EK1592" s="241"/>
    </row>
    <row r="1593" spans="1:141" s="121" customFormat="1" x14ac:dyDescent="0.3">
      <c r="A1593" s="124"/>
      <c r="O1593" s="235"/>
      <c r="X1593" s="117"/>
      <c r="Y1593" s="117"/>
      <c r="DT1593" s="240"/>
      <c r="DU1593" s="240"/>
      <c r="DV1593" s="240"/>
      <c r="DW1593" s="240"/>
      <c r="DX1593" s="240"/>
      <c r="DY1593" s="240"/>
      <c r="DZ1593" s="240"/>
      <c r="EA1593" s="240"/>
      <c r="EB1593" s="237"/>
      <c r="EC1593" s="241"/>
      <c r="ED1593" s="241"/>
      <c r="EE1593" s="241"/>
      <c r="EG1593" s="241"/>
      <c r="EI1593" s="241"/>
      <c r="EK1593" s="241"/>
    </row>
    <row r="1594" spans="1:141" s="121" customFormat="1" x14ac:dyDescent="0.3">
      <c r="A1594" s="124"/>
      <c r="O1594" s="235"/>
      <c r="X1594" s="117"/>
      <c r="Y1594" s="117"/>
      <c r="DT1594" s="240"/>
      <c r="DU1594" s="240"/>
      <c r="DV1594" s="240"/>
      <c r="DW1594" s="240"/>
      <c r="DX1594" s="240"/>
      <c r="DY1594" s="240"/>
      <c r="DZ1594" s="240"/>
      <c r="EA1594" s="240"/>
      <c r="EB1594" s="237"/>
      <c r="EC1594" s="241"/>
      <c r="ED1594" s="241"/>
      <c r="EE1594" s="241"/>
      <c r="EG1594" s="241"/>
      <c r="EI1594" s="241"/>
      <c r="EK1594" s="241"/>
    </row>
    <row r="1595" spans="1:141" s="121" customFormat="1" x14ac:dyDescent="0.3">
      <c r="A1595" s="124"/>
      <c r="O1595" s="235"/>
      <c r="X1595" s="117"/>
      <c r="Y1595" s="117"/>
      <c r="DT1595" s="240"/>
      <c r="DU1595" s="240"/>
      <c r="DV1595" s="240"/>
      <c r="DW1595" s="240"/>
      <c r="DX1595" s="240"/>
      <c r="DY1595" s="240"/>
      <c r="DZ1595" s="240"/>
      <c r="EA1595" s="240"/>
      <c r="EB1595" s="237"/>
      <c r="EC1595" s="241"/>
      <c r="ED1595" s="241"/>
      <c r="EE1595" s="241"/>
      <c r="EG1595" s="241"/>
      <c r="EI1595" s="241"/>
      <c r="EK1595" s="241"/>
    </row>
    <row r="1596" spans="1:141" s="121" customFormat="1" x14ac:dyDescent="0.3">
      <c r="A1596" s="124"/>
      <c r="O1596" s="235"/>
      <c r="X1596" s="117"/>
      <c r="Y1596" s="117"/>
      <c r="DT1596" s="240"/>
      <c r="DU1596" s="240"/>
      <c r="DV1596" s="240"/>
      <c r="DW1596" s="240"/>
      <c r="DX1596" s="240"/>
      <c r="DY1596" s="240"/>
      <c r="DZ1596" s="240"/>
      <c r="EA1596" s="240"/>
      <c r="EB1596" s="237"/>
      <c r="EC1596" s="241"/>
      <c r="ED1596" s="241"/>
      <c r="EE1596" s="241"/>
      <c r="EG1596" s="241"/>
      <c r="EI1596" s="241"/>
      <c r="EK1596" s="241"/>
    </row>
    <row r="1597" spans="1:141" s="121" customFormat="1" x14ac:dyDescent="0.3">
      <c r="A1597" s="124"/>
      <c r="O1597" s="235"/>
      <c r="X1597" s="117"/>
      <c r="Y1597" s="117"/>
      <c r="DT1597" s="240"/>
      <c r="DU1597" s="240"/>
      <c r="DV1597" s="240"/>
      <c r="DW1597" s="240"/>
      <c r="DX1597" s="240"/>
      <c r="DY1597" s="240"/>
      <c r="DZ1597" s="240"/>
      <c r="EA1597" s="240"/>
      <c r="EB1597" s="237"/>
      <c r="EC1597" s="241"/>
      <c r="ED1597" s="241"/>
      <c r="EE1597" s="241"/>
      <c r="EG1597" s="241"/>
      <c r="EI1597" s="241"/>
      <c r="EK1597" s="241"/>
    </row>
    <row r="1598" spans="1:141" s="121" customFormat="1" x14ac:dyDescent="0.3">
      <c r="A1598" s="124"/>
      <c r="O1598" s="235"/>
      <c r="X1598" s="117"/>
      <c r="Y1598" s="117"/>
      <c r="DT1598" s="240"/>
      <c r="DU1598" s="240"/>
      <c r="DV1598" s="240"/>
      <c r="DW1598" s="240"/>
      <c r="DX1598" s="240"/>
      <c r="DY1598" s="240"/>
      <c r="DZ1598" s="240"/>
      <c r="EA1598" s="240"/>
      <c r="EB1598" s="237"/>
      <c r="EC1598" s="241"/>
      <c r="ED1598" s="241"/>
      <c r="EE1598" s="241"/>
      <c r="EG1598" s="241"/>
      <c r="EI1598" s="241"/>
      <c r="EK1598" s="241"/>
    </row>
    <row r="1599" spans="1:141" s="121" customFormat="1" x14ac:dyDescent="0.3">
      <c r="A1599" s="124"/>
      <c r="O1599" s="235"/>
      <c r="X1599" s="117"/>
      <c r="Y1599" s="117"/>
      <c r="DT1599" s="240"/>
      <c r="DU1599" s="240"/>
      <c r="DV1599" s="240"/>
      <c r="DW1599" s="240"/>
      <c r="DX1599" s="240"/>
      <c r="DY1599" s="240"/>
      <c r="DZ1599" s="240"/>
      <c r="EA1599" s="240"/>
      <c r="EB1599" s="237"/>
      <c r="EC1599" s="241"/>
      <c r="ED1599" s="241"/>
      <c r="EE1599" s="241"/>
      <c r="EG1599" s="241"/>
      <c r="EI1599" s="241"/>
      <c r="EK1599" s="241"/>
    </row>
    <row r="1600" spans="1:141" s="121" customFormat="1" x14ac:dyDescent="0.3">
      <c r="A1600" s="124"/>
      <c r="O1600" s="235"/>
      <c r="X1600" s="117"/>
      <c r="Y1600" s="117"/>
      <c r="DT1600" s="240"/>
      <c r="DU1600" s="240"/>
      <c r="DV1600" s="240"/>
      <c r="DW1600" s="240"/>
      <c r="DX1600" s="240"/>
      <c r="DY1600" s="240"/>
      <c r="DZ1600" s="240"/>
      <c r="EA1600" s="240"/>
      <c r="EB1600" s="237"/>
      <c r="EC1600" s="241"/>
      <c r="ED1600" s="241"/>
      <c r="EE1600" s="241"/>
      <c r="EG1600" s="241"/>
      <c r="EI1600" s="241"/>
      <c r="EK1600" s="241"/>
    </row>
    <row r="1601" spans="1:141" s="121" customFormat="1" x14ac:dyDescent="0.3">
      <c r="A1601" s="124"/>
      <c r="O1601" s="235"/>
      <c r="X1601" s="117"/>
      <c r="Y1601" s="117"/>
      <c r="DT1601" s="240"/>
      <c r="DU1601" s="240"/>
      <c r="DV1601" s="240"/>
      <c r="DW1601" s="240"/>
      <c r="DX1601" s="240"/>
      <c r="DY1601" s="240"/>
      <c r="DZ1601" s="240"/>
      <c r="EA1601" s="240"/>
      <c r="EB1601" s="237"/>
      <c r="EC1601" s="241"/>
      <c r="ED1601" s="241"/>
      <c r="EE1601" s="241"/>
      <c r="EG1601" s="241"/>
      <c r="EI1601" s="241"/>
      <c r="EK1601" s="241"/>
    </row>
    <row r="1602" spans="1:141" s="121" customFormat="1" x14ac:dyDescent="0.3">
      <c r="A1602" s="124"/>
      <c r="O1602" s="235"/>
      <c r="X1602" s="117"/>
      <c r="Y1602" s="117"/>
      <c r="DT1602" s="240"/>
      <c r="DU1602" s="240"/>
      <c r="DV1602" s="240"/>
      <c r="DW1602" s="240"/>
      <c r="DX1602" s="240"/>
      <c r="DY1602" s="240"/>
      <c r="DZ1602" s="240"/>
      <c r="EA1602" s="240"/>
      <c r="EB1602" s="237"/>
      <c r="EC1602" s="241"/>
      <c r="ED1602" s="241"/>
      <c r="EE1602" s="241"/>
      <c r="EG1602" s="241"/>
      <c r="EI1602" s="241"/>
      <c r="EK1602" s="241"/>
    </row>
    <row r="1603" spans="1:141" s="121" customFormat="1" x14ac:dyDescent="0.3">
      <c r="A1603" s="124"/>
      <c r="O1603" s="235"/>
      <c r="X1603" s="117"/>
      <c r="Y1603" s="117"/>
      <c r="DT1603" s="240"/>
      <c r="DU1603" s="240"/>
      <c r="DV1603" s="240"/>
      <c r="DW1603" s="240"/>
      <c r="DX1603" s="240"/>
      <c r="DY1603" s="240"/>
      <c r="DZ1603" s="240"/>
      <c r="EA1603" s="240"/>
      <c r="EB1603" s="237"/>
      <c r="EC1603" s="241"/>
      <c r="ED1603" s="241"/>
      <c r="EE1603" s="241"/>
      <c r="EG1603" s="241"/>
      <c r="EI1603" s="241"/>
      <c r="EK1603" s="241"/>
    </row>
    <row r="1604" spans="1:141" s="121" customFormat="1" x14ac:dyDescent="0.3">
      <c r="A1604" s="124"/>
      <c r="O1604" s="235"/>
      <c r="X1604" s="117"/>
      <c r="Y1604" s="117"/>
      <c r="DT1604" s="240"/>
      <c r="DU1604" s="240"/>
      <c r="DV1604" s="240"/>
      <c r="DW1604" s="240"/>
      <c r="DX1604" s="240"/>
      <c r="DY1604" s="240"/>
      <c r="DZ1604" s="240"/>
      <c r="EA1604" s="240"/>
      <c r="EB1604" s="237"/>
      <c r="EC1604" s="241"/>
      <c r="ED1604" s="241"/>
      <c r="EE1604" s="241"/>
      <c r="EG1604" s="241"/>
      <c r="EI1604" s="241"/>
      <c r="EK1604" s="241"/>
    </row>
    <row r="1605" spans="1:141" s="121" customFormat="1" x14ac:dyDescent="0.3">
      <c r="A1605" s="124"/>
      <c r="O1605" s="235"/>
      <c r="X1605" s="117"/>
      <c r="Y1605" s="117"/>
      <c r="DT1605" s="240"/>
      <c r="DU1605" s="240"/>
      <c r="DV1605" s="240"/>
      <c r="DW1605" s="240"/>
      <c r="DX1605" s="240"/>
      <c r="DY1605" s="240"/>
      <c r="DZ1605" s="240"/>
      <c r="EA1605" s="240"/>
      <c r="EB1605" s="237"/>
      <c r="EC1605" s="241"/>
      <c r="ED1605" s="241"/>
      <c r="EE1605" s="241"/>
      <c r="EG1605" s="241"/>
      <c r="EI1605" s="241"/>
      <c r="EK1605" s="241"/>
    </row>
    <row r="1606" spans="1:141" s="121" customFormat="1" x14ac:dyDescent="0.3">
      <c r="A1606" s="124"/>
      <c r="O1606" s="235"/>
      <c r="X1606" s="117"/>
      <c r="Y1606" s="117"/>
      <c r="DT1606" s="240"/>
      <c r="DU1606" s="240"/>
      <c r="DV1606" s="240"/>
      <c r="DW1606" s="240"/>
      <c r="DX1606" s="240"/>
      <c r="DY1606" s="240"/>
      <c r="DZ1606" s="240"/>
      <c r="EA1606" s="240"/>
      <c r="EB1606" s="237"/>
      <c r="EC1606" s="241"/>
      <c r="ED1606" s="241"/>
      <c r="EE1606" s="241"/>
      <c r="EG1606" s="241"/>
      <c r="EI1606" s="241"/>
      <c r="EK1606" s="241"/>
    </row>
    <row r="1607" spans="1:141" s="121" customFormat="1" x14ac:dyDescent="0.3">
      <c r="A1607" s="124"/>
      <c r="O1607" s="235"/>
      <c r="X1607" s="117"/>
      <c r="Y1607" s="117"/>
      <c r="DT1607" s="240"/>
      <c r="DU1607" s="240"/>
      <c r="DV1607" s="240"/>
      <c r="DW1607" s="240"/>
      <c r="DX1607" s="240"/>
      <c r="DY1607" s="240"/>
      <c r="DZ1607" s="240"/>
      <c r="EA1607" s="240"/>
      <c r="EB1607" s="237"/>
      <c r="EC1607" s="241"/>
      <c r="ED1607" s="241"/>
      <c r="EE1607" s="241"/>
      <c r="EG1607" s="241"/>
      <c r="EI1607" s="241"/>
      <c r="EK1607" s="241"/>
    </row>
    <row r="1608" spans="1:141" s="121" customFormat="1" x14ac:dyDescent="0.3">
      <c r="A1608" s="124"/>
      <c r="O1608" s="235"/>
      <c r="X1608" s="117"/>
      <c r="Y1608" s="117"/>
      <c r="DT1608" s="240"/>
      <c r="DU1608" s="240"/>
      <c r="DV1608" s="240"/>
      <c r="DW1608" s="240"/>
      <c r="DX1608" s="240"/>
      <c r="DY1608" s="240"/>
      <c r="DZ1608" s="240"/>
      <c r="EA1608" s="240"/>
      <c r="EB1608" s="237"/>
      <c r="EC1608" s="241"/>
      <c r="ED1608" s="241"/>
      <c r="EE1608" s="241"/>
      <c r="EG1608" s="241"/>
      <c r="EI1608" s="241"/>
      <c r="EK1608" s="241"/>
    </row>
    <row r="1609" spans="1:141" s="121" customFormat="1" x14ac:dyDescent="0.3">
      <c r="A1609" s="124"/>
      <c r="O1609" s="235"/>
      <c r="X1609" s="117"/>
      <c r="Y1609" s="117"/>
      <c r="DT1609" s="240"/>
      <c r="DU1609" s="240"/>
      <c r="DV1609" s="240"/>
      <c r="DW1609" s="240"/>
      <c r="DX1609" s="240"/>
      <c r="DY1609" s="240"/>
      <c r="DZ1609" s="240"/>
      <c r="EA1609" s="240"/>
      <c r="EB1609" s="237"/>
      <c r="EC1609" s="241"/>
      <c r="ED1609" s="241"/>
      <c r="EE1609" s="241"/>
      <c r="EG1609" s="241"/>
      <c r="EI1609" s="241"/>
      <c r="EK1609" s="241"/>
    </row>
    <row r="1610" spans="1:141" s="121" customFormat="1" x14ac:dyDescent="0.3">
      <c r="A1610" s="124"/>
      <c r="O1610" s="235"/>
      <c r="X1610" s="117"/>
      <c r="Y1610" s="117"/>
      <c r="DT1610" s="240"/>
      <c r="DU1610" s="240"/>
      <c r="DV1610" s="240"/>
      <c r="DW1610" s="240"/>
      <c r="DX1610" s="240"/>
      <c r="DY1610" s="240"/>
      <c r="DZ1610" s="240"/>
      <c r="EA1610" s="240"/>
      <c r="EB1610" s="237"/>
      <c r="EC1610" s="241"/>
      <c r="ED1610" s="241"/>
      <c r="EE1610" s="241"/>
      <c r="EG1610" s="241"/>
      <c r="EI1610" s="241"/>
      <c r="EK1610" s="241"/>
    </row>
    <row r="1611" spans="1:141" s="121" customFormat="1" x14ac:dyDescent="0.3">
      <c r="A1611" s="124"/>
      <c r="O1611" s="235"/>
      <c r="X1611" s="117"/>
      <c r="Y1611" s="117"/>
      <c r="DT1611" s="240"/>
      <c r="DU1611" s="240"/>
      <c r="DV1611" s="240"/>
      <c r="DW1611" s="240"/>
      <c r="DX1611" s="240"/>
      <c r="DY1611" s="240"/>
      <c r="DZ1611" s="240"/>
      <c r="EA1611" s="240"/>
      <c r="EB1611" s="237"/>
      <c r="EC1611" s="241"/>
      <c r="ED1611" s="241"/>
      <c r="EE1611" s="241"/>
      <c r="EG1611" s="241"/>
      <c r="EI1611" s="241"/>
      <c r="EK1611" s="241"/>
    </row>
    <row r="1612" spans="1:141" s="121" customFormat="1" x14ac:dyDescent="0.3">
      <c r="A1612" s="124"/>
      <c r="O1612" s="235"/>
      <c r="X1612" s="117"/>
      <c r="Y1612" s="117"/>
      <c r="DT1612" s="240"/>
      <c r="DU1612" s="240"/>
      <c r="DV1612" s="240"/>
      <c r="DW1612" s="240"/>
      <c r="DX1612" s="240"/>
      <c r="DY1612" s="240"/>
      <c r="DZ1612" s="240"/>
      <c r="EA1612" s="240"/>
      <c r="EB1612" s="237"/>
      <c r="EC1612" s="241"/>
      <c r="ED1612" s="241"/>
      <c r="EE1612" s="241"/>
      <c r="EG1612" s="241"/>
      <c r="EI1612" s="241"/>
      <c r="EK1612" s="241"/>
    </row>
    <row r="1613" spans="1:141" s="121" customFormat="1" x14ac:dyDescent="0.3">
      <c r="A1613" s="124"/>
      <c r="O1613" s="235"/>
      <c r="X1613" s="117"/>
      <c r="Y1613" s="117"/>
      <c r="DT1613" s="240"/>
      <c r="DU1613" s="240"/>
      <c r="DV1613" s="240"/>
      <c r="DW1613" s="240"/>
      <c r="DX1613" s="240"/>
      <c r="DY1613" s="240"/>
      <c r="DZ1613" s="240"/>
      <c r="EA1613" s="240"/>
      <c r="EB1613" s="237"/>
      <c r="EC1613" s="241"/>
      <c r="ED1613" s="241"/>
      <c r="EE1613" s="241"/>
      <c r="EG1613" s="241"/>
      <c r="EI1613" s="241"/>
      <c r="EK1613" s="241"/>
    </row>
    <row r="1614" spans="1:141" s="121" customFormat="1" x14ac:dyDescent="0.3">
      <c r="A1614" s="124"/>
      <c r="O1614" s="235"/>
      <c r="X1614" s="117"/>
      <c r="Y1614" s="117"/>
      <c r="DT1614" s="240"/>
      <c r="DU1614" s="240"/>
      <c r="DV1614" s="240"/>
      <c r="DW1614" s="240"/>
      <c r="DX1614" s="240"/>
      <c r="DY1614" s="240"/>
      <c r="DZ1614" s="240"/>
      <c r="EA1614" s="240"/>
      <c r="EB1614" s="237"/>
      <c r="EC1614" s="241"/>
      <c r="ED1614" s="241"/>
      <c r="EE1614" s="241"/>
      <c r="EG1614" s="241"/>
      <c r="EI1614" s="241"/>
      <c r="EK1614" s="241"/>
    </row>
    <row r="1615" spans="1:141" s="121" customFormat="1" x14ac:dyDescent="0.3">
      <c r="A1615" s="124"/>
      <c r="O1615" s="235"/>
      <c r="X1615" s="117"/>
      <c r="Y1615" s="117"/>
      <c r="DT1615" s="240"/>
      <c r="DU1615" s="240"/>
      <c r="DV1615" s="240"/>
      <c r="DW1615" s="240"/>
      <c r="DX1615" s="240"/>
      <c r="DY1615" s="240"/>
      <c r="DZ1615" s="240"/>
      <c r="EA1615" s="240"/>
      <c r="EB1615" s="237"/>
      <c r="EC1615" s="241"/>
      <c r="ED1615" s="241"/>
      <c r="EE1615" s="241"/>
      <c r="EG1615" s="241"/>
      <c r="EI1615" s="241"/>
      <c r="EK1615" s="241"/>
    </row>
    <row r="1616" spans="1:141" s="121" customFormat="1" x14ac:dyDescent="0.3">
      <c r="A1616" s="124"/>
      <c r="O1616" s="235"/>
      <c r="X1616" s="117"/>
      <c r="Y1616" s="117"/>
      <c r="DT1616" s="240"/>
      <c r="DU1616" s="240"/>
      <c r="DV1616" s="240"/>
      <c r="DW1616" s="240"/>
      <c r="DX1616" s="240"/>
      <c r="DY1616" s="240"/>
      <c r="DZ1616" s="240"/>
      <c r="EA1616" s="240"/>
      <c r="EB1616" s="237"/>
      <c r="EC1616" s="241"/>
      <c r="ED1616" s="241"/>
      <c r="EE1616" s="241"/>
      <c r="EG1616" s="241"/>
      <c r="EI1616" s="241"/>
      <c r="EK1616" s="241"/>
    </row>
    <row r="1617" spans="1:141" s="121" customFormat="1" x14ac:dyDescent="0.3">
      <c r="A1617" s="124"/>
      <c r="O1617" s="235"/>
      <c r="X1617" s="117"/>
      <c r="Y1617" s="117"/>
      <c r="DT1617" s="240"/>
      <c r="DU1617" s="240"/>
      <c r="DV1617" s="240"/>
      <c r="DW1617" s="240"/>
      <c r="DX1617" s="240"/>
      <c r="DY1617" s="240"/>
      <c r="DZ1617" s="240"/>
      <c r="EA1617" s="240"/>
      <c r="EB1617" s="237"/>
      <c r="EC1617" s="241"/>
      <c r="ED1617" s="241"/>
      <c r="EE1617" s="241"/>
      <c r="EG1617" s="241"/>
      <c r="EI1617" s="241"/>
      <c r="EK1617" s="241"/>
    </row>
    <row r="1618" spans="1:141" s="121" customFormat="1" x14ac:dyDescent="0.3">
      <c r="A1618" s="124"/>
      <c r="O1618" s="235"/>
      <c r="X1618" s="117"/>
      <c r="Y1618" s="117"/>
      <c r="DT1618" s="240"/>
      <c r="DU1618" s="240"/>
      <c r="DV1618" s="240"/>
      <c r="DW1618" s="240"/>
      <c r="DX1618" s="240"/>
      <c r="DY1618" s="240"/>
      <c r="DZ1618" s="240"/>
      <c r="EA1618" s="240"/>
      <c r="EB1618" s="237"/>
      <c r="EC1618" s="241"/>
      <c r="ED1618" s="241"/>
      <c r="EE1618" s="241"/>
      <c r="EG1618" s="241"/>
      <c r="EI1618" s="241"/>
      <c r="EK1618" s="241"/>
    </row>
    <row r="1619" spans="1:141" s="121" customFormat="1" x14ac:dyDescent="0.3">
      <c r="A1619" s="124"/>
      <c r="O1619" s="235"/>
      <c r="X1619" s="117"/>
      <c r="Y1619" s="117"/>
      <c r="DT1619" s="240"/>
      <c r="DU1619" s="240"/>
      <c r="DV1619" s="240"/>
      <c r="DW1619" s="240"/>
      <c r="DX1619" s="240"/>
      <c r="DY1619" s="240"/>
      <c r="DZ1619" s="240"/>
      <c r="EA1619" s="240"/>
      <c r="EB1619" s="237"/>
      <c r="EC1619" s="241"/>
      <c r="ED1619" s="241"/>
      <c r="EE1619" s="241"/>
      <c r="EG1619" s="241"/>
      <c r="EI1619" s="241"/>
      <c r="EK1619" s="241"/>
    </row>
    <row r="1620" spans="1:141" s="121" customFormat="1" x14ac:dyDescent="0.3">
      <c r="A1620" s="124"/>
      <c r="O1620" s="235"/>
      <c r="X1620" s="117"/>
      <c r="Y1620" s="117"/>
      <c r="DT1620" s="240"/>
      <c r="DU1620" s="240"/>
      <c r="DV1620" s="240"/>
      <c r="DW1620" s="240"/>
      <c r="DX1620" s="240"/>
      <c r="DY1620" s="240"/>
      <c r="DZ1620" s="240"/>
      <c r="EA1620" s="240"/>
      <c r="EB1620" s="237"/>
      <c r="EC1620" s="241"/>
      <c r="ED1620" s="241"/>
      <c r="EE1620" s="241"/>
      <c r="EG1620" s="241"/>
      <c r="EI1620" s="241"/>
      <c r="EK1620" s="241"/>
    </row>
    <row r="1621" spans="1:141" s="121" customFormat="1" x14ac:dyDescent="0.3">
      <c r="A1621" s="124"/>
      <c r="O1621" s="235"/>
      <c r="X1621" s="117"/>
      <c r="Y1621" s="117"/>
      <c r="DT1621" s="240"/>
      <c r="DU1621" s="240"/>
      <c r="DV1621" s="240"/>
      <c r="DW1621" s="240"/>
      <c r="DX1621" s="240"/>
      <c r="DY1621" s="240"/>
      <c r="DZ1621" s="240"/>
      <c r="EA1621" s="240"/>
      <c r="EB1621" s="237"/>
      <c r="EC1621" s="241"/>
      <c r="ED1621" s="241"/>
      <c r="EE1621" s="241"/>
      <c r="EG1621" s="241"/>
      <c r="EI1621" s="241"/>
      <c r="EK1621" s="241"/>
    </row>
    <row r="1622" spans="1:141" s="121" customFormat="1" x14ac:dyDescent="0.3">
      <c r="A1622" s="124"/>
      <c r="O1622" s="235"/>
      <c r="X1622" s="117"/>
      <c r="Y1622" s="117"/>
      <c r="DT1622" s="240"/>
      <c r="DU1622" s="240"/>
      <c r="DV1622" s="240"/>
      <c r="DW1622" s="240"/>
      <c r="DX1622" s="240"/>
      <c r="DY1622" s="240"/>
      <c r="DZ1622" s="240"/>
      <c r="EA1622" s="240"/>
      <c r="EB1622" s="237"/>
      <c r="EC1622" s="241"/>
      <c r="ED1622" s="241"/>
      <c r="EE1622" s="241"/>
      <c r="EG1622" s="241"/>
      <c r="EI1622" s="241"/>
      <c r="EK1622" s="241"/>
    </row>
    <row r="1623" spans="1:141" s="121" customFormat="1" x14ac:dyDescent="0.3">
      <c r="A1623" s="124"/>
      <c r="O1623" s="235"/>
      <c r="X1623" s="117"/>
      <c r="Y1623" s="117"/>
      <c r="DT1623" s="240"/>
      <c r="DU1623" s="240"/>
      <c r="DV1623" s="240"/>
      <c r="DW1623" s="240"/>
      <c r="DX1623" s="240"/>
      <c r="DY1623" s="240"/>
      <c r="DZ1623" s="240"/>
      <c r="EA1623" s="240"/>
      <c r="EB1623" s="237"/>
      <c r="EC1623" s="241"/>
      <c r="ED1623" s="241"/>
      <c r="EE1623" s="241"/>
      <c r="EG1623" s="241"/>
      <c r="EI1623" s="241"/>
      <c r="EK1623" s="241"/>
    </row>
    <row r="1624" spans="1:141" s="121" customFormat="1" x14ac:dyDescent="0.3">
      <c r="A1624" s="124"/>
      <c r="O1624" s="235"/>
      <c r="X1624" s="117"/>
      <c r="Y1624" s="117"/>
      <c r="DT1624" s="240"/>
      <c r="DU1624" s="240"/>
      <c r="DV1624" s="240"/>
      <c r="DW1624" s="240"/>
      <c r="DX1624" s="240"/>
      <c r="DY1624" s="240"/>
      <c r="DZ1624" s="240"/>
      <c r="EA1624" s="240"/>
      <c r="EB1624" s="237"/>
      <c r="EC1624" s="241"/>
      <c r="ED1624" s="241"/>
      <c r="EE1624" s="241"/>
      <c r="EG1624" s="241"/>
      <c r="EI1624" s="241"/>
      <c r="EK1624" s="241"/>
    </row>
    <row r="1625" spans="1:141" s="121" customFormat="1" x14ac:dyDescent="0.3">
      <c r="A1625" s="124"/>
      <c r="O1625" s="235"/>
      <c r="X1625" s="117"/>
      <c r="Y1625" s="117"/>
      <c r="DT1625" s="240"/>
      <c r="DU1625" s="240"/>
      <c r="DV1625" s="240"/>
      <c r="DW1625" s="240"/>
      <c r="DX1625" s="240"/>
      <c r="DY1625" s="240"/>
      <c r="DZ1625" s="240"/>
      <c r="EA1625" s="240"/>
      <c r="EB1625" s="237"/>
      <c r="EC1625" s="241"/>
      <c r="ED1625" s="241"/>
      <c r="EE1625" s="241"/>
      <c r="EG1625" s="241"/>
      <c r="EI1625" s="241"/>
      <c r="EK1625" s="241"/>
    </row>
    <row r="1626" spans="1:141" s="121" customFormat="1" x14ac:dyDescent="0.3">
      <c r="A1626" s="124"/>
      <c r="O1626" s="235"/>
      <c r="X1626" s="117"/>
      <c r="Y1626" s="117"/>
      <c r="DT1626" s="240"/>
      <c r="DU1626" s="240"/>
      <c r="DV1626" s="240"/>
      <c r="DW1626" s="240"/>
      <c r="DX1626" s="240"/>
      <c r="DY1626" s="240"/>
      <c r="DZ1626" s="240"/>
      <c r="EA1626" s="240"/>
      <c r="EB1626" s="237"/>
      <c r="EC1626" s="241"/>
      <c r="ED1626" s="241"/>
      <c r="EE1626" s="241"/>
      <c r="EG1626" s="241"/>
      <c r="EI1626" s="241"/>
      <c r="EK1626" s="241"/>
    </row>
    <row r="1627" spans="1:141" s="121" customFormat="1" x14ac:dyDescent="0.3">
      <c r="A1627" s="124"/>
      <c r="O1627" s="235"/>
      <c r="X1627" s="117"/>
      <c r="Y1627" s="117"/>
      <c r="DT1627" s="240"/>
      <c r="DU1627" s="240"/>
      <c r="DV1627" s="240"/>
      <c r="DW1627" s="240"/>
      <c r="DX1627" s="240"/>
      <c r="DY1627" s="240"/>
      <c r="DZ1627" s="240"/>
      <c r="EA1627" s="240"/>
      <c r="EB1627" s="237"/>
      <c r="EC1627" s="241"/>
      <c r="ED1627" s="241"/>
      <c r="EE1627" s="241"/>
      <c r="EG1627" s="241"/>
      <c r="EI1627" s="241"/>
      <c r="EK1627" s="241"/>
    </row>
    <row r="1628" spans="1:141" s="121" customFormat="1" x14ac:dyDescent="0.3">
      <c r="A1628" s="124"/>
      <c r="O1628" s="235"/>
      <c r="X1628" s="117"/>
      <c r="Y1628" s="117"/>
      <c r="DT1628" s="240"/>
      <c r="DU1628" s="240"/>
      <c r="DV1628" s="240"/>
      <c r="DW1628" s="240"/>
      <c r="DX1628" s="240"/>
      <c r="DY1628" s="240"/>
      <c r="DZ1628" s="240"/>
      <c r="EA1628" s="240"/>
      <c r="EB1628" s="237"/>
      <c r="EC1628" s="241"/>
      <c r="ED1628" s="241"/>
      <c r="EE1628" s="241"/>
      <c r="EG1628" s="241"/>
      <c r="EI1628" s="241"/>
      <c r="EK1628" s="241"/>
    </row>
    <row r="1629" spans="1:141" s="121" customFormat="1" x14ac:dyDescent="0.3">
      <c r="A1629" s="124"/>
      <c r="O1629" s="235"/>
      <c r="X1629" s="117"/>
      <c r="Y1629" s="117"/>
      <c r="DT1629" s="240"/>
      <c r="DU1629" s="240"/>
      <c r="DV1629" s="240"/>
      <c r="DW1629" s="240"/>
      <c r="DX1629" s="240"/>
      <c r="DY1629" s="240"/>
      <c r="DZ1629" s="240"/>
      <c r="EA1629" s="240"/>
      <c r="EB1629" s="237"/>
      <c r="EC1629" s="241"/>
      <c r="ED1629" s="241"/>
      <c r="EE1629" s="241"/>
      <c r="EG1629" s="241"/>
      <c r="EI1629" s="241"/>
      <c r="EK1629" s="241"/>
    </row>
    <row r="1630" spans="1:141" s="121" customFormat="1" x14ac:dyDescent="0.3">
      <c r="A1630" s="124"/>
      <c r="O1630" s="235"/>
      <c r="X1630" s="117"/>
      <c r="Y1630" s="117"/>
      <c r="DT1630" s="240"/>
      <c r="DU1630" s="240"/>
      <c r="DV1630" s="240"/>
      <c r="DW1630" s="240"/>
      <c r="DX1630" s="240"/>
      <c r="DY1630" s="240"/>
      <c r="DZ1630" s="240"/>
      <c r="EA1630" s="240"/>
      <c r="EB1630" s="237"/>
      <c r="EC1630" s="241"/>
      <c r="ED1630" s="241"/>
      <c r="EE1630" s="241"/>
      <c r="EG1630" s="241"/>
      <c r="EI1630" s="241"/>
      <c r="EK1630" s="241"/>
    </row>
    <row r="1631" spans="1:141" s="121" customFormat="1" x14ac:dyDescent="0.3">
      <c r="A1631" s="124"/>
      <c r="O1631" s="235"/>
      <c r="X1631" s="117"/>
      <c r="Y1631" s="117"/>
      <c r="DT1631" s="240"/>
      <c r="DU1631" s="240"/>
      <c r="DV1631" s="240"/>
      <c r="DW1631" s="240"/>
      <c r="DX1631" s="240"/>
      <c r="DY1631" s="240"/>
      <c r="DZ1631" s="240"/>
      <c r="EA1631" s="240"/>
      <c r="EB1631" s="237"/>
      <c r="EC1631" s="241"/>
      <c r="ED1631" s="241"/>
      <c r="EE1631" s="241"/>
      <c r="EG1631" s="241"/>
      <c r="EI1631" s="241"/>
      <c r="EK1631" s="241"/>
    </row>
    <row r="1632" spans="1:141" s="121" customFormat="1" x14ac:dyDescent="0.3">
      <c r="A1632" s="124"/>
      <c r="O1632" s="235"/>
      <c r="X1632" s="117"/>
      <c r="Y1632" s="117"/>
      <c r="DT1632" s="240"/>
      <c r="DU1632" s="240"/>
      <c r="DV1632" s="240"/>
      <c r="DW1632" s="240"/>
      <c r="DX1632" s="240"/>
      <c r="DY1632" s="240"/>
      <c r="DZ1632" s="240"/>
      <c r="EA1632" s="240"/>
      <c r="EB1632" s="237"/>
      <c r="EC1632" s="241"/>
      <c r="ED1632" s="241"/>
      <c r="EE1632" s="241"/>
      <c r="EG1632" s="241"/>
      <c r="EI1632" s="241"/>
      <c r="EK1632" s="241"/>
    </row>
    <row r="1633" spans="1:141" s="121" customFormat="1" x14ac:dyDescent="0.3">
      <c r="A1633" s="124"/>
      <c r="O1633" s="235"/>
      <c r="X1633" s="117"/>
      <c r="Y1633" s="117"/>
      <c r="DT1633" s="240"/>
      <c r="DU1633" s="240"/>
      <c r="DV1633" s="240"/>
      <c r="DW1633" s="240"/>
      <c r="DX1633" s="240"/>
      <c r="DY1633" s="240"/>
      <c r="DZ1633" s="240"/>
      <c r="EA1633" s="240"/>
      <c r="EB1633" s="237"/>
      <c r="EC1633" s="241"/>
      <c r="ED1633" s="241"/>
      <c r="EE1633" s="241"/>
      <c r="EG1633" s="241"/>
      <c r="EI1633" s="241"/>
      <c r="EK1633" s="241"/>
    </row>
    <row r="1634" spans="1:141" s="121" customFormat="1" x14ac:dyDescent="0.3">
      <c r="A1634" s="124"/>
      <c r="O1634" s="235"/>
      <c r="X1634" s="117"/>
      <c r="Y1634" s="117"/>
      <c r="DT1634" s="240"/>
      <c r="DU1634" s="240"/>
      <c r="DV1634" s="240"/>
      <c r="DW1634" s="240"/>
      <c r="DX1634" s="240"/>
      <c r="DY1634" s="240"/>
      <c r="DZ1634" s="240"/>
      <c r="EA1634" s="240"/>
      <c r="EB1634" s="237"/>
      <c r="EC1634" s="241"/>
      <c r="ED1634" s="241"/>
      <c r="EE1634" s="241"/>
      <c r="EG1634" s="241"/>
      <c r="EI1634" s="241"/>
      <c r="EK1634" s="241"/>
    </row>
    <row r="1635" spans="1:141" s="121" customFormat="1" x14ac:dyDescent="0.3">
      <c r="A1635" s="124"/>
      <c r="O1635" s="235"/>
      <c r="X1635" s="117"/>
      <c r="Y1635" s="117"/>
      <c r="DT1635" s="240"/>
      <c r="DU1635" s="240"/>
      <c r="DV1635" s="240"/>
      <c r="DW1635" s="240"/>
      <c r="DX1635" s="240"/>
      <c r="DY1635" s="240"/>
      <c r="DZ1635" s="240"/>
      <c r="EA1635" s="240"/>
      <c r="EB1635" s="237"/>
      <c r="EC1635" s="241"/>
      <c r="ED1635" s="241"/>
      <c r="EE1635" s="241"/>
      <c r="EG1635" s="241"/>
      <c r="EI1635" s="241"/>
      <c r="EK1635" s="241"/>
    </row>
    <row r="1636" spans="1:141" s="121" customFormat="1" x14ac:dyDescent="0.3">
      <c r="A1636" s="124"/>
      <c r="O1636" s="235"/>
      <c r="X1636" s="117"/>
      <c r="Y1636" s="117"/>
      <c r="DT1636" s="240"/>
      <c r="DU1636" s="240"/>
      <c r="DV1636" s="240"/>
      <c r="DW1636" s="240"/>
      <c r="DX1636" s="240"/>
      <c r="DY1636" s="240"/>
      <c r="DZ1636" s="240"/>
      <c r="EA1636" s="240"/>
      <c r="EB1636" s="237"/>
      <c r="EC1636" s="241"/>
      <c r="ED1636" s="241"/>
      <c r="EE1636" s="241"/>
      <c r="EG1636" s="241"/>
      <c r="EI1636" s="241"/>
      <c r="EK1636" s="241"/>
    </row>
    <row r="1637" spans="1:141" s="121" customFormat="1" x14ac:dyDescent="0.3">
      <c r="A1637" s="124"/>
      <c r="O1637" s="235"/>
      <c r="X1637" s="117"/>
      <c r="Y1637" s="117"/>
      <c r="DT1637" s="240"/>
      <c r="DU1637" s="240"/>
      <c r="DV1637" s="240"/>
      <c r="DW1637" s="240"/>
      <c r="DX1637" s="240"/>
      <c r="DY1637" s="240"/>
      <c r="DZ1637" s="240"/>
      <c r="EA1637" s="240"/>
      <c r="EB1637" s="237"/>
      <c r="EC1637" s="241"/>
      <c r="ED1637" s="241"/>
      <c r="EE1637" s="241"/>
      <c r="EG1637" s="241"/>
      <c r="EI1637" s="241"/>
      <c r="EK1637" s="241"/>
    </row>
    <row r="1638" spans="1:141" s="121" customFormat="1" x14ac:dyDescent="0.3">
      <c r="A1638" s="124"/>
      <c r="O1638" s="235"/>
      <c r="X1638" s="117"/>
      <c r="Y1638" s="117"/>
      <c r="DT1638" s="240"/>
      <c r="DU1638" s="240"/>
      <c r="DV1638" s="240"/>
      <c r="DW1638" s="240"/>
      <c r="DX1638" s="240"/>
      <c r="DY1638" s="240"/>
      <c r="DZ1638" s="240"/>
      <c r="EA1638" s="240"/>
      <c r="EB1638" s="237"/>
      <c r="EC1638" s="241"/>
      <c r="ED1638" s="241"/>
      <c r="EE1638" s="241"/>
      <c r="EG1638" s="241"/>
      <c r="EI1638" s="241"/>
      <c r="EK1638" s="241"/>
    </row>
    <row r="1639" spans="1:141" s="121" customFormat="1" x14ac:dyDescent="0.3">
      <c r="A1639" s="124"/>
      <c r="O1639" s="235"/>
      <c r="X1639" s="117"/>
      <c r="Y1639" s="117"/>
      <c r="DT1639" s="240"/>
      <c r="DU1639" s="240"/>
      <c r="DV1639" s="240"/>
      <c r="DW1639" s="240"/>
      <c r="DX1639" s="240"/>
      <c r="DY1639" s="240"/>
      <c r="DZ1639" s="240"/>
      <c r="EA1639" s="240"/>
      <c r="EB1639" s="237"/>
      <c r="EC1639" s="241"/>
      <c r="ED1639" s="241"/>
      <c r="EE1639" s="241"/>
      <c r="EG1639" s="241"/>
      <c r="EI1639" s="241"/>
      <c r="EK1639" s="241"/>
    </row>
    <row r="1640" spans="1:141" s="121" customFormat="1" x14ac:dyDescent="0.3">
      <c r="A1640" s="124"/>
      <c r="O1640" s="235"/>
      <c r="X1640" s="117"/>
      <c r="Y1640" s="117"/>
      <c r="DT1640" s="240"/>
      <c r="DU1640" s="240"/>
      <c r="DV1640" s="240"/>
      <c r="DW1640" s="240"/>
      <c r="DX1640" s="240"/>
      <c r="DY1640" s="240"/>
      <c r="DZ1640" s="240"/>
      <c r="EA1640" s="240"/>
      <c r="EB1640" s="237"/>
      <c r="EC1640" s="241"/>
      <c r="ED1640" s="241"/>
      <c r="EE1640" s="241"/>
      <c r="EG1640" s="241"/>
      <c r="EI1640" s="241"/>
      <c r="EK1640" s="241"/>
    </row>
    <row r="1641" spans="1:141" s="121" customFormat="1" x14ac:dyDescent="0.3">
      <c r="A1641" s="124"/>
      <c r="O1641" s="235"/>
      <c r="X1641" s="117"/>
      <c r="Y1641" s="117"/>
      <c r="DT1641" s="240"/>
      <c r="DU1641" s="240"/>
      <c r="DV1641" s="240"/>
      <c r="DW1641" s="240"/>
      <c r="DX1641" s="240"/>
      <c r="DY1641" s="240"/>
      <c r="DZ1641" s="240"/>
      <c r="EA1641" s="240"/>
      <c r="EB1641" s="237"/>
      <c r="EC1641" s="241"/>
      <c r="ED1641" s="241"/>
      <c r="EE1641" s="241"/>
      <c r="EG1641" s="241"/>
      <c r="EI1641" s="241"/>
      <c r="EK1641" s="241"/>
    </row>
    <row r="1642" spans="1:141" s="121" customFormat="1" x14ac:dyDescent="0.3">
      <c r="A1642" s="124"/>
      <c r="O1642" s="235"/>
      <c r="X1642" s="117"/>
      <c r="Y1642" s="117"/>
      <c r="DT1642" s="240"/>
      <c r="DU1642" s="240"/>
      <c r="DV1642" s="240"/>
      <c r="DW1642" s="240"/>
      <c r="DX1642" s="240"/>
      <c r="DY1642" s="240"/>
      <c r="DZ1642" s="240"/>
      <c r="EA1642" s="240"/>
      <c r="EB1642" s="237"/>
      <c r="EC1642" s="241"/>
      <c r="ED1642" s="241"/>
      <c r="EE1642" s="241"/>
      <c r="EG1642" s="241"/>
      <c r="EI1642" s="241"/>
      <c r="EK1642" s="241"/>
    </row>
    <row r="1643" spans="1:141" s="121" customFormat="1" x14ac:dyDescent="0.3">
      <c r="A1643" s="124"/>
      <c r="O1643" s="235"/>
      <c r="X1643" s="117"/>
      <c r="Y1643" s="117"/>
      <c r="DT1643" s="240"/>
      <c r="DU1643" s="240"/>
      <c r="DV1643" s="240"/>
      <c r="DW1643" s="240"/>
      <c r="DX1643" s="240"/>
      <c r="DY1643" s="240"/>
      <c r="DZ1643" s="240"/>
      <c r="EA1643" s="240"/>
      <c r="EB1643" s="237"/>
      <c r="EC1643" s="241"/>
      <c r="ED1643" s="241"/>
      <c r="EE1643" s="241"/>
      <c r="EG1643" s="241"/>
      <c r="EI1643" s="241"/>
      <c r="EK1643" s="241"/>
    </row>
    <row r="1644" spans="1:141" s="121" customFormat="1" x14ac:dyDescent="0.3">
      <c r="A1644" s="124"/>
      <c r="O1644" s="235"/>
      <c r="X1644" s="117"/>
      <c r="Y1644" s="117"/>
      <c r="DT1644" s="240"/>
      <c r="DU1644" s="240"/>
      <c r="DV1644" s="240"/>
      <c r="DW1644" s="240"/>
      <c r="DX1644" s="240"/>
      <c r="DY1644" s="240"/>
      <c r="DZ1644" s="240"/>
      <c r="EA1644" s="240"/>
      <c r="EB1644" s="237"/>
      <c r="EC1644" s="241"/>
      <c r="ED1644" s="241"/>
      <c r="EE1644" s="241"/>
      <c r="EG1644" s="241"/>
      <c r="EI1644" s="241"/>
      <c r="EK1644" s="241"/>
    </row>
    <row r="1645" spans="1:141" s="121" customFormat="1" x14ac:dyDescent="0.3">
      <c r="A1645" s="124"/>
      <c r="O1645" s="235"/>
      <c r="X1645" s="117"/>
      <c r="Y1645" s="117"/>
      <c r="DT1645" s="240"/>
      <c r="DU1645" s="240"/>
      <c r="DV1645" s="240"/>
      <c r="DW1645" s="240"/>
      <c r="DX1645" s="240"/>
      <c r="DY1645" s="240"/>
      <c r="DZ1645" s="240"/>
      <c r="EA1645" s="240"/>
      <c r="EB1645" s="237"/>
      <c r="EC1645" s="241"/>
      <c r="ED1645" s="241"/>
      <c r="EE1645" s="241"/>
      <c r="EG1645" s="241"/>
      <c r="EI1645" s="241"/>
      <c r="EK1645" s="241"/>
    </row>
    <row r="1646" spans="1:141" s="121" customFormat="1" x14ac:dyDescent="0.3">
      <c r="A1646" s="124"/>
      <c r="O1646" s="235"/>
      <c r="X1646" s="117"/>
      <c r="Y1646" s="117"/>
      <c r="DT1646" s="240"/>
      <c r="DU1646" s="240"/>
      <c r="DV1646" s="240"/>
      <c r="DW1646" s="240"/>
      <c r="DX1646" s="240"/>
      <c r="DY1646" s="240"/>
      <c r="DZ1646" s="240"/>
      <c r="EA1646" s="240"/>
      <c r="EB1646" s="237"/>
      <c r="EC1646" s="241"/>
      <c r="ED1646" s="241"/>
      <c r="EE1646" s="241"/>
      <c r="EG1646" s="241"/>
      <c r="EI1646" s="241"/>
      <c r="EK1646" s="241"/>
    </row>
    <row r="1647" spans="1:141" s="121" customFormat="1" x14ac:dyDescent="0.3">
      <c r="A1647" s="124"/>
      <c r="O1647" s="235"/>
      <c r="X1647" s="117"/>
      <c r="Y1647" s="117"/>
      <c r="DT1647" s="240"/>
      <c r="DU1647" s="240"/>
      <c r="DV1647" s="240"/>
      <c r="DW1647" s="240"/>
      <c r="DX1647" s="240"/>
      <c r="DY1647" s="240"/>
      <c r="DZ1647" s="240"/>
      <c r="EA1647" s="240"/>
      <c r="EB1647" s="237"/>
      <c r="EC1647" s="241"/>
      <c r="ED1647" s="241"/>
      <c r="EE1647" s="241"/>
      <c r="EG1647" s="241"/>
      <c r="EI1647" s="241"/>
      <c r="EK1647" s="241"/>
    </row>
    <row r="1648" spans="1:141" s="121" customFormat="1" x14ac:dyDescent="0.3">
      <c r="A1648" s="124"/>
      <c r="O1648" s="235"/>
      <c r="X1648" s="117"/>
      <c r="Y1648" s="117"/>
      <c r="DT1648" s="240"/>
      <c r="DU1648" s="240"/>
      <c r="DV1648" s="240"/>
      <c r="DW1648" s="240"/>
      <c r="DX1648" s="240"/>
      <c r="DY1648" s="240"/>
      <c r="DZ1648" s="240"/>
      <c r="EA1648" s="240"/>
      <c r="EB1648" s="237"/>
      <c r="EC1648" s="241"/>
      <c r="ED1648" s="241"/>
      <c r="EE1648" s="241"/>
      <c r="EG1648" s="241"/>
      <c r="EI1648" s="241"/>
      <c r="EK1648" s="241"/>
    </row>
    <row r="1649" spans="1:141" s="121" customFormat="1" x14ac:dyDescent="0.3">
      <c r="A1649" s="124"/>
      <c r="O1649" s="235"/>
      <c r="X1649" s="117"/>
      <c r="Y1649" s="117"/>
      <c r="DT1649" s="240"/>
      <c r="DU1649" s="240"/>
      <c r="DV1649" s="240"/>
      <c r="DW1649" s="240"/>
      <c r="DX1649" s="240"/>
      <c r="DY1649" s="240"/>
      <c r="DZ1649" s="240"/>
      <c r="EA1649" s="240"/>
      <c r="EB1649" s="237"/>
      <c r="EC1649" s="241"/>
      <c r="ED1649" s="241"/>
      <c r="EE1649" s="241"/>
      <c r="EG1649" s="241"/>
      <c r="EI1649" s="241"/>
      <c r="EK1649" s="241"/>
    </row>
    <row r="1650" spans="1:141" s="121" customFormat="1" x14ac:dyDescent="0.3">
      <c r="A1650" s="124"/>
      <c r="O1650" s="235"/>
      <c r="X1650" s="117"/>
      <c r="Y1650" s="117"/>
      <c r="DT1650" s="240"/>
      <c r="DU1650" s="240"/>
      <c r="DV1650" s="240"/>
      <c r="DW1650" s="240"/>
      <c r="DX1650" s="240"/>
      <c r="DY1650" s="240"/>
      <c r="DZ1650" s="240"/>
      <c r="EA1650" s="240"/>
      <c r="EB1650" s="237"/>
      <c r="EC1650" s="241"/>
      <c r="ED1650" s="241"/>
      <c r="EE1650" s="241"/>
      <c r="EG1650" s="241"/>
      <c r="EI1650" s="241"/>
      <c r="EK1650" s="241"/>
    </row>
    <row r="1651" spans="1:141" s="121" customFormat="1" x14ac:dyDescent="0.3">
      <c r="A1651" s="124"/>
      <c r="O1651" s="235"/>
      <c r="X1651" s="117"/>
      <c r="Y1651" s="117"/>
      <c r="DT1651" s="240"/>
      <c r="DU1651" s="240"/>
      <c r="DV1651" s="240"/>
      <c r="DW1651" s="240"/>
      <c r="DX1651" s="240"/>
      <c r="DY1651" s="240"/>
      <c r="DZ1651" s="240"/>
      <c r="EA1651" s="240"/>
      <c r="EB1651" s="237"/>
      <c r="EC1651" s="241"/>
      <c r="ED1651" s="241"/>
      <c r="EE1651" s="241"/>
      <c r="EG1651" s="241"/>
      <c r="EI1651" s="241"/>
      <c r="EK1651" s="241"/>
    </row>
    <row r="1652" spans="1:141" s="121" customFormat="1" x14ac:dyDescent="0.3">
      <c r="A1652" s="124"/>
      <c r="O1652" s="235"/>
      <c r="X1652" s="117"/>
      <c r="Y1652" s="117"/>
      <c r="DT1652" s="240"/>
      <c r="DU1652" s="240"/>
      <c r="DV1652" s="240"/>
      <c r="DW1652" s="240"/>
      <c r="DX1652" s="240"/>
      <c r="DY1652" s="240"/>
      <c r="DZ1652" s="240"/>
      <c r="EA1652" s="240"/>
      <c r="EB1652" s="237"/>
      <c r="EC1652" s="241"/>
      <c r="ED1652" s="241"/>
      <c r="EE1652" s="241"/>
      <c r="EG1652" s="241"/>
      <c r="EI1652" s="241"/>
      <c r="EK1652" s="241"/>
    </row>
    <row r="1653" spans="1:141" s="121" customFormat="1" x14ac:dyDescent="0.3">
      <c r="A1653" s="124"/>
      <c r="O1653" s="235"/>
      <c r="X1653" s="117"/>
      <c r="Y1653" s="117"/>
      <c r="DT1653" s="240"/>
      <c r="DU1653" s="240"/>
      <c r="DV1653" s="240"/>
      <c r="DW1653" s="240"/>
      <c r="DX1653" s="240"/>
      <c r="DY1653" s="240"/>
      <c r="DZ1653" s="240"/>
      <c r="EA1653" s="240"/>
      <c r="EB1653" s="237"/>
      <c r="EC1653" s="241"/>
      <c r="ED1653" s="241"/>
      <c r="EE1653" s="241"/>
      <c r="EG1653" s="241"/>
      <c r="EI1653" s="241"/>
      <c r="EK1653" s="241"/>
    </row>
    <row r="1654" spans="1:141" s="121" customFormat="1" x14ac:dyDescent="0.3">
      <c r="A1654" s="124"/>
      <c r="O1654" s="235"/>
      <c r="X1654" s="117"/>
      <c r="Y1654" s="117"/>
      <c r="DT1654" s="240"/>
      <c r="DU1654" s="240"/>
      <c r="DV1654" s="240"/>
      <c r="DW1654" s="240"/>
      <c r="DX1654" s="240"/>
      <c r="DY1654" s="240"/>
      <c r="DZ1654" s="240"/>
      <c r="EA1654" s="240"/>
      <c r="EB1654" s="237"/>
      <c r="EC1654" s="241"/>
      <c r="ED1654" s="241"/>
      <c r="EE1654" s="241"/>
      <c r="EG1654" s="241"/>
      <c r="EI1654" s="241"/>
      <c r="EK1654" s="241"/>
    </row>
    <row r="1655" spans="1:141" s="121" customFormat="1" x14ac:dyDescent="0.3">
      <c r="A1655" s="124"/>
      <c r="O1655" s="235"/>
      <c r="X1655" s="117"/>
      <c r="Y1655" s="117"/>
      <c r="DT1655" s="240"/>
      <c r="DU1655" s="240"/>
      <c r="DV1655" s="240"/>
      <c r="DW1655" s="240"/>
      <c r="DX1655" s="240"/>
      <c r="DY1655" s="240"/>
      <c r="DZ1655" s="240"/>
      <c r="EA1655" s="240"/>
      <c r="EB1655" s="237"/>
      <c r="EC1655" s="241"/>
      <c r="ED1655" s="241"/>
      <c r="EE1655" s="241"/>
      <c r="EG1655" s="241"/>
      <c r="EI1655" s="241"/>
      <c r="EK1655" s="241"/>
    </row>
    <row r="1656" spans="1:141" s="121" customFormat="1" x14ac:dyDescent="0.3">
      <c r="A1656" s="124"/>
      <c r="O1656" s="235"/>
      <c r="X1656" s="117"/>
      <c r="Y1656" s="117"/>
      <c r="DT1656" s="240"/>
      <c r="DU1656" s="240"/>
      <c r="DV1656" s="240"/>
      <c r="DW1656" s="240"/>
      <c r="DX1656" s="240"/>
      <c r="DY1656" s="240"/>
      <c r="DZ1656" s="240"/>
      <c r="EA1656" s="240"/>
      <c r="EB1656" s="237"/>
      <c r="EC1656" s="241"/>
      <c r="ED1656" s="241"/>
      <c r="EE1656" s="241"/>
      <c r="EG1656" s="241"/>
      <c r="EI1656" s="241"/>
      <c r="EK1656" s="241"/>
    </row>
    <row r="1657" spans="1:141" s="121" customFormat="1" x14ac:dyDescent="0.3">
      <c r="A1657" s="124"/>
      <c r="O1657" s="235"/>
      <c r="X1657" s="117"/>
      <c r="Y1657" s="117"/>
      <c r="DT1657" s="240"/>
      <c r="DU1657" s="240"/>
      <c r="DV1657" s="240"/>
      <c r="DW1657" s="240"/>
      <c r="DX1657" s="240"/>
      <c r="DY1657" s="240"/>
      <c r="DZ1657" s="240"/>
      <c r="EA1657" s="240"/>
      <c r="EB1657" s="237"/>
      <c r="EC1657" s="241"/>
      <c r="ED1657" s="241"/>
      <c r="EE1657" s="241"/>
      <c r="EG1657" s="241"/>
      <c r="EI1657" s="241"/>
      <c r="EK1657" s="241"/>
    </row>
    <row r="1658" spans="1:141" s="121" customFormat="1" x14ac:dyDescent="0.3">
      <c r="A1658" s="124"/>
      <c r="O1658" s="235"/>
      <c r="X1658" s="117"/>
      <c r="Y1658" s="117"/>
      <c r="DT1658" s="240"/>
      <c r="DU1658" s="240"/>
      <c r="DV1658" s="240"/>
      <c r="DW1658" s="240"/>
      <c r="DX1658" s="240"/>
      <c r="DY1658" s="240"/>
      <c r="DZ1658" s="240"/>
      <c r="EA1658" s="240"/>
      <c r="EB1658" s="237"/>
      <c r="EC1658" s="241"/>
      <c r="ED1658" s="241"/>
      <c r="EE1658" s="241"/>
      <c r="EG1658" s="241"/>
      <c r="EI1658" s="241"/>
      <c r="EK1658" s="241"/>
    </row>
    <row r="1659" spans="1:141" s="121" customFormat="1" x14ac:dyDescent="0.3">
      <c r="A1659" s="124"/>
      <c r="O1659" s="235"/>
      <c r="X1659" s="117"/>
      <c r="Y1659" s="117"/>
      <c r="DT1659" s="240"/>
      <c r="DU1659" s="240"/>
      <c r="DV1659" s="240"/>
      <c r="DW1659" s="240"/>
      <c r="DX1659" s="240"/>
      <c r="DY1659" s="240"/>
      <c r="DZ1659" s="240"/>
      <c r="EA1659" s="240"/>
      <c r="EB1659" s="237"/>
      <c r="EC1659" s="241"/>
      <c r="ED1659" s="241"/>
      <c r="EE1659" s="241"/>
      <c r="EG1659" s="241"/>
      <c r="EI1659" s="241"/>
      <c r="EK1659" s="241"/>
    </row>
    <row r="1660" spans="1:141" s="121" customFormat="1" x14ac:dyDescent="0.3">
      <c r="A1660" s="124"/>
      <c r="O1660" s="235"/>
      <c r="X1660" s="117"/>
      <c r="Y1660" s="117"/>
      <c r="DT1660" s="240"/>
      <c r="DU1660" s="240"/>
      <c r="DV1660" s="240"/>
      <c r="DW1660" s="240"/>
      <c r="DX1660" s="240"/>
      <c r="DY1660" s="240"/>
      <c r="DZ1660" s="240"/>
      <c r="EA1660" s="240"/>
      <c r="EB1660" s="237"/>
      <c r="EC1660" s="241"/>
      <c r="ED1660" s="241"/>
      <c r="EE1660" s="241"/>
      <c r="EG1660" s="241"/>
      <c r="EI1660" s="241"/>
      <c r="EK1660" s="241"/>
    </row>
    <row r="1661" spans="1:141" s="121" customFormat="1" x14ac:dyDescent="0.3">
      <c r="A1661" s="124"/>
      <c r="O1661" s="235"/>
      <c r="X1661" s="117"/>
      <c r="Y1661" s="117"/>
      <c r="DT1661" s="240"/>
      <c r="DU1661" s="240"/>
      <c r="DV1661" s="240"/>
      <c r="DW1661" s="240"/>
      <c r="DX1661" s="240"/>
      <c r="DY1661" s="240"/>
      <c r="DZ1661" s="240"/>
      <c r="EA1661" s="240"/>
      <c r="EB1661" s="237"/>
      <c r="EC1661" s="241"/>
      <c r="ED1661" s="241"/>
      <c r="EE1661" s="241"/>
      <c r="EG1661" s="241"/>
      <c r="EI1661" s="241"/>
      <c r="EK1661" s="241"/>
    </row>
    <row r="1662" spans="1:141" s="121" customFormat="1" x14ac:dyDescent="0.3">
      <c r="A1662" s="124"/>
      <c r="O1662" s="235"/>
      <c r="X1662" s="117"/>
      <c r="Y1662" s="117"/>
      <c r="DT1662" s="240"/>
      <c r="DU1662" s="240"/>
      <c r="DV1662" s="240"/>
      <c r="DW1662" s="240"/>
      <c r="DX1662" s="240"/>
      <c r="DY1662" s="240"/>
      <c r="DZ1662" s="240"/>
      <c r="EA1662" s="240"/>
      <c r="EB1662" s="237"/>
      <c r="EC1662" s="241"/>
      <c r="ED1662" s="241"/>
      <c r="EE1662" s="241"/>
      <c r="EG1662" s="241"/>
      <c r="EI1662" s="241"/>
      <c r="EK1662" s="241"/>
    </row>
    <row r="1663" spans="1:141" s="121" customFormat="1" x14ac:dyDescent="0.3">
      <c r="A1663" s="124"/>
      <c r="O1663" s="235"/>
      <c r="X1663" s="117"/>
      <c r="Y1663" s="117"/>
      <c r="DT1663" s="240"/>
      <c r="DU1663" s="240"/>
      <c r="DV1663" s="240"/>
      <c r="DW1663" s="240"/>
      <c r="DX1663" s="240"/>
      <c r="DY1663" s="240"/>
      <c r="DZ1663" s="240"/>
      <c r="EA1663" s="240"/>
      <c r="EB1663" s="237"/>
      <c r="EC1663" s="241"/>
      <c r="ED1663" s="241"/>
      <c r="EE1663" s="241"/>
      <c r="EG1663" s="241"/>
      <c r="EI1663" s="241"/>
      <c r="EK1663" s="241"/>
    </row>
    <row r="1664" spans="1:141" s="121" customFormat="1" x14ac:dyDescent="0.3">
      <c r="A1664" s="124"/>
      <c r="O1664" s="235"/>
      <c r="X1664" s="117"/>
      <c r="Y1664" s="117"/>
      <c r="DT1664" s="240"/>
      <c r="DU1664" s="240"/>
      <c r="DV1664" s="240"/>
      <c r="DW1664" s="240"/>
      <c r="DX1664" s="240"/>
      <c r="DY1664" s="240"/>
      <c r="DZ1664" s="240"/>
      <c r="EA1664" s="240"/>
      <c r="EB1664" s="237"/>
      <c r="EC1664" s="241"/>
      <c r="ED1664" s="241"/>
      <c r="EE1664" s="241"/>
      <c r="EG1664" s="241"/>
      <c r="EI1664" s="241"/>
      <c r="EK1664" s="241"/>
    </row>
    <row r="1665" spans="1:141" s="121" customFormat="1" x14ac:dyDescent="0.3">
      <c r="A1665" s="124"/>
      <c r="O1665" s="235"/>
      <c r="X1665" s="117"/>
      <c r="Y1665" s="117"/>
      <c r="DT1665" s="240"/>
      <c r="DU1665" s="240"/>
      <c r="DV1665" s="240"/>
      <c r="DW1665" s="240"/>
      <c r="DX1665" s="240"/>
      <c r="DY1665" s="240"/>
      <c r="DZ1665" s="240"/>
      <c r="EA1665" s="240"/>
      <c r="EB1665" s="237"/>
      <c r="EC1665" s="241"/>
      <c r="ED1665" s="241"/>
      <c r="EE1665" s="241"/>
      <c r="EG1665" s="241"/>
      <c r="EI1665" s="241"/>
      <c r="EK1665" s="241"/>
    </row>
    <row r="1666" spans="1:141" s="121" customFormat="1" x14ac:dyDescent="0.3">
      <c r="A1666" s="124"/>
      <c r="O1666" s="235"/>
      <c r="X1666" s="117"/>
      <c r="Y1666" s="117"/>
      <c r="DT1666" s="240"/>
      <c r="DU1666" s="240"/>
      <c r="DV1666" s="240"/>
      <c r="DW1666" s="240"/>
      <c r="DX1666" s="240"/>
      <c r="DY1666" s="240"/>
      <c r="DZ1666" s="240"/>
      <c r="EA1666" s="240"/>
      <c r="EB1666" s="237"/>
      <c r="EC1666" s="241"/>
      <c r="ED1666" s="241"/>
      <c r="EE1666" s="241"/>
      <c r="EG1666" s="241"/>
      <c r="EI1666" s="241"/>
      <c r="EK1666" s="241"/>
    </row>
    <row r="1667" spans="1:141" s="121" customFormat="1" x14ac:dyDescent="0.3">
      <c r="A1667" s="124"/>
      <c r="O1667" s="235"/>
      <c r="X1667" s="117"/>
      <c r="Y1667" s="117"/>
      <c r="DT1667" s="240"/>
      <c r="DU1667" s="240"/>
      <c r="DV1667" s="240"/>
      <c r="DW1667" s="240"/>
      <c r="DX1667" s="240"/>
      <c r="DY1667" s="240"/>
      <c r="DZ1667" s="240"/>
      <c r="EA1667" s="240"/>
      <c r="EB1667" s="237"/>
      <c r="EC1667" s="241"/>
      <c r="ED1667" s="241"/>
      <c r="EE1667" s="241"/>
      <c r="EG1667" s="241"/>
      <c r="EI1667" s="241"/>
      <c r="EK1667" s="241"/>
    </row>
    <row r="1668" spans="1:141" s="121" customFormat="1" x14ac:dyDescent="0.3">
      <c r="A1668" s="124"/>
      <c r="O1668" s="235"/>
      <c r="X1668" s="117"/>
      <c r="Y1668" s="117"/>
      <c r="DT1668" s="240"/>
      <c r="DU1668" s="240"/>
      <c r="DV1668" s="240"/>
      <c r="DW1668" s="240"/>
      <c r="DX1668" s="240"/>
      <c r="DY1668" s="240"/>
      <c r="DZ1668" s="240"/>
      <c r="EA1668" s="240"/>
      <c r="EB1668" s="237"/>
      <c r="EC1668" s="241"/>
      <c r="ED1668" s="241"/>
      <c r="EE1668" s="241"/>
      <c r="EG1668" s="241"/>
      <c r="EI1668" s="241"/>
      <c r="EK1668" s="241"/>
    </row>
    <row r="1669" spans="1:141" s="121" customFormat="1" x14ac:dyDescent="0.3">
      <c r="A1669" s="124"/>
      <c r="O1669" s="235"/>
      <c r="X1669" s="117"/>
      <c r="Y1669" s="117"/>
      <c r="DT1669" s="240"/>
      <c r="DU1669" s="240"/>
      <c r="DV1669" s="240"/>
      <c r="DW1669" s="240"/>
      <c r="DX1669" s="240"/>
      <c r="DY1669" s="240"/>
      <c r="DZ1669" s="240"/>
      <c r="EA1669" s="240"/>
      <c r="EB1669" s="237"/>
      <c r="EC1669" s="241"/>
      <c r="ED1669" s="241"/>
      <c r="EE1669" s="241"/>
      <c r="EG1669" s="241"/>
      <c r="EI1669" s="241"/>
      <c r="EK1669" s="241"/>
    </row>
    <row r="1670" spans="1:141" s="121" customFormat="1" x14ac:dyDescent="0.3">
      <c r="A1670" s="124"/>
      <c r="O1670" s="235"/>
      <c r="X1670" s="117"/>
      <c r="Y1670" s="117"/>
      <c r="DT1670" s="240"/>
      <c r="DU1670" s="240"/>
      <c r="DV1670" s="240"/>
      <c r="DW1670" s="240"/>
      <c r="DX1670" s="240"/>
      <c r="DY1670" s="240"/>
      <c r="DZ1670" s="240"/>
      <c r="EA1670" s="240"/>
      <c r="EB1670" s="237"/>
      <c r="EC1670" s="241"/>
      <c r="ED1670" s="241"/>
      <c r="EE1670" s="241"/>
      <c r="EG1670" s="241"/>
      <c r="EI1670" s="241"/>
      <c r="EK1670" s="241"/>
    </row>
    <row r="1671" spans="1:141" s="121" customFormat="1" x14ac:dyDescent="0.3">
      <c r="A1671" s="124"/>
      <c r="O1671" s="235"/>
      <c r="X1671" s="117"/>
      <c r="Y1671" s="117"/>
      <c r="DT1671" s="240"/>
      <c r="DU1671" s="240"/>
      <c r="DV1671" s="240"/>
      <c r="DW1671" s="240"/>
      <c r="DX1671" s="240"/>
      <c r="DY1671" s="240"/>
      <c r="DZ1671" s="240"/>
      <c r="EA1671" s="240"/>
      <c r="EB1671" s="237"/>
      <c r="EC1671" s="241"/>
      <c r="ED1671" s="241"/>
      <c r="EE1671" s="241"/>
      <c r="EG1671" s="241"/>
      <c r="EI1671" s="241"/>
      <c r="EK1671" s="241"/>
    </row>
    <row r="1672" spans="1:141" s="121" customFormat="1" x14ac:dyDescent="0.3">
      <c r="A1672" s="124"/>
      <c r="O1672" s="235"/>
      <c r="X1672" s="117"/>
      <c r="Y1672" s="117"/>
      <c r="DT1672" s="240"/>
      <c r="DU1672" s="240"/>
      <c r="DV1672" s="240"/>
      <c r="DW1672" s="240"/>
      <c r="DX1672" s="240"/>
      <c r="DY1672" s="240"/>
      <c r="DZ1672" s="240"/>
      <c r="EA1672" s="240"/>
      <c r="EB1672" s="237"/>
      <c r="EC1672" s="241"/>
      <c r="ED1672" s="241"/>
      <c r="EE1672" s="241"/>
      <c r="EG1672" s="241"/>
      <c r="EI1672" s="241"/>
      <c r="EK1672" s="241"/>
    </row>
    <row r="1673" spans="1:141" s="121" customFormat="1" x14ac:dyDescent="0.3">
      <c r="A1673" s="124"/>
      <c r="O1673" s="235"/>
      <c r="X1673" s="117"/>
      <c r="Y1673" s="117"/>
      <c r="DT1673" s="240"/>
      <c r="DU1673" s="240"/>
      <c r="DV1673" s="240"/>
      <c r="DW1673" s="240"/>
      <c r="DX1673" s="240"/>
      <c r="DY1673" s="240"/>
      <c r="DZ1673" s="240"/>
      <c r="EA1673" s="240"/>
      <c r="EB1673" s="237"/>
      <c r="EC1673" s="241"/>
      <c r="ED1673" s="241"/>
      <c r="EE1673" s="241"/>
      <c r="EG1673" s="241"/>
      <c r="EI1673" s="241"/>
      <c r="EK1673" s="241"/>
    </row>
    <row r="1674" spans="1:141" s="121" customFormat="1" x14ac:dyDescent="0.3">
      <c r="A1674" s="124"/>
      <c r="O1674" s="235"/>
      <c r="X1674" s="117"/>
      <c r="Y1674" s="117"/>
      <c r="DT1674" s="240"/>
      <c r="DU1674" s="240"/>
      <c r="DV1674" s="240"/>
      <c r="DW1674" s="240"/>
      <c r="DX1674" s="240"/>
      <c r="DY1674" s="240"/>
      <c r="DZ1674" s="240"/>
      <c r="EA1674" s="240"/>
      <c r="EB1674" s="237"/>
      <c r="EC1674" s="241"/>
      <c r="ED1674" s="241"/>
      <c r="EE1674" s="241"/>
      <c r="EG1674" s="241"/>
      <c r="EI1674" s="241"/>
      <c r="EK1674" s="241"/>
    </row>
    <row r="1675" spans="1:141" s="121" customFormat="1" x14ac:dyDescent="0.3">
      <c r="A1675" s="124"/>
      <c r="O1675" s="235"/>
      <c r="X1675" s="117"/>
      <c r="Y1675" s="117"/>
      <c r="DT1675" s="240"/>
      <c r="DU1675" s="240"/>
      <c r="DV1675" s="240"/>
      <c r="DW1675" s="240"/>
      <c r="DX1675" s="240"/>
      <c r="DY1675" s="240"/>
      <c r="DZ1675" s="240"/>
      <c r="EA1675" s="240"/>
      <c r="EB1675" s="237"/>
      <c r="EC1675" s="241"/>
      <c r="ED1675" s="241"/>
      <c r="EE1675" s="241"/>
      <c r="EG1675" s="241"/>
      <c r="EI1675" s="241"/>
      <c r="EK1675" s="241"/>
    </row>
    <row r="1676" spans="1:141" s="121" customFormat="1" x14ac:dyDescent="0.3">
      <c r="A1676" s="124"/>
      <c r="O1676" s="235"/>
      <c r="X1676" s="117"/>
      <c r="Y1676" s="117"/>
      <c r="DT1676" s="240"/>
      <c r="DU1676" s="240"/>
      <c r="DV1676" s="240"/>
      <c r="DW1676" s="240"/>
      <c r="DX1676" s="240"/>
      <c r="DY1676" s="240"/>
      <c r="DZ1676" s="240"/>
      <c r="EA1676" s="240"/>
      <c r="EB1676" s="237"/>
      <c r="EC1676" s="241"/>
      <c r="ED1676" s="241"/>
      <c r="EE1676" s="241"/>
      <c r="EG1676" s="241"/>
      <c r="EI1676" s="241"/>
      <c r="EK1676" s="241"/>
    </row>
    <row r="1677" spans="1:141" s="121" customFormat="1" x14ac:dyDescent="0.3">
      <c r="A1677" s="124"/>
      <c r="O1677" s="235"/>
      <c r="X1677" s="117"/>
      <c r="Y1677" s="117"/>
      <c r="DT1677" s="240"/>
      <c r="DU1677" s="240"/>
      <c r="DV1677" s="240"/>
      <c r="DW1677" s="240"/>
      <c r="DX1677" s="240"/>
      <c r="DY1677" s="240"/>
      <c r="DZ1677" s="240"/>
      <c r="EA1677" s="240"/>
      <c r="EB1677" s="237"/>
      <c r="EC1677" s="241"/>
      <c r="ED1677" s="241"/>
      <c r="EE1677" s="241"/>
      <c r="EG1677" s="241"/>
      <c r="EI1677" s="241"/>
      <c r="EK1677" s="241"/>
    </row>
    <row r="1678" spans="1:141" s="121" customFormat="1" x14ac:dyDescent="0.3">
      <c r="A1678" s="124"/>
      <c r="O1678" s="235"/>
      <c r="X1678" s="117"/>
      <c r="Y1678" s="117"/>
      <c r="DT1678" s="240"/>
      <c r="DU1678" s="240"/>
      <c r="DV1678" s="240"/>
      <c r="DW1678" s="240"/>
      <c r="DX1678" s="240"/>
      <c r="DY1678" s="240"/>
      <c r="DZ1678" s="240"/>
      <c r="EA1678" s="240"/>
      <c r="EB1678" s="237"/>
      <c r="EC1678" s="241"/>
      <c r="ED1678" s="241"/>
      <c r="EE1678" s="241"/>
      <c r="EG1678" s="241"/>
      <c r="EI1678" s="241"/>
      <c r="EK1678" s="241"/>
    </row>
    <row r="1679" spans="1:141" s="121" customFormat="1" x14ac:dyDescent="0.3">
      <c r="A1679" s="124"/>
      <c r="O1679" s="235"/>
      <c r="X1679" s="117"/>
      <c r="Y1679" s="117"/>
      <c r="DT1679" s="240"/>
      <c r="DU1679" s="240"/>
      <c r="DV1679" s="240"/>
      <c r="DW1679" s="240"/>
      <c r="DX1679" s="240"/>
      <c r="DY1679" s="240"/>
      <c r="DZ1679" s="240"/>
      <c r="EA1679" s="240"/>
      <c r="EB1679" s="237"/>
      <c r="EC1679" s="241"/>
      <c r="ED1679" s="241"/>
      <c r="EE1679" s="241"/>
      <c r="EG1679" s="241"/>
      <c r="EI1679" s="241"/>
      <c r="EK1679" s="241"/>
    </row>
    <row r="1680" spans="1:141" s="121" customFormat="1" x14ac:dyDescent="0.3">
      <c r="A1680" s="124"/>
      <c r="O1680" s="235"/>
      <c r="X1680" s="117"/>
      <c r="Y1680" s="117"/>
      <c r="DT1680" s="240"/>
      <c r="DU1680" s="240"/>
      <c r="DV1680" s="240"/>
      <c r="DW1680" s="240"/>
      <c r="DX1680" s="240"/>
      <c r="DY1680" s="240"/>
      <c r="DZ1680" s="240"/>
      <c r="EA1680" s="240"/>
      <c r="EB1680" s="237"/>
      <c r="EC1680" s="241"/>
      <c r="ED1680" s="241"/>
      <c r="EE1680" s="241"/>
      <c r="EG1680" s="241"/>
      <c r="EI1680" s="241"/>
      <c r="EK1680" s="241"/>
    </row>
    <row r="1681" spans="1:141" s="121" customFormat="1" x14ac:dyDescent="0.3">
      <c r="A1681" s="124"/>
      <c r="O1681" s="235"/>
      <c r="X1681" s="117"/>
      <c r="Y1681" s="117"/>
      <c r="DT1681" s="240"/>
      <c r="DU1681" s="240"/>
      <c r="DV1681" s="240"/>
      <c r="DW1681" s="240"/>
      <c r="DX1681" s="240"/>
      <c r="DY1681" s="240"/>
      <c r="DZ1681" s="240"/>
      <c r="EA1681" s="240"/>
      <c r="EB1681" s="237"/>
      <c r="EC1681" s="241"/>
      <c r="ED1681" s="241"/>
      <c r="EE1681" s="241"/>
      <c r="EG1681" s="241"/>
      <c r="EI1681" s="241"/>
      <c r="EK1681" s="241"/>
    </row>
    <row r="1682" spans="1:141" s="121" customFormat="1" x14ac:dyDescent="0.3">
      <c r="A1682" s="124"/>
      <c r="O1682" s="235"/>
      <c r="X1682" s="117"/>
      <c r="Y1682" s="117"/>
      <c r="DT1682" s="240"/>
      <c r="DU1682" s="240"/>
      <c r="DV1682" s="240"/>
      <c r="DW1682" s="240"/>
      <c r="DX1682" s="240"/>
      <c r="DY1682" s="240"/>
      <c r="DZ1682" s="240"/>
      <c r="EA1682" s="240"/>
      <c r="EB1682" s="237"/>
      <c r="EC1682" s="241"/>
      <c r="ED1682" s="241"/>
      <c r="EE1682" s="241"/>
      <c r="EG1682" s="241"/>
      <c r="EI1682" s="241"/>
      <c r="EK1682" s="241"/>
    </row>
    <row r="1683" spans="1:141" s="121" customFormat="1" x14ac:dyDescent="0.3">
      <c r="A1683" s="124"/>
      <c r="O1683" s="235"/>
      <c r="X1683" s="117"/>
      <c r="Y1683" s="117"/>
      <c r="DT1683" s="240"/>
      <c r="DU1683" s="240"/>
      <c r="DV1683" s="240"/>
      <c r="DW1683" s="240"/>
      <c r="DX1683" s="240"/>
      <c r="DY1683" s="240"/>
      <c r="DZ1683" s="240"/>
      <c r="EA1683" s="240"/>
      <c r="EB1683" s="237"/>
      <c r="EC1683" s="241"/>
      <c r="ED1683" s="241"/>
      <c r="EE1683" s="241"/>
      <c r="EG1683" s="241"/>
      <c r="EI1683" s="241"/>
      <c r="EK1683" s="241"/>
    </row>
    <row r="1684" spans="1:141" s="121" customFormat="1" x14ac:dyDescent="0.3">
      <c r="A1684" s="124"/>
      <c r="O1684" s="235"/>
      <c r="X1684" s="117"/>
      <c r="Y1684" s="117"/>
      <c r="DT1684" s="240"/>
      <c r="DU1684" s="240"/>
      <c r="DV1684" s="240"/>
      <c r="DW1684" s="240"/>
      <c r="DX1684" s="240"/>
      <c r="DY1684" s="240"/>
      <c r="DZ1684" s="240"/>
      <c r="EA1684" s="240"/>
      <c r="EB1684" s="237"/>
      <c r="EC1684" s="241"/>
      <c r="ED1684" s="241"/>
      <c r="EE1684" s="241"/>
      <c r="EG1684" s="241"/>
      <c r="EI1684" s="241"/>
      <c r="EK1684" s="241"/>
    </row>
    <row r="1685" spans="1:141" s="121" customFormat="1" x14ac:dyDescent="0.3">
      <c r="A1685" s="124"/>
      <c r="O1685" s="235"/>
      <c r="X1685" s="117"/>
      <c r="Y1685" s="117"/>
      <c r="DT1685" s="240"/>
      <c r="DU1685" s="240"/>
      <c r="DV1685" s="240"/>
      <c r="DW1685" s="240"/>
      <c r="DX1685" s="240"/>
      <c r="DY1685" s="240"/>
      <c r="DZ1685" s="240"/>
      <c r="EA1685" s="240"/>
      <c r="EB1685" s="237"/>
      <c r="EC1685" s="241"/>
      <c r="ED1685" s="241"/>
      <c r="EE1685" s="241"/>
      <c r="EG1685" s="241"/>
      <c r="EI1685" s="241"/>
      <c r="EK1685" s="241"/>
    </row>
    <row r="1686" spans="1:141" s="121" customFormat="1" x14ac:dyDescent="0.3">
      <c r="A1686" s="124"/>
      <c r="O1686" s="235"/>
      <c r="X1686" s="117"/>
      <c r="Y1686" s="117"/>
      <c r="DT1686" s="240"/>
      <c r="DU1686" s="240"/>
      <c r="DV1686" s="240"/>
      <c r="DW1686" s="240"/>
      <c r="DX1686" s="240"/>
      <c r="DY1686" s="240"/>
      <c r="DZ1686" s="240"/>
      <c r="EA1686" s="240"/>
      <c r="EB1686" s="237"/>
      <c r="EC1686" s="241"/>
      <c r="ED1686" s="241"/>
      <c r="EE1686" s="241"/>
      <c r="EG1686" s="241"/>
      <c r="EI1686" s="241"/>
      <c r="EK1686" s="241"/>
    </row>
    <row r="1687" spans="1:141" s="121" customFormat="1" x14ac:dyDescent="0.3">
      <c r="A1687" s="124"/>
      <c r="O1687" s="235"/>
      <c r="X1687" s="117"/>
      <c r="Y1687" s="117"/>
      <c r="DT1687" s="240"/>
      <c r="DU1687" s="240"/>
      <c r="DV1687" s="240"/>
      <c r="DW1687" s="240"/>
      <c r="DX1687" s="240"/>
      <c r="DY1687" s="240"/>
      <c r="DZ1687" s="240"/>
      <c r="EA1687" s="240"/>
      <c r="EB1687" s="237"/>
      <c r="EC1687" s="241"/>
      <c r="ED1687" s="241"/>
      <c r="EE1687" s="241"/>
      <c r="EG1687" s="241"/>
      <c r="EI1687" s="241"/>
      <c r="EK1687" s="241"/>
    </row>
    <row r="1688" spans="1:141" s="121" customFormat="1" x14ac:dyDescent="0.3">
      <c r="A1688" s="124"/>
      <c r="O1688" s="235"/>
      <c r="X1688" s="117"/>
      <c r="Y1688" s="117"/>
      <c r="DT1688" s="240"/>
      <c r="DU1688" s="240"/>
      <c r="DV1688" s="240"/>
      <c r="DW1688" s="240"/>
      <c r="DX1688" s="240"/>
      <c r="DY1688" s="240"/>
      <c r="DZ1688" s="240"/>
      <c r="EA1688" s="240"/>
      <c r="EB1688" s="237"/>
      <c r="EC1688" s="241"/>
      <c r="ED1688" s="241"/>
      <c r="EE1688" s="241"/>
      <c r="EG1688" s="241"/>
      <c r="EI1688" s="241"/>
      <c r="EK1688" s="241"/>
    </row>
    <row r="1689" spans="1:141" s="121" customFormat="1" x14ac:dyDescent="0.3">
      <c r="A1689" s="124"/>
      <c r="O1689" s="235"/>
      <c r="X1689" s="117"/>
      <c r="Y1689" s="117"/>
      <c r="DT1689" s="240"/>
      <c r="DU1689" s="240"/>
      <c r="DV1689" s="240"/>
      <c r="DW1689" s="240"/>
      <c r="DX1689" s="240"/>
      <c r="DY1689" s="240"/>
      <c r="DZ1689" s="240"/>
      <c r="EA1689" s="240"/>
      <c r="EB1689" s="237"/>
      <c r="EC1689" s="241"/>
      <c r="ED1689" s="241"/>
      <c r="EE1689" s="241"/>
      <c r="EG1689" s="241"/>
      <c r="EI1689" s="241"/>
      <c r="EK1689" s="241"/>
    </row>
    <row r="1690" spans="1:141" s="121" customFormat="1" x14ac:dyDescent="0.3">
      <c r="A1690" s="124"/>
      <c r="O1690" s="235"/>
      <c r="X1690" s="117"/>
      <c r="Y1690" s="117"/>
      <c r="DT1690" s="240"/>
      <c r="DU1690" s="240"/>
      <c r="DV1690" s="240"/>
      <c r="DW1690" s="240"/>
      <c r="DX1690" s="240"/>
      <c r="DY1690" s="240"/>
      <c r="DZ1690" s="240"/>
      <c r="EA1690" s="240"/>
      <c r="EB1690" s="237"/>
      <c r="EC1690" s="241"/>
      <c r="ED1690" s="241"/>
      <c r="EE1690" s="241"/>
      <c r="EG1690" s="241"/>
      <c r="EI1690" s="241"/>
      <c r="EK1690" s="241"/>
    </row>
    <row r="1691" spans="1:141" s="121" customFormat="1" x14ac:dyDescent="0.3">
      <c r="A1691" s="124"/>
      <c r="O1691" s="235"/>
      <c r="X1691" s="117"/>
      <c r="Y1691" s="117"/>
      <c r="DT1691" s="240"/>
      <c r="DU1691" s="240"/>
      <c r="DV1691" s="240"/>
      <c r="DW1691" s="240"/>
      <c r="DX1691" s="240"/>
      <c r="DY1691" s="240"/>
      <c r="DZ1691" s="240"/>
      <c r="EA1691" s="240"/>
      <c r="EB1691" s="237"/>
      <c r="EC1691" s="241"/>
      <c r="ED1691" s="241"/>
      <c r="EE1691" s="241"/>
      <c r="EG1691" s="241"/>
      <c r="EI1691" s="241"/>
      <c r="EK1691" s="241"/>
    </row>
    <row r="1692" spans="1:141" s="121" customFormat="1" x14ac:dyDescent="0.3">
      <c r="A1692" s="124"/>
      <c r="O1692" s="235"/>
      <c r="X1692" s="117"/>
      <c r="Y1692" s="117"/>
      <c r="DT1692" s="240"/>
      <c r="DU1692" s="240"/>
      <c r="DV1692" s="240"/>
      <c r="DW1692" s="240"/>
      <c r="DX1692" s="240"/>
      <c r="DY1692" s="240"/>
      <c r="DZ1692" s="240"/>
      <c r="EA1692" s="240"/>
      <c r="EB1692" s="237"/>
      <c r="EC1692" s="241"/>
      <c r="ED1692" s="241"/>
      <c r="EE1692" s="241"/>
      <c r="EG1692" s="241"/>
      <c r="EI1692" s="241"/>
      <c r="EK1692" s="241"/>
    </row>
    <row r="1693" spans="1:141" s="121" customFormat="1" x14ac:dyDescent="0.3">
      <c r="A1693" s="124"/>
      <c r="O1693" s="235"/>
      <c r="X1693" s="117"/>
      <c r="Y1693" s="117"/>
      <c r="DT1693" s="240"/>
      <c r="DU1693" s="240"/>
      <c r="DV1693" s="240"/>
      <c r="DW1693" s="240"/>
      <c r="DX1693" s="240"/>
      <c r="DY1693" s="240"/>
      <c r="DZ1693" s="240"/>
      <c r="EA1693" s="240"/>
      <c r="EB1693" s="237"/>
      <c r="EC1693" s="241"/>
      <c r="ED1693" s="241"/>
      <c r="EE1693" s="241"/>
      <c r="EG1693" s="241"/>
      <c r="EI1693" s="241"/>
      <c r="EK1693" s="241"/>
    </row>
    <row r="1694" spans="1:141" s="121" customFormat="1" x14ac:dyDescent="0.3">
      <c r="A1694" s="124"/>
      <c r="O1694" s="235"/>
      <c r="X1694" s="117"/>
      <c r="Y1694" s="117"/>
      <c r="DT1694" s="240"/>
      <c r="DU1694" s="240"/>
      <c r="DV1694" s="240"/>
      <c r="DW1694" s="240"/>
      <c r="DX1694" s="240"/>
      <c r="DY1694" s="240"/>
      <c r="DZ1694" s="240"/>
      <c r="EA1694" s="240"/>
      <c r="EB1694" s="237"/>
      <c r="EC1694" s="241"/>
      <c r="ED1694" s="241"/>
      <c r="EE1694" s="241"/>
      <c r="EG1694" s="241"/>
      <c r="EI1694" s="241"/>
      <c r="EK1694" s="241"/>
    </row>
    <row r="1695" spans="1:141" s="121" customFormat="1" x14ac:dyDescent="0.3">
      <c r="A1695" s="124"/>
      <c r="O1695" s="235"/>
      <c r="X1695" s="117"/>
      <c r="Y1695" s="117"/>
      <c r="DT1695" s="240"/>
      <c r="DU1695" s="240"/>
      <c r="DV1695" s="240"/>
      <c r="DW1695" s="240"/>
      <c r="DX1695" s="240"/>
      <c r="DY1695" s="240"/>
      <c r="DZ1695" s="240"/>
      <c r="EA1695" s="240"/>
      <c r="EB1695" s="237"/>
      <c r="EC1695" s="241"/>
      <c r="ED1695" s="241"/>
      <c r="EE1695" s="241"/>
      <c r="EG1695" s="241"/>
      <c r="EI1695" s="241"/>
      <c r="EK1695" s="241"/>
    </row>
    <row r="1696" spans="1:141" s="121" customFormat="1" x14ac:dyDescent="0.3">
      <c r="A1696" s="124"/>
      <c r="O1696" s="235"/>
      <c r="X1696" s="117"/>
      <c r="Y1696" s="117"/>
      <c r="DT1696" s="240"/>
      <c r="DU1696" s="240"/>
      <c r="DV1696" s="240"/>
      <c r="DW1696" s="240"/>
      <c r="DX1696" s="240"/>
      <c r="DY1696" s="240"/>
      <c r="DZ1696" s="240"/>
      <c r="EA1696" s="240"/>
      <c r="EB1696" s="237"/>
      <c r="EC1696" s="241"/>
      <c r="ED1696" s="241"/>
      <c r="EE1696" s="241"/>
      <c r="EG1696" s="241"/>
      <c r="EI1696" s="241"/>
      <c r="EK1696" s="241"/>
    </row>
    <row r="1697" spans="1:141" s="121" customFormat="1" x14ac:dyDescent="0.3">
      <c r="A1697" s="124"/>
      <c r="O1697" s="235"/>
      <c r="X1697" s="117"/>
      <c r="Y1697" s="117"/>
      <c r="DT1697" s="240"/>
      <c r="DU1697" s="240"/>
      <c r="DV1697" s="240"/>
      <c r="DW1697" s="240"/>
      <c r="DX1697" s="240"/>
      <c r="DY1697" s="240"/>
      <c r="DZ1697" s="240"/>
      <c r="EA1697" s="240"/>
      <c r="EB1697" s="237"/>
      <c r="EC1697" s="241"/>
      <c r="ED1697" s="241"/>
      <c r="EE1697" s="241"/>
      <c r="EG1697" s="241"/>
      <c r="EI1697" s="241"/>
      <c r="EK1697" s="241"/>
    </row>
    <row r="1698" spans="1:141" s="121" customFormat="1" x14ac:dyDescent="0.3">
      <c r="A1698" s="124"/>
      <c r="O1698" s="235"/>
      <c r="X1698" s="117"/>
      <c r="Y1698" s="117"/>
      <c r="DT1698" s="240"/>
      <c r="DU1698" s="240"/>
      <c r="DV1698" s="240"/>
      <c r="DW1698" s="240"/>
      <c r="DX1698" s="240"/>
      <c r="DY1698" s="240"/>
      <c r="DZ1698" s="240"/>
      <c r="EA1698" s="240"/>
      <c r="EB1698" s="237"/>
      <c r="EC1698" s="241"/>
      <c r="ED1698" s="241"/>
      <c r="EE1698" s="241"/>
      <c r="EG1698" s="241"/>
      <c r="EI1698" s="241"/>
      <c r="EK1698" s="241"/>
    </row>
    <row r="1699" spans="1:141" s="121" customFormat="1" x14ac:dyDescent="0.3">
      <c r="A1699" s="124"/>
      <c r="O1699" s="235"/>
      <c r="X1699" s="117"/>
      <c r="Y1699" s="117"/>
      <c r="DT1699" s="240"/>
      <c r="DU1699" s="240"/>
      <c r="DV1699" s="240"/>
      <c r="DW1699" s="240"/>
      <c r="DX1699" s="240"/>
      <c r="DY1699" s="240"/>
      <c r="DZ1699" s="240"/>
      <c r="EA1699" s="240"/>
      <c r="EB1699" s="237"/>
      <c r="EC1699" s="241"/>
      <c r="ED1699" s="241"/>
      <c r="EE1699" s="241"/>
      <c r="EG1699" s="241"/>
      <c r="EI1699" s="241"/>
      <c r="EK1699" s="241"/>
    </row>
    <row r="1700" spans="1:141" s="121" customFormat="1" x14ac:dyDescent="0.3">
      <c r="A1700" s="124"/>
      <c r="O1700" s="235"/>
      <c r="X1700" s="117"/>
      <c r="Y1700" s="117"/>
      <c r="DT1700" s="240"/>
      <c r="DU1700" s="240"/>
      <c r="DV1700" s="240"/>
      <c r="DW1700" s="240"/>
      <c r="DX1700" s="240"/>
      <c r="DY1700" s="240"/>
      <c r="DZ1700" s="240"/>
      <c r="EA1700" s="240"/>
      <c r="EB1700" s="237"/>
      <c r="EC1700" s="241"/>
      <c r="ED1700" s="241"/>
      <c r="EE1700" s="241"/>
      <c r="EG1700" s="241"/>
      <c r="EI1700" s="241"/>
      <c r="EK1700" s="241"/>
    </row>
    <row r="1701" spans="1:141" s="121" customFormat="1" x14ac:dyDescent="0.3">
      <c r="A1701" s="124"/>
      <c r="O1701" s="235"/>
      <c r="X1701" s="117"/>
      <c r="Y1701" s="117"/>
      <c r="DT1701" s="240"/>
      <c r="DU1701" s="240"/>
      <c r="DV1701" s="240"/>
      <c r="DW1701" s="240"/>
      <c r="DX1701" s="240"/>
      <c r="DY1701" s="240"/>
      <c r="DZ1701" s="240"/>
      <c r="EA1701" s="240"/>
      <c r="EB1701" s="237"/>
      <c r="EC1701" s="241"/>
      <c r="ED1701" s="241"/>
      <c r="EE1701" s="241"/>
      <c r="EG1701" s="241"/>
      <c r="EI1701" s="241"/>
      <c r="EK1701" s="241"/>
    </row>
    <row r="1702" spans="1:141" s="121" customFormat="1" x14ac:dyDescent="0.3">
      <c r="A1702" s="124"/>
      <c r="O1702" s="235"/>
      <c r="X1702" s="117"/>
      <c r="Y1702" s="117"/>
      <c r="DT1702" s="240"/>
      <c r="DU1702" s="240"/>
      <c r="DV1702" s="240"/>
      <c r="DW1702" s="240"/>
      <c r="DX1702" s="240"/>
      <c r="DY1702" s="240"/>
      <c r="DZ1702" s="240"/>
      <c r="EA1702" s="240"/>
      <c r="EB1702" s="237"/>
      <c r="EC1702" s="241"/>
      <c r="ED1702" s="241"/>
      <c r="EE1702" s="241"/>
      <c r="EG1702" s="241"/>
      <c r="EI1702" s="241"/>
      <c r="EK1702" s="241"/>
    </row>
    <row r="1703" spans="1:141" s="121" customFormat="1" x14ac:dyDescent="0.3">
      <c r="A1703" s="124"/>
      <c r="O1703" s="235"/>
      <c r="X1703" s="117"/>
      <c r="Y1703" s="117"/>
      <c r="DT1703" s="240"/>
      <c r="DU1703" s="240"/>
      <c r="DV1703" s="240"/>
      <c r="DW1703" s="240"/>
      <c r="DX1703" s="240"/>
      <c r="DY1703" s="240"/>
      <c r="DZ1703" s="240"/>
      <c r="EA1703" s="240"/>
      <c r="EB1703" s="237"/>
      <c r="EC1703" s="241"/>
      <c r="ED1703" s="241"/>
      <c r="EE1703" s="241"/>
      <c r="EG1703" s="241"/>
      <c r="EI1703" s="241"/>
      <c r="EK1703" s="241"/>
    </row>
    <row r="1704" spans="1:141" s="121" customFormat="1" x14ac:dyDescent="0.3">
      <c r="A1704" s="124"/>
      <c r="O1704" s="235"/>
      <c r="X1704" s="117"/>
      <c r="Y1704" s="117"/>
      <c r="DT1704" s="240"/>
      <c r="DU1704" s="240"/>
      <c r="DV1704" s="240"/>
      <c r="DW1704" s="240"/>
      <c r="DX1704" s="240"/>
      <c r="DY1704" s="240"/>
      <c r="DZ1704" s="240"/>
      <c r="EA1704" s="240"/>
      <c r="EB1704" s="237"/>
      <c r="EC1704" s="241"/>
      <c r="ED1704" s="241"/>
      <c r="EE1704" s="241"/>
      <c r="EG1704" s="241"/>
      <c r="EI1704" s="241"/>
      <c r="EK1704" s="241"/>
    </row>
    <row r="1705" spans="1:141" s="121" customFormat="1" x14ac:dyDescent="0.3">
      <c r="A1705" s="124"/>
      <c r="O1705" s="235"/>
      <c r="X1705" s="117"/>
      <c r="Y1705" s="117"/>
      <c r="DT1705" s="240"/>
      <c r="DU1705" s="240"/>
      <c r="DV1705" s="240"/>
      <c r="DW1705" s="240"/>
      <c r="DX1705" s="240"/>
      <c r="DY1705" s="240"/>
      <c r="DZ1705" s="240"/>
      <c r="EA1705" s="240"/>
      <c r="EB1705" s="237"/>
      <c r="EC1705" s="241"/>
      <c r="ED1705" s="241"/>
      <c r="EE1705" s="241"/>
      <c r="EG1705" s="241"/>
      <c r="EI1705" s="241"/>
      <c r="EK1705" s="241"/>
    </row>
    <row r="1706" spans="1:141" s="121" customFormat="1" x14ac:dyDescent="0.3">
      <c r="A1706" s="124"/>
      <c r="O1706" s="235"/>
      <c r="X1706" s="117"/>
      <c r="Y1706" s="117"/>
      <c r="DT1706" s="240"/>
      <c r="DU1706" s="240"/>
      <c r="DV1706" s="240"/>
      <c r="DW1706" s="240"/>
      <c r="DX1706" s="240"/>
      <c r="DY1706" s="240"/>
      <c r="DZ1706" s="240"/>
      <c r="EA1706" s="240"/>
      <c r="EB1706" s="237"/>
      <c r="EC1706" s="241"/>
      <c r="ED1706" s="241"/>
      <c r="EE1706" s="241"/>
      <c r="EG1706" s="241"/>
      <c r="EI1706" s="241"/>
      <c r="EK1706" s="241"/>
    </row>
    <row r="1707" spans="1:141" s="121" customFormat="1" x14ac:dyDescent="0.3">
      <c r="A1707" s="124"/>
      <c r="O1707" s="235"/>
      <c r="X1707" s="117"/>
      <c r="Y1707" s="117"/>
      <c r="DT1707" s="240"/>
      <c r="DU1707" s="240"/>
      <c r="DV1707" s="240"/>
      <c r="DW1707" s="240"/>
      <c r="DX1707" s="240"/>
      <c r="DY1707" s="240"/>
      <c r="DZ1707" s="240"/>
      <c r="EA1707" s="240"/>
      <c r="EB1707" s="237"/>
      <c r="EC1707" s="241"/>
      <c r="ED1707" s="241"/>
      <c r="EE1707" s="241"/>
      <c r="EG1707" s="241"/>
      <c r="EI1707" s="241"/>
      <c r="EK1707" s="241"/>
    </row>
    <row r="1708" spans="1:141" s="121" customFormat="1" x14ac:dyDescent="0.3">
      <c r="A1708" s="124"/>
      <c r="O1708" s="235"/>
      <c r="X1708" s="117"/>
      <c r="Y1708" s="117"/>
      <c r="DT1708" s="240"/>
      <c r="DU1708" s="240"/>
      <c r="DV1708" s="240"/>
      <c r="DW1708" s="240"/>
      <c r="DX1708" s="240"/>
      <c r="DY1708" s="240"/>
      <c r="DZ1708" s="240"/>
      <c r="EA1708" s="240"/>
      <c r="EB1708" s="237"/>
      <c r="EC1708" s="241"/>
      <c r="ED1708" s="241"/>
      <c r="EE1708" s="241"/>
      <c r="EG1708" s="241"/>
      <c r="EI1708" s="241"/>
      <c r="EK1708" s="241"/>
    </row>
    <row r="1709" spans="1:141" s="121" customFormat="1" x14ac:dyDescent="0.3">
      <c r="A1709" s="124"/>
      <c r="O1709" s="235"/>
      <c r="X1709" s="117"/>
      <c r="Y1709" s="117"/>
      <c r="DT1709" s="240"/>
      <c r="DU1709" s="240"/>
      <c r="DV1709" s="240"/>
      <c r="DW1709" s="240"/>
      <c r="DX1709" s="240"/>
      <c r="DY1709" s="240"/>
      <c r="DZ1709" s="240"/>
      <c r="EA1709" s="240"/>
      <c r="EB1709" s="237"/>
      <c r="EC1709" s="241"/>
      <c r="ED1709" s="241"/>
      <c r="EE1709" s="241"/>
      <c r="EG1709" s="241"/>
      <c r="EI1709" s="241"/>
      <c r="EK1709" s="241"/>
    </row>
    <row r="1710" spans="1:141" s="121" customFormat="1" x14ac:dyDescent="0.3">
      <c r="A1710" s="124"/>
      <c r="O1710" s="235"/>
      <c r="X1710" s="117"/>
      <c r="Y1710" s="117"/>
      <c r="DT1710" s="240"/>
      <c r="DU1710" s="240"/>
      <c r="DV1710" s="240"/>
      <c r="DW1710" s="240"/>
      <c r="DX1710" s="240"/>
      <c r="DY1710" s="240"/>
      <c r="DZ1710" s="240"/>
      <c r="EA1710" s="240"/>
      <c r="EB1710" s="237"/>
      <c r="EC1710" s="241"/>
      <c r="ED1710" s="241"/>
      <c r="EE1710" s="241"/>
      <c r="EG1710" s="241"/>
      <c r="EI1710" s="241"/>
      <c r="EK1710" s="241"/>
    </row>
    <row r="1711" spans="1:141" s="121" customFormat="1" x14ac:dyDescent="0.3">
      <c r="A1711" s="124"/>
      <c r="O1711" s="235"/>
      <c r="X1711" s="117"/>
      <c r="Y1711" s="117"/>
      <c r="DT1711" s="240"/>
      <c r="DU1711" s="240"/>
      <c r="DV1711" s="240"/>
      <c r="DW1711" s="240"/>
      <c r="DX1711" s="240"/>
      <c r="DY1711" s="240"/>
      <c r="DZ1711" s="240"/>
      <c r="EA1711" s="240"/>
      <c r="EB1711" s="237"/>
      <c r="EC1711" s="241"/>
      <c r="ED1711" s="241"/>
      <c r="EE1711" s="241"/>
      <c r="EG1711" s="241"/>
      <c r="EI1711" s="241"/>
      <c r="EK1711" s="241"/>
    </row>
    <row r="1712" spans="1:141" s="121" customFormat="1" x14ac:dyDescent="0.3">
      <c r="A1712" s="124"/>
      <c r="O1712" s="235"/>
      <c r="X1712" s="117"/>
      <c r="Y1712" s="117"/>
      <c r="DT1712" s="240"/>
      <c r="DU1712" s="240"/>
      <c r="DV1712" s="240"/>
      <c r="DW1712" s="240"/>
      <c r="DX1712" s="240"/>
      <c r="DY1712" s="240"/>
      <c r="DZ1712" s="240"/>
      <c r="EA1712" s="240"/>
      <c r="EB1712" s="237"/>
      <c r="EC1712" s="241"/>
      <c r="ED1712" s="241"/>
      <c r="EE1712" s="241"/>
      <c r="EG1712" s="241"/>
      <c r="EI1712" s="241"/>
      <c r="EK1712" s="241"/>
    </row>
    <row r="1713" spans="1:141" s="121" customFormat="1" x14ac:dyDescent="0.3">
      <c r="A1713" s="124"/>
      <c r="O1713" s="235"/>
      <c r="X1713" s="117"/>
      <c r="Y1713" s="117"/>
      <c r="DT1713" s="240"/>
      <c r="DU1713" s="240"/>
      <c r="DV1713" s="240"/>
      <c r="DW1713" s="240"/>
      <c r="DX1713" s="240"/>
      <c r="DY1713" s="240"/>
      <c r="DZ1713" s="240"/>
      <c r="EA1713" s="240"/>
      <c r="EB1713" s="237"/>
      <c r="EC1713" s="241"/>
      <c r="ED1713" s="241"/>
      <c r="EE1713" s="241"/>
      <c r="EG1713" s="241"/>
      <c r="EI1713" s="241"/>
      <c r="EK1713" s="241"/>
    </row>
    <row r="1714" spans="1:141" s="121" customFormat="1" x14ac:dyDescent="0.3">
      <c r="A1714" s="124"/>
      <c r="O1714" s="235"/>
      <c r="X1714" s="117"/>
      <c r="Y1714" s="117"/>
      <c r="DT1714" s="240"/>
      <c r="DU1714" s="240"/>
      <c r="DV1714" s="240"/>
      <c r="DW1714" s="240"/>
      <c r="DX1714" s="240"/>
      <c r="DY1714" s="240"/>
      <c r="DZ1714" s="240"/>
      <c r="EA1714" s="240"/>
      <c r="EB1714" s="237"/>
      <c r="EC1714" s="241"/>
      <c r="ED1714" s="241"/>
      <c r="EE1714" s="241"/>
      <c r="EG1714" s="241"/>
      <c r="EI1714" s="241"/>
      <c r="EK1714" s="241"/>
    </row>
    <row r="1715" spans="1:141" s="121" customFormat="1" x14ac:dyDescent="0.3">
      <c r="A1715" s="124"/>
      <c r="O1715" s="235"/>
      <c r="X1715" s="117"/>
      <c r="Y1715" s="117"/>
      <c r="DT1715" s="240"/>
      <c r="DU1715" s="240"/>
      <c r="DV1715" s="240"/>
      <c r="DW1715" s="240"/>
      <c r="DX1715" s="240"/>
      <c r="DY1715" s="240"/>
      <c r="DZ1715" s="240"/>
      <c r="EA1715" s="240"/>
      <c r="EB1715" s="237"/>
      <c r="EC1715" s="241"/>
      <c r="ED1715" s="241"/>
      <c r="EE1715" s="241"/>
      <c r="EG1715" s="241"/>
      <c r="EI1715" s="241"/>
      <c r="EK1715" s="241"/>
    </row>
    <row r="1716" spans="1:141" s="121" customFormat="1" x14ac:dyDescent="0.3">
      <c r="A1716" s="124"/>
      <c r="O1716" s="235"/>
      <c r="X1716" s="117"/>
      <c r="Y1716" s="117"/>
      <c r="DT1716" s="240"/>
      <c r="DU1716" s="240"/>
      <c r="DV1716" s="240"/>
      <c r="DW1716" s="240"/>
      <c r="DX1716" s="240"/>
      <c r="DY1716" s="240"/>
      <c r="DZ1716" s="240"/>
      <c r="EA1716" s="240"/>
      <c r="EB1716" s="237"/>
      <c r="EC1716" s="241"/>
      <c r="ED1716" s="241"/>
      <c r="EE1716" s="241"/>
      <c r="EG1716" s="241"/>
      <c r="EI1716" s="241"/>
      <c r="EK1716" s="241"/>
    </row>
    <row r="1717" spans="1:141" s="121" customFormat="1" x14ac:dyDescent="0.3">
      <c r="A1717" s="124"/>
      <c r="O1717" s="235"/>
      <c r="X1717" s="117"/>
      <c r="Y1717" s="117"/>
      <c r="DT1717" s="240"/>
      <c r="DU1717" s="240"/>
      <c r="DV1717" s="240"/>
      <c r="DW1717" s="240"/>
      <c r="DX1717" s="240"/>
      <c r="DY1717" s="240"/>
      <c r="DZ1717" s="240"/>
      <c r="EA1717" s="240"/>
      <c r="EB1717" s="237"/>
      <c r="EC1717" s="241"/>
      <c r="ED1717" s="241"/>
      <c r="EE1717" s="241"/>
      <c r="EG1717" s="241"/>
      <c r="EI1717" s="241"/>
      <c r="EK1717" s="241"/>
    </row>
    <row r="1718" spans="1:141" s="121" customFormat="1" x14ac:dyDescent="0.3">
      <c r="A1718" s="124"/>
      <c r="O1718" s="235"/>
      <c r="X1718" s="117"/>
      <c r="Y1718" s="117"/>
      <c r="DT1718" s="240"/>
      <c r="DU1718" s="240"/>
      <c r="DV1718" s="240"/>
      <c r="DW1718" s="240"/>
      <c r="DX1718" s="240"/>
      <c r="DY1718" s="240"/>
      <c r="DZ1718" s="240"/>
      <c r="EA1718" s="240"/>
      <c r="EB1718" s="237"/>
      <c r="EC1718" s="241"/>
      <c r="ED1718" s="241"/>
      <c r="EE1718" s="241"/>
      <c r="EG1718" s="241"/>
      <c r="EI1718" s="241"/>
      <c r="EK1718" s="241"/>
    </row>
    <row r="1719" spans="1:141" s="121" customFormat="1" x14ac:dyDescent="0.3">
      <c r="A1719" s="124"/>
      <c r="O1719" s="235"/>
      <c r="X1719" s="117"/>
      <c r="Y1719" s="117"/>
      <c r="DT1719" s="240"/>
      <c r="DU1719" s="240"/>
      <c r="DV1719" s="240"/>
      <c r="DW1719" s="240"/>
      <c r="DX1719" s="240"/>
      <c r="DY1719" s="240"/>
      <c r="DZ1719" s="240"/>
      <c r="EA1719" s="240"/>
      <c r="EB1719" s="237"/>
      <c r="EC1719" s="241"/>
      <c r="ED1719" s="241"/>
      <c r="EE1719" s="241"/>
      <c r="EG1719" s="241"/>
      <c r="EI1719" s="241"/>
      <c r="EK1719" s="241"/>
    </row>
    <row r="1720" spans="1:141" s="121" customFormat="1" x14ac:dyDescent="0.3">
      <c r="A1720" s="124"/>
      <c r="O1720" s="235"/>
      <c r="X1720" s="117"/>
      <c r="Y1720" s="117"/>
      <c r="DT1720" s="240"/>
      <c r="DU1720" s="240"/>
      <c r="DV1720" s="240"/>
      <c r="DW1720" s="240"/>
      <c r="DX1720" s="240"/>
      <c r="DY1720" s="240"/>
      <c r="DZ1720" s="240"/>
      <c r="EA1720" s="240"/>
      <c r="EB1720" s="237"/>
      <c r="EC1720" s="241"/>
      <c r="ED1720" s="241"/>
      <c r="EE1720" s="241"/>
      <c r="EG1720" s="241"/>
      <c r="EI1720" s="241"/>
      <c r="EK1720" s="241"/>
    </row>
    <row r="1721" spans="1:141" s="121" customFormat="1" x14ac:dyDescent="0.3">
      <c r="A1721" s="124"/>
      <c r="O1721" s="235"/>
      <c r="X1721" s="117"/>
      <c r="Y1721" s="117"/>
      <c r="DT1721" s="240"/>
      <c r="DU1721" s="240"/>
      <c r="DV1721" s="240"/>
      <c r="DW1721" s="240"/>
      <c r="DX1721" s="240"/>
      <c r="DY1721" s="240"/>
      <c r="DZ1721" s="240"/>
      <c r="EA1721" s="240"/>
      <c r="EB1721" s="237"/>
      <c r="EC1721" s="241"/>
      <c r="ED1721" s="241"/>
      <c r="EE1721" s="241"/>
      <c r="EG1721" s="241"/>
      <c r="EI1721" s="241"/>
      <c r="EK1721" s="241"/>
    </row>
    <row r="1722" spans="1:141" s="121" customFormat="1" x14ac:dyDescent="0.3">
      <c r="A1722" s="124"/>
      <c r="O1722" s="235"/>
      <c r="X1722" s="117"/>
      <c r="Y1722" s="117"/>
      <c r="DT1722" s="240"/>
      <c r="DU1722" s="240"/>
      <c r="DV1722" s="240"/>
      <c r="DW1722" s="240"/>
      <c r="DX1722" s="240"/>
      <c r="DY1722" s="240"/>
      <c r="DZ1722" s="240"/>
      <c r="EA1722" s="240"/>
      <c r="EB1722" s="237"/>
      <c r="EC1722" s="241"/>
      <c r="ED1722" s="241"/>
      <c r="EE1722" s="241"/>
      <c r="EG1722" s="241"/>
      <c r="EI1722" s="241"/>
      <c r="EK1722" s="241"/>
    </row>
    <row r="1723" spans="1:141" s="121" customFormat="1" x14ac:dyDescent="0.3">
      <c r="A1723" s="124"/>
      <c r="O1723" s="235"/>
      <c r="X1723" s="117"/>
      <c r="Y1723" s="117"/>
      <c r="DT1723" s="240"/>
      <c r="DU1723" s="240"/>
      <c r="DV1723" s="240"/>
      <c r="DW1723" s="240"/>
      <c r="DX1723" s="240"/>
      <c r="DY1723" s="240"/>
      <c r="DZ1723" s="240"/>
      <c r="EA1723" s="240"/>
      <c r="EB1723" s="237"/>
      <c r="EC1723" s="241"/>
      <c r="ED1723" s="241"/>
      <c r="EE1723" s="241"/>
      <c r="EG1723" s="241"/>
      <c r="EI1723" s="241"/>
      <c r="EK1723" s="241"/>
    </row>
    <row r="1724" spans="1:141" s="121" customFormat="1" x14ac:dyDescent="0.3">
      <c r="A1724" s="124"/>
      <c r="O1724" s="235"/>
      <c r="X1724" s="117"/>
      <c r="Y1724" s="117"/>
      <c r="DT1724" s="240"/>
      <c r="DU1724" s="240"/>
      <c r="DV1724" s="240"/>
      <c r="DW1724" s="240"/>
      <c r="DX1724" s="240"/>
      <c r="DY1724" s="240"/>
      <c r="DZ1724" s="240"/>
      <c r="EA1724" s="240"/>
      <c r="EB1724" s="237"/>
      <c r="EC1724" s="241"/>
      <c r="ED1724" s="241"/>
      <c r="EE1724" s="241"/>
      <c r="EG1724" s="241"/>
      <c r="EI1724" s="241"/>
      <c r="EK1724" s="241"/>
    </row>
    <row r="1725" spans="1:141" s="121" customFormat="1" x14ac:dyDescent="0.3">
      <c r="A1725" s="124"/>
      <c r="O1725" s="235"/>
      <c r="X1725" s="117"/>
      <c r="Y1725" s="117"/>
      <c r="DT1725" s="240"/>
      <c r="DU1725" s="240"/>
      <c r="DV1725" s="240"/>
      <c r="DW1725" s="240"/>
      <c r="DX1725" s="240"/>
      <c r="DY1725" s="240"/>
      <c r="DZ1725" s="240"/>
      <c r="EA1725" s="240"/>
      <c r="EB1725" s="237"/>
      <c r="EC1725" s="241"/>
      <c r="ED1725" s="241"/>
      <c r="EE1725" s="241"/>
      <c r="EG1725" s="241"/>
      <c r="EI1725" s="241"/>
      <c r="EK1725" s="241"/>
    </row>
    <row r="1726" spans="1:141" s="121" customFormat="1" x14ac:dyDescent="0.3">
      <c r="A1726" s="124"/>
      <c r="O1726" s="235"/>
      <c r="X1726" s="117"/>
      <c r="Y1726" s="117"/>
      <c r="DT1726" s="240"/>
      <c r="DU1726" s="240"/>
      <c r="DV1726" s="240"/>
      <c r="DW1726" s="240"/>
      <c r="DX1726" s="240"/>
      <c r="DY1726" s="240"/>
      <c r="DZ1726" s="240"/>
      <c r="EA1726" s="240"/>
      <c r="EB1726" s="237"/>
      <c r="EC1726" s="241"/>
      <c r="ED1726" s="241"/>
      <c r="EE1726" s="241"/>
      <c r="EG1726" s="241"/>
      <c r="EI1726" s="241"/>
      <c r="EK1726" s="241"/>
    </row>
    <row r="1727" spans="1:141" s="121" customFormat="1" x14ac:dyDescent="0.3">
      <c r="A1727" s="124"/>
      <c r="O1727" s="235"/>
      <c r="X1727" s="117"/>
      <c r="Y1727" s="117"/>
      <c r="DT1727" s="240"/>
      <c r="DU1727" s="240"/>
      <c r="DV1727" s="240"/>
      <c r="DW1727" s="240"/>
      <c r="DX1727" s="240"/>
      <c r="DY1727" s="240"/>
      <c r="DZ1727" s="240"/>
      <c r="EA1727" s="240"/>
      <c r="EB1727" s="237"/>
      <c r="EC1727" s="241"/>
      <c r="ED1727" s="241"/>
      <c r="EE1727" s="241"/>
      <c r="EG1727" s="241"/>
      <c r="EI1727" s="241"/>
      <c r="EK1727" s="241"/>
    </row>
    <row r="1728" spans="1:141" s="121" customFormat="1" x14ac:dyDescent="0.3">
      <c r="A1728" s="124"/>
      <c r="O1728" s="235"/>
      <c r="X1728" s="117"/>
      <c r="Y1728" s="117"/>
      <c r="DT1728" s="240"/>
      <c r="DU1728" s="240"/>
      <c r="DV1728" s="240"/>
      <c r="DW1728" s="240"/>
      <c r="DX1728" s="240"/>
      <c r="DY1728" s="240"/>
      <c r="DZ1728" s="240"/>
      <c r="EA1728" s="240"/>
      <c r="EB1728" s="237"/>
      <c r="EC1728" s="241"/>
      <c r="ED1728" s="241"/>
      <c r="EE1728" s="241"/>
      <c r="EG1728" s="241"/>
      <c r="EI1728" s="241"/>
      <c r="EK1728" s="241"/>
    </row>
    <row r="1729" spans="1:141" s="121" customFormat="1" x14ac:dyDescent="0.3">
      <c r="A1729" s="124"/>
      <c r="O1729" s="235"/>
      <c r="X1729" s="117"/>
      <c r="Y1729" s="117"/>
      <c r="DT1729" s="240"/>
      <c r="DU1729" s="240"/>
      <c r="DV1729" s="240"/>
      <c r="DW1729" s="240"/>
      <c r="DX1729" s="240"/>
      <c r="DY1729" s="240"/>
      <c r="DZ1729" s="240"/>
      <c r="EA1729" s="240"/>
      <c r="EB1729" s="237"/>
      <c r="EC1729" s="241"/>
      <c r="ED1729" s="241"/>
      <c r="EE1729" s="241"/>
      <c r="EG1729" s="241"/>
      <c r="EI1729" s="241"/>
      <c r="EK1729" s="241"/>
    </row>
    <row r="1730" spans="1:141" s="121" customFormat="1" x14ac:dyDescent="0.3">
      <c r="A1730" s="124"/>
      <c r="O1730" s="235"/>
      <c r="X1730" s="117"/>
      <c r="Y1730" s="117"/>
      <c r="DT1730" s="240"/>
      <c r="DU1730" s="240"/>
      <c r="DV1730" s="240"/>
      <c r="DW1730" s="240"/>
      <c r="DX1730" s="240"/>
      <c r="DY1730" s="240"/>
      <c r="DZ1730" s="240"/>
      <c r="EA1730" s="240"/>
      <c r="EB1730" s="237"/>
      <c r="EC1730" s="241"/>
      <c r="ED1730" s="241"/>
      <c r="EE1730" s="241"/>
      <c r="EG1730" s="241"/>
      <c r="EI1730" s="241"/>
      <c r="EK1730" s="241"/>
    </row>
    <row r="1731" spans="1:141" s="121" customFormat="1" x14ac:dyDescent="0.3">
      <c r="A1731" s="124"/>
      <c r="O1731" s="235"/>
      <c r="X1731" s="117"/>
      <c r="Y1731" s="117"/>
      <c r="DT1731" s="240"/>
      <c r="DU1731" s="240"/>
      <c r="DV1731" s="240"/>
      <c r="DW1731" s="240"/>
      <c r="DX1731" s="240"/>
      <c r="DY1731" s="240"/>
      <c r="DZ1731" s="240"/>
      <c r="EA1731" s="240"/>
      <c r="EB1731" s="237"/>
      <c r="EC1731" s="241"/>
      <c r="ED1731" s="241"/>
      <c r="EE1731" s="241"/>
      <c r="EG1731" s="241"/>
      <c r="EI1731" s="241"/>
      <c r="EK1731" s="241"/>
    </row>
    <row r="1732" spans="1:141" s="121" customFormat="1" x14ac:dyDescent="0.3">
      <c r="A1732" s="124"/>
      <c r="O1732" s="235"/>
      <c r="X1732" s="117"/>
      <c r="Y1732" s="117"/>
      <c r="DT1732" s="240"/>
      <c r="DU1732" s="240"/>
      <c r="DV1732" s="240"/>
      <c r="DW1732" s="240"/>
      <c r="DX1732" s="240"/>
      <c r="DY1732" s="240"/>
      <c r="DZ1732" s="240"/>
      <c r="EA1732" s="240"/>
      <c r="EB1732" s="237"/>
      <c r="EC1732" s="241"/>
      <c r="ED1732" s="241"/>
      <c r="EE1732" s="241"/>
      <c r="EG1732" s="241"/>
      <c r="EI1732" s="241"/>
      <c r="EK1732" s="241"/>
    </row>
    <row r="1733" spans="1:141" s="121" customFormat="1" x14ac:dyDescent="0.3">
      <c r="A1733" s="124"/>
      <c r="O1733" s="235"/>
      <c r="X1733" s="117"/>
      <c r="Y1733" s="117"/>
      <c r="DT1733" s="240"/>
      <c r="DU1733" s="240"/>
      <c r="DV1733" s="240"/>
      <c r="DW1733" s="240"/>
      <c r="DX1733" s="240"/>
      <c r="DY1733" s="240"/>
      <c r="DZ1733" s="240"/>
      <c r="EA1733" s="240"/>
      <c r="EB1733" s="237"/>
      <c r="EC1733" s="241"/>
      <c r="ED1733" s="241"/>
      <c r="EE1733" s="241"/>
      <c r="EG1733" s="241"/>
      <c r="EI1733" s="241"/>
      <c r="EK1733" s="241"/>
    </row>
    <row r="1734" spans="1:141" s="121" customFormat="1" x14ac:dyDescent="0.3">
      <c r="A1734" s="124"/>
      <c r="O1734" s="235"/>
      <c r="X1734" s="117"/>
      <c r="Y1734" s="117"/>
      <c r="DT1734" s="240"/>
      <c r="DU1734" s="240"/>
      <c r="DV1734" s="240"/>
      <c r="DW1734" s="240"/>
      <c r="DX1734" s="240"/>
      <c r="DY1734" s="240"/>
      <c r="DZ1734" s="240"/>
      <c r="EA1734" s="240"/>
      <c r="EB1734" s="237"/>
      <c r="EC1734" s="241"/>
      <c r="ED1734" s="241"/>
      <c r="EE1734" s="241"/>
      <c r="EG1734" s="241"/>
      <c r="EI1734" s="241"/>
      <c r="EK1734" s="241"/>
    </row>
    <row r="1735" spans="1:141" s="121" customFormat="1" x14ac:dyDescent="0.3">
      <c r="A1735" s="124"/>
      <c r="O1735" s="235"/>
      <c r="X1735" s="117"/>
      <c r="Y1735" s="117"/>
      <c r="DT1735" s="240"/>
      <c r="DU1735" s="240"/>
      <c r="DV1735" s="240"/>
      <c r="DW1735" s="240"/>
      <c r="DX1735" s="240"/>
      <c r="DY1735" s="240"/>
      <c r="DZ1735" s="240"/>
      <c r="EA1735" s="240"/>
      <c r="EB1735" s="237"/>
      <c r="EC1735" s="241"/>
      <c r="ED1735" s="241"/>
      <c r="EE1735" s="241"/>
      <c r="EG1735" s="241"/>
      <c r="EI1735" s="241"/>
      <c r="EK1735" s="241"/>
    </row>
    <row r="1736" spans="1:141" s="121" customFormat="1" x14ac:dyDescent="0.3">
      <c r="A1736" s="124"/>
      <c r="O1736" s="235"/>
      <c r="X1736" s="117"/>
      <c r="Y1736" s="117"/>
      <c r="DT1736" s="240"/>
      <c r="DU1736" s="240"/>
      <c r="DV1736" s="240"/>
      <c r="DW1736" s="240"/>
      <c r="DX1736" s="240"/>
      <c r="DY1736" s="240"/>
      <c r="DZ1736" s="240"/>
      <c r="EA1736" s="240"/>
      <c r="EB1736" s="237"/>
      <c r="EC1736" s="241"/>
      <c r="ED1736" s="241"/>
      <c r="EE1736" s="241"/>
      <c r="EG1736" s="241"/>
      <c r="EI1736" s="241"/>
      <c r="EK1736" s="241"/>
    </row>
    <row r="1737" spans="1:141" s="121" customFormat="1" x14ac:dyDescent="0.3">
      <c r="A1737" s="124"/>
      <c r="O1737" s="235"/>
      <c r="X1737" s="117"/>
      <c r="Y1737" s="117"/>
      <c r="DT1737" s="240"/>
      <c r="DU1737" s="240"/>
      <c r="DV1737" s="240"/>
      <c r="DW1737" s="240"/>
      <c r="DX1737" s="240"/>
      <c r="DY1737" s="240"/>
      <c r="DZ1737" s="240"/>
      <c r="EA1737" s="240"/>
      <c r="EB1737" s="237"/>
      <c r="EC1737" s="241"/>
      <c r="ED1737" s="241"/>
      <c r="EE1737" s="241"/>
      <c r="EG1737" s="241"/>
      <c r="EI1737" s="241"/>
      <c r="EK1737" s="241"/>
    </row>
    <row r="1738" spans="1:141" s="121" customFormat="1" x14ac:dyDescent="0.3">
      <c r="A1738" s="124"/>
      <c r="O1738" s="235"/>
      <c r="X1738" s="117"/>
      <c r="Y1738" s="117"/>
      <c r="DT1738" s="240"/>
      <c r="DU1738" s="240"/>
      <c r="DV1738" s="240"/>
      <c r="DW1738" s="240"/>
      <c r="DX1738" s="240"/>
      <c r="DY1738" s="240"/>
      <c r="DZ1738" s="240"/>
      <c r="EA1738" s="240"/>
      <c r="EB1738" s="237"/>
      <c r="EC1738" s="241"/>
      <c r="ED1738" s="241"/>
      <c r="EE1738" s="241"/>
      <c r="EG1738" s="241"/>
      <c r="EI1738" s="241"/>
      <c r="EK1738" s="241"/>
    </row>
    <row r="1739" spans="1:141" s="121" customFormat="1" x14ac:dyDescent="0.3">
      <c r="A1739" s="124"/>
      <c r="O1739" s="235"/>
      <c r="X1739" s="117"/>
      <c r="Y1739" s="117"/>
      <c r="DT1739" s="240"/>
      <c r="DU1739" s="240"/>
      <c r="DV1739" s="240"/>
      <c r="DW1739" s="240"/>
      <c r="DX1739" s="240"/>
      <c r="DY1739" s="240"/>
      <c r="DZ1739" s="240"/>
      <c r="EA1739" s="240"/>
      <c r="EB1739" s="237"/>
      <c r="EC1739" s="241"/>
      <c r="ED1739" s="241"/>
      <c r="EE1739" s="241"/>
      <c r="EG1739" s="241"/>
      <c r="EI1739" s="241"/>
      <c r="EK1739" s="241"/>
    </row>
    <row r="1740" spans="1:141" s="121" customFormat="1" x14ac:dyDescent="0.3">
      <c r="A1740" s="124"/>
      <c r="O1740" s="235"/>
      <c r="X1740" s="117"/>
      <c r="Y1740" s="117"/>
      <c r="DT1740" s="240"/>
      <c r="DU1740" s="240"/>
      <c r="DV1740" s="240"/>
      <c r="DW1740" s="240"/>
      <c r="DX1740" s="240"/>
      <c r="DY1740" s="240"/>
      <c r="DZ1740" s="240"/>
      <c r="EA1740" s="240"/>
      <c r="EB1740" s="237"/>
      <c r="EC1740" s="241"/>
      <c r="ED1740" s="241"/>
      <c r="EE1740" s="241"/>
      <c r="EG1740" s="241"/>
      <c r="EI1740" s="241"/>
      <c r="EK1740" s="241"/>
    </row>
    <row r="1741" spans="1:141" s="121" customFormat="1" x14ac:dyDescent="0.3">
      <c r="A1741" s="124"/>
      <c r="O1741" s="235"/>
      <c r="X1741" s="117"/>
      <c r="Y1741" s="117"/>
      <c r="DT1741" s="240"/>
      <c r="DU1741" s="240"/>
      <c r="DV1741" s="240"/>
      <c r="DW1741" s="240"/>
      <c r="DX1741" s="240"/>
      <c r="DY1741" s="240"/>
      <c r="DZ1741" s="240"/>
      <c r="EA1741" s="240"/>
      <c r="EB1741" s="237"/>
      <c r="EC1741" s="241"/>
      <c r="ED1741" s="241"/>
      <c r="EE1741" s="241"/>
      <c r="EG1741" s="241"/>
      <c r="EI1741" s="241"/>
      <c r="EK1741" s="241"/>
    </row>
    <row r="1742" spans="1:141" s="121" customFormat="1" x14ac:dyDescent="0.3">
      <c r="A1742" s="124"/>
      <c r="O1742" s="235"/>
      <c r="X1742" s="117"/>
      <c r="Y1742" s="117"/>
      <c r="DT1742" s="240"/>
      <c r="DU1742" s="240"/>
      <c r="DV1742" s="240"/>
      <c r="DW1742" s="240"/>
      <c r="DX1742" s="240"/>
      <c r="DY1742" s="240"/>
      <c r="DZ1742" s="240"/>
      <c r="EA1742" s="240"/>
      <c r="EB1742" s="237"/>
      <c r="EC1742" s="241"/>
      <c r="ED1742" s="241"/>
      <c r="EE1742" s="241"/>
      <c r="EG1742" s="241"/>
      <c r="EI1742" s="241"/>
      <c r="EK1742" s="241"/>
    </row>
    <row r="1743" spans="1:141" s="121" customFormat="1" x14ac:dyDescent="0.3">
      <c r="A1743" s="124"/>
      <c r="O1743" s="235"/>
      <c r="X1743" s="117"/>
      <c r="Y1743" s="117"/>
      <c r="DT1743" s="240"/>
      <c r="DU1743" s="240"/>
      <c r="DV1743" s="240"/>
      <c r="DW1743" s="240"/>
      <c r="DX1743" s="240"/>
      <c r="DY1743" s="240"/>
      <c r="DZ1743" s="240"/>
      <c r="EA1743" s="240"/>
      <c r="EB1743" s="237"/>
      <c r="EC1743" s="241"/>
      <c r="ED1743" s="241"/>
      <c r="EE1743" s="241"/>
      <c r="EG1743" s="241"/>
      <c r="EI1743" s="241"/>
      <c r="EK1743" s="241"/>
    </row>
    <row r="1744" spans="1:141" s="121" customFormat="1" x14ac:dyDescent="0.3">
      <c r="A1744" s="124"/>
      <c r="O1744" s="235"/>
      <c r="X1744" s="117"/>
      <c r="Y1744" s="117"/>
      <c r="DT1744" s="240"/>
      <c r="DU1744" s="240"/>
      <c r="DV1744" s="240"/>
      <c r="DW1744" s="240"/>
      <c r="DX1744" s="240"/>
      <c r="DY1744" s="240"/>
      <c r="DZ1744" s="240"/>
      <c r="EA1744" s="240"/>
      <c r="EB1744" s="237"/>
      <c r="EC1744" s="241"/>
      <c r="ED1744" s="241"/>
      <c r="EE1744" s="241"/>
      <c r="EG1744" s="241"/>
      <c r="EI1744" s="241"/>
      <c r="EK1744" s="241"/>
    </row>
    <row r="1745" spans="1:141" s="121" customFormat="1" x14ac:dyDescent="0.3">
      <c r="A1745" s="124"/>
      <c r="O1745" s="235"/>
      <c r="X1745" s="117"/>
      <c r="Y1745" s="117"/>
      <c r="DT1745" s="240"/>
      <c r="DU1745" s="240"/>
      <c r="DV1745" s="240"/>
      <c r="DW1745" s="240"/>
      <c r="DX1745" s="240"/>
      <c r="DY1745" s="240"/>
      <c r="DZ1745" s="240"/>
      <c r="EA1745" s="240"/>
      <c r="EB1745" s="237"/>
      <c r="EC1745" s="241"/>
      <c r="ED1745" s="241"/>
      <c r="EE1745" s="241"/>
      <c r="EG1745" s="241"/>
      <c r="EI1745" s="241"/>
      <c r="EK1745" s="241"/>
    </row>
    <row r="1746" spans="1:141" s="121" customFormat="1" x14ac:dyDescent="0.3">
      <c r="A1746" s="124"/>
      <c r="O1746" s="235"/>
      <c r="X1746" s="117"/>
      <c r="Y1746" s="117"/>
      <c r="DT1746" s="240"/>
      <c r="DU1746" s="240"/>
      <c r="DV1746" s="240"/>
      <c r="DW1746" s="240"/>
      <c r="DX1746" s="240"/>
      <c r="DY1746" s="240"/>
      <c r="DZ1746" s="240"/>
      <c r="EA1746" s="240"/>
      <c r="EB1746" s="237"/>
      <c r="EC1746" s="241"/>
      <c r="ED1746" s="241"/>
      <c r="EE1746" s="241"/>
      <c r="EG1746" s="241"/>
      <c r="EI1746" s="241"/>
      <c r="EK1746" s="241"/>
    </row>
    <row r="1747" spans="1:141" s="121" customFormat="1" x14ac:dyDescent="0.3">
      <c r="A1747" s="124"/>
      <c r="O1747" s="235"/>
      <c r="X1747" s="117"/>
      <c r="Y1747" s="117"/>
      <c r="DT1747" s="240"/>
      <c r="DU1747" s="240"/>
      <c r="DV1747" s="240"/>
      <c r="DW1747" s="240"/>
      <c r="DX1747" s="240"/>
      <c r="DY1747" s="240"/>
      <c r="DZ1747" s="240"/>
      <c r="EA1747" s="240"/>
      <c r="EB1747" s="237"/>
      <c r="EC1747" s="241"/>
      <c r="ED1747" s="241"/>
      <c r="EE1747" s="241"/>
      <c r="EG1747" s="241"/>
      <c r="EI1747" s="241"/>
      <c r="EK1747" s="241"/>
    </row>
    <row r="1748" spans="1:141" s="121" customFormat="1" x14ac:dyDescent="0.3">
      <c r="A1748" s="124"/>
      <c r="O1748" s="235"/>
      <c r="X1748" s="117"/>
      <c r="Y1748" s="117"/>
      <c r="DT1748" s="240"/>
      <c r="DU1748" s="240"/>
      <c r="DV1748" s="240"/>
      <c r="DW1748" s="240"/>
      <c r="DX1748" s="240"/>
      <c r="DY1748" s="240"/>
      <c r="DZ1748" s="240"/>
      <c r="EA1748" s="240"/>
      <c r="EB1748" s="237"/>
      <c r="EC1748" s="241"/>
      <c r="ED1748" s="241"/>
      <c r="EE1748" s="241"/>
      <c r="EG1748" s="241"/>
      <c r="EI1748" s="241"/>
      <c r="EK1748" s="241"/>
    </row>
    <row r="1749" spans="1:141" s="121" customFormat="1" x14ac:dyDescent="0.3">
      <c r="A1749" s="124"/>
      <c r="O1749" s="235"/>
      <c r="X1749" s="117"/>
      <c r="Y1749" s="117"/>
      <c r="DT1749" s="240"/>
      <c r="DU1749" s="240"/>
      <c r="DV1749" s="240"/>
      <c r="DW1749" s="240"/>
      <c r="DX1749" s="240"/>
      <c r="DY1749" s="240"/>
      <c r="DZ1749" s="240"/>
      <c r="EA1749" s="240"/>
      <c r="EB1749" s="237"/>
      <c r="EC1749" s="241"/>
      <c r="ED1749" s="241"/>
      <c r="EE1749" s="241"/>
      <c r="EG1749" s="241"/>
      <c r="EI1749" s="241"/>
      <c r="EK1749" s="241"/>
    </row>
    <row r="1750" spans="1:141" s="121" customFormat="1" x14ac:dyDescent="0.3">
      <c r="A1750" s="124"/>
      <c r="O1750" s="235"/>
      <c r="X1750" s="117"/>
      <c r="Y1750" s="117"/>
      <c r="DT1750" s="240"/>
      <c r="DU1750" s="240"/>
      <c r="DV1750" s="240"/>
      <c r="DW1750" s="240"/>
      <c r="DX1750" s="240"/>
      <c r="DY1750" s="240"/>
      <c r="DZ1750" s="240"/>
      <c r="EA1750" s="240"/>
      <c r="EB1750" s="237"/>
      <c r="EC1750" s="241"/>
      <c r="ED1750" s="241"/>
      <c r="EE1750" s="241"/>
      <c r="EG1750" s="241"/>
      <c r="EI1750" s="241"/>
      <c r="EK1750" s="241"/>
    </row>
    <row r="1751" spans="1:141" s="121" customFormat="1" x14ac:dyDescent="0.3">
      <c r="A1751" s="124"/>
      <c r="O1751" s="235"/>
      <c r="X1751" s="117"/>
      <c r="Y1751" s="117"/>
      <c r="DT1751" s="240"/>
      <c r="DU1751" s="240"/>
      <c r="DV1751" s="240"/>
      <c r="DW1751" s="240"/>
      <c r="DX1751" s="240"/>
      <c r="DY1751" s="240"/>
      <c r="DZ1751" s="240"/>
      <c r="EA1751" s="240"/>
      <c r="EB1751" s="237"/>
      <c r="EC1751" s="241"/>
      <c r="ED1751" s="241"/>
      <c r="EE1751" s="241"/>
      <c r="EG1751" s="241"/>
      <c r="EI1751" s="241"/>
      <c r="EK1751" s="241"/>
    </row>
    <row r="1752" spans="1:141" s="121" customFormat="1" x14ac:dyDescent="0.3">
      <c r="A1752" s="124"/>
      <c r="O1752" s="235"/>
      <c r="X1752" s="117"/>
      <c r="Y1752" s="117"/>
      <c r="DT1752" s="240"/>
      <c r="DU1752" s="240"/>
      <c r="DV1752" s="240"/>
      <c r="DW1752" s="240"/>
      <c r="DX1752" s="240"/>
      <c r="DY1752" s="240"/>
      <c r="DZ1752" s="240"/>
      <c r="EA1752" s="240"/>
      <c r="EB1752" s="237"/>
      <c r="EC1752" s="241"/>
      <c r="ED1752" s="241"/>
      <c r="EE1752" s="241"/>
      <c r="EG1752" s="241"/>
      <c r="EI1752" s="241"/>
      <c r="EK1752" s="241"/>
    </row>
    <row r="1753" spans="1:141" s="121" customFormat="1" x14ac:dyDescent="0.3">
      <c r="A1753" s="124"/>
      <c r="O1753" s="235"/>
      <c r="X1753" s="117"/>
      <c r="Y1753" s="117"/>
      <c r="DT1753" s="240"/>
      <c r="DU1753" s="240"/>
      <c r="DV1753" s="240"/>
      <c r="DW1753" s="240"/>
      <c r="DX1753" s="240"/>
      <c r="DY1753" s="240"/>
      <c r="DZ1753" s="240"/>
      <c r="EA1753" s="240"/>
      <c r="EB1753" s="237"/>
      <c r="EC1753" s="241"/>
      <c r="ED1753" s="241"/>
      <c r="EE1753" s="241"/>
      <c r="EG1753" s="241"/>
      <c r="EI1753" s="241"/>
      <c r="EK1753" s="241"/>
    </row>
    <row r="1754" spans="1:141" s="121" customFormat="1" x14ac:dyDescent="0.3">
      <c r="A1754" s="124"/>
      <c r="O1754" s="235"/>
      <c r="X1754" s="117"/>
      <c r="Y1754" s="117"/>
      <c r="DT1754" s="240"/>
      <c r="DU1754" s="240"/>
      <c r="DV1754" s="240"/>
      <c r="DW1754" s="240"/>
      <c r="DX1754" s="240"/>
      <c r="DY1754" s="240"/>
      <c r="DZ1754" s="240"/>
      <c r="EA1754" s="240"/>
      <c r="EB1754" s="237"/>
      <c r="EC1754" s="241"/>
      <c r="ED1754" s="241"/>
      <c r="EE1754" s="241"/>
      <c r="EG1754" s="241"/>
      <c r="EI1754" s="241"/>
      <c r="EK1754" s="241"/>
    </row>
    <row r="1755" spans="1:141" s="121" customFormat="1" x14ac:dyDescent="0.3">
      <c r="A1755" s="124"/>
      <c r="O1755" s="235"/>
      <c r="X1755" s="117"/>
      <c r="Y1755" s="117"/>
      <c r="DT1755" s="240"/>
      <c r="DU1755" s="240"/>
      <c r="DV1755" s="240"/>
      <c r="DW1755" s="240"/>
      <c r="DX1755" s="240"/>
      <c r="DY1755" s="240"/>
      <c r="DZ1755" s="240"/>
      <c r="EA1755" s="240"/>
      <c r="EB1755" s="237"/>
      <c r="EC1755" s="241"/>
      <c r="ED1755" s="241"/>
      <c r="EE1755" s="241"/>
      <c r="EG1755" s="241"/>
      <c r="EI1755" s="241"/>
      <c r="EK1755" s="241"/>
    </row>
    <row r="1756" spans="1:141" s="121" customFormat="1" x14ac:dyDescent="0.3">
      <c r="A1756" s="124"/>
      <c r="O1756" s="235"/>
      <c r="X1756" s="117"/>
      <c r="Y1756" s="117"/>
      <c r="DT1756" s="240"/>
      <c r="DU1756" s="240"/>
      <c r="DV1756" s="240"/>
      <c r="DW1756" s="240"/>
      <c r="DX1756" s="240"/>
      <c r="DY1756" s="240"/>
      <c r="DZ1756" s="240"/>
      <c r="EA1756" s="240"/>
      <c r="EB1756" s="237"/>
      <c r="EC1756" s="241"/>
      <c r="ED1756" s="241"/>
      <c r="EE1756" s="241"/>
      <c r="EG1756" s="241"/>
      <c r="EI1756" s="241"/>
      <c r="EK1756" s="241"/>
    </row>
    <row r="1757" spans="1:141" s="121" customFormat="1" x14ac:dyDescent="0.3">
      <c r="A1757" s="124"/>
      <c r="O1757" s="235"/>
      <c r="X1757" s="117"/>
      <c r="Y1757" s="117"/>
      <c r="DT1757" s="240"/>
      <c r="DU1757" s="240"/>
      <c r="DV1757" s="240"/>
      <c r="DW1757" s="240"/>
      <c r="DX1757" s="240"/>
      <c r="DY1757" s="240"/>
      <c r="DZ1757" s="240"/>
      <c r="EA1757" s="240"/>
      <c r="EB1757" s="237"/>
      <c r="EC1757" s="241"/>
      <c r="ED1757" s="241"/>
      <c r="EE1757" s="241"/>
      <c r="EG1757" s="241"/>
      <c r="EI1757" s="241"/>
      <c r="EK1757" s="241"/>
    </row>
    <row r="1758" spans="1:141" s="121" customFormat="1" x14ac:dyDescent="0.3">
      <c r="A1758" s="124"/>
      <c r="O1758" s="235"/>
      <c r="X1758" s="117"/>
      <c r="Y1758" s="117"/>
      <c r="DT1758" s="240"/>
      <c r="DU1758" s="240"/>
      <c r="DV1758" s="240"/>
      <c r="DW1758" s="240"/>
      <c r="DX1758" s="240"/>
      <c r="DY1758" s="240"/>
      <c r="DZ1758" s="240"/>
      <c r="EA1758" s="240"/>
      <c r="EB1758" s="237"/>
      <c r="EC1758" s="241"/>
      <c r="ED1758" s="241"/>
      <c r="EE1758" s="241"/>
      <c r="EG1758" s="241"/>
      <c r="EI1758" s="241"/>
      <c r="EK1758" s="241"/>
    </row>
    <row r="1759" spans="1:141" s="121" customFormat="1" x14ac:dyDescent="0.3">
      <c r="A1759" s="124"/>
      <c r="O1759" s="235"/>
      <c r="X1759" s="117"/>
      <c r="Y1759" s="117"/>
      <c r="DT1759" s="240"/>
      <c r="DU1759" s="240"/>
      <c r="DV1759" s="240"/>
      <c r="DW1759" s="240"/>
      <c r="DX1759" s="240"/>
      <c r="DY1759" s="240"/>
      <c r="DZ1759" s="240"/>
      <c r="EA1759" s="240"/>
      <c r="EB1759" s="237"/>
      <c r="EC1759" s="241"/>
      <c r="ED1759" s="241"/>
      <c r="EE1759" s="241"/>
      <c r="EG1759" s="241"/>
      <c r="EI1759" s="241"/>
      <c r="EK1759" s="241"/>
    </row>
    <row r="1760" spans="1:141" s="121" customFormat="1" x14ac:dyDescent="0.3">
      <c r="A1760" s="124"/>
      <c r="O1760" s="235"/>
      <c r="X1760" s="117"/>
      <c r="Y1760" s="117"/>
      <c r="DT1760" s="240"/>
      <c r="DU1760" s="240"/>
      <c r="DV1760" s="240"/>
      <c r="DW1760" s="240"/>
      <c r="DX1760" s="240"/>
      <c r="DY1760" s="240"/>
      <c r="DZ1760" s="240"/>
      <c r="EA1760" s="240"/>
      <c r="EB1760" s="237"/>
      <c r="EC1760" s="241"/>
      <c r="ED1760" s="241"/>
      <c r="EE1760" s="241"/>
      <c r="EG1760" s="241"/>
      <c r="EI1760" s="241"/>
      <c r="EK1760" s="241"/>
    </row>
    <row r="1761" spans="1:141" s="121" customFormat="1" x14ac:dyDescent="0.3">
      <c r="A1761" s="124"/>
      <c r="O1761" s="235"/>
      <c r="X1761" s="117"/>
      <c r="Y1761" s="117"/>
      <c r="DT1761" s="240"/>
      <c r="DU1761" s="240"/>
      <c r="DV1761" s="240"/>
      <c r="DW1761" s="240"/>
      <c r="DX1761" s="240"/>
      <c r="DY1761" s="240"/>
      <c r="DZ1761" s="240"/>
      <c r="EA1761" s="240"/>
      <c r="EB1761" s="237"/>
      <c r="EC1761" s="241"/>
      <c r="ED1761" s="241"/>
      <c r="EE1761" s="241"/>
      <c r="EG1761" s="241"/>
      <c r="EI1761" s="241"/>
      <c r="EK1761" s="241"/>
    </row>
    <row r="1762" spans="1:141" s="121" customFormat="1" x14ac:dyDescent="0.3">
      <c r="A1762" s="124"/>
      <c r="O1762" s="235"/>
      <c r="X1762" s="117"/>
      <c r="Y1762" s="117"/>
      <c r="DT1762" s="240"/>
      <c r="DU1762" s="240"/>
      <c r="DV1762" s="240"/>
      <c r="DW1762" s="240"/>
      <c r="DX1762" s="240"/>
      <c r="DY1762" s="240"/>
      <c r="DZ1762" s="240"/>
      <c r="EA1762" s="240"/>
      <c r="EB1762" s="237"/>
      <c r="EC1762" s="241"/>
      <c r="ED1762" s="241"/>
      <c r="EE1762" s="241"/>
      <c r="EG1762" s="241"/>
      <c r="EI1762" s="241"/>
      <c r="EK1762" s="241"/>
    </row>
    <row r="1763" spans="1:141" s="121" customFormat="1" x14ac:dyDescent="0.3">
      <c r="A1763" s="124"/>
      <c r="O1763" s="235"/>
      <c r="X1763" s="117"/>
      <c r="Y1763" s="117"/>
      <c r="DT1763" s="240"/>
      <c r="DU1763" s="240"/>
      <c r="DV1763" s="240"/>
      <c r="DW1763" s="240"/>
      <c r="DX1763" s="240"/>
      <c r="DY1763" s="240"/>
      <c r="DZ1763" s="240"/>
      <c r="EA1763" s="240"/>
      <c r="EB1763" s="237"/>
      <c r="EC1763" s="241"/>
      <c r="ED1763" s="241"/>
      <c r="EE1763" s="241"/>
      <c r="EG1763" s="241"/>
      <c r="EI1763" s="241"/>
      <c r="EK1763" s="241"/>
    </row>
    <row r="1764" spans="1:141" s="121" customFormat="1" x14ac:dyDescent="0.3">
      <c r="A1764" s="124"/>
      <c r="O1764" s="235"/>
      <c r="X1764" s="117"/>
      <c r="Y1764" s="117"/>
      <c r="DT1764" s="240"/>
      <c r="DU1764" s="240"/>
      <c r="DV1764" s="240"/>
      <c r="DW1764" s="240"/>
      <c r="DX1764" s="240"/>
      <c r="DY1764" s="240"/>
      <c r="DZ1764" s="240"/>
      <c r="EA1764" s="240"/>
      <c r="EB1764" s="237"/>
      <c r="EC1764" s="241"/>
      <c r="ED1764" s="241"/>
      <c r="EE1764" s="241"/>
      <c r="EG1764" s="241"/>
      <c r="EI1764" s="241"/>
      <c r="EK1764" s="241"/>
    </row>
    <row r="1765" spans="1:141" s="121" customFormat="1" x14ac:dyDescent="0.3">
      <c r="A1765" s="124"/>
      <c r="O1765" s="235"/>
      <c r="X1765" s="117"/>
      <c r="Y1765" s="117"/>
      <c r="DT1765" s="240"/>
      <c r="DU1765" s="240"/>
      <c r="DV1765" s="240"/>
      <c r="DW1765" s="240"/>
      <c r="DX1765" s="240"/>
      <c r="DY1765" s="240"/>
      <c r="DZ1765" s="240"/>
      <c r="EA1765" s="240"/>
      <c r="EB1765" s="237"/>
      <c r="EC1765" s="241"/>
      <c r="ED1765" s="241"/>
      <c r="EE1765" s="241"/>
      <c r="EG1765" s="241"/>
      <c r="EI1765" s="241"/>
      <c r="EK1765" s="241"/>
    </row>
    <row r="1766" spans="1:141" s="121" customFormat="1" x14ac:dyDescent="0.3">
      <c r="A1766" s="124"/>
      <c r="O1766" s="235"/>
      <c r="X1766" s="117"/>
      <c r="Y1766" s="117"/>
      <c r="DT1766" s="240"/>
      <c r="DU1766" s="240"/>
      <c r="DV1766" s="240"/>
      <c r="DW1766" s="240"/>
      <c r="DX1766" s="240"/>
      <c r="DY1766" s="240"/>
      <c r="DZ1766" s="240"/>
      <c r="EA1766" s="240"/>
      <c r="EB1766" s="237"/>
      <c r="EC1766" s="241"/>
      <c r="ED1766" s="241"/>
      <c r="EE1766" s="241"/>
      <c r="EG1766" s="241"/>
      <c r="EI1766" s="241"/>
      <c r="EK1766" s="241"/>
    </row>
    <row r="1767" spans="1:141" s="121" customFormat="1" x14ac:dyDescent="0.3">
      <c r="A1767" s="124"/>
      <c r="O1767" s="235"/>
      <c r="X1767" s="117"/>
      <c r="Y1767" s="117"/>
      <c r="DT1767" s="240"/>
      <c r="DU1767" s="240"/>
      <c r="DV1767" s="240"/>
      <c r="DW1767" s="240"/>
      <c r="DX1767" s="240"/>
      <c r="DY1767" s="240"/>
      <c r="DZ1767" s="240"/>
      <c r="EA1767" s="240"/>
      <c r="EB1767" s="237"/>
      <c r="EC1767" s="241"/>
      <c r="ED1767" s="241"/>
      <c r="EE1767" s="241"/>
      <c r="EG1767" s="241"/>
      <c r="EI1767" s="241"/>
      <c r="EK1767" s="241"/>
    </row>
    <row r="1768" spans="1:141" s="121" customFormat="1" x14ac:dyDescent="0.3">
      <c r="A1768" s="124"/>
      <c r="O1768" s="235"/>
      <c r="X1768" s="117"/>
      <c r="Y1768" s="117"/>
      <c r="DT1768" s="240"/>
      <c r="DU1768" s="240"/>
      <c r="DV1768" s="240"/>
      <c r="DW1768" s="240"/>
      <c r="DX1768" s="240"/>
      <c r="DY1768" s="240"/>
      <c r="DZ1768" s="240"/>
      <c r="EA1768" s="240"/>
      <c r="EB1768" s="237"/>
      <c r="EC1768" s="241"/>
      <c r="ED1768" s="241"/>
      <c r="EE1768" s="241"/>
      <c r="EG1768" s="241"/>
      <c r="EI1768" s="241"/>
      <c r="EK1768" s="241"/>
    </row>
    <row r="1769" spans="1:141" s="121" customFormat="1" x14ac:dyDescent="0.3">
      <c r="A1769" s="124"/>
      <c r="O1769" s="235"/>
      <c r="X1769" s="117"/>
      <c r="Y1769" s="117"/>
      <c r="DT1769" s="240"/>
      <c r="DU1769" s="240"/>
      <c r="DV1769" s="240"/>
      <c r="DW1769" s="240"/>
      <c r="DX1769" s="240"/>
      <c r="DY1769" s="240"/>
      <c r="DZ1769" s="240"/>
      <c r="EA1769" s="240"/>
      <c r="EB1769" s="237"/>
      <c r="EC1769" s="241"/>
      <c r="ED1769" s="241"/>
      <c r="EE1769" s="241"/>
      <c r="EG1769" s="241"/>
      <c r="EI1769" s="241"/>
      <c r="EK1769" s="241"/>
    </row>
    <row r="1770" spans="1:141" s="121" customFormat="1" x14ac:dyDescent="0.3">
      <c r="A1770" s="124"/>
      <c r="O1770" s="235"/>
      <c r="X1770" s="117"/>
      <c r="Y1770" s="117"/>
      <c r="DT1770" s="240"/>
      <c r="DU1770" s="240"/>
      <c r="DV1770" s="240"/>
      <c r="DW1770" s="240"/>
      <c r="DX1770" s="240"/>
      <c r="DY1770" s="240"/>
      <c r="DZ1770" s="240"/>
      <c r="EA1770" s="240"/>
      <c r="EB1770" s="237"/>
      <c r="EC1770" s="241"/>
      <c r="ED1770" s="241"/>
      <c r="EE1770" s="241"/>
      <c r="EG1770" s="241"/>
      <c r="EI1770" s="241"/>
      <c r="EK1770" s="241"/>
    </row>
    <row r="1771" spans="1:141" s="121" customFormat="1" x14ac:dyDescent="0.3">
      <c r="A1771" s="124"/>
      <c r="O1771" s="235"/>
      <c r="X1771" s="117"/>
      <c r="Y1771" s="117"/>
      <c r="DT1771" s="240"/>
      <c r="DU1771" s="240"/>
      <c r="DV1771" s="240"/>
      <c r="DW1771" s="240"/>
      <c r="DX1771" s="240"/>
      <c r="DY1771" s="240"/>
      <c r="DZ1771" s="240"/>
      <c r="EA1771" s="240"/>
      <c r="EB1771" s="237"/>
      <c r="EC1771" s="241"/>
      <c r="ED1771" s="241"/>
      <c r="EE1771" s="241"/>
      <c r="EG1771" s="241"/>
      <c r="EI1771" s="241"/>
      <c r="EK1771" s="241"/>
    </row>
    <row r="1772" spans="1:141" s="121" customFormat="1" x14ac:dyDescent="0.3">
      <c r="A1772" s="124"/>
      <c r="O1772" s="235"/>
      <c r="X1772" s="117"/>
      <c r="Y1772" s="117"/>
      <c r="DT1772" s="240"/>
      <c r="DU1772" s="240"/>
      <c r="DV1772" s="240"/>
      <c r="DW1772" s="240"/>
      <c r="DX1772" s="240"/>
      <c r="DY1772" s="240"/>
      <c r="DZ1772" s="240"/>
      <c r="EA1772" s="240"/>
      <c r="EB1772" s="237"/>
      <c r="EC1772" s="241"/>
      <c r="ED1772" s="241"/>
      <c r="EE1772" s="241"/>
      <c r="EG1772" s="241"/>
      <c r="EI1772" s="241"/>
      <c r="EK1772" s="241"/>
    </row>
    <row r="1773" spans="1:141" s="121" customFormat="1" x14ac:dyDescent="0.3">
      <c r="A1773" s="124"/>
      <c r="O1773" s="235"/>
      <c r="X1773" s="117"/>
      <c r="Y1773" s="117"/>
      <c r="DT1773" s="240"/>
      <c r="DU1773" s="240"/>
      <c r="DV1773" s="240"/>
      <c r="DW1773" s="240"/>
      <c r="DX1773" s="240"/>
      <c r="DY1773" s="240"/>
      <c r="DZ1773" s="240"/>
      <c r="EA1773" s="240"/>
      <c r="EB1773" s="237"/>
      <c r="EC1773" s="241"/>
      <c r="ED1773" s="241"/>
      <c r="EE1773" s="241"/>
      <c r="EG1773" s="241"/>
      <c r="EI1773" s="241"/>
      <c r="EK1773" s="241"/>
    </row>
    <row r="1774" spans="1:141" s="121" customFormat="1" x14ac:dyDescent="0.3">
      <c r="A1774" s="124"/>
      <c r="O1774" s="235"/>
      <c r="X1774" s="117"/>
      <c r="Y1774" s="117"/>
      <c r="DT1774" s="240"/>
      <c r="DU1774" s="240"/>
      <c r="DV1774" s="240"/>
      <c r="DW1774" s="240"/>
      <c r="DX1774" s="240"/>
      <c r="DY1774" s="240"/>
      <c r="DZ1774" s="240"/>
      <c r="EA1774" s="240"/>
      <c r="EB1774" s="237"/>
      <c r="EC1774" s="241"/>
      <c r="ED1774" s="241"/>
      <c r="EE1774" s="241"/>
      <c r="EG1774" s="241"/>
      <c r="EI1774" s="241"/>
      <c r="EK1774" s="241"/>
    </row>
    <row r="1775" spans="1:141" s="121" customFormat="1" x14ac:dyDescent="0.3">
      <c r="A1775" s="124"/>
      <c r="O1775" s="235"/>
      <c r="X1775" s="117"/>
      <c r="Y1775" s="117"/>
      <c r="DT1775" s="240"/>
      <c r="DU1775" s="240"/>
      <c r="DV1775" s="240"/>
      <c r="DW1775" s="240"/>
      <c r="DX1775" s="240"/>
      <c r="DY1775" s="240"/>
      <c r="DZ1775" s="240"/>
      <c r="EA1775" s="240"/>
      <c r="EB1775" s="237"/>
      <c r="EC1775" s="241"/>
      <c r="ED1775" s="241"/>
      <c r="EE1775" s="241"/>
      <c r="EG1775" s="241"/>
      <c r="EI1775" s="241"/>
      <c r="EK1775" s="241"/>
    </row>
    <row r="1776" spans="1:141" s="121" customFormat="1" x14ac:dyDescent="0.3">
      <c r="A1776" s="124"/>
      <c r="O1776" s="235"/>
      <c r="X1776" s="117"/>
      <c r="Y1776" s="117"/>
      <c r="DT1776" s="240"/>
      <c r="DU1776" s="240"/>
      <c r="DV1776" s="240"/>
      <c r="DW1776" s="240"/>
      <c r="DX1776" s="240"/>
      <c r="DY1776" s="240"/>
      <c r="DZ1776" s="240"/>
      <c r="EA1776" s="240"/>
      <c r="EB1776" s="237"/>
      <c r="EC1776" s="241"/>
      <c r="ED1776" s="241"/>
      <c r="EE1776" s="241"/>
      <c r="EG1776" s="241"/>
      <c r="EI1776" s="241"/>
      <c r="EK1776" s="241"/>
    </row>
    <row r="1777" spans="1:141" s="121" customFormat="1" x14ac:dyDescent="0.3">
      <c r="A1777" s="124"/>
      <c r="O1777" s="235"/>
      <c r="X1777" s="117"/>
      <c r="Y1777" s="117"/>
      <c r="DT1777" s="240"/>
      <c r="DU1777" s="240"/>
      <c r="DV1777" s="240"/>
      <c r="DW1777" s="240"/>
      <c r="DX1777" s="240"/>
      <c r="DY1777" s="240"/>
      <c r="DZ1777" s="240"/>
      <c r="EA1777" s="240"/>
      <c r="EB1777" s="237"/>
      <c r="EC1777" s="241"/>
      <c r="ED1777" s="241"/>
      <c r="EE1777" s="241"/>
      <c r="EG1777" s="241"/>
      <c r="EI1777" s="241"/>
      <c r="EK1777" s="241"/>
    </row>
    <row r="1778" spans="1:141" s="121" customFormat="1" x14ac:dyDescent="0.3">
      <c r="A1778" s="124"/>
      <c r="O1778" s="235"/>
      <c r="X1778" s="117"/>
      <c r="Y1778" s="117"/>
      <c r="DT1778" s="240"/>
      <c r="DU1778" s="240"/>
      <c r="DV1778" s="240"/>
      <c r="DW1778" s="240"/>
      <c r="DX1778" s="240"/>
      <c r="DY1778" s="240"/>
      <c r="DZ1778" s="240"/>
      <c r="EA1778" s="240"/>
      <c r="EB1778" s="237"/>
      <c r="EC1778" s="241"/>
      <c r="ED1778" s="241"/>
      <c r="EE1778" s="241"/>
      <c r="EG1778" s="241"/>
      <c r="EI1778" s="241"/>
      <c r="EK1778" s="241"/>
    </row>
    <row r="1779" spans="1:141" s="121" customFormat="1" x14ac:dyDescent="0.3">
      <c r="A1779" s="124"/>
      <c r="O1779" s="235"/>
      <c r="X1779" s="117"/>
      <c r="Y1779" s="117"/>
      <c r="DT1779" s="240"/>
      <c r="DU1779" s="240"/>
      <c r="DV1779" s="240"/>
      <c r="DW1779" s="240"/>
      <c r="DX1779" s="240"/>
      <c r="DY1779" s="240"/>
      <c r="DZ1779" s="240"/>
      <c r="EA1779" s="240"/>
      <c r="EB1779" s="237"/>
      <c r="EC1779" s="241"/>
      <c r="ED1779" s="241"/>
      <c r="EE1779" s="241"/>
      <c r="EG1779" s="241"/>
      <c r="EI1779" s="241"/>
      <c r="EK1779" s="241"/>
    </row>
    <row r="1780" spans="1:141" s="121" customFormat="1" x14ac:dyDescent="0.3">
      <c r="A1780" s="124"/>
      <c r="O1780" s="235"/>
      <c r="X1780" s="117"/>
      <c r="Y1780" s="117"/>
      <c r="DT1780" s="240"/>
      <c r="DU1780" s="240"/>
      <c r="DV1780" s="240"/>
      <c r="DW1780" s="240"/>
      <c r="DX1780" s="240"/>
      <c r="DY1780" s="240"/>
      <c r="DZ1780" s="240"/>
      <c r="EA1780" s="240"/>
      <c r="EB1780" s="237"/>
      <c r="EC1780" s="241"/>
      <c r="ED1780" s="241"/>
      <c r="EE1780" s="241"/>
      <c r="EG1780" s="241"/>
      <c r="EI1780" s="241"/>
      <c r="EK1780" s="241"/>
    </row>
    <row r="1781" spans="1:141" s="121" customFormat="1" x14ac:dyDescent="0.3">
      <c r="A1781" s="124"/>
      <c r="O1781" s="235"/>
      <c r="X1781" s="117"/>
      <c r="Y1781" s="117"/>
      <c r="DT1781" s="240"/>
      <c r="DU1781" s="240"/>
      <c r="DV1781" s="240"/>
      <c r="DW1781" s="240"/>
      <c r="DX1781" s="240"/>
      <c r="DY1781" s="240"/>
      <c r="DZ1781" s="240"/>
      <c r="EA1781" s="240"/>
      <c r="EB1781" s="237"/>
      <c r="EC1781" s="241"/>
      <c r="ED1781" s="241"/>
      <c r="EE1781" s="241"/>
      <c r="EG1781" s="241"/>
      <c r="EI1781" s="241"/>
      <c r="EK1781" s="241"/>
    </row>
    <row r="1782" spans="1:141" s="121" customFormat="1" x14ac:dyDescent="0.3">
      <c r="A1782" s="124"/>
      <c r="O1782" s="235"/>
      <c r="X1782" s="117"/>
      <c r="Y1782" s="117"/>
      <c r="DT1782" s="240"/>
      <c r="DU1782" s="240"/>
      <c r="DV1782" s="240"/>
      <c r="DW1782" s="240"/>
      <c r="DX1782" s="240"/>
      <c r="DY1782" s="240"/>
      <c r="DZ1782" s="240"/>
      <c r="EA1782" s="240"/>
      <c r="EB1782" s="237"/>
      <c r="EC1782" s="241"/>
      <c r="ED1782" s="241"/>
      <c r="EE1782" s="241"/>
      <c r="EG1782" s="241"/>
      <c r="EI1782" s="241"/>
      <c r="EK1782" s="241"/>
    </row>
    <row r="1783" spans="1:141" s="121" customFormat="1" x14ac:dyDescent="0.3">
      <c r="A1783" s="124"/>
      <c r="O1783" s="235"/>
      <c r="X1783" s="117"/>
      <c r="Y1783" s="117"/>
      <c r="DT1783" s="240"/>
      <c r="DU1783" s="240"/>
      <c r="DV1783" s="240"/>
      <c r="DW1783" s="240"/>
      <c r="DX1783" s="240"/>
      <c r="DY1783" s="240"/>
      <c r="DZ1783" s="240"/>
      <c r="EA1783" s="240"/>
      <c r="EB1783" s="237"/>
      <c r="EC1783" s="241"/>
      <c r="ED1783" s="241"/>
      <c r="EE1783" s="241"/>
      <c r="EG1783" s="241"/>
      <c r="EI1783" s="241"/>
      <c r="EK1783" s="241"/>
    </row>
    <row r="1784" spans="1:141" s="121" customFormat="1" x14ac:dyDescent="0.3">
      <c r="A1784" s="124"/>
      <c r="O1784" s="235"/>
      <c r="X1784" s="117"/>
      <c r="Y1784" s="117"/>
      <c r="DT1784" s="240"/>
      <c r="DU1784" s="240"/>
      <c r="DV1784" s="240"/>
      <c r="DW1784" s="240"/>
      <c r="DX1784" s="240"/>
      <c r="DY1784" s="240"/>
      <c r="DZ1784" s="240"/>
      <c r="EA1784" s="240"/>
      <c r="EB1784" s="237"/>
      <c r="EC1784" s="241"/>
      <c r="ED1784" s="241"/>
      <c r="EE1784" s="241"/>
      <c r="EG1784" s="241"/>
      <c r="EI1784" s="241"/>
      <c r="EK1784" s="241"/>
    </row>
    <row r="1785" spans="1:141" s="121" customFormat="1" x14ac:dyDescent="0.3">
      <c r="A1785" s="124"/>
      <c r="O1785" s="235"/>
      <c r="X1785" s="117"/>
      <c r="Y1785" s="117"/>
      <c r="DT1785" s="240"/>
      <c r="DU1785" s="240"/>
      <c r="DV1785" s="240"/>
      <c r="DW1785" s="240"/>
      <c r="DX1785" s="240"/>
      <c r="DY1785" s="240"/>
      <c r="DZ1785" s="240"/>
      <c r="EA1785" s="240"/>
      <c r="EB1785" s="237"/>
      <c r="EC1785" s="241"/>
      <c r="ED1785" s="241"/>
      <c r="EE1785" s="241"/>
      <c r="EG1785" s="241"/>
      <c r="EI1785" s="241"/>
      <c r="EK1785" s="241"/>
    </row>
    <row r="1786" spans="1:141" s="121" customFormat="1" x14ac:dyDescent="0.3">
      <c r="A1786" s="124"/>
      <c r="O1786" s="235"/>
      <c r="X1786" s="117"/>
      <c r="Y1786" s="117"/>
      <c r="DT1786" s="240"/>
      <c r="DU1786" s="240"/>
      <c r="DV1786" s="240"/>
      <c r="DW1786" s="240"/>
      <c r="DX1786" s="240"/>
      <c r="DY1786" s="240"/>
      <c r="DZ1786" s="240"/>
      <c r="EA1786" s="240"/>
      <c r="EB1786" s="237"/>
      <c r="EC1786" s="241"/>
      <c r="ED1786" s="241"/>
      <c r="EE1786" s="241"/>
      <c r="EG1786" s="241"/>
      <c r="EI1786" s="241"/>
      <c r="EK1786" s="241"/>
    </row>
    <row r="1787" spans="1:141" s="121" customFormat="1" x14ac:dyDescent="0.3">
      <c r="A1787" s="124"/>
      <c r="O1787" s="235"/>
      <c r="X1787" s="117"/>
      <c r="Y1787" s="117"/>
      <c r="DT1787" s="240"/>
      <c r="DU1787" s="240"/>
      <c r="DV1787" s="240"/>
      <c r="DW1787" s="240"/>
      <c r="DX1787" s="240"/>
      <c r="DY1787" s="240"/>
      <c r="DZ1787" s="240"/>
      <c r="EA1787" s="240"/>
      <c r="EB1787" s="237"/>
      <c r="EC1787" s="241"/>
      <c r="ED1787" s="241"/>
      <c r="EE1787" s="241"/>
      <c r="EG1787" s="241"/>
      <c r="EI1787" s="241"/>
      <c r="EK1787" s="241"/>
    </row>
    <row r="1788" spans="1:141" s="121" customFormat="1" x14ac:dyDescent="0.3">
      <c r="A1788" s="124"/>
      <c r="O1788" s="235"/>
      <c r="X1788" s="117"/>
      <c r="Y1788" s="117"/>
      <c r="DT1788" s="240"/>
      <c r="DU1788" s="240"/>
      <c r="DV1788" s="240"/>
      <c r="DW1788" s="240"/>
      <c r="DX1788" s="240"/>
      <c r="DY1788" s="240"/>
      <c r="DZ1788" s="240"/>
      <c r="EA1788" s="240"/>
      <c r="EB1788" s="237"/>
      <c r="EC1788" s="241"/>
      <c r="ED1788" s="241"/>
      <c r="EE1788" s="241"/>
      <c r="EG1788" s="241"/>
      <c r="EI1788" s="241"/>
      <c r="EK1788" s="241"/>
    </row>
    <row r="1789" spans="1:141" s="121" customFormat="1" x14ac:dyDescent="0.3">
      <c r="A1789" s="124"/>
      <c r="O1789" s="235"/>
      <c r="X1789" s="117"/>
      <c r="Y1789" s="117"/>
      <c r="DT1789" s="240"/>
      <c r="DU1789" s="240"/>
      <c r="DV1789" s="240"/>
      <c r="DW1789" s="240"/>
      <c r="DX1789" s="240"/>
      <c r="DY1789" s="240"/>
      <c r="DZ1789" s="240"/>
      <c r="EA1789" s="240"/>
      <c r="EB1789" s="237"/>
      <c r="EC1789" s="241"/>
      <c r="ED1789" s="241"/>
      <c r="EE1789" s="241"/>
      <c r="EG1789" s="241"/>
      <c r="EI1789" s="241"/>
      <c r="EK1789" s="241"/>
    </row>
    <row r="1790" spans="1:141" s="121" customFormat="1" x14ac:dyDescent="0.3">
      <c r="A1790" s="124"/>
      <c r="O1790" s="235"/>
      <c r="X1790" s="117"/>
      <c r="Y1790" s="117"/>
      <c r="DT1790" s="240"/>
      <c r="DU1790" s="240"/>
      <c r="DV1790" s="240"/>
      <c r="DW1790" s="240"/>
      <c r="DX1790" s="240"/>
      <c r="DY1790" s="240"/>
      <c r="DZ1790" s="240"/>
      <c r="EA1790" s="240"/>
      <c r="EB1790" s="237"/>
      <c r="EC1790" s="241"/>
      <c r="ED1790" s="241"/>
      <c r="EE1790" s="241"/>
      <c r="EG1790" s="241"/>
      <c r="EI1790" s="241"/>
      <c r="EK1790" s="241"/>
    </row>
    <row r="1791" spans="1:141" s="121" customFormat="1" x14ac:dyDescent="0.3">
      <c r="A1791" s="124"/>
      <c r="O1791" s="235"/>
      <c r="X1791" s="117"/>
      <c r="Y1791" s="117"/>
      <c r="DT1791" s="240"/>
      <c r="DU1791" s="240"/>
      <c r="DV1791" s="240"/>
      <c r="DW1791" s="240"/>
      <c r="DX1791" s="240"/>
      <c r="DY1791" s="240"/>
      <c r="DZ1791" s="240"/>
      <c r="EA1791" s="240"/>
      <c r="EB1791" s="237"/>
      <c r="EC1791" s="241"/>
      <c r="ED1791" s="241"/>
      <c r="EE1791" s="241"/>
      <c r="EG1791" s="241"/>
      <c r="EI1791" s="241"/>
      <c r="EK1791" s="241"/>
    </row>
    <row r="1792" spans="1:141" s="121" customFormat="1" x14ac:dyDescent="0.3">
      <c r="A1792" s="124"/>
      <c r="O1792" s="235"/>
      <c r="X1792" s="117"/>
      <c r="Y1792" s="117"/>
      <c r="DT1792" s="240"/>
      <c r="DU1792" s="240"/>
      <c r="DV1792" s="240"/>
      <c r="DW1792" s="240"/>
      <c r="DX1792" s="240"/>
      <c r="DY1792" s="240"/>
      <c r="DZ1792" s="240"/>
      <c r="EA1792" s="240"/>
      <c r="EB1792" s="237"/>
      <c r="EC1792" s="241"/>
      <c r="ED1792" s="241"/>
      <c r="EE1792" s="241"/>
      <c r="EG1792" s="241"/>
      <c r="EI1792" s="241"/>
      <c r="EK1792" s="241"/>
    </row>
    <row r="1793" spans="1:141" s="121" customFormat="1" x14ac:dyDescent="0.3">
      <c r="A1793" s="124"/>
      <c r="O1793" s="235"/>
      <c r="X1793" s="117"/>
      <c r="Y1793" s="117"/>
      <c r="DT1793" s="240"/>
      <c r="DU1793" s="240"/>
      <c r="DV1793" s="240"/>
      <c r="DW1793" s="240"/>
      <c r="DX1793" s="240"/>
      <c r="DY1793" s="240"/>
      <c r="DZ1793" s="240"/>
      <c r="EA1793" s="240"/>
      <c r="EB1793" s="237"/>
      <c r="EC1793" s="241"/>
      <c r="ED1793" s="241"/>
      <c r="EE1793" s="241"/>
      <c r="EG1793" s="241"/>
      <c r="EI1793" s="241"/>
      <c r="EK1793" s="241"/>
    </row>
    <row r="1794" spans="1:141" s="121" customFormat="1" x14ac:dyDescent="0.3">
      <c r="A1794" s="124"/>
      <c r="O1794" s="235"/>
      <c r="X1794" s="117"/>
      <c r="Y1794" s="117"/>
      <c r="DT1794" s="240"/>
      <c r="DU1794" s="240"/>
      <c r="DV1794" s="240"/>
      <c r="DW1794" s="240"/>
      <c r="DX1794" s="240"/>
      <c r="DY1794" s="240"/>
      <c r="DZ1794" s="240"/>
      <c r="EA1794" s="240"/>
      <c r="EB1794" s="237"/>
      <c r="EC1794" s="241"/>
      <c r="ED1794" s="241"/>
      <c r="EE1794" s="241"/>
      <c r="EG1794" s="241"/>
      <c r="EI1794" s="241"/>
      <c r="EK1794" s="241"/>
    </row>
    <row r="1795" spans="1:141" s="121" customFormat="1" x14ac:dyDescent="0.3">
      <c r="A1795" s="124"/>
      <c r="O1795" s="235"/>
      <c r="X1795" s="117"/>
      <c r="Y1795" s="117"/>
      <c r="DT1795" s="240"/>
      <c r="DU1795" s="240"/>
      <c r="DV1795" s="240"/>
      <c r="DW1795" s="240"/>
      <c r="DX1795" s="240"/>
      <c r="DY1795" s="240"/>
      <c r="DZ1795" s="240"/>
      <c r="EA1795" s="240"/>
      <c r="EB1795" s="237"/>
      <c r="EC1795" s="241"/>
      <c r="ED1795" s="241"/>
      <c r="EE1795" s="241"/>
      <c r="EG1795" s="241"/>
      <c r="EI1795" s="241"/>
      <c r="EK1795" s="241"/>
    </row>
    <row r="1796" spans="1:141" s="121" customFormat="1" x14ac:dyDescent="0.3">
      <c r="A1796" s="124"/>
      <c r="O1796" s="235"/>
      <c r="X1796" s="117"/>
      <c r="Y1796" s="117"/>
      <c r="DT1796" s="240"/>
      <c r="DU1796" s="240"/>
      <c r="DV1796" s="240"/>
      <c r="DW1796" s="240"/>
      <c r="DX1796" s="240"/>
      <c r="DY1796" s="240"/>
      <c r="DZ1796" s="240"/>
      <c r="EA1796" s="240"/>
      <c r="EB1796" s="237"/>
      <c r="EC1796" s="241"/>
      <c r="ED1796" s="241"/>
      <c r="EE1796" s="241"/>
      <c r="EG1796" s="241"/>
      <c r="EI1796" s="241"/>
      <c r="EK1796" s="241"/>
    </row>
    <row r="1797" spans="1:141" s="121" customFormat="1" x14ac:dyDescent="0.3">
      <c r="A1797" s="124"/>
      <c r="O1797" s="235"/>
      <c r="X1797" s="117"/>
      <c r="Y1797" s="117"/>
      <c r="DT1797" s="240"/>
      <c r="DU1797" s="240"/>
      <c r="DV1797" s="240"/>
      <c r="DW1797" s="240"/>
      <c r="DX1797" s="240"/>
      <c r="DY1797" s="240"/>
      <c r="DZ1797" s="240"/>
      <c r="EA1797" s="240"/>
      <c r="EB1797" s="237"/>
      <c r="EC1797" s="241"/>
      <c r="ED1797" s="241"/>
      <c r="EE1797" s="241"/>
      <c r="EG1797" s="241"/>
      <c r="EI1797" s="241"/>
      <c r="EK1797" s="241"/>
    </row>
    <row r="1798" spans="1:141" s="121" customFormat="1" x14ac:dyDescent="0.3">
      <c r="A1798" s="124"/>
      <c r="O1798" s="235"/>
      <c r="X1798" s="117"/>
      <c r="Y1798" s="117"/>
      <c r="DT1798" s="240"/>
      <c r="DU1798" s="240"/>
      <c r="DV1798" s="240"/>
      <c r="DW1798" s="240"/>
      <c r="DX1798" s="240"/>
      <c r="DY1798" s="240"/>
      <c r="DZ1798" s="240"/>
      <c r="EA1798" s="240"/>
      <c r="EB1798" s="237"/>
      <c r="EC1798" s="241"/>
      <c r="ED1798" s="241"/>
      <c r="EE1798" s="241"/>
      <c r="EG1798" s="241"/>
      <c r="EI1798" s="241"/>
      <c r="EK1798" s="241"/>
    </row>
    <row r="1799" spans="1:141" s="121" customFormat="1" x14ac:dyDescent="0.3">
      <c r="A1799" s="124"/>
      <c r="O1799" s="235"/>
      <c r="X1799" s="117"/>
      <c r="Y1799" s="117"/>
      <c r="DT1799" s="240"/>
      <c r="DU1799" s="240"/>
      <c r="DV1799" s="240"/>
      <c r="DW1799" s="240"/>
      <c r="DX1799" s="240"/>
      <c r="DY1799" s="240"/>
      <c r="DZ1799" s="240"/>
      <c r="EA1799" s="240"/>
      <c r="EB1799" s="237"/>
      <c r="EC1799" s="241"/>
      <c r="ED1799" s="241"/>
      <c r="EE1799" s="241"/>
      <c r="EG1799" s="241"/>
      <c r="EI1799" s="241"/>
      <c r="EK1799" s="241"/>
    </row>
    <row r="1800" spans="1:141" s="121" customFormat="1" x14ac:dyDescent="0.3">
      <c r="A1800" s="124"/>
      <c r="O1800" s="235"/>
      <c r="X1800" s="117"/>
      <c r="Y1800" s="117"/>
      <c r="DT1800" s="240"/>
      <c r="DU1800" s="240"/>
      <c r="DV1800" s="240"/>
      <c r="DW1800" s="240"/>
      <c r="DX1800" s="240"/>
      <c r="DY1800" s="240"/>
      <c r="DZ1800" s="240"/>
      <c r="EA1800" s="240"/>
      <c r="EB1800" s="237"/>
      <c r="EC1800" s="241"/>
      <c r="ED1800" s="241"/>
      <c r="EE1800" s="241"/>
      <c r="EG1800" s="241"/>
      <c r="EI1800" s="241"/>
      <c r="EK1800" s="241"/>
    </row>
    <row r="1801" spans="1:141" s="121" customFormat="1" x14ac:dyDescent="0.3">
      <c r="A1801" s="124"/>
      <c r="O1801" s="235"/>
      <c r="X1801" s="117"/>
      <c r="Y1801" s="117"/>
      <c r="DT1801" s="240"/>
      <c r="DU1801" s="240"/>
      <c r="DV1801" s="240"/>
      <c r="DW1801" s="240"/>
      <c r="DX1801" s="240"/>
      <c r="DY1801" s="240"/>
      <c r="DZ1801" s="240"/>
      <c r="EA1801" s="240"/>
      <c r="EB1801" s="237"/>
      <c r="EC1801" s="241"/>
      <c r="ED1801" s="241"/>
      <c r="EE1801" s="241"/>
      <c r="EG1801" s="241"/>
      <c r="EI1801" s="241"/>
      <c r="EK1801" s="241"/>
    </row>
    <row r="1802" spans="1:141" s="121" customFormat="1" x14ac:dyDescent="0.3">
      <c r="A1802" s="124"/>
      <c r="O1802" s="235"/>
      <c r="X1802" s="117"/>
      <c r="Y1802" s="117"/>
      <c r="DT1802" s="240"/>
      <c r="DU1802" s="240"/>
      <c r="DV1802" s="240"/>
      <c r="DW1802" s="240"/>
      <c r="DX1802" s="240"/>
      <c r="DY1802" s="240"/>
      <c r="DZ1802" s="240"/>
      <c r="EA1802" s="240"/>
      <c r="EB1802" s="237"/>
      <c r="EC1802" s="241"/>
      <c r="ED1802" s="241"/>
      <c r="EE1802" s="241"/>
      <c r="EG1802" s="241"/>
      <c r="EI1802" s="241"/>
      <c r="EK1802" s="241"/>
    </row>
    <row r="1803" spans="1:141" s="121" customFormat="1" x14ac:dyDescent="0.3">
      <c r="A1803" s="124"/>
      <c r="O1803" s="235"/>
      <c r="X1803" s="117"/>
      <c r="Y1803" s="117"/>
      <c r="DT1803" s="240"/>
      <c r="DU1803" s="240"/>
      <c r="DV1803" s="240"/>
      <c r="DW1803" s="240"/>
      <c r="DX1803" s="240"/>
      <c r="DY1803" s="240"/>
      <c r="DZ1803" s="240"/>
      <c r="EA1803" s="240"/>
      <c r="EB1803" s="237"/>
      <c r="EC1803" s="241"/>
      <c r="ED1803" s="241"/>
      <c r="EE1803" s="241"/>
      <c r="EG1803" s="241"/>
      <c r="EI1803" s="241"/>
      <c r="EK1803" s="241"/>
    </row>
    <row r="1804" spans="1:141" s="121" customFormat="1" x14ac:dyDescent="0.3">
      <c r="A1804" s="124"/>
      <c r="O1804" s="235"/>
      <c r="X1804" s="117"/>
      <c r="Y1804" s="117"/>
      <c r="DT1804" s="240"/>
      <c r="DU1804" s="240"/>
      <c r="DV1804" s="240"/>
      <c r="DW1804" s="240"/>
      <c r="DX1804" s="240"/>
      <c r="DY1804" s="240"/>
      <c r="DZ1804" s="240"/>
      <c r="EA1804" s="240"/>
      <c r="EB1804" s="237"/>
      <c r="EC1804" s="241"/>
      <c r="ED1804" s="241"/>
      <c r="EE1804" s="241"/>
      <c r="EG1804" s="241"/>
      <c r="EI1804" s="241"/>
      <c r="EK1804" s="241"/>
    </row>
    <row r="1805" spans="1:141" s="121" customFormat="1" x14ac:dyDescent="0.3">
      <c r="A1805" s="124"/>
      <c r="O1805" s="235"/>
      <c r="X1805" s="117"/>
      <c r="Y1805" s="117"/>
      <c r="DT1805" s="240"/>
      <c r="DU1805" s="240"/>
      <c r="DV1805" s="240"/>
      <c r="DW1805" s="240"/>
      <c r="DX1805" s="240"/>
      <c r="DY1805" s="240"/>
      <c r="DZ1805" s="240"/>
      <c r="EA1805" s="240"/>
      <c r="EB1805" s="237"/>
      <c r="EC1805" s="241"/>
      <c r="ED1805" s="241"/>
      <c r="EE1805" s="241"/>
      <c r="EG1805" s="241"/>
      <c r="EI1805" s="241"/>
      <c r="EK1805" s="241"/>
    </row>
    <row r="1806" spans="1:141" s="121" customFormat="1" x14ac:dyDescent="0.3">
      <c r="A1806" s="124"/>
      <c r="O1806" s="235"/>
      <c r="X1806" s="117"/>
      <c r="Y1806" s="117"/>
      <c r="DT1806" s="240"/>
      <c r="DU1806" s="240"/>
      <c r="DV1806" s="240"/>
      <c r="DW1806" s="240"/>
      <c r="DX1806" s="240"/>
      <c r="DY1806" s="240"/>
      <c r="DZ1806" s="240"/>
      <c r="EA1806" s="240"/>
      <c r="EB1806" s="237"/>
      <c r="EC1806" s="241"/>
      <c r="ED1806" s="241"/>
      <c r="EE1806" s="241"/>
      <c r="EG1806" s="241"/>
      <c r="EI1806" s="241"/>
      <c r="EK1806" s="241"/>
    </row>
    <row r="1807" spans="1:141" s="121" customFormat="1" x14ac:dyDescent="0.3">
      <c r="A1807" s="124"/>
      <c r="O1807" s="235"/>
      <c r="X1807" s="117"/>
      <c r="Y1807" s="117"/>
      <c r="DT1807" s="240"/>
      <c r="DU1807" s="240"/>
      <c r="DV1807" s="240"/>
      <c r="DW1807" s="240"/>
      <c r="DX1807" s="240"/>
      <c r="DY1807" s="240"/>
      <c r="DZ1807" s="240"/>
      <c r="EA1807" s="240"/>
      <c r="EB1807" s="237"/>
      <c r="EC1807" s="241"/>
      <c r="ED1807" s="241"/>
      <c r="EE1807" s="241"/>
      <c r="EG1807" s="241"/>
      <c r="EI1807" s="241"/>
      <c r="EK1807" s="241"/>
    </row>
    <row r="1808" spans="1:141" s="121" customFormat="1" x14ac:dyDescent="0.3">
      <c r="A1808" s="124"/>
      <c r="O1808" s="235"/>
      <c r="X1808" s="117"/>
      <c r="Y1808" s="117"/>
      <c r="DT1808" s="240"/>
      <c r="DU1808" s="240"/>
      <c r="DV1808" s="240"/>
      <c r="DW1808" s="240"/>
      <c r="DX1808" s="240"/>
      <c r="DY1808" s="240"/>
      <c r="DZ1808" s="240"/>
      <c r="EA1808" s="240"/>
      <c r="EB1808" s="237"/>
      <c r="EC1808" s="241"/>
      <c r="ED1808" s="241"/>
      <c r="EE1808" s="241"/>
      <c r="EG1808" s="241"/>
      <c r="EI1808" s="241"/>
      <c r="EK1808" s="241"/>
    </row>
    <row r="1809" spans="1:141" s="121" customFormat="1" x14ac:dyDescent="0.3">
      <c r="A1809" s="124"/>
      <c r="O1809" s="235"/>
      <c r="X1809" s="117"/>
      <c r="Y1809" s="117"/>
      <c r="DT1809" s="240"/>
      <c r="DU1809" s="240"/>
      <c r="DV1809" s="240"/>
      <c r="DW1809" s="240"/>
      <c r="DX1809" s="240"/>
      <c r="DY1809" s="240"/>
      <c r="DZ1809" s="240"/>
      <c r="EA1809" s="240"/>
      <c r="EB1809" s="237"/>
      <c r="EC1809" s="241"/>
      <c r="ED1809" s="241"/>
      <c r="EE1809" s="241"/>
      <c r="EG1809" s="241"/>
      <c r="EI1809" s="241"/>
      <c r="EK1809" s="241"/>
    </row>
    <row r="1810" spans="1:141" s="121" customFormat="1" x14ac:dyDescent="0.3">
      <c r="A1810" s="124"/>
      <c r="O1810" s="235"/>
      <c r="X1810" s="117"/>
      <c r="Y1810" s="117"/>
      <c r="DT1810" s="240"/>
      <c r="DU1810" s="240"/>
      <c r="DV1810" s="240"/>
      <c r="DW1810" s="240"/>
      <c r="DX1810" s="240"/>
      <c r="DY1810" s="240"/>
      <c r="DZ1810" s="240"/>
      <c r="EA1810" s="240"/>
      <c r="EB1810" s="237"/>
      <c r="EC1810" s="241"/>
      <c r="ED1810" s="241"/>
      <c r="EE1810" s="241"/>
      <c r="EG1810" s="241"/>
      <c r="EI1810" s="241"/>
      <c r="EK1810" s="241"/>
    </row>
    <row r="1811" spans="1:141" s="121" customFormat="1" x14ac:dyDescent="0.3">
      <c r="A1811" s="124"/>
      <c r="O1811" s="235"/>
      <c r="X1811" s="117"/>
      <c r="Y1811" s="117"/>
      <c r="DT1811" s="240"/>
      <c r="DU1811" s="240"/>
      <c r="DV1811" s="240"/>
      <c r="DW1811" s="240"/>
      <c r="DX1811" s="240"/>
      <c r="DY1811" s="240"/>
      <c r="DZ1811" s="240"/>
      <c r="EA1811" s="240"/>
      <c r="EB1811" s="237"/>
      <c r="EC1811" s="241"/>
      <c r="ED1811" s="241"/>
      <c r="EE1811" s="241"/>
      <c r="EG1811" s="241"/>
      <c r="EI1811" s="241"/>
      <c r="EK1811" s="241"/>
    </row>
    <row r="1812" spans="1:141" s="121" customFormat="1" x14ac:dyDescent="0.3">
      <c r="A1812" s="124"/>
      <c r="O1812" s="235"/>
      <c r="X1812" s="117"/>
      <c r="Y1812" s="117"/>
      <c r="DT1812" s="240"/>
      <c r="DU1812" s="240"/>
      <c r="DV1812" s="240"/>
      <c r="DW1812" s="240"/>
      <c r="DX1812" s="240"/>
      <c r="DY1812" s="240"/>
      <c r="DZ1812" s="240"/>
      <c r="EA1812" s="240"/>
      <c r="EB1812" s="237"/>
      <c r="EC1812" s="241"/>
      <c r="ED1812" s="241"/>
      <c r="EE1812" s="241"/>
      <c r="EG1812" s="241"/>
      <c r="EI1812" s="241"/>
      <c r="EK1812" s="241"/>
    </row>
    <row r="1813" spans="1:141" s="121" customFormat="1" x14ac:dyDescent="0.3">
      <c r="A1813" s="124"/>
      <c r="O1813" s="235"/>
      <c r="X1813" s="117"/>
      <c r="Y1813" s="117"/>
      <c r="DT1813" s="240"/>
      <c r="DU1813" s="240"/>
      <c r="DV1813" s="240"/>
      <c r="DW1813" s="240"/>
      <c r="DX1813" s="240"/>
      <c r="DY1813" s="240"/>
      <c r="DZ1813" s="240"/>
      <c r="EA1813" s="240"/>
      <c r="EB1813" s="237"/>
      <c r="EC1813" s="241"/>
      <c r="ED1813" s="241"/>
      <c r="EE1813" s="241"/>
      <c r="EG1813" s="241"/>
      <c r="EI1813" s="241"/>
      <c r="EK1813" s="241"/>
    </row>
    <row r="1814" spans="1:141" s="121" customFormat="1" x14ac:dyDescent="0.3">
      <c r="A1814" s="124"/>
      <c r="O1814" s="235"/>
      <c r="X1814" s="117"/>
      <c r="Y1814" s="117"/>
      <c r="DT1814" s="240"/>
      <c r="DU1814" s="240"/>
      <c r="DV1814" s="240"/>
      <c r="DW1814" s="240"/>
      <c r="DX1814" s="240"/>
      <c r="DY1814" s="240"/>
      <c r="DZ1814" s="240"/>
      <c r="EA1814" s="240"/>
      <c r="EB1814" s="237"/>
      <c r="EC1814" s="241"/>
      <c r="ED1814" s="241"/>
      <c r="EE1814" s="241"/>
      <c r="EG1814" s="241"/>
      <c r="EI1814" s="241"/>
      <c r="EK1814" s="241"/>
    </row>
    <row r="1815" spans="1:141" s="121" customFormat="1" x14ac:dyDescent="0.3">
      <c r="A1815" s="124"/>
      <c r="O1815" s="235"/>
      <c r="X1815" s="117"/>
      <c r="Y1815" s="117"/>
      <c r="DT1815" s="240"/>
      <c r="DU1815" s="240"/>
      <c r="DV1815" s="240"/>
      <c r="DW1815" s="240"/>
      <c r="DX1815" s="240"/>
      <c r="DY1815" s="240"/>
      <c r="DZ1815" s="240"/>
      <c r="EA1815" s="240"/>
      <c r="EB1815" s="237"/>
      <c r="EC1815" s="241"/>
      <c r="ED1815" s="241"/>
      <c r="EE1815" s="241"/>
      <c r="EG1815" s="241"/>
      <c r="EI1815" s="241"/>
      <c r="EK1815" s="241"/>
    </row>
    <row r="1816" spans="1:141" s="121" customFormat="1" x14ac:dyDescent="0.3">
      <c r="A1816" s="124"/>
      <c r="O1816" s="235"/>
      <c r="X1816" s="117"/>
      <c r="Y1816" s="117"/>
      <c r="DT1816" s="240"/>
      <c r="DU1816" s="240"/>
      <c r="DV1816" s="240"/>
      <c r="DW1816" s="240"/>
      <c r="DX1816" s="240"/>
      <c r="DY1816" s="240"/>
      <c r="DZ1816" s="240"/>
      <c r="EA1816" s="240"/>
      <c r="EB1816" s="237"/>
      <c r="EC1816" s="241"/>
      <c r="ED1816" s="241"/>
      <c r="EE1816" s="241"/>
      <c r="EG1816" s="241"/>
      <c r="EI1816" s="241"/>
      <c r="EK1816" s="241"/>
    </row>
    <row r="1817" spans="1:141" s="121" customFormat="1" x14ac:dyDescent="0.3">
      <c r="A1817" s="124"/>
      <c r="O1817" s="235"/>
      <c r="X1817" s="117"/>
      <c r="Y1817" s="117"/>
      <c r="DT1817" s="240"/>
      <c r="DU1817" s="240"/>
      <c r="DV1817" s="240"/>
      <c r="DW1817" s="240"/>
      <c r="DX1817" s="240"/>
      <c r="DY1817" s="240"/>
      <c r="DZ1817" s="240"/>
      <c r="EA1817" s="240"/>
      <c r="EB1817" s="237"/>
      <c r="EC1817" s="241"/>
      <c r="ED1817" s="241"/>
      <c r="EE1817" s="241"/>
      <c r="EG1817" s="241"/>
      <c r="EI1817" s="241"/>
      <c r="EK1817" s="241"/>
    </row>
    <row r="1818" spans="1:141" s="121" customFormat="1" x14ac:dyDescent="0.3">
      <c r="A1818" s="124"/>
      <c r="O1818" s="235"/>
      <c r="X1818" s="117"/>
      <c r="Y1818" s="117"/>
      <c r="DT1818" s="240"/>
      <c r="DU1818" s="240"/>
      <c r="DV1818" s="240"/>
      <c r="DW1818" s="240"/>
      <c r="DX1818" s="240"/>
      <c r="DY1818" s="240"/>
      <c r="DZ1818" s="240"/>
      <c r="EA1818" s="240"/>
      <c r="EB1818" s="237"/>
      <c r="EC1818" s="241"/>
      <c r="ED1818" s="241"/>
      <c r="EE1818" s="241"/>
      <c r="EG1818" s="241"/>
      <c r="EI1818" s="241"/>
      <c r="EK1818" s="241"/>
    </row>
    <row r="1819" spans="1:141" s="121" customFormat="1" x14ac:dyDescent="0.3">
      <c r="A1819" s="124"/>
      <c r="O1819" s="235"/>
      <c r="X1819" s="117"/>
      <c r="Y1819" s="117"/>
      <c r="DT1819" s="240"/>
      <c r="DU1819" s="240"/>
      <c r="DV1819" s="240"/>
      <c r="DW1819" s="240"/>
      <c r="DX1819" s="240"/>
      <c r="DY1819" s="240"/>
      <c r="DZ1819" s="240"/>
      <c r="EA1819" s="240"/>
      <c r="EB1819" s="237"/>
      <c r="EC1819" s="241"/>
      <c r="ED1819" s="241"/>
      <c r="EE1819" s="241"/>
      <c r="EG1819" s="241"/>
      <c r="EI1819" s="241"/>
      <c r="EK1819" s="241"/>
    </row>
    <row r="1820" spans="1:141" s="121" customFormat="1" x14ac:dyDescent="0.3">
      <c r="A1820" s="124"/>
      <c r="O1820" s="235"/>
      <c r="X1820" s="117"/>
      <c r="Y1820" s="117"/>
      <c r="DT1820" s="240"/>
      <c r="DU1820" s="240"/>
      <c r="DV1820" s="240"/>
      <c r="DW1820" s="240"/>
      <c r="DX1820" s="240"/>
      <c r="DY1820" s="240"/>
      <c r="DZ1820" s="240"/>
      <c r="EA1820" s="240"/>
      <c r="EB1820" s="237"/>
      <c r="EC1820" s="241"/>
      <c r="ED1820" s="241"/>
      <c r="EE1820" s="241"/>
      <c r="EG1820" s="241"/>
      <c r="EI1820" s="241"/>
      <c r="EK1820" s="241"/>
    </row>
    <row r="1821" spans="1:141" s="121" customFormat="1" x14ac:dyDescent="0.3">
      <c r="A1821" s="124"/>
      <c r="O1821" s="235"/>
      <c r="X1821" s="117"/>
      <c r="Y1821" s="117"/>
      <c r="DT1821" s="240"/>
      <c r="DU1821" s="240"/>
      <c r="DV1821" s="240"/>
      <c r="DW1821" s="240"/>
      <c r="DX1821" s="240"/>
      <c r="DY1821" s="240"/>
      <c r="DZ1821" s="240"/>
      <c r="EA1821" s="240"/>
      <c r="EB1821" s="237"/>
      <c r="EC1821" s="241"/>
      <c r="ED1821" s="241"/>
      <c r="EE1821" s="241"/>
      <c r="EG1821" s="241"/>
      <c r="EI1821" s="241"/>
      <c r="EK1821" s="241"/>
    </row>
    <row r="1822" spans="1:141" s="121" customFormat="1" x14ac:dyDescent="0.3">
      <c r="A1822" s="124"/>
      <c r="O1822" s="235"/>
      <c r="X1822" s="117"/>
      <c r="Y1822" s="117"/>
      <c r="DT1822" s="240"/>
      <c r="DU1822" s="240"/>
      <c r="DV1822" s="240"/>
      <c r="DW1822" s="240"/>
      <c r="DX1822" s="240"/>
      <c r="DY1822" s="240"/>
      <c r="DZ1822" s="240"/>
      <c r="EA1822" s="240"/>
      <c r="EB1822" s="237"/>
      <c r="EC1822" s="241"/>
      <c r="ED1822" s="241"/>
      <c r="EE1822" s="241"/>
      <c r="EG1822" s="241"/>
      <c r="EI1822" s="241"/>
      <c r="EK1822" s="241"/>
    </row>
    <row r="1823" spans="1:141" s="121" customFormat="1" x14ac:dyDescent="0.3">
      <c r="A1823" s="124"/>
      <c r="O1823" s="235"/>
      <c r="X1823" s="117"/>
      <c r="Y1823" s="117"/>
      <c r="DT1823" s="240"/>
      <c r="DU1823" s="240"/>
      <c r="DV1823" s="240"/>
      <c r="DW1823" s="240"/>
      <c r="DX1823" s="240"/>
      <c r="DY1823" s="240"/>
      <c r="DZ1823" s="240"/>
      <c r="EA1823" s="240"/>
      <c r="EB1823" s="237"/>
      <c r="EC1823" s="241"/>
      <c r="ED1823" s="241"/>
      <c r="EE1823" s="241"/>
      <c r="EG1823" s="241"/>
      <c r="EI1823" s="241"/>
      <c r="EK1823" s="241"/>
    </row>
    <row r="1824" spans="1:141" s="121" customFormat="1" x14ac:dyDescent="0.3">
      <c r="A1824" s="124"/>
      <c r="O1824" s="235"/>
      <c r="X1824" s="117"/>
      <c r="Y1824" s="117"/>
      <c r="DT1824" s="240"/>
      <c r="DU1824" s="240"/>
      <c r="DV1824" s="240"/>
      <c r="DW1824" s="240"/>
      <c r="DX1824" s="240"/>
      <c r="DY1824" s="240"/>
      <c r="DZ1824" s="240"/>
      <c r="EA1824" s="240"/>
      <c r="EB1824" s="237"/>
      <c r="EC1824" s="241"/>
      <c r="ED1824" s="241"/>
      <c r="EE1824" s="241"/>
      <c r="EG1824" s="241"/>
      <c r="EI1824" s="241"/>
      <c r="EK1824" s="241"/>
    </row>
    <row r="1825" spans="1:141" s="121" customFormat="1" x14ac:dyDescent="0.3">
      <c r="A1825" s="124"/>
      <c r="O1825" s="235"/>
      <c r="X1825" s="117"/>
      <c r="Y1825" s="117"/>
      <c r="DT1825" s="240"/>
      <c r="DU1825" s="240"/>
      <c r="DV1825" s="240"/>
      <c r="DW1825" s="240"/>
      <c r="DX1825" s="240"/>
      <c r="DY1825" s="240"/>
      <c r="DZ1825" s="240"/>
      <c r="EA1825" s="240"/>
      <c r="EB1825" s="237"/>
      <c r="EC1825" s="241"/>
      <c r="ED1825" s="241"/>
      <c r="EE1825" s="241"/>
      <c r="EG1825" s="241"/>
      <c r="EI1825" s="241"/>
      <c r="EK1825" s="241"/>
    </row>
    <row r="1826" spans="1:141" s="121" customFormat="1" x14ac:dyDescent="0.3">
      <c r="A1826" s="124"/>
      <c r="O1826" s="235"/>
      <c r="X1826" s="117"/>
      <c r="Y1826" s="117"/>
      <c r="DT1826" s="240"/>
      <c r="DU1826" s="240"/>
      <c r="DV1826" s="240"/>
      <c r="DW1826" s="240"/>
      <c r="DX1826" s="240"/>
      <c r="DY1826" s="240"/>
      <c r="DZ1826" s="240"/>
      <c r="EA1826" s="240"/>
      <c r="EB1826" s="237"/>
      <c r="EC1826" s="241"/>
      <c r="ED1826" s="241"/>
      <c r="EE1826" s="241"/>
      <c r="EG1826" s="241"/>
      <c r="EI1826" s="241"/>
      <c r="EK1826" s="241"/>
    </row>
    <row r="1827" spans="1:141" s="121" customFormat="1" x14ac:dyDescent="0.3">
      <c r="A1827" s="124"/>
      <c r="O1827" s="235"/>
      <c r="X1827" s="117"/>
      <c r="Y1827" s="117"/>
      <c r="DT1827" s="240"/>
      <c r="DU1827" s="240"/>
      <c r="DV1827" s="240"/>
      <c r="DW1827" s="240"/>
      <c r="DX1827" s="240"/>
      <c r="DY1827" s="240"/>
      <c r="DZ1827" s="240"/>
      <c r="EA1827" s="240"/>
      <c r="EB1827" s="237"/>
      <c r="EC1827" s="241"/>
      <c r="ED1827" s="241"/>
      <c r="EE1827" s="241"/>
      <c r="EG1827" s="241"/>
      <c r="EI1827" s="241"/>
      <c r="EK1827" s="241"/>
    </row>
    <row r="1828" spans="1:141" s="121" customFormat="1" x14ac:dyDescent="0.3">
      <c r="A1828" s="124"/>
      <c r="O1828" s="235"/>
      <c r="X1828" s="117"/>
      <c r="Y1828" s="117"/>
      <c r="DT1828" s="240"/>
      <c r="DU1828" s="240"/>
      <c r="DV1828" s="240"/>
      <c r="DW1828" s="240"/>
      <c r="DX1828" s="240"/>
      <c r="DY1828" s="240"/>
      <c r="DZ1828" s="240"/>
      <c r="EA1828" s="240"/>
      <c r="EB1828" s="237"/>
      <c r="EC1828" s="241"/>
      <c r="ED1828" s="241"/>
      <c r="EE1828" s="241"/>
      <c r="EG1828" s="241"/>
      <c r="EI1828" s="241"/>
      <c r="EK1828" s="241"/>
    </row>
    <row r="1829" spans="1:141" s="121" customFormat="1" x14ac:dyDescent="0.3">
      <c r="A1829" s="124"/>
      <c r="O1829" s="235"/>
      <c r="X1829" s="117"/>
      <c r="Y1829" s="117"/>
      <c r="DT1829" s="240"/>
      <c r="DU1829" s="240"/>
      <c r="DV1829" s="240"/>
      <c r="DW1829" s="240"/>
      <c r="DX1829" s="240"/>
      <c r="DY1829" s="240"/>
      <c r="DZ1829" s="240"/>
      <c r="EA1829" s="240"/>
      <c r="EB1829" s="237"/>
      <c r="EC1829" s="241"/>
      <c r="ED1829" s="241"/>
      <c r="EE1829" s="241"/>
      <c r="EG1829" s="241"/>
      <c r="EI1829" s="241"/>
      <c r="EK1829" s="241"/>
    </row>
    <row r="1830" spans="1:141" s="121" customFormat="1" x14ac:dyDescent="0.3">
      <c r="A1830" s="124"/>
      <c r="O1830" s="235"/>
      <c r="X1830" s="117"/>
      <c r="Y1830" s="117"/>
      <c r="DT1830" s="240"/>
      <c r="DU1830" s="240"/>
      <c r="DV1830" s="240"/>
      <c r="DW1830" s="240"/>
      <c r="DX1830" s="240"/>
      <c r="DY1830" s="240"/>
      <c r="DZ1830" s="240"/>
      <c r="EA1830" s="240"/>
      <c r="EB1830" s="237"/>
      <c r="EC1830" s="241"/>
      <c r="ED1830" s="241"/>
      <c r="EE1830" s="241"/>
      <c r="EG1830" s="241"/>
      <c r="EI1830" s="241"/>
      <c r="EK1830" s="241"/>
    </row>
    <row r="1831" spans="1:141" s="121" customFormat="1" x14ac:dyDescent="0.3">
      <c r="A1831" s="124"/>
      <c r="O1831" s="235"/>
      <c r="X1831" s="117"/>
      <c r="Y1831" s="117"/>
      <c r="DT1831" s="240"/>
      <c r="DU1831" s="240"/>
      <c r="DV1831" s="240"/>
      <c r="DW1831" s="240"/>
      <c r="DX1831" s="240"/>
      <c r="DY1831" s="240"/>
      <c r="DZ1831" s="240"/>
      <c r="EA1831" s="240"/>
      <c r="EB1831" s="237"/>
      <c r="EC1831" s="241"/>
      <c r="ED1831" s="241"/>
      <c r="EE1831" s="241"/>
      <c r="EG1831" s="241"/>
      <c r="EI1831" s="241"/>
      <c r="EK1831" s="241"/>
    </row>
    <row r="1832" spans="1:141" s="121" customFormat="1" x14ac:dyDescent="0.3">
      <c r="A1832" s="124"/>
      <c r="O1832" s="235"/>
      <c r="X1832" s="117"/>
      <c r="Y1832" s="117"/>
      <c r="DT1832" s="240"/>
      <c r="DU1832" s="240"/>
      <c r="DV1832" s="240"/>
      <c r="DW1832" s="240"/>
      <c r="DX1832" s="240"/>
      <c r="DY1832" s="240"/>
      <c r="DZ1832" s="240"/>
      <c r="EA1832" s="240"/>
      <c r="EB1832" s="237"/>
      <c r="EC1832" s="241"/>
      <c r="ED1832" s="241"/>
      <c r="EE1832" s="241"/>
      <c r="EG1832" s="241"/>
      <c r="EI1832" s="241"/>
      <c r="EK1832" s="241"/>
    </row>
    <row r="1833" spans="1:141" s="121" customFormat="1" x14ac:dyDescent="0.3">
      <c r="A1833" s="124"/>
      <c r="O1833" s="235"/>
      <c r="X1833" s="117"/>
      <c r="Y1833" s="117"/>
      <c r="DT1833" s="240"/>
      <c r="DU1833" s="240"/>
      <c r="DV1833" s="240"/>
      <c r="DW1833" s="240"/>
      <c r="DX1833" s="240"/>
      <c r="DY1833" s="240"/>
      <c r="DZ1833" s="240"/>
      <c r="EA1833" s="240"/>
      <c r="EB1833" s="237"/>
      <c r="EC1833" s="241"/>
      <c r="ED1833" s="241"/>
      <c r="EE1833" s="241"/>
      <c r="EG1833" s="241"/>
      <c r="EI1833" s="241"/>
      <c r="EK1833" s="241"/>
    </row>
    <row r="1834" spans="1:141" s="121" customFormat="1" x14ac:dyDescent="0.3">
      <c r="A1834" s="124"/>
      <c r="O1834" s="235"/>
      <c r="X1834" s="117"/>
      <c r="Y1834" s="117"/>
      <c r="DT1834" s="240"/>
      <c r="DU1834" s="240"/>
      <c r="DV1834" s="240"/>
      <c r="DW1834" s="240"/>
      <c r="DX1834" s="240"/>
      <c r="DY1834" s="240"/>
      <c r="DZ1834" s="240"/>
      <c r="EA1834" s="240"/>
      <c r="EB1834" s="237"/>
      <c r="EC1834" s="241"/>
      <c r="ED1834" s="241"/>
      <c r="EE1834" s="241"/>
      <c r="EG1834" s="241"/>
      <c r="EI1834" s="241"/>
      <c r="EK1834" s="241"/>
    </row>
    <row r="1835" spans="1:141" s="121" customFormat="1" x14ac:dyDescent="0.3">
      <c r="A1835" s="124"/>
      <c r="O1835" s="235"/>
      <c r="X1835" s="117"/>
      <c r="Y1835" s="117"/>
      <c r="DT1835" s="240"/>
      <c r="DU1835" s="240"/>
      <c r="DV1835" s="240"/>
      <c r="DW1835" s="240"/>
      <c r="DX1835" s="240"/>
      <c r="DY1835" s="240"/>
      <c r="DZ1835" s="240"/>
      <c r="EA1835" s="240"/>
      <c r="EB1835" s="237"/>
      <c r="EC1835" s="241"/>
      <c r="ED1835" s="241"/>
      <c r="EE1835" s="241"/>
      <c r="EG1835" s="241"/>
      <c r="EI1835" s="241"/>
      <c r="EK1835" s="241"/>
    </row>
    <row r="1836" spans="1:141" s="121" customFormat="1" x14ac:dyDescent="0.3">
      <c r="A1836" s="124"/>
      <c r="O1836" s="235"/>
      <c r="X1836" s="117"/>
      <c r="Y1836" s="117"/>
      <c r="DT1836" s="240"/>
      <c r="DU1836" s="240"/>
      <c r="DV1836" s="240"/>
      <c r="DW1836" s="240"/>
      <c r="DX1836" s="240"/>
      <c r="DY1836" s="240"/>
      <c r="DZ1836" s="240"/>
      <c r="EA1836" s="240"/>
      <c r="EB1836" s="237"/>
      <c r="EC1836" s="241"/>
      <c r="ED1836" s="241"/>
      <c r="EE1836" s="241"/>
      <c r="EG1836" s="241"/>
      <c r="EI1836" s="241"/>
      <c r="EK1836" s="241"/>
    </row>
    <row r="1837" spans="1:141" s="121" customFormat="1" x14ac:dyDescent="0.3">
      <c r="A1837" s="124"/>
      <c r="O1837" s="235"/>
      <c r="X1837" s="117"/>
      <c r="Y1837" s="117"/>
      <c r="DT1837" s="240"/>
      <c r="DU1837" s="240"/>
      <c r="DV1837" s="240"/>
      <c r="DW1837" s="240"/>
      <c r="DX1837" s="240"/>
      <c r="DY1837" s="240"/>
      <c r="DZ1837" s="240"/>
      <c r="EA1837" s="240"/>
      <c r="EB1837" s="237"/>
      <c r="EC1837" s="241"/>
      <c r="ED1837" s="241"/>
      <c r="EE1837" s="241"/>
      <c r="EG1837" s="241"/>
      <c r="EI1837" s="241"/>
      <c r="EK1837" s="241"/>
    </row>
    <row r="1838" spans="1:141" s="121" customFormat="1" x14ac:dyDescent="0.3">
      <c r="A1838" s="124"/>
      <c r="O1838" s="235"/>
      <c r="X1838" s="117"/>
      <c r="Y1838" s="117"/>
      <c r="DT1838" s="240"/>
      <c r="DU1838" s="240"/>
      <c r="DV1838" s="240"/>
      <c r="DW1838" s="240"/>
      <c r="DX1838" s="240"/>
      <c r="DY1838" s="240"/>
      <c r="DZ1838" s="240"/>
      <c r="EA1838" s="240"/>
      <c r="EB1838" s="237"/>
      <c r="EC1838" s="241"/>
      <c r="ED1838" s="241"/>
      <c r="EE1838" s="241"/>
      <c r="EG1838" s="241"/>
      <c r="EI1838" s="241"/>
      <c r="EK1838" s="241"/>
    </row>
    <row r="1839" spans="1:141" s="121" customFormat="1" x14ac:dyDescent="0.3">
      <c r="A1839" s="124"/>
      <c r="O1839" s="235"/>
      <c r="X1839" s="117"/>
      <c r="Y1839" s="117"/>
      <c r="DT1839" s="240"/>
      <c r="DU1839" s="240"/>
      <c r="DV1839" s="240"/>
      <c r="DW1839" s="240"/>
      <c r="DX1839" s="240"/>
      <c r="DY1839" s="240"/>
      <c r="DZ1839" s="240"/>
      <c r="EA1839" s="240"/>
      <c r="EB1839" s="237"/>
      <c r="EC1839" s="241"/>
      <c r="ED1839" s="241"/>
      <c r="EE1839" s="241"/>
      <c r="EG1839" s="241"/>
      <c r="EI1839" s="241"/>
      <c r="EK1839" s="241"/>
    </row>
    <row r="1840" spans="1:141" s="121" customFormat="1" x14ac:dyDescent="0.3">
      <c r="A1840" s="124"/>
      <c r="O1840" s="235"/>
      <c r="X1840" s="117"/>
      <c r="Y1840" s="117"/>
      <c r="DT1840" s="240"/>
      <c r="DU1840" s="240"/>
      <c r="DV1840" s="240"/>
      <c r="DW1840" s="240"/>
      <c r="DX1840" s="240"/>
      <c r="DY1840" s="240"/>
      <c r="DZ1840" s="240"/>
      <c r="EA1840" s="240"/>
      <c r="EB1840" s="237"/>
      <c r="EC1840" s="241"/>
      <c r="ED1840" s="241"/>
      <c r="EE1840" s="241"/>
      <c r="EG1840" s="241"/>
      <c r="EI1840" s="241"/>
      <c r="EK1840" s="241"/>
    </row>
    <row r="1841" spans="1:141" s="121" customFormat="1" x14ac:dyDescent="0.3">
      <c r="A1841" s="124"/>
      <c r="O1841" s="235"/>
      <c r="X1841" s="117"/>
      <c r="Y1841" s="117"/>
      <c r="DT1841" s="240"/>
      <c r="DU1841" s="240"/>
      <c r="DV1841" s="240"/>
      <c r="DW1841" s="240"/>
      <c r="DX1841" s="240"/>
      <c r="DY1841" s="240"/>
      <c r="DZ1841" s="240"/>
      <c r="EA1841" s="240"/>
      <c r="EB1841" s="237"/>
      <c r="EC1841" s="241"/>
      <c r="ED1841" s="241"/>
      <c r="EE1841" s="241"/>
      <c r="EG1841" s="241"/>
      <c r="EI1841" s="241"/>
      <c r="EK1841" s="241"/>
    </row>
    <row r="1842" spans="1:141" s="121" customFormat="1" x14ac:dyDescent="0.3">
      <c r="A1842" s="124"/>
      <c r="O1842" s="235"/>
      <c r="X1842" s="117"/>
      <c r="Y1842" s="117"/>
      <c r="DT1842" s="240"/>
      <c r="DU1842" s="240"/>
      <c r="DV1842" s="240"/>
      <c r="DW1842" s="240"/>
      <c r="DX1842" s="240"/>
      <c r="DY1842" s="240"/>
      <c r="DZ1842" s="240"/>
      <c r="EA1842" s="240"/>
      <c r="EB1842" s="237"/>
      <c r="EC1842" s="241"/>
      <c r="ED1842" s="241"/>
      <c r="EE1842" s="241"/>
      <c r="EG1842" s="241"/>
      <c r="EI1842" s="241"/>
      <c r="EK1842" s="241"/>
    </row>
    <row r="1843" spans="1:141" s="121" customFormat="1" x14ac:dyDescent="0.3">
      <c r="A1843" s="124"/>
      <c r="O1843" s="235"/>
      <c r="X1843" s="117"/>
      <c r="Y1843" s="117"/>
      <c r="DT1843" s="240"/>
      <c r="DU1843" s="240"/>
      <c r="DV1843" s="240"/>
      <c r="DW1843" s="240"/>
      <c r="DX1843" s="240"/>
      <c r="DY1843" s="240"/>
      <c r="DZ1843" s="240"/>
      <c r="EA1843" s="240"/>
      <c r="EB1843" s="237"/>
      <c r="EC1843" s="241"/>
      <c r="ED1843" s="241"/>
      <c r="EE1843" s="241"/>
      <c r="EG1843" s="241"/>
      <c r="EI1843" s="241"/>
      <c r="EK1843" s="241"/>
    </row>
    <row r="1844" spans="1:141" s="121" customFormat="1" x14ac:dyDescent="0.3">
      <c r="A1844" s="124"/>
      <c r="O1844" s="235"/>
      <c r="X1844" s="117"/>
      <c r="Y1844" s="117"/>
      <c r="DT1844" s="240"/>
      <c r="DU1844" s="240"/>
      <c r="DV1844" s="240"/>
      <c r="DW1844" s="240"/>
      <c r="DX1844" s="240"/>
      <c r="DY1844" s="240"/>
      <c r="DZ1844" s="240"/>
      <c r="EA1844" s="240"/>
      <c r="EB1844" s="237"/>
      <c r="EC1844" s="241"/>
      <c r="ED1844" s="241"/>
      <c r="EE1844" s="241"/>
      <c r="EG1844" s="241"/>
      <c r="EI1844" s="241"/>
      <c r="EK1844" s="241"/>
    </row>
    <row r="1845" spans="1:141" s="121" customFormat="1" x14ac:dyDescent="0.3">
      <c r="A1845" s="124"/>
      <c r="O1845" s="235"/>
      <c r="X1845" s="117"/>
      <c r="Y1845" s="117"/>
      <c r="DT1845" s="240"/>
      <c r="DU1845" s="240"/>
      <c r="DV1845" s="240"/>
      <c r="DW1845" s="240"/>
      <c r="DX1845" s="240"/>
      <c r="DY1845" s="240"/>
      <c r="DZ1845" s="240"/>
      <c r="EA1845" s="240"/>
      <c r="EB1845" s="237"/>
      <c r="EC1845" s="241"/>
      <c r="ED1845" s="241"/>
      <c r="EE1845" s="241"/>
      <c r="EG1845" s="241"/>
      <c r="EI1845" s="241"/>
      <c r="EK1845" s="241"/>
    </row>
    <row r="1846" spans="1:141" s="121" customFormat="1" x14ac:dyDescent="0.3">
      <c r="A1846" s="124"/>
      <c r="O1846" s="235"/>
      <c r="X1846" s="117"/>
      <c r="Y1846" s="117"/>
      <c r="DT1846" s="240"/>
      <c r="DU1846" s="240"/>
      <c r="DV1846" s="240"/>
      <c r="DW1846" s="240"/>
      <c r="DX1846" s="240"/>
      <c r="DY1846" s="240"/>
      <c r="DZ1846" s="240"/>
      <c r="EA1846" s="240"/>
      <c r="EB1846" s="237"/>
      <c r="EC1846" s="241"/>
      <c r="ED1846" s="241"/>
      <c r="EE1846" s="241"/>
      <c r="EG1846" s="241"/>
      <c r="EI1846" s="241"/>
      <c r="EK1846" s="241"/>
    </row>
    <row r="1847" spans="1:141" s="121" customFormat="1" x14ac:dyDescent="0.3">
      <c r="A1847" s="124"/>
      <c r="O1847" s="235"/>
      <c r="X1847" s="117"/>
      <c r="Y1847" s="117"/>
      <c r="DT1847" s="240"/>
      <c r="DU1847" s="240"/>
      <c r="DV1847" s="240"/>
      <c r="DW1847" s="240"/>
      <c r="DX1847" s="240"/>
      <c r="DY1847" s="240"/>
      <c r="DZ1847" s="240"/>
      <c r="EA1847" s="240"/>
      <c r="EB1847" s="237"/>
      <c r="EC1847" s="241"/>
      <c r="ED1847" s="241"/>
      <c r="EE1847" s="241"/>
      <c r="EG1847" s="241"/>
      <c r="EI1847" s="241"/>
      <c r="EK1847" s="241"/>
    </row>
    <row r="1848" spans="1:141" s="121" customFormat="1" x14ac:dyDescent="0.3">
      <c r="A1848" s="124"/>
      <c r="O1848" s="235"/>
      <c r="X1848" s="117"/>
      <c r="Y1848" s="117"/>
      <c r="DT1848" s="240"/>
      <c r="DU1848" s="240"/>
      <c r="DV1848" s="240"/>
      <c r="DW1848" s="240"/>
      <c r="DX1848" s="240"/>
      <c r="DY1848" s="240"/>
      <c r="DZ1848" s="240"/>
      <c r="EA1848" s="240"/>
      <c r="EB1848" s="237"/>
      <c r="EC1848" s="241"/>
      <c r="ED1848" s="241"/>
      <c r="EE1848" s="241"/>
      <c r="EG1848" s="241"/>
      <c r="EI1848" s="241"/>
      <c r="EK1848" s="241"/>
    </row>
    <row r="1849" spans="1:141" s="121" customFormat="1" x14ac:dyDescent="0.3">
      <c r="A1849" s="124"/>
      <c r="O1849" s="235"/>
      <c r="X1849" s="117"/>
      <c r="Y1849" s="117"/>
      <c r="DT1849" s="240"/>
      <c r="DU1849" s="240"/>
      <c r="DV1849" s="240"/>
      <c r="DW1849" s="240"/>
      <c r="DX1849" s="240"/>
      <c r="DY1849" s="240"/>
      <c r="DZ1849" s="240"/>
      <c r="EA1849" s="240"/>
      <c r="EB1849" s="237"/>
      <c r="EC1849" s="241"/>
      <c r="ED1849" s="241"/>
      <c r="EE1849" s="241"/>
      <c r="EG1849" s="241"/>
      <c r="EI1849" s="241"/>
      <c r="EK1849" s="241"/>
    </row>
    <row r="1850" spans="1:141" s="121" customFormat="1" x14ac:dyDescent="0.3">
      <c r="A1850" s="124"/>
      <c r="O1850" s="235"/>
      <c r="X1850" s="117"/>
      <c r="Y1850" s="117"/>
      <c r="DT1850" s="240"/>
      <c r="DU1850" s="240"/>
      <c r="DV1850" s="240"/>
      <c r="DW1850" s="240"/>
      <c r="DX1850" s="240"/>
      <c r="DY1850" s="240"/>
      <c r="DZ1850" s="240"/>
      <c r="EA1850" s="240"/>
      <c r="EB1850" s="237"/>
      <c r="EC1850" s="241"/>
      <c r="ED1850" s="241"/>
      <c r="EE1850" s="241"/>
      <c r="EG1850" s="241"/>
      <c r="EI1850" s="241"/>
      <c r="EK1850" s="241"/>
    </row>
    <row r="1851" spans="1:141" s="121" customFormat="1" x14ac:dyDescent="0.3">
      <c r="A1851" s="124"/>
      <c r="O1851" s="235"/>
      <c r="X1851" s="117"/>
      <c r="Y1851" s="117"/>
      <c r="DT1851" s="240"/>
      <c r="DU1851" s="240"/>
      <c r="DV1851" s="240"/>
      <c r="DW1851" s="240"/>
      <c r="DX1851" s="240"/>
      <c r="DY1851" s="240"/>
      <c r="DZ1851" s="240"/>
      <c r="EA1851" s="240"/>
      <c r="EB1851" s="237"/>
      <c r="EC1851" s="241"/>
      <c r="ED1851" s="241"/>
      <c r="EE1851" s="241"/>
      <c r="EG1851" s="241"/>
      <c r="EI1851" s="241"/>
      <c r="EK1851" s="241"/>
    </row>
    <row r="1852" spans="1:141" s="121" customFormat="1" x14ac:dyDescent="0.3">
      <c r="A1852" s="124"/>
      <c r="O1852" s="235"/>
      <c r="X1852" s="117"/>
      <c r="Y1852" s="117"/>
      <c r="DT1852" s="240"/>
      <c r="DU1852" s="240"/>
      <c r="DV1852" s="240"/>
      <c r="DW1852" s="240"/>
      <c r="DX1852" s="240"/>
      <c r="DY1852" s="240"/>
      <c r="DZ1852" s="240"/>
      <c r="EA1852" s="240"/>
      <c r="EB1852" s="237"/>
      <c r="EC1852" s="241"/>
      <c r="ED1852" s="241"/>
      <c r="EE1852" s="241"/>
      <c r="EG1852" s="241"/>
      <c r="EI1852" s="241"/>
      <c r="EK1852" s="241"/>
    </row>
    <row r="1853" spans="1:141" s="121" customFormat="1" x14ac:dyDescent="0.3">
      <c r="A1853" s="124"/>
      <c r="O1853" s="235"/>
      <c r="X1853" s="117"/>
      <c r="Y1853" s="117"/>
      <c r="DT1853" s="240"/>
      <c r="DU1853" s="240"/>
      <c r="DV1853" s="240"/>
      <c r="DW1853" s="240"/>
      <c r="DX1853" s="240"/>
      <c r="DY1853" s="240"/>
      <c r="DZ1853" s="240"/>
      <c r="EA1853" s="240"/>
      <c r="EB1853" s="237"/>
      <c r="EC1853" s="241"/>
      <c r="ED1853" s="241"/>
      <c r="EE1853" s="241"/>
      <c r="EG1853" s="241"/>
      <c r="EI1853" s="241"/>
      <c r="EK1853" s="241"/>
    </row>
    <row r="1854" spans="1:141" s="121" customFormat="1" x14ac:dyDescent="0.3">
      <c r="A1854" s="124"/>
      <c r="O1854" s="235"/>
      <c r="X1854" s="117"/>
      <c r="Y1854" s="117"/>
      <c r="DT1854" s="240"/>
      <c r="DU1854" s="240"/>
      <c r="DV1854" s="240"/>
      <c r="DW1854" s="240"/>
      <c r="DX1854" s="240"/>
      <c r="DY1854" s="240"/>
      <c r="DZ1854" s="240"/>
      <c r="EA1854" s="240"/>
      <c r="EB1854" s="237"/>
      <c r="EC1854" s="241"/>
      <c r="ED1854" s="241"/>
      <c r="EE1854" s="241"/>
      <c r="EG1854" s="241"/>
      <c r="EI1854" s="241"/>
      <c r="EK1854" s="241"/>
    </row>
    <row r="1855" spans="1:141" s="121" customFormat="1" x14ac:dyDescent="0.3">
      <c r="A1855" s="124"/>
      <c r="O1855" s="235"/>
      <c r="X1855" s="117"/>
      <c r="Y1855" s="117"/>
      <c r="DT1855" s="240"/>
      <c r="DU1855" s="240"/>
      <c r="DV1855" s="240"/>
      <c r="DW1855" s="240"/>
      <c r="DX1855" s="240"/>
      <c r="DY1855" s="240"/>
      <c r="DZ1855" s="240"/>
      <c r="EA1855" s="240"/>
      <c r="EB1855" s="237"/>
      <c r="EC1855" s="241"/>
      <c r="ED1855" s="241"/>
      <c r="EE1855" s="241"/>
      <c r="EG1855" s="241"/>
      <c r="EI1855" s="241"/>
      <c r="EK1855" s="241"/>
    </row>
    <row r="1856" spans="1:141" s="121" customFormat="1" x14ac:dyDescent="0.3">
      <c r="A1856" s="124"/>
      <c r="O1856" s="235"/>
      <c r="X1856" s="117"/>
      <c r="Y1856" s="117"/>
      <c r="DT1856" s="240"/>
      <c r="DU1856" s="240"/>
      <c r="DV1856" s="240"/>
      <c r="DW1856" s="240"/>
      <c r="DX1856" s="240"/>
      <c r="DY1856" s="240"/>
      <c r="DZ1856" s="240"/>
      <c r="EA1856" s="240"/>
      <c r="EB1856" s="237"/>
      <c r="EC1856" s="241"/>
      <c r="ED1856" s="241"/>
      <c r="EE1856" s="241"/>
      <c r="EG1856" s="241"/>
      <c r="EI1856" s="241"/>
      <c r="EK1856" s="241"/>
    </row>
    <row r="1857" spans="1:141" s="121" customFormat="1" x14ac:dyDescent="0.3">
      <c r="A1857" s="124"/>
      <c r="O1857" s="235"/>
      <c r="X1857" s="117"/>
      <c r="Y1857" s="117"/>
      <c r="DT1857" s="240"/>
      <c r="DU1857" s="240"/>
      <c r="DV1857" s="240"/>
      <c r="DW1857" s="240"/>
      <c r="DX1857" s="240"/>
      <c r="DY1857" s="240"/>
      <c r="DZ1857" s="240"/>
      <c r="EA1857" s="240"/>
      <c r="EB1857" s="237"/>
      <c r="EC1857" s="241"/>
      <c r="ED1857" s="241"/>
      <c r="EE1857" s="241"/>
      <c r="EG1857" s="241"/>
      <c r="EI1857" s="241"/>
      <c r="EK1857" s="241"/>
    </row>
    <row r="1858" spans="1:141" s="121" customFormat="1" x14ac:dyDescent="0.3">
      <c r="A1858" s="124"/>
      <c r="O1858" s="235"/>
      <c r="X1858" s="117"/>
      <c r="Y1858" s="117"/>
      <c r="DT1858" s="240"/>
      <c r="DU1858" s="240"/>
      <c r="DV1858" s="240"/>
      <c r="DW1858" s="240"/>
      <c r="DX1858" s="240"/>
      <c r="DY1858" s="240"/>
      <c r="DZ1858" s="240"/>
      <c r="EA1858" s="240"/>
      <c r="EB1858" s="237"/>
      <c r="EC1858" s="241"/>
      <c r="ED1858" s="241"/>
      <c r="EE1858" s="241"/>
      <c r="EG1858" s="241"/>
      <c r="EI1858" s="241"/>
      <c r="EK1858" s="241"/>
    </row>
    <row r="1859" spans="1:141" s="121" customFormat="1" x14ac:dyDescent="0.3">
      <c r="A1859" s="124"/>
      <c r="O1859" s="235"/>
      <c r="X1859" s="117"/>
      <c r="Y1859" s="117"/>
      <c r="DT1859" s="240"/>
      <c r="DU1859" s="240"/>
      <c r="DV1859" s="240"/>
      <c r="DW1859" s="240"/>
      <c r="DX1859" s="240"/>
      <c r="DY1859" s="240"/>
      <c r="DZ1859" s="240"/>
      <c r="EA1859" s="240"/>
      <c r="EB1859" s="237"/>
      <c r="EC1859" s="241"/>
      <c r="ED1859" s="241"/>
      <c r="EE1859" s="241"/>
      <c r="EG1859" s="241"/>
      <c r="EI1859" s="241"/>
      <c r="EK1859" s="241"/>
    </row>
    <row r="1860" spans="1:141" s="121" customFormat="1" x14ac:dyDescent="0.3">
      <c r="A1860" s="124"/>
      <c r="O1860" s="235"/>
      <c r="X1860" s="117"/>
      <c r="Y1860" s="117"/>
      <c r="DT1860" s="240"/>
      <c r="DU1860" s="240"/>
      <c r="DV1860" s="240"/>
      <c r="DW1860" s="240"/>
      <c r="DX1860" s="240"/>
      <c r="DY1860" s="240"/>
      <c r="DZ1860" s="240"/>
      <c r="EA1860" s="240"/>
      <c r="EB1860" s="237"/>
      <c r="EC1860" s="241"/>
      <c r="ED1860" s="241"/>
      <c r="EE1860" s="241"/>
      <c r="EG1860" s="241"/>
      <c r="EI1860" s="241"/>
      <c r="EK1860" s="241"/>
    </row>
    <row r="1861" spans="1:141" s="121" customFormat="1" x14ac:dyDescent="0.3">
      <c r="A1861" s="124"/>
      <c r="O1861" s="235"/>
      <c r="X1861" s="117"/>
      <c r="Y1861" s="117"/>
      <c r="DT1861" s="240"/>
      <c r="DU1861" s="240"/>
      <c r="DV1861" s="240"/>
      <c r="DW1861" s="240"/>
      <c r="DX1861" s="240"/>
      <c r="DY1861" s="240"/>
      <c r="DZ1861" s="240"/>
      <c r="EA1861" s="240"/>
      <c r="EB1861" s="237"/>
      <c r="EC1861" s="241"/>
      <c r="ED1861" s="241"/>
      <c r="EE1861" s="241"/>
      <c r="EG1861" s="241"/>
      <c r="EI1861" s="241"/>
      <c r="EK1861" s="241"/>
    </row>
    <row r="1862" spans="1:141" s="121" customFormat="1" x14ac:dyDescent="0.3">
      <c r="A1862" s="124"/>
      <c r="O1862" s="235"/>
      <c r="X1862" s="117"/>
      <c r="Y1862" s="117"/>
      <c r="DT1862" s="240"/>
      <c r="DU1862" s="240"/>
      <c r="DV1862" s="240"/>
      <c r="DW1862" s="240"/>
      <c r="DX1862" s="240"/>
      <c r="DY1862" s="240"/>
      <c r="DZ1862" s="240"/>
      <c r="EA1862" s="240"/>
      <c r="EB1862" s="237"/>
      <c r="EC1862" s="241"/>
      <c r="ED1862" s="241"/>
      <c r="EE1862" s="241"/>
      <c r="EG1862" s="241"/>
      <c r="EI1862" s="241"/>
      <c r="EK1862" s="241"/>
    </row>
    <row r="1863" spans="1:141" s="121" customFormat="1" x14ac:dyDescent="0.3">
      <c r="A1863" s="124"/>
      <c r="O1863" s="235"/>
      <c r="X1863" s="117"/>
      <c r="Y1863" s="117"/>
      <c r="DT1863" s="240"/>
      <c r="DU1863" s="240"/>
      <c r="DV1863" s="240"/>
      <c r="DW1863" s="240"/>
      <c r="DX1863" s="240"/>
      <c r="DY1863" s="240"/>
      <c r="DZ1863" s="240"/>
      <c r="EA1863" s="240"/>
      <c r="EB1863" s="237"/>
      <c r="EC1863" s="241"/>
      <c r="ED1863" s="241"/>
      <c r="EE1863" s="241"/>
      <c r="EG1863" s="241"/>
      <c r="EI1863" s="241"/>
      <c r="EK1863" s="241"/>
    </row>
    <row r="1864" spans="1:141" s="121" customFormat="1" x14ac:dyDescent="0.3">
      <c r="A1864" s="124"/>
      <c r="O1864" s="235"/>
      <c r="X1864" s="117"/>
      <c r="Y1864" s="117"/>
      <c r="DT1864" s="240"/>
      <c r="DU1864" s="240"/>
      <c r="DV1864" s="240"/>
      <c r="DW1864" s="240"/>
      <c r="DX1864" s="240"/>
      <c r="DY1864" s="240"/>
      <c r="DZ1864" s="240"/>
      <c r="EA1864" s="240"/>
      <c r="EB1864" s="237"/>
      <c r="EC1864" s="241"/>
      <c r="ED1864" s="241"/>
      <c r="EE1864" s="241"/>
      <c r="EG1864" s="241"/>
      <c r="EI1864" s="241"/>
      <c r="EK1864" s="241"/>
    </row>
    <row r="1865" spans="1:141" s="121" customFormat="1" x14ac:dyDescent="0.3">
      <c r="A1865" s="124"/>
      <c r="O1865" s="235"/>
      <c r="X1865" s="117"/>
      <c r="Y1865" s="117"/>
      <c r="DT1865" s="240"/>
      <c r="DU1865" s="240"/>
      <c r="DV1865" s="240"/>
      <c r="DW1865" s="240"/>
      <c r="DX1865" s="240"/>
      <c r="DY1865" s="240"/>
      <c r="DZ1865" s="240"/>
      <c r="EA1865" s="240"/>
      <c r="EB1865" s="237"/>
      <c r="EC1865" s="241"/>
      <c r="ED1865" s="241"/>
      <c r="EE1865" s="241"/>
      <c r="EG1865" s="241"/>
      <c r="EI1865" s="241"/>
      <c r="EK1865" s="241"/>
    </row>
    <row r="1866" spans="1:141" s="121" customFormat="1" x14ac:dyDescent="0.3">
      <c r="A1866" s="124"/>
      <c r="O1866" s="235"/>
      <c r="X1866" s="117"/>
      <c r="Y1866" s="117"/>
      <c r="DT1866" s="240"/>
      <c r="DU1866" s="240"/>
      <c r="DV1866" s="240"/>
      <c r="DW1866" s="240"/>
      <c r="DX1866" s="240"/>
      <c r="DY1866" s="240"/>
      <c r="DZ1866" s="240"/>
      <c r="EA1866" s="240"/>
      <c r="EB1866" s="237"/>
      <c r="EC1866" s="241"/>
      <c r="ED1866" s="241"/>
      <c r="EE1866" s="241"/>
      <c r="EG1866" s="241"/>
      <c r="EI1866" s="241"/>
      <c r="EK1866" s="241"/>
    </row>
    <row r="1867" spans="1:141" s="121" customFormat="1" x14ac:dyDescent="0.3">
      <c r="A1867" s="124"/>
      <c r="O1867" s="235"/>
      <c r="X1867" s="117"/>
      <c r="Y1867" s="117"/>
      <c r="DT1867" s="240"/>
      <c r="DU1867" s="240"/>
      <c r="DV1867" s="240"/>
      <c r="DW1867" s="240"/>
      <c r="DX1867" s="240"/>
      <c r="DY1867" s="240"/>
      <c r="DZ1867" s="240"/>
      <c r="EA1867" s="240"/>
      <c r="EB1867" s="237"/>
      <c r="EC1867" s="241"/>
      <c r="ED1867" s="241"/>
      <c r="EE1867" s="241"/>
      <c r="EG1867" s="241"/>
      <c r="EI1867" s="241"/>
      <c r="EK1867" s="241"/>
    </row>
    <row r="1868" spans="1:141" s="121" customFormat="1" x14ac:dyDescent="0.3">
      <c r="A1868" s="124"/>
      <c r="O1868" s="235"/>
      <c r="X1868" s="117"/>
      <c r="Y1868" s="117"/>
      <c r="DT1868" s="240"/>
      <c r="DU1868" s="240"/>
      <c r="DV1868" s="240"/>
      <c r="DW1868" s="240"/>
      <c r="DX1868" s="240"/>
      <c r="DY1868" s="240"/>
      <c r="DZ1868" s="240"/>
      <c r="EA1868" s="240"/>
      <c r="EB1868" s="237"/>
      <c r="EC1868" s="241"/>
      <c r="ED1868" s="241"/>
      <c r="EE1868" s="241"/>
      <c r="EG1868" s="241"/>
      <c r="EI1868" s="241"/>
      <c r="EK1868" s="241"/>
    </row>
    <row r="1869" spans="1:141" s="121" customFormat="1" x14ac:dyDescent="0.3">
      <c r="A1869" s="124"/>
      <c r="O1869" s="235"/>
      <c r="X1869" s="117"/>
      <c r="Y1869" s="117"/>
      <c r="DT1869" s="240"/>
      <c r="DU1869" s="240"/>
      <c r="DV1869" s="240"/>
      <c r="DW1869" s="240"/>
      <c r="DX1869" s="240"/>
      <c r="DY1869" s="240"/>
      <c r="DZ1869" s="240"/>
      <c r="EA1869" s="240"/>
      <c r="EB1869" s="237"/>
      <c r="EC1869" s="241"/>
      <c r="ED1869" s="241"/>
      <c r="EE1869" s="241"/>
      <c r="EG1869" s="241"/>
      <c r="EI1869" s="241"/>
      <c r="EK1869" s="241"/>
    </row>
    <row r="1870" spans="1:141" s="121" customFormat="1" x14ac:dyDescent="0.3">
      <c r="A1870" s="124"/>
      <c r="O1870" s="235"/>
      <c r="X1870" s="117"/>
      <c r="Y1870" s="117"/>
      <c r="DT1870" s="240"/>
      <c r="DU1870" s="240"/>
      <c r="DV1870" s="240"/>
      <c r="DW1870" s="240"/>
      <c r="DX1870" s="240"/>
      <c r="DY1870" s="240"/>
      <c r="DZ1870" s="240"/>
      <c r="EA1870" s="240"/>
      <c r="EB1870" s="237"/>
      <c r="EC1870" s="241"/>
      <c r="ED1870" s="241"/>
      <c r="EE1870" s="241"/>
      <c r="EG1870" s="241"/>
      <c r="EI1870" s="241"/>
      <c r="EK1870" s="241"/>
    </row>
    <row r="1871" spans="1:141" s="121" customFormat="1" x14ac:dyDescent="0.3">
      <c r="A1871" s="124"/>
      <c r="O1871" s="235"/>
      <c r="X1871" s="117"/>
      <c r="Y1871" s="117"/>
      <c r="DT1871" s="240"/>
      <c r="DU1871" s="240"/>
      <c r="DV1871" s="240"/>
      <c r="DW1871" s="240"/>
      <c r="DX1871" s="240"/>
      <c r="DY1871" s="240"/>
      <c r="DZ1871" s="240"/>
      <c r="EA1871" s="240"/>
      <c r="EB1871" s="237"/>
      <c r="EC1871" s="241"/>
      <c r="ED1871" s="241"/>
      <c r="EE1871" s="241"/>
      <c r="EG1871" s="241"/>
      <c r="EI1871" s="241"/>
      <c r="EK1871" s="241"/>
    </row>
    <row r="1872" spans="1:141" s="121" customFormat="1" x14ac:dyDescent="0.3">
      <c r="A1872" s="124"/>
      <c r="O1872" s="235"/>
      <c r="X1872" s="117"/>
      <c r="Y1872" s="117"/>
      <c r="DT1872" s="240"/>
      <c r="DU1872" s="240"/>
      <c r="DV1872" s="240"/>
      <c r="DW1872" s="240"/>
      <c r="DX1872" s="240"/>
      <c r="DY1872" s="240"/>
      <c r="DZ1872" s="240"/>
      <c r="EA1872" s="240"/>
      <c r="EB1872" s="237"/>
      <c r="EC1872" s="241"/>
      <c r="ED1872" s="241"/>
      <c r="EE1872" s="241"/>
      <c r="EG1872" s="241"/>
      <c r="EI1872" s="241"/>
      <c r="EK1872" s="241"/>
    </row>
    <row r="1873" spans="1:141" s="121" customFormat="1" x14ac:dyDescent="0.3">
      <c r="A1873" s="124"/>
      <c r="O1873" s="235"/>
      <c r="X1873" s="117"/>
      <c r="Y1873" s="117"/>
      <c r="DT1873" s="240"/>
      <c r="DU1873" s="240"/>
      <c r="DV1873" s="240"/>
      <c r="DW1873" s="240"/>
      <c r="DX1873" s="240"/>
      <c r="DY1873" s="240"/>
      <c r="DZ1873" s="240"/>
      <c r="EA1873" s="240"/>
      <c r="EB1873" s="237"/>
      <c r="EC1873" s="241"/>
      <c r="ED1873" s="241"/>
      <c r="EE1873" s="241"/>
      <c r="EG1873" s="241"/>
      <c r="EI1873" s="241"/>
      <c r="EK1873" s="241"/>
    </row>
    <row r="1874" spans="1:141" s="121" customFormat="1" x14ac:dyDescent="0.3">
      <c r="A1874" s="124"/>
      <c r="O1874" s="235"/>
      <c r="X1874" s="117"/>
      <c r="Y1874" s="117"/>
      <c r="DT1874" s="240"/>
      <c r="DU1874" s="240"/>
      <c r="DV1874" s="240"/>
      <c r="DW1874" s="240"/>
      <c r="DX1874" s="240"/>
      <c r="DY1874" s="240"/>
      <c r="DZ1874" s="240"/>
      <c r="EA1874" s="240"/>
      <c r="EB1874" s="237"/>
      <c r="EC1874" s="241"/>
      <c r="ED1874" s="241"/>
      <c r="EE1874" s="241"/>
      <c r="EG1874" s="241"/>
      <c r="EI1874" s="241"/>
      <c r="EK1874" s="241"/>
    </row>
    <row r="1875" spans="1:141" s="121" customFormat="1" x14ac:dyDescent="0.3">
      <c r="A1875" s="124"/>
      <c r="O1875" s="235"/>
      <c r="X1875" s="117"/>
      <c r="Y1875" s="117"/>
      <c r="DT1875" s="240"/>
      <c r="DU1875" s="240"/>
      <c r="DV1875" s="240"/>
      <c r="DW1875" s="240"/>
      <c r="DX1875" s="240"/>
      <c r="DY1875" s="240"/>
      <c r="DZ1875" s="240"/>
      <c r="EA1875" s="240"/>
      <c r="EB1875" s="237"/>
      <c r="EC1875" s="241"/>
      <c r="ED1875" s="241"/>
      <c r="EE1875" s="241"/>
      <c r="EG1875" s="241"/>
      <c r="EI1875" s="241"/>
      <c r="EK1875" s="241"/>
    </row>
    <row r="1876" spans="1:141" s="121" customFormat="1" x14ac:dyDescent="0.3">
      <c r="A1876" s="124"/>
      <c r="O1876" s="235"/>
      <c r="X1876" s="117"/>
      <c r="Y1876" s="117"/>
      <c r="DT1876" s="240"/>
      <c r="DU1876" s="240"/>
      <c r="DV1876" s="240"/>
      <c r="DW1876" s="240"/>
      <c r="DX1876" s="240"/>
      <c r="DY1876" s="240"/>
      <c r="DZ1876" s="240"/>
      <c r="EA1876" s="240"/>
      <c r="EB1876" s="237"/>
      <c r="EC1876" s="241"/>
      <c r="ED1876" s="241"/>
      <c r="EE1876" s="241"/>
      <c r="EG1876" s="241"/>
      <c r="EI1876" s="241"/>
      <c r="EK1876" s="241"/>
    </row>
    <row r="1877" spans="1:141" s="121" customFormat="1" x14ac:dyDescent="0.3">
      <c r="A1877" s="124"/>
      <c r="O1877" s="235"/>
      <c r="X1877" s="117"/>
      <c r="Y1877" s="117"/>
      <c r="DT1877" s="240"/>
      <c r="DU1877" s="240"/>
      <c r="DV1877" s="240"/>
      <c r="DW1877" s="240"/>
      <c r="DX1877" s="240"/>
      <c r="DY1877" s="240"/>
      <c r="DZ1877" s="240"/>
      <c r="EA1877" s="240"/>
      <c r="EB1877" s="237"/>
      <c r="EC1877" s="241"/>
      <c r="ED1877" s="241"/>
      <c r="EE1877" s="241"/>
      <c r="EG1877" s="241"/>
      <c r="EI1877" s="241"/>
      <c r="EK1877" s="241"/>
    </row>
    <row r="1878" spans="1:141" s="121" customFormat="1" x14ac:dyDescent="0.3">
      <c r="A1878" s="124"/>
      <c r="O1878" s="235"/>
      <c r="X1878" s="117"/>
      <c r="Y1878" s="117"/>
      <c r="DT1878" s="240"/>
      <c r="DU1878" s="240"/>
      <c r="DV1878" s="240"/>
      <c r="DW1878" s="240"/>
      <c r="DX1878" s="240"/>
      <c r="DY1878" s="240"/>
      <c r="DZ1878" s="240"/>
      <c r="EA1878" s="240"/>
      <c r="EB1878" s="237"/>
      <c r="EC1878" s="241"/>
      <c r="ED1878" s="241"/>
      <c r="EE1878" s="241"/>
      <c r="EG1878" s="241"/>
      <c r="EI1878" s="241"/>
      <c r="EK1878" s="241"/>
    </row>
    <row r="1879" spans="1:141" s="121" customFormat="1" x14ac:dyDescent="0.3">
      <c r="A1879" s="124"/>
      <c r="O1879" s="235"/>
      <c r="X1879" s="117"/>
      <c r="Y1879" s="117"/>
      <c r="DT1879" s="240"/>
      <c r="DU1879" s="240"/>
      <c r="DV1879" s="240"/>
      <c r="DW1879" s="240"/>
      <c r="DX1879" s="240"/>
      <c r="DY1879" s="240"/>
      <c r="DZ1879" s="240"/>
      <c r="EA1879" s="240"/>
      <c r="EB1879" s="237"/>
      <c r="EC1879" s="241"/>
      <c r="ED1879" s="241"/>
      <c r="EE1879" s="241"/>
      <c r="EG1879" s="241"/>
      <c r="EI1879" s="241"/>
      <c r="EK1879" s="241"/>
    </row>
    <row r="1880" spans="1:141" s="121" customFormat="1" x14ac:dyDescent="0.3">
      <c r="A1880" s="124"/>
      <c r="O1880" s="235"/>
      <c r="X1880" s="117"/>
      <c r="Y1880" s="117"/>
      <c r="DT1880" s="240"/>
      <c r="DU1880" s="240"/>
      <c r="DV1880" s="240"/>
      <c r="DW1880" s="240"/>
      <c r="DX1880" s="240"/>
      <c r="DY1880" s="240"/>
      <c r="DZ1880" s="240"/>
      <c r="EA1880" s="240"/>
      <c r="EB1880" s="237"/>
      <c r="EC1880" s="241"/>
      <c r="ED1880" s="241"/>
      <c r="EE1880" s="241"/>
      <c r="EG1880" s="241"/>
      <c r="EI1880" s="241"/>
      <c r="EK1880" s="241"/>
    </row>
    <row r="1881" spans="1:141" s="121" customFormat="1" x14ac:dyDescent="0.3">
      <c r="A1881" s="124"/>
      <c r="O1881" s="235"/>
      <c r="X1881" s="117"/>
      <c r="Y1881" s="117"/>
      <c r="DT1881" s="240"/>
      <c r="DU1881" s="240"/>
      <c r="DV1881" s="240"/>
      <c r="DW1881" s="240"/>
      <c r="DX1881" s="240"/>
      <c r="DY1881" s="240"/>
      <c r="DZ1881" s="240"/>
      <c r="EA1881" s="240"/>
      <c r="EB1881" s="237"/>
      <c r="EC1881" s="241"/>
      <c r="ED1881" s="241"/>
      <c r="EE1881" s="241"/>
      <c r="EG1881" s="241"/>
      <c r="EI1881" s="241"/>
      <c r="EK1881" s="241"/>
    </row>
    <row r="1882" spans="1:141" s="121" customFormat="1" x14ac:dyDescent="0.3">
      <c r="A1882" s="124"/>
      <c r="O1882" s="235"/>
      <c r="X1882" s="117"/>
      <c r="Y1882" s="117"/>
      <c r="DT1882" s="240"/>
      <c r="DU1882" s="240"/>
      <c r="DV1882" s="240"/>
      <c r="DW1882" s="240"/>
      <c r="DX1882" s="240"/>
      <c r="DY1882" s="240"/>
      <c r="DZ1882" s="240"/>
      <c r="EA1882" s="240"/>
      <c r="EB1882" s="237"/>
      <c r="EC1882" s="241"/>
      <c r="ED1882" s="241"/>
      <c r="EE1882" s="241"/>
      <c r="EG1882" s="241"/>
      <c r="EI1882" s="241"/>
      <c r="EK1882" s="241"/>
    </row>
    <row r="1883" spans="1:141" s="121" customFormat="1" x14ac:dyDescent="0.3">
      <c r="A1883" s="124"/>
      <c r="O1883" s="235"/>
      <c r="X1883" s="117"/>
      <c r="Y1883" s="117"/>
      <c r="DT1883" s="240"/>
      <c r="DU1883" s="240"/>
      <c r="DV1883" s="240"/>
      <c r="DW1883" s="240"/>
      <c r="DX1883" s="240"/>
      <c r="DY1883" s="240"/>
      <c r="DZ1883" s="240"/>
      <c r="EA1883" s="240"/>
      <c r="EB1883" s="237"/>
      <c r="EC1883" s="241"/>
      <c r="ED1883" s="241"/>
      <c r="EE1883" s="241"/>
      <c r="EG1883" s="241"/>
      <c r="EI1883" s="241"/>
      <c r="EK1883" s="241"/>
    </row>
    <row r="1884" spans="1:141" s="121" customFormat="1" x14ac:dyDescent="0.3">
      <c r="A1884" s="124"/>
      <c r="O1884" s="235"/>
      <c r="X1884" s="117"/>
      <c r="Y1884" s="117"/>
      <c r="DT1884" s="240"/>
      <c r="DU1884" s="240"/>
      <c r="DV1884" s="240"/>
      <c r="DW1884" s="240"/>
      <c r="DX1884" s="240"/>
      <c r="DY1884" s="240"/>
      <c r="DZ1884" s="240"/>
      <c r="EA1884" s="240"/>
      <c r="EB1884" s="237"/>
      <c r="EC1884" s="241"/>
      <c r="ED1884" s="241"/>
      <c r="EE1884" s="241"/>
      <c r="EG1884" s="241"/>
      <c r="EI1884" s="241"/>
      <c r="EK1884" s="241"/>
    </row>
    <row r="1885" spans="1:141" s="121" customFormat="1" x14ac:dyDescent="0.3">
      <c r="A1885" s="124"/>
      <c r="O1885" s="235"/>
      <c r="X1885" s="117"/>
      <c r="Y1885" s="117"/>
      <c r="DT1885" s="240"/>
      <c r="DU1885" s="240"/>
      <c r="DV1885" s="240"/>
      <c r="DW1885" s="240"/>
      <c r="DX1885" s="240"/>
      <c r="DY1885" s="240"/>
      <c r="DZ1885" s="240"/>
      <c r="EA1885" s="240"/>
      <c r="EB1885" s="237"/>
      <c r="EC1885" s="241"/>
      <c r="ED1885" s="241"/>
      <c r="EE1885" s="241"/>
      <c r="EG1885" s="241"/>
      <c r="EI1885" s="241"/>
      <c r="EK1885" s="241"/>
    </row>
    <row r="1886" spans="1:141" s="121" customFormat="1" x14ac:dyDescent="0.3">
      <c r="A1886" s="124"/>
      <c r="O1886" s="235"/>
      <c r="X1886" s="117"/>
      <c r="Y1886" s="117"/>
      <c r="DT1886" s="240"/>
      <c r="DU1886" s="240"/>
      <c r="DV1886" s="240"/>
      <c r="DW1886" s="240"/>
      <c r="DX1886" s="240"/>
      <c r="DY1886" s="240"/>
      <c r="DZ1886" s="240"/>
      <c r="EA1886" s="240"/>
      <c r="EB1886" s="237"/>
      <c r="EC1886" s="241"/>
      <c r="ED1886" s="241"/>
      <c r="EE1886" s="241"/>
      <c r="EG1886" s="241"/>
      <c r="EI1886" s="241"/>
      <c r="EK1886" s="241"/>
    </row>
    <row r="1887" spans="1:141" s="121" customFormat="1" x14ac:dyDescent="0.3">
      <c r="A1887" s="124"/>
      <c r="O1887" s="235"/>
      <c r="X1887" s="117"/>
      <c r="Y1887" s="117"/>
      <c r="DT1887" s="240"/>
      <c r="DU1887" s="240"/>
      <c r="DV1887" s="240"/>
      <c r="DW1887" s="240"/>
      <c r="DX1887" s="240"/>
      <c r="DY1887" s="240"/>
      <c r="DZ1887" s="240"/>
      <c r="EA1887" s="240"/>
      <c r="EB1887" s="237"/>
      <c r="EC1887" s="241"/>
      <c r="ED1887" s="241"/>
      <c r="EE1887" s="241"/>
      <c r="EG1887" s="241"/>
      <c r="EI1887" s="241"/>
      <c r="EK1887" s="241"/>
    </row>
    <row r="1888" spans="1:141" s="121" customFormat="1" x14ac:dyDescent="0.3">
      <c r="A1888" s="124"/>
      <c r="O1888" s="235"/>
      <c r="X1888" s="117"/>
      <c r="Y1888" s="117"/>
      <c r="DT1888" s="240"/>
      <c r="DU1888" s="240"/>
      <c r="DV1888" s="240"/>
      <c r="DW1888" s="240"/>
      <c r="DX1888" s="240"/>
      <c r="DY1888" s="240"/>
      <c r="DZ1888" s="240"/>
      <c r="EA1888" s="240"/>
      <c r="EB1888" s="237"/>
      <c r="EC1888" s="241"/>
      <c r="ED1888" s="241"/>
      <c r="EE1888" s="241"/>
      <c r="EG1888" s="241"/>
      <c r="EI1888" s="241"/>
      <c r="EK1888" s="241"/>
    </row>
    <row r="1889" spans="1:141" s="121" customFormat="1" x14ac:dyDescent="0.3">
      <c r="A1889" s="124"/>
      <c r="O1889" s="235"/>
      <c r="X1889" s="117"/>
      <c r="Y1889" s="117"/>
      <c r="DT1889" s="240"/>
      <c r="DU1889" s="240"/>
      <c r="DV1889" s="240"/>
      <c r="DW1889" s="240"/>
      <c r="DX1889" s="240"/>
      <c r="DY1889" s="240"/>
      <c r="DZ1889" s="240"/>
      <c r="EA1889" s="240"/>
      <c r="EB1889" s="237"/>
      <c r="EC1889" s="241"/>
      <c r="ED1889" s="241"/>
      <c r="EE1889" s="241"/>
      <c r="EG1889" s="241"/>
      <c r="EI1889" s="241"/>
      <c r="EK1889" s="241"/>
    </row>
    <row r="1890" spans="1:141" s="121" customFormat="1" x14ac:dyDescent="0.3">
      <c r="A1890" s="124"/>
      <c r="O1890" s="235"/>
      <c r="X1890" s="117"/>
      <c r="Y1890" s="117"/>
      <c r="DT1890" s="240"/>
      <c r="DU1890" s="240"/>
      <c r="DV1890" s="240"/>
      <c r="DW1890" s="240"/>
      <c r="DX1890" s="240"/>
      <c r="DY1890" s="240"/>
      <c r="DZ1890" s="240"/>
      <c r="EA1890" s="240"/>
      <c r="EB1890" s="237"/>
      <c r="EC1890" s="241"/>
      <c r="ED1890" s="241"/>
      <c r="EE1890" s="241"/>
      <c r="EG1890" s="241"/>
      <c r="EI1890" s="241"/>
      <c r="EK1890" s="241"/>
    </row>
    <row r="1891" spans="1:141" s="121" customFormat="1" x14ac:dyDescent="0.3">
      <c r="A1891" s="124"/>
      <c r="O1891" s="235"/>
      <c r="X1891" s="117"/>
      <c r="Y1891" s="117"/>
      <c r="DT1891" s="240"/>
      <c r="DU1891" s="240"/>
      <c r="DV1891" s="240"/>
      <c r="DW1891" s="240"/>
      <c r="DX1891" s="240"/>
      <c r="DY1891" s="240"/>
      <c r="DZ1891" s="240"/>
      <c r="EA1891" s="240"/>
      <c r="EB1891" s="237"/>
      <c r="EC1891" s="241"/>
      <c r="ED1891" s="241"/>
      <c r="EE1891" s="241"/>
      <c r="EG1891" s="241"/>
      <c r="EI1891" s="241"/>
      <c r="EK1891" s="241"/>
    </row>
    <row r="1892" spans="1:141" s="121" customFormat="1" x14ac:dyDescent="0.3">
      <c r="A1892" s="124"/>
      <c r="O1892" s="235"/>
      <c r="X1892" s="117"/>
      <c r="Y1892" s="117"/>
      <c r="DT1892" s="240"/>
      <c r="DU1892" s="240"/>
      <c r="DV1892" s="240"/>
      <c r="DW1892" s="240"/>
      <c r="DX1892" s="240"/>
      <c r="DY1892" s="240"/>
      <c r="DZ1892" s="240"/>
      <c r="EA1892" s="240"/>
      <c r="EB1892" s="237"/>
      <c r="EC1892" s="241"/>
      <c r="ED1892" s="241"/>
      <c r="EE1892" s="241"/>
      <c r="EG1892" s="241"/>
      <c r="EI1892" s="241"/>
      <c r="EK1892" s="241"/>
    </row>
    <row r="1893" spans="1:141" s="121" customFormat="1" x14ac:dyDescent="0.3">
      <c r="A1893" s="124"/>
      <c r="O1893" s="235"/>
      <c r="X1893" s="117"/>
      <c r="Y1893" s="117"/>
      <c r="DT1893" s="240"/>
      <c r="DU1893" s="240"/>
      <c r="DV1893" s="240"/>
      <c r="DW1893" s="240"/>
      <c r="DX1893" s="240"/>
      <c r="DY1893" s="240"/>
      <c r="DZ1893" s="240"/>
      <c r="EA1893" s="240"/>
      <c r="EB1893" s="237"/>
      <c r="EC1893" s="241"/>
      <c r="ED1893" s="241"/>
      <c r="EE1893" s="241"/>
      <c r="EG1893" s="241"/>
      <c r="EI1893" s="241"/>
      <c r="EK1893" s="241"/>
    </row>
    <row r="1894" spans="1:141" s="121" customFormat="1" x14ac:dyDescent="0.3">
      <c r="A1894" s="124"/>
      <c r="O1894" s="235"/>
      <c r="X1894" s="117"/>
      <c r="Y1894" s="117"/>
      <c r="DT1894" s="240"/>
      <c r="DU1894" s="240"/>
      <c r="DV1894" s="240"/>
      <c r="DW1894" s="240"/>
      <c r="DX1894" s="240"/>
      <c r="DY1894" s="240"/>
      <c r="DZ1894" s="240"/>
      <c r="EA1894" s="240"/>
      <c r="EB1894" s="237"/>
      <c r="EC1894" s="241"/>
      <c r="ED1894" s="241"/>
      <c r="EE1894" s="241"/>
      <c r="EG1894" s="241"/>
      <c r="EI1894" s="241"/>
      <c r="EK1894" s="241"/>
    </row>
    <row r="1895" spans="1:141" s="121" customFormat="1" x14ac:dyDescent="0.3">
      <c r="A1895" s="124"/>
      <c r="O1895" s="235"/>
      <c r="X1895" s="117"/>
      <c r="Y1895" s="117"/>
      <c r="DT1895" s="240"/>
      <c r="DU1895" s="240"/>
      <c r="DV1895" s="240"/>
      <c r="DW1895" s="240"/>
      <c r="DX1895" s="240"/>
      <c r="DY1895" s="240"/>
      <c r="DZ1895" s="240"/>
      <c r="EA1895" s="240"/>
      <c r="EB1895" s="237"/>
      <c r="EC1895" s="241"/>
      <c r="ED1895" s="241"/>
      <c r="EE1895" s="241"/>
      <c r="EG1895" s="241"/>
      <c r="EI1895" s="241"/>
      <c r="EK1895" s="241"/>
    </row>
    <row r="1896" spans="1:141" s="121" customFormat="1" x14ac:dyDescent="0.3">
      <c r="A1896" s="124"/>
      <c r="O1896" s="235"/>
      <c r="X1896" s="117"/>
      <c r="Y1896" s="117"/>
      <c r="DT1896" s="240"/>
      <c r="DU1896" s="240"/>
      <c r="DV1896" s="240"/>
      <c r="DW1896" s="240"/>
      <c r="DX1896" s="240"/>
      <c r="DY1896" s="240"/>
      <c r="DZ1896" s="240"/>
      <c r="EA1896" s="240"/>
      <c r="EB1896" s="237"/>
      <c r="EC1896" s="241"/>
      <c r="ED1896" s="241"/>
      <c r="EE1896" s="241"/>
      <c r="EG1896" s="241"/>
      <c r="EI1896" s="241"/>
      <c r="EK1896" s="241"/>
    </row>
    <row r="1897" spans="1:141" s="121" customFormat="1" x14ac:dyDescent="0.3">
      <c r="A1897" s="124"/>
      <c r="O1897" s="235"/>
      <c r="X1897" s="117"/>
      <c r="Y1897" s="117"/>
      <c r="DT1897" s="240"/>
      <c r="DU1897" s="240"/>
      <c r="DV1897" s="240"/>
      <c r="DW1897" s="240"/>
      <c r="DX1897" s="240"/>
      <c r="DY1897" s="240"/>
      <c r="DZ1897" s="240"/>
      <c r="EA1897" s="240"/>
      <c r="EB1897" s="237"/>
      <c r="EC1897" s="241"/>
      <c r="ED1897" s="241"/>
      <c r="EE1897" s="241"/>
      <c r="EG1897" s="241"/>
      <c r="EI1897" s="241"/>
      <c r="EK1897" s="241"/>
    </row>
    <row r="1898" spans="1:141" s="121" customFormat="1" x14ac:dyDescent="0.3">
      <c r="A1898" s="124"/>
      <c r="O1898" s="235"/>
      <c r="X1898" s="117"/>
      <c r="Y1898" s="117"/>
      <c r="DT1898" s="240"/>
      <c r="DU1898" s="240"/>
      <c r="DV1898" s="240"/>
      <c r="DW1898" s="240"/>
      <c r="DX1898" s="240"/>
      <c r="DY1898" s="240"/>
      <c r="DZ1898" s="240"/>
      <c r="EA1898" s="240"/>
      <c r="EB1898" s="237"/>
      <c r="EC1898" s="241"/>
      <c r="ED1898" s="241"/>
      <c r="EE1898" s="241"/>
      <c r="EG1898" s="241"/>
      <c r="EI1898" s="241"/>
      <c r="EK1898" s="241"/>
    </row>
    <row r="1899" spans="1:141" s="121" customFormat="1" x14ac:dyDescent="0.3">
      <c r="A1899" s="124"/>
      <c r="O1899" s="235"/>
      <c r="X1899" s="117"/>
      <c r="Y1899" s="117"/>
      <c r="DT1899" s="240"/>
      <c r="DU1899" s="240"/>
      <c r="DV1899" s="240"/>
      <c r="DW1899" s="240"/>
      <c r="DX1899" s="240"/>
      <c r="DY1899" s="240"/>
      <c r="DZ1899" s="240"/>
      <c r="EA1899" s="240"/>
      <c r="EB1899" s="237"/>
      <c r="EC1899" s="241"/>
      <c r="ED1899" s="241"/>
      <c r="EE1899" s="241"/>
      <c r="EG1899" s="241"/>
      <c r="EI1899" s="241"/>
      <c r="EK1899" s="241"/>
    </row>
    <row r="1900" spans="1:141" s="121" customFormat="1" x14ac:dyDescent="0.3">
      <c r="A1900" s="124"/>
      <c r="O1900" s="235"/>
      <c r="X1900" s="117"/>
      <c r="Y1900" s="117"/>
      <c r="DT1900" s="240"/>
      <c r="DU1900" s="240"/>
      <c r="DV1900" s="240"/>
      <c r="DW1900" s="240"/>
      <c r="DX1900" s="240"/>
      <c r="DY1900" s="240"/>
      <c r="DZ1900" s="240"/>
      <c r="EA1900" s="240"/>
      <c r="EB1900" s="237"/>
      <c r="EC1900" s="241"/>
      <c r="ED1900" s="241"/>
      <c r="EE1900" s="241"/>
      <c r="EG1900" s="241"/>
      <c r="EI1900" s="241"/>
      <c r="EK1900" s="241"/>
    </row>
    <row r="1901" spans="1:141" s="121" customFormat="1" x14ac:dyDescent="0.3">
      <c r="A1901" s="124"/>
      <c r="O1901" s="235"/>
      <c r="X1901" s="117"/>
      <c r="Y1901" s="117"/>
      <c r="DT1901" s="240"/>
      <c r="DU1901" s="240"/>
      <c r="DV1901" s="240"/>
      <c r="DW1901" s="240"/>
      <c r="DX1901" s="240"/>
      <c r="DY1901" s="240"/>
      <c r="DZ1901" s="240"/>
      <c r="EA1901" s="240"/>
      <c r="EB1901" s="237"/>
      <c r="EC1901" s="241"/>
      <c r="ED1901" s="241"/>
      <c r="EE1901" s="241"/>
      <c r="EG1901" s="241"/>
      <c r="EI1901" s="241"/>
      <c r="EK1901" s="241"/>
    </row>
    <row r="1902" spans="1:141" s="121" customFormat="1" x14ac:dyDescent="0.3">
      <c r="A1902" s="124"/>
      <c r="O1902" s="235"/>
      <c r="X1902" s="117"/>
      <c r="Y1902" s="117"/>
      <c r="DT1902" s="240"/>
      <c r="DU1902" s="240"/>
      <c r="DV1902" s="240"/>
      <c r="DW1902" s="240"/>
      <c r="DX1902" s="240"/>
      <c r="DY1902" s="240"/>
      <c r="DZ1902" s="240"/>
      <c r="EA1902" s="240"/>
      <c r="EB1902" s="237"/>
      <c r="EC1902" s="241"/>
      <c r="ED1902" s="241"/>
      <c r="EE1902" s="241"/>
      <c r="EG1902" s="241"/>
      <c r="EI1902" s="241"/>
      <c r="EK1902" s="241"/>
    </row>
    <row r="1903" spans="1:141" s="121" customFormat="1" x14ac:dyDescent="0.3">
      <c r="A1903" s="124"/>
      <c r="O1903" s="235"/>
      <c r="X1903" s="117"/>
      <c r="Y1903" s="117"/>
      <c r="DT1903" s="240"/>
      <c r="DU1903" s="240"/>
      <c r="DV1903" s="240"/>
      <c r="DW1903" s="240"/>
      <c r="DX1903" s="240"/>
      <c r="DY1903" s="240"/>
      <c r="DZ1903" s="240"/>
      <c r="EA1903" s="240"/>
      <c r="EB1903" s="237"/>
      <c r="EC1903" s="241"/>
      <c r="ED1903" s="241"/>
      <c r="EE1903" s="241"/>
      <c r="EG1903" s="241"/>
      <c r="EI1903" s="241"/>
      <c r="EK1903" s="241"/>
    </row>
    <row r="1904" spans="1:141" s="121" customFormat="1" x14ac:dyDescent="0.3">
      <c r="A1904" s="124"/>
      <c r="O1904" s="235"/>
      <c r="X1904" s="117"/>
      <c r="Y1904" s="117"/>
      <c r="DT1904" s="240"/>
      <c r="DU1904" s="240"/>
      <c r="DV1904" s="240"/>
      <c r="DW1904" s="240"/>
      <c r="DX1904" s="240"/>
      <c r="DY1904" s="240"/>
      <c r="DZ1904" s="240"/>
      <c r="EA1904" s="240"/>
      <c r="EB1904" s="237"/>
      <c r="EC1904" s="241"/>
      <c r="ED1904" s="241"/>
      <c r="EE1904" s="241"/>
      <c r="EG1904" s="241"/>
      <c r="EI1904" s="241"/>
      <c r="EK1904" s="241"/>
    </row>
    <row r="1905" spans="1:141" s="121" customFormat="1" x14ac:dyDescent="0.3">
      <c r="A1905" s="124"/>
      <c r="O1905" s="235"/>
      <c r="X1905" s="117"/>
      <c r="Y1905" s="117"/>
      <c r="DT1905" s="240"/>
      <c r="DU1905" s="240"/>
      <c r="DV1905" s="240"/>
      <c r="DW1905" s="240"/>
      <c r="DX1905" s="240"/>
      <c r="DY1905" s="240"/>
      <c r="DZ1905" s="240"/>
      <c r="EA1905" s="240"/>
      <c r="EB1905" s="237"/>
      <c r="EC1905" s="241"/>
      <c r="ED1905" s="241"/>
      <c r="EE1905" s="241"/>
      <c r="EG1905" s="241"/>
      <c r="EI1905" s="241"/>
      <c r="EK1905" s="241"/>
    </row>
    <row r="1906" spans="1:141" s="121" customFormat="1" x14ac:dyDescent="0.3">
      <c r="A1906" s="124"/>
      <c r="O1906" s="235"/>
      <c r="X1906" s="117"/>
      <c r="Y1906" s="117"/>
      <c r="DT1906" s="240"/>
      <c r="DU1906" s="240"/>
      <c r="DV1906" s="240"/>
      <c r="DW1906" s="240"/>
      <c r="DX1906" s="240"/>
      <c r="DY1906" s="240"/>
      <c r="DZ1906" s="240"/>
      <c r="EA1906" s="240"/>
      <c r="EB1906" s="237"/>
      <c r="EC1906" s="241"/>
      <c r="ED1906" s="241"/>
      <c r="EE1906" s="241"/>
      <c r="EG1906" s="241"/>
      <c r="EI1906" s="241"/>
      <c r="EK1906" s="241"/>
    </row>
    <row r="1907" spans="1:141" s="121" customFormat="1" x14ac:dyDescent="0.3">
      <c r="A1907" s="124"/>
      <c r="O1907" s="235"/>
      <c r="X1907" s="117"/>
      <c r="Y1907" s="117"/>
      <c r="DT1907" s="240"/>
      <c r="DU1907" s="240"/>
      <c r="DV1907" s="240"/>
      <c r="DW1907" s="240"/>
      <c r="DX1907" s="240"/>
      <c r="DY1907" s="240"/>
      <c r="DZ1907" s="240"/>
      <c r="EA1907" s="240"/>
      <c r="EB1907" s="237"/>
      <c r="EC1907" s="241"/>
      <c r="ED1907" s="241"/>
      <c r="EE1907" s="241"/>
      <c r="EG1907" s="241"/>
      <c r="EI1907" s="241"/>
      <c r="EK1907" s="241"/>
    </row>
    <row r="1908" spans="1:141" s="121" customFormat="1" x14ac:dyDescent="0.3">
      <c r="A1908" s="124"/>
      <c r="O1908" s="235"/>
      <c r="X1908" s="117"/>
      <c r="Y1908" s="117"/>
      <c r="DT1908" s="240"/>
      <c r="DU1908" s="240"/>
      <c r="DV1908" s="240"/>
      <c r="DW1908" s="240"/>
      <c r="DX1908" s="240"/>
      <c r="DY1908" s="240"/>
      <c r="DZ1908" s="240"/>
      <c r="EA1908" s="240"/>
      <c r="EB1908" s="237"/>
      <c r="EC1908" s="241"/>
      <c r="ED1908" s="241"/>
      <c r="EE1908" s="241"/>
      <c r="EG1908" s="241"/>
      <c r="EI1908" s="241"/>
      <c r="EK1908" s="241"/>
    </row>
    <row r="1909" spans="1:141" s="121" customFormat="1" x14ac:dyDescent="0.3">
      <c r="A1909" s="124"/>
      <c r="O1909" s="235"/>
      <c r="X1909" s="117"/>
      <c r="Y1909" s="117"/>
      <c r="DT1909" s="240"/>
      <c r="DU1909" s="240"/>
      <c r="DV1909" s="240"/>
      <c r="DW1909" s="240"/>
      <c r="DX1909" s="240"/>
      <c r="DY1909" s="240"/>
      <c r="DZ1909" s="240"/>
      <c r="EA1909" s="240"/>
      <c r="EB1909" s="237"/>
      <c r="EC1909" s="241"/>
      <c r="ED1909" s="241"/>
      <c r="EE1909" s="241"/>
      <c r="EG1909" s="241"/>
      <c r="EI1909" s="241"/>
      <c r="EK1909" s="241"/>
    </row>
    <row r="1910" spans="1:141" s="121" customFormat="1" x14ac:dyDescent="0.3">
      <c r="A1910" s="124"/>
      <c r="O1910" s="235"/>
      <c r="X1910" s="117"/>
      <c r="Y1910" s="117"/>
      <c r="DT1910" s="240"/>
      <c r="DU1910" s="240"/>
      <c r="DV1910" s="240"/>
      <c r="DW1910" s="240"/>
      <c r="DX1910" s="240"/>
      <c r="DY1910" s="240"/>
      <c r="DZ1910" s="240"/>
      <c r="EA1910" s="240"/>
      <c r="EB1910" s="237"/>
      <c r="EC1910" s="241"/>
      <c r="ED1910" s="241"/>
      <c r="EE1910" s="241"/>
      <c r="EG1910" s="241"/>
      <c r="EI1910" s="241"/>
      <c r="EK1910" s="241"/>
    </row>
    <row r="1911" spans="1:141" s="121" customFormat="1" x14ac:dyDescent="0.3">
      <c r="A1911" s="124"/>
      <c r="O1911" s="235"/>
      <c r="X1911" s="117"/>
      <c r="Y1911" s="117"/>
      <c r="DT1911" s="240"/>
      <c r="DU1911" s="240"/>
      <c r="DV1911" s="240"/>
      <c r="DW1911" s="240"/>
      <c r="DX1911" s="240"/>
      <c r="DY1911" s="240"/>
      <c r="DZ1911" s="240"/>
      <c r="EA1911" s="240"/>
      <c r="EB1911" s="237"/>
      <c r="EC1911" s="241"/>
      <c r="ED1911" s="241"/>
      <c r="EE1911" s="241"/>
      <c r="EG1911" s="241"/>
      <c r="EI1911" s="241"/>
      <c r="EK1911" s="241"/>
    </row>
    <row r="1912" spans="1:141" s="121" customFormat="1" x14ac:dyDescent="0.3">
      <c r="A1912" s="124"/>
      <c r="O1912" s="235"/>
      <c r="X1912" s="117"/>
      <c r="Y1912" s="117"/>
      <c r="DT1912" s="240"/>
      <c r="DU1912" s="240"/>
      <c r="DV1912" s="240"/>
      <c r="DW1912" s="240"/>
      <c r="DX1912" s="240"/>
      <c r="DY1912" s="240"/>
      <c r="DZ1912" s="240"/>
      <c r="EA1912" s="240"/>
      <c r="EB1912" s="237"/>
      <c r="EC1912" s="241"/>
      <c r="ED1912" s="241"/>
      <c r="EE1912" s="241"/>
      <c r="EG1912" s="241"/>
      <c r="EI1912" s="241"/>
      <c r="EK1912" s="241"/>
    </row>
    <row r="1913" spans="1:141" s="121" customFormat="1" x14ac:dyDescent="0.3">
      <c r="A1913" s="124"/>
      <c r="O1913" s="235"/>
      <c r="X1913" s="117"/>
      <c r="Y1913" s="117"/>
      <c r="DT1913" s="240"/>
      <c r="DU1913" s="240"/>
      <c r="DV1913" s="240"/>
      <c r="DW1913" s="240"/>
      <c r="DX1913" s="240"/>
      <c r="DY1913" s="240"/>
      <c r="DZ1913" s="240"/>
      <c r="EA1913" s="240"/>
      <c r="EB1913" s="237"/>
      <c r="EC1913" s="241"/>
      <c r="ED1913" s="241"/>
      <c r="EE1913" s="241"/>
      <c r="EG1913" s="241"/>
      <c r="EI1913" s="241"/>
      <c r="EK1913" s="241"/>
    </row>
    <row r="1914" spans="1:141" s="121" customFormat="1" x14ac:dyDescent="0.3">
      <c r="A1914" s="124"/>
      <c r="O1914" s="235"/>
      <c r="X1914" s="117"/>
      <c r="Y1914" s="117"/>
      <c r="DT1914" s="240"/>
      <c r="DU1914" s="240"/>
      <c r="DV1914" s="240"/>
      <c r="DW1914" s="240"/>
      <c r="DX1914" s="240"/>
      <c r="DY1914" s="240"/>
      <c r="DZ1914" s="240"/>
      <c r="EA1914" s="240"/>
      <c r="EB1914" s="237"/>
      <c r="EC1914" s="241"/>
      <c r="ED1914" s="241"/>
      <c r="EE1914" s="241"/>
      <c r="EG1914" s="241"/>
      <c r="EI1914" s="241"/>
      <c r="EK1914" s="241"/>
    </row>
    <row r="1915" spans="1:141" s="121" customFormat="1" x14ac:dyDescent="0.3">
      <c r="A1915" s="124"/>
      <c r="O1915" s="235"/>
      <c r="X1915" s="117"/>
      <c r="Y1915" s="117"/>
      <c r="DT1915" s="240"/>
      <c r="DU1915" s="240"/>
      <c r="DV1915" s="240"/>
      <c r="DW1915" s="240"/>
      <c r="DX1915" s="240"/>
      <c r="DY1915" s="240"/>
      <c r="DZ1915" s="240"/>
      <c r="EA1915" s="240"/>
      <c r="EB1915" s="237"/>
      <c r="EC1915" s="241"/>
      <c r="ED1915" s="241"/>
      <c r="EE1915" s="241"/>
      <c r="EG1915" s="241"/>
      <c r="EI1915" s="241"/>
      <c r="EK1915" s="241"/>
    </row>
    <row r="1916" spans="1:141" s="121" customFormat="1" x14ac:dyDescent="0.3">
      <c r="A1916" s="124"/>
      <c r="O1916" s="235"/>
      <c r="X1916" s="117"/>
      <c r="Y1916" s="117"/>
      <c r="DT1916" s="240"/>
      <c r="DU1916" s="240"/>
      <c r="DV1916" s="240"/>
      <c r="DW1916" s="240"/>
      <c r="DX1916" s="240"/>
      <c r="DY1916" s="240"/>
      <c r="DZ1916" s="240"/>
      <c r="EA1916" s="240"/>
      <c r="EB1916" s="237"/>
      <c r="EC1916" s="241"/>
      <c r="ED1916" s="241"/>
      <c r="EE1916" s="241"/>
      <c r="EG1916" s="241"/>
      <c r="EI1916" s="241"/>
      <c r="EK1916" s="241"/>
    </row>
    <row r="1917" spans="1:141" s="121" customFormat="1" x14ac:dyDescent="0.3">
      <c r="A1917" s="124"/>
      <c r="O1917" s="235"/>
      <c r="X1917" s="117"/>
      <c r="Y1917" s="117"/>
      <c r="DT1917" s="240"/>
      <c r="DU1917" s="240"/>
      <c r="DV1917" s="240"/>
      <c r="DW1917" s="240"/>
      <c r="DX1917" s="240"/>
      <c r="DY1917" s="240"/>
      <c r="DZ1917" s="240"/>
      <c r="EA1917" s="240"/>
      <c r="EB1917" s="237"/>
      <c r="EC1917" s="241"/>
      <c r="ED1917" s="241"/>
      <c r="EE1917" s="241"/>
      <c r="EG1917" s="241"/>
      <c r="EI1917" s="241"/>
      <c r="EK1917" s="241"/>
    </row>
    <row r="1918" spans="1:141" s="121" customFormat="1" x14ac:dyDescent="0.3">
      <c r="A1918" s="124"/>
      <c r="O1918" s="235"/>
      <c r="X1918" s="117"/>
      <c r="Y1918" s="117"/>
      <c r="DT1918" s="240"/>
      <c r="DU1918" s="240"/>
      <c r="DV1918" s="240"/>
      <c r="DW1918" s="240"/>
      <c r="DX1918" s="240"/>
      <c r="DY1918" s="240"/>
      <c r="DZ1918" s="240"/>
      <c r="EA1918" s="240"/>
      <c r="EB1918" s="237"/>
      <c r="EC1918" s="241"/>
      <c r="ED1918" s="241"/>
      <c r="EE1918" s="241"/>
      <c r="EG1918" s="241"/>
      <c r="EI1918" s="241"/>
      <c r="EK1918" s="241"/>
    </row>
    <row r="1919" spans="1:141" s="121" customFormat="1" x14ac:dyDescent="0.3">
      <c r="A1919" s="124"/>
      <c r="O1919" s="235"/>
      <c r="X1919" s="117"/>
      <c r="Y1919" s="117"/>
      <c r="DT1919" s="240"/>
      <c r="DU1919" s="240"/>
      <c r="DV1919" s="240"/>
      <c r="DW1919" s="240"/>
      <c r="DX1919" s="240"/>
      <c r="DY1919" s="240"/>
      <c r="DZ1919" s="240"/>
      <c r="EA1919" s="240"/>
      <c r="EB1919" s="237"/>
      <c r="EC1919" s="241"/>
      <c r="ED1919" s="241"/>
      <c r="EE1919" s="241"/>
      <c r="EG1919" s="241"/>
      <c r="EI1919" s="241"/>
      <c r="EK1919" s="241"/>
    </row>
    <row r="1920" spans="1:141" s="121" customFormat="1" x14ac:dyDescent="0.3">
      <c r="A1920" s="124"/>
      <c r="O1920" s="235"/>
      <c r="X1920" s="117"/>
      <c r="Y1920" s="117"/>
      <c r="DT1920" s="240"/>
      <c r="DU1920" s="240"/>
      <c r="DV1920" s="240"/>
      <c r="DW1920" s="240"/>
      <c r="DX1920" s="240"/>
      <c r="DY1920" s="240"/>
      <c r="DZ1920" s="240"/>
      <c r="EA1920" s="240"/>
      <c r="EB1920" s="237"/>
      <c r="EC1920" s="241"/>
      <c r="ED1920" s="241"/>
      <c r="EE1920" s="241"/>
      <c r="EG1920" s="241"/>
      <c r="EI1920" s="241"/>
      <c r="EK1920" s="241"/>
    </row>
    <row r="1921" spans="1:141" s="121" customFormat="1" x14ac:dyDescent="0.3">
      <c r="A1921" s="124"/>
      <c r="O1921" s="235"/>
      <c r="X1921" s="117"/>
      <c r="Y1921" s="117"/>
      <c r="DT1921" s="240"/>
      <c r="DU1921" s="240"/>
      <c r="DV1921" s="240"/>
      <c r="DW1921" s="240"/>
      <c r="DX1921" s="240"/>
      <c r="DY1921" s="240"/>
      <c r="DZ1921" s="240"/>
      <c r="EA1921" s="240"/>
      <c r="EB1921" s="237"/>
      <c r="EC1921" s="241"/>
      <c r="ED1921" s="241"/>
      <c r="EE1921" s="241"/>
      <c r="EG1921" s="241"/>
      <c r="EI1921" s="241"/>
      <c r="EK1921" s="241"/>
    </row>
    <row r="1922" spans="1:141" s="121" customFormat="1" x14ac:dyDescent="0.3">
      <c r="A1922" s="124"/>
      <c r="O1922" s="235"/>
      <c r="X1922" s="117"/>
      <c r="Y1922" s="117"/>
      <c r="DT1922" s="240"/>
      <c r="DU1922" s="240"/>
      <c r="DV1922" s="240"/>
      <c r="DW1922" s="240"/>
      <c r="DX1922" s="240"/>
      <c r="DY1922" s="240"/>
      <c r="DZ1922" s="240"/>
      <c r="EA1922" s="240"/>
      <c r="EB1922" s="237"/>
      <c r="EC1922" s="241"/>
      <c r="ED1922" s="241"/>
      <c r="EE1922" s="241"/>
      <c r="EG1922" s="241"/>
      <c r="EI1922" s="241"/>
      <c r="EK1922" s="241"/>
    </row>
    <row r="1923" spans="1:141" s="121" customFormat="1" x14ac:dyDescent="0.3">
      <c r="A1923" s="124"/>
      <c r="O1923" s="235"/>
      <c r="X1923" s="117"/>
      <c r="Y1923" s="117"/>
      <c r="DT1923" s="240"/>
      <c r="DU1923" s="240"/>
      <c r="DV1923" s="240"/>
      <c r="DW1923" s="240"/>
      <c r="DX1923" s="240"/>
      <c r="DY1923" s="240"/>
      <c r="DZ1923" s="240"/>
      <c r="EA1923" s="240"/>
      <c r="EB1923" s="237"/>
      <c r="EC1923" s="241"/>
      <c r="ED1923" s="241"/>
      <c r="EE1923" s="241"/>
      <c r="EG1923" s="241"/>
      <c r="EI1923" s="241"/>
      <c r="EK1923" s="241"/>
    </row>
    <row r="1924" spans="1:141" s="121" customFormat="1" x14ac:dyDescent="0.3">
      <c r="A1924" s="124"/>
      <c r="O1924" s="235"/>
      <c r="X1924" s="117"/>
      <c r="Y1924" s="117"/>
      <c r="DT1924" s="240"/>
      <c r="DU1924" s="240"/>
      <c r="DV1924" s="240"/>
      <c r="DW1924" s="240"/>
      <c r="DX1924" s="240"/>
      <c r="DY1924" s="240"/>
      <c r="DZ1924" s="240"/>
      <c r="EA1924" s="240"/>
      <c r="EB1924" s="237"/>
      <c r="EC1924" s="241"/>
      <c r="ED1924" s="241"/>
      <c r="EE1924" s="241"/>
      <c r="EG1924" s="241"/>
      <c r="EI1924" s="241"/>
      <c r="EK1924" s="241"/>
    </row>
    <row r="1925" spans="1:141" s="121" customFormat="1" x14ac:dyDescent="0.3">
      <c r="A1925" s="124"/>
      <c r="O1925" s="235"/>
      <c r="X1925" s="117"/>
      <c r="Y1925" s="117"/>
      <c r="DT1925" s="240"/>
      <c r="DU1925" s="240"/>
      <c r="DV1925" s="240"/>
      <c r="DW1925" s="240"/>
      <c r="DX1925" s="240"/>
      <c r="DY1925" s="240"/>
      <c r="DZ1925" s="240"/>
      <c r="EA1925" s="240"/>
      <c r="EB1925" s="237"/>
      <c r="EC1925" s="241"/>
      <c r="ED1925" s="241"/>
      <c r="EE1925" s="241"/>
      <c r="EG1925" s="241"/>
      <c r="EI1925" s="241"/>
      <c r="EK1925" s="241"/>
    </row>
    <row r="1926" spans="1:141" s="121" customFormat="1" x14ac:dyDescent="0.3">
      <c r="A1926" s="124"/>
      <c r="O1926" s="235"/>
      <c r="X1926" s="117"/>
      <c r="Y1926" s="117"/>
      <c r="DT1926" s="240"/>
      <c r="DU1926" s="240"/>
      <c r="DV1926" s="240"/>
      <c r="DW1926" s="240"/>
      <c r="DX1926" s="240"/>
      <c r="DY1926" s="240"/>
      <c r="DZ1926" s="240"/>
      <c r="EA1926" s="240"/>
      <c r="EB1926" s="237"/>
      <c r="EC1926" s="241"/>
      <c r="ED1926" s="241"/>
      <c r="EE1926" s="241"/>
      <c r="EG1926" s="241"/>
      <c r="EI1926" s="241"/>
      <c r="EK1926" s="241"/>
    </row>
    <row r="1927" spans="1:141" s="121" customFormat="1" x14ac:dyDescent="0.3">
      <c r="A1927" s="124"/>
      <c r="O1927" s="235"/>
      <c r="X1927" s="117"/>
      <c r="Y1927" s="117"/>
      <c r="DT1927" s="240"/>
      <c r="DU1927" s="240"/>
      <c r="DV1927" s="240"/>
      <c r="DW1927" s="240"/>
      <c r="DX1927" s="240"/>
      <c r="DY1927" s="240"/>
      <c r="DZ1927" s="240"/>
      <c r="EA1927" s="240"/>
      <c r="EB1927" s="237"/>
      <c r="EC1927" s="241"/>
      <c r="ED1927" s="241"/>
      <c r="EE1927" s="241"/>
      <c r="EG1927" s="241"/>
      <c r="EI1927" s="241"/>
      <c r="EK1927" s="241"/>
    </row>
    <row r="1928" spans="1:141" s="121" customFormat="1" x14ac:dyDescent="0.3">
      <c r="A1928" s="124"/>
      <c r="O1928" s="235"/>
      <c r="X1928" s="117"/>
      <c r="Y1928" s="117"/>
      <c r="DT1928" s="240"/>
      <c r="DU1928" s="240"/>
      <c r="DV1928" s="240"/>
      <c r="DW1928" s="240"/>
      <c r="DX1928" s="240"/>
      <c r="DY1928" s="240"/>
      <c r="DZ1928" s="240"/>
      <c r="EA1928" s="240"/>
      <c r="EB1928" s="237"/>
      <c r="EC1928" s="241"/>
      <c r="ED1928" s="241"/>
      <c r="EE1928" s="241"/>
      <c r="EG1928" s="241"/>
      <c r="EI1928" s="241"/>
      <c r="EK1928" s="241"/>
    </row>
    <row r="1929" spans="1:141" s="121" customFormat="1" x14ac:dyDescent="0.3">
      <c r="A1929" s="124"/>
      <c r="O1929" s="235"/>
      <c r="X1929" s="117"/>
      <c r="Y1929" s="117"/>
      <c r="DT1929" s="240"/>
      <c r="DU1929" s="240"/>
      <c r="DV1929" s="240"/>
      <c r="DW1929" s="240"/>
      <c r="DX1929" s="240"/>
      <c r="DY1929" s="240"/>
      <c r="DZ1929" s="240"/>
      <c r="EA1929" s="240"/>
      <c r="EB1929" s="237"/>
      <c r="EC1929" s="241"/>
      <c r="ED1929" s="241"/>
      <c r="EE1929" s="241"/>
      <c r="EG1929" s="241"/>
      <c r="EI1929" s="241"/>
      <c r="EK1929" s="241"/>
    </row>
    <row r="1930" spans="1:141" s="121" customFormat="1" x14ac:dyDescent="0.3">
      <c r="A1930" s="124"/>
      <c r="O1930" s="235"/>
      <c r="X1930" s="117"/>
      <c r="Y1930" s="117"/>
      <c r="DT1930" s="240"/>
      <c r="DU1930" s="240"/>
      <c r="DV1930" s="240"/>
      <c r="DW1930" s="240"/>
      <c r="DX1930" s="240"/>
      <c r="DY1930" s="240"/>
      <c r="DZ1930" s="240"/>
      <c r="EA1930" s="240"/>
      <c r="EB1930" s="237"/>
      <c r="EC1930" s="241"/>
      <c r="ED1930" s="241"/>
      <c r="EE1930" s="241"/>
      <c r="EG1930" s="241"/>
      <c r="EI1930" s="241"/>
      <c r="EK1930" s="241"/>
    </row>
    <row r="1931" spans="1:141" s="121" customFormat="1" x14ac:dyDescent="0.3">
      <c r="A1931" s="124"/>
      <c r="O1931" s="235"/>
      <c r="X1931" s="117"/>
      <c r="Y1931" s="117"/>
      <c r="DT1931" s="240"/>
      <c r="DU1931" s="240"/>
      <c r="DV1931" s="240"/>
      <c r="DW1931" s="240"/>
      <c r="DX1931" s="240"/>
      <c r="DY1931" s="240"/>
      <c r="DZ1931" s="240"/>
      <c r="EA1931" s="240"/>
      <c r="EB1931" s="237"/>
      <c r="EC1931" s="241"/>
      <c r="ED1931" s="241"/>
      <c r="EE1931" s="241"/>
      <c r="EG1931" s="241"/>
      <c r="EI1931" s="241"/>
      <c r="EK1931" s="241"/>
    </row>
    <row r="1932" spans="1:141" s="121" customFormat="1" x14ac:dyDescent="0.3">
      <c r="A1932" s="124"/>
      <c r="O1932" s="235"/>
      <c r="X1932" s="117"/>
      <c r="Y1932" s="117"/>
      <c r="DT1932" s="240"/>
      <c r="DU1932" s="240"/>
      <c r="DV1932" s="240"/>
      <c r="DW1932" s="240"/>
      <c r="DX1932" s="240"/>
      <c r="DY1932" s="240"/>
      <c r="DZ1932" s="240"/>
      <c r="EA1932" s="240"/>
      <c r="EB1932" s="237"/>
      <c r="EC1932" s="241"/>
      <c r="ED1932" s="241"/>
      <c r="EE1932" s="241"/>
      <c r="EG1932" s="241"/>
      <c r="EI1932" s="241"/>
      <c r="EK1932" s="241"/>
    </row>
    <row r="1933" spans="1:141" s="121" customFormat="1" x14ac:dyDescent="0.3">
      <c r="A1933" s="124"/>
      <c r="O1933" s="235"/>
      <c r="X1933" s="117"/>
      <c r="Y1933" s="117"/>
      <c r="DT1933" s="240"/>
      <c r="DU1933" s="240"/>
      <c r="DV1933" s="240"/>
      <c r="DW1933" s="240"/>
      <c r="DX1933" s="240"/>
      <c r="DY1933" s="240"/>
      <c r="DZ1933" s="240"/>
      <c r="EA1933" s="240"/>
      <c r="EB1933" s="237"/>
      <c r="EC1933" s="241"/>
      <c r="ED1933" s="241"/>
      <c r="EE1933" s="241"/>
      <c r="EG1933" s="241"/>
      <c r="EI1933" s="241"/>
      <c r="EK1933" s="241"/>
    </row>
    <row r="1934" spans="1:141" s="121" customFormat="1" x14ac:dyDescent="0.3">
      <c r="A1934" s="124"/>
      <c r="O1934" s="235"/>
      <c r="X1934" s="117"/>
      <c r="Y1934" s="117"/>
      <c r="DT1934" s="240"/>
      <c r="DU1934" s="240"/>
      <c r="DV1934" s="240"/>
      <c r="DW1934" s="240"/>
      <c r="DX1934" s="240"/>
      <c r="DY1934" s="240"/>
      <c r="DZ1934" s="240"/>
      <c r="EA1934" s="240"/>
      <c r="EB1934" s="237"/>
      <c r="EC1934" s="241"/>
      <c r="ED1934" s="241"/>
      <c r="EE1934" s="241"/>
      <c r="EG1934" s="241"/>
      <c r="EI1934" s="241"/>
      <c r="EK1934" s="241"/>
    </row>
    <row r="1935" spans="1:141" s="121" customFormat="1" x14ac:dyDescent="0.3">
      <c r="A1935" s="124"/>
      <c r="O1935" s="235"/>
      <c r="X1935" s="117"/>
      <c r="Y1935" s="117"/>
      <c r="DT1935" s="240"/>
      <c r="DU1935" s="240"/>
      <c r="DV1935" s="240"/>
      <c r="DW1935" s="240"/>
      <c r="DX1935" s="240"/>
      <c r="DY1935" s="240"/>
      <c r="DZ1935" s="240"/>
      <c r="EA1935" s="240"/>
      <c r="EB1935" s="237"/>
      <c r="EC1935" s="241"/>
      <c r="ED1935" s="241"/>
      <c r="EE1935" s="241"/>
      <c r="EG1935" s="241"/>
      <c r="EI1935" s="241"/>
      <c r="EK1935" s="241"/>
    </row>
    <row r="1936" spans="1:141" s="121" customFormat="1" x14ac:dyDescent="0.3">
      <c r="A1936" s="124"/>
      <c r="O1936" s="235"/>
      <c r="X1936" s="117"/>
      <c r="Y1936" s="117"/>
      <c r="DT1936" s="240"/>
      <c r="DU1936" s="240"/>
      <c r="DV1936" s="240"/>
      <c r="DW1936" s="240"/>
      <c r="DX1936" s="240"/>
      <c r="DY1936" s="240"/>
      <c r="DZ1936" s="240"/>
      <c r="EA1936" s="240"/>
      <c r="EB1936" s="237"/>
      <c r="EC1936" s="241"/>
      <c r="ED1936" s="241"/>
      <c r="EE1936" s="241"/>
      <c r="EG1936" s="241"/>
      <c r="EI1936" s="241"/>
      <c r="EK1936" s="241"/>
    </row>
    <row r="1937" spans="1:141" s="121" customFormat="1" x14ac:dyDescent="0.3">
      <c r="A1937" s="124"/>
      <c r="O1937" s="235"/>
      <c r="X1937" s="117"/>
      <c r="Y1937" s="117"/>
      <c r="DT1937" s="240"/>
      <c r="DU1937" s="240"/>
      <c r="DV1937" s="240"/>
      <c r="DW1937" s="240"/>
      <c r="DX1937" s="240"/>
      <c r="DY1937" s="240"/>
      <c r="DZ1937" s="240"/>
      <c r="EA1937" s="240"/>
      <c r="EB1937" s="237"/>
      <c r="EC1937" s="241"/>
      <c r="ED1937" s="241"/>
      <c r="EE1937" s="241"/>
      <c r="EG1937" s="241"/>
      <c r="EI1937" s="241"/>
      <c r="EK1937" s="241"/>
    </row>
    <row r="1938" spans="1:141" s="121" customFormat="1" x14ac:dyDescent="0.3">
      <c r="A1938" s="124"/>
      <c r="O1938" s="235"/>
      <c r="X1938" s="117"/>
      <c r="Y1938" s="117"/>
      <c r="DT1938" s="240"/>
      <c r="DU1938" s="240"/>
      <c r="DV1938" s="240"/>
      <c r="DW1938" s="240"/>
      <c r="DX1938" s="240"/>
      <c r="DY1938" s="240"/>
      <c r="DZ1938" s="240"/>
      <c r="EA1938" s="240"/>
      <c r="EB1938" s="237"/>
      <c r="EC1938" s="241"/>
      <c r="ED1938" s="241"/>
      <c r="EE1938" s="241"/>
      <c r="EG1938" s="241"/>
      <c r="EI1938" s="241"/>
      <c r="EK1938" s="241"/>
    </row>
    <row r="1939" spans="1:141" s="121" customFormat="1" x14ac:dyDescent="0.3">
      <c r="A1939" s="124"/>
      <c r="O1939" s="235"/>
      <c r="X1939" s="117"/>
      <c r="Y1939" s="117"/>
      <c r="DT1939" s="240"/>
      <c r="DU1939" s="240"/>
      <c r="DV1939" s="240"/>
      <c r="DW1939" s="240"/>
      <c r="DX1939" s="240"/>
      <c r="DY1939" s="240"/>
      <c r="DZ1939" s="240"/>
      <c r="EA1939" s="240"/>
      <c r="EB1939" s="237"/>
      <c r="EC1939" s="241"/>
      <c r="ED1939" s="241"/>
      <c r="EE1939" s="241"/>
      <c r="EG1939" s="241"/>
      <c r="EI1939" s="241"/>
      <c r="EK1939" s="241"/>
    </row>
    <row r="1940" spans="1:141" s="121" customFormat="1" x14ac:dyDescent="0.3">
      <c r="A1940" s="124"/>
      <c r="O1940" s="235"/>
      <c r="X1940" s="117"/>
      <c r="Y1940" s="117"/>
      <c r="DT1940" s="240"/>
      <c r="DU1940" s="240"/>
      <c r="DV1940" s="240"/>
      <c r="DW1940" s="240"/>
      <c r="DX1940" s="240"/>
      <c r="DY1940" s="240"/>
      <c r="DZ1940" s="240"/>
      <c r="EA1940" s="240"/>
      <c r="EB1940" s="237"/>
      <c r="EC1940" s="241"/>
      <c r="ED1940" s="241"/>
      <c r="EE1940" s="241"/>
      <c r="EG1940" s="241"/>
      <c r="EI1940" s="241"/>
      <c r="EK1940" s="241"/>
    </row>
    <row r="1941" spans="1:141" s="121" customFormat="1" x14ac:dyDescent="0.3">
      <c r="A1941" s="124"/>
      <c r="O1941" s="235"/>
      <c r="X1941" s="117"/>
      <c r="Y1941" s="117"/>
      <c r="DT1941" s="240"/>
      <c r="DU1941" s="240"/>
      <c r="DV1941" s="240"/>
      <c r="DW1941" s="240"/>
      <c r="DX1941" s="240"/>
      <c r="DY1941" s="240"/>
      <c r="DZ1941" s="240"/>
      <c r="EA1941" s="240"/>
      <c r="EB1941" s="237"/>
      <c r="EC1941" s="241"/>
      <c r="ED1941" s="241"/>
      <c r="EE1941" s="241"/>
      <c r="EG1941" s="241"/>
      <c r="EI1941" s="241"/>
      <c r="EK1941" s="241"/>
    </row>
    <row r="1942" spans="1:141" s="121" customFormat="1" x14ac:dyDescent="0.3">
      <c r="A1942" s="124"/>
      <c r="O1942" s="235"/>
      <c r="X1942" s="117"/>
      <c r="Y1942" s="117"/>
      <c r="DT1942" s="240"/>
      <c r="DU1942" s="240"/>
      <c r="DV1942" s="240"/>
      <c r="DW1942" s="240"/>
      <c r="DX1942" s="240"/>
      <c r="DY1942" s="240"/>
      <c r="DZ1942" s="240"/>
      <c r="EA1942" s="240"/>
      <c r="EB1942" s="237"/>
      <c r="EC1942" s="241"/>
      <c r="ED1942" s="241"/>
      <c r="EE1942" s="241"/>
      <c r="EG1942" s="241"/>
      <c r="EI1942" s="241"/>
      <c r="EK1942" s="241"/>
    </row>
    <row r="1943" spans="1:141" s="121" customFormat="1" x14ac:dyDescent="0.3">
      <c r="A1943" s="124"/>
      <c r="O1943" s="235"/>
      <c r="X1943" s="117"/>
      <c r="Y1943" s="117"/>
      <c r="DT1943" s="240"/>
      <c r="DU1943" s="240"/>
      <c r="DV1943" s="240"/>
      <c r="DW1943" s="240"/>
      <c r="DX1943" s="240"/>
      <c r="DY1943" s="240"/>
      <c r="DZ1943" s="240"/>
      <c r="EA1943" s="240"/>
      <c r="EB1943" s="237"/>
      <c r="EC1943" s="241"/>
      <c r="ED1943" s="241"/>
      <c r="EE1943" s="241"/>
      <c r="EG1943" s="241"/>
      <c r="EI1943" s="241"/>
      <c r="EK1943" s="241"/>
    </row>
    <row r="1944" spans="1:141" s="121" customFormat="1" x14ac:dyDescent="0.3">
      <c r="A1944" s="124"/>
      <c r="O1944" s="235"/>
      <c r="X1944" s="117"/>
      <c r="Y1944" s="117"/>
      <c r="DT1944" s="240"/>
      <c r="DU1944" s="240"/>
      <c r="DV1944" s="240"/>
      <c r="DW1944" s="240"/>
      <c r="DX1944" s="240"/>
      <c r="DY1944" s="240"/>
      <c r="DZ1944" s="240"/>
      <c r="EA1944" s="240"/>
      <c r="EB1944" s="237"/>
      <c r="EC1944" s="241"/>
      <c r="ED1944" s="241"/>
      <c r="EE1944" s="241"/>
      <c r="EG1944" s="241"/>
      <c r="EI1944" s="241"/>
      <c r="EK1944" s="241"/>
    </row>
    <row r="1945" spans="1:141" s="121" customFormat="1" x14ac:dyDescent="0.3">
      <c r="A1945" s="124"/>
      <c r="O1945" s="235"/>
      <c r="X1945" s="117"/>
      <c r="Y1945" s="117"/>
      <c r="DT1945" s="240"/>
      <c r="DU1945" s="240"/>
      <c r="DV1945" s="240"/>
      <c r="DW1945" s="240"/>
      <c r="DX1945" s="240"/>
      <c r="DY1945" s="240"/>
      <c r="DZ1945" s="240"/>
      <c r="EA1945" s="240"/>
      <c r="EB1945" s="237"/>
      <c r="EC1945" s="241"/>
      <c r="ED1945" s="241"/>
      <c r="EE1945" s="241"/>
      <c r="EG1945" s="241"/>
      <c r="EI1945" s="241"/>
      <c r="EK1945" s="241"/>
    </row>
    <row r="1946" spans="1:141" s="121" customFormat="1" x14ac:dyDescent="0.3">
      <c r="A1946" s="124"/>
      <c r="O1946" s="235"/>
      <c r="X1946" s="117"/>
      <c r="Y1946" s="117"/>
      <c r="DT1946" s="240"/>
      <c r="DU1946" s="240"/>
      <c r="DV1946" s="240"/>
      <c r="DW1946" s="240"/>
      <c r="DX1946" s="240"/>
      <c r="DY1946" s="240"/>
      <c r="DZ1946" s="240"/>
      <c r="EA1946" s="240"/>
      <c r="EB1946" s="237"/>
      <c r="EC1946" s="241"/>
      <c r="ED1946" s="241"/>
      <c r="EE1946" s="241"/>
      <c r="EG1946" s="241"/>
      <c r="EI1946" s="241"/>
      <c r="EK1946" s="241"/>
    </row>
    <row r="1947" spans="1:141" s="121" customFormat="1" x14ac:dyDescent="0.3">
      <c r="A1947" s="124"/>
      <c r="O1947" s="235"/>
      <c r="X1947" s="117"/>
      <c r="Y1947" s="117"/>
      <c r="DT1947" s="240"/>
      <c r="DU1947" s="240"/>
      <c r="DV1947" s="240"/>
      <c r="DW1947" s="240"/>
      <c r="DX1947" s="240"/>
      <c r="DY1947" s="240"/>
      <c r="DZ1947" s="240"/>
      <c r="EA1947" s="240"/>
      <c r="EB1947" s="237"/>
      <c r="EC1947" s="241"/>
      <c r="ED1947" s="241"/>
      <c r="EE1947" s="241"/>
      <c r="EG1947" s="241"/>
      <c r="EI1947" s="241"/>
      <c r="EK1947" s="241"/>
    </row>
    <row r="1948" spans="1:141" s="121" customFormat="1" x14ac:dyDescent="0.3">
      <c r="A1948" s="124"/>
      <c r="O1948" s="235"/>
      <c r="X1948" s="117"/>
      <c r="Y1948" s="117"/>
      <c r="DT1948" s="240"/>
      <c r="DU1948" s="240"/>
      <c r="DV1948" s="240"/>
      <c r="DW1948" s="240"/>
      <c r="DX1948" s="240"/>
      <c r="DY1948" s="240"/>
      <c r="DZ1948" s="240"/>
      <c r="EA1948" s="240"/>
      <c r="EB1948" s="237"/>
      <c r="EC1948" s="241"/>
      <c r="ED1948" s="241"/>
      <c r="EE1948" s="241"/>
      <c r="EG1948" s="241"/>
      <c r="EI1948" s="241"/>
      <c r="EK1948" s="241"/>
    </row>
    <row r="1949" spans="1:141" s="121" customFormat="1" x14ac:dyDescent="0.3">
      <c r="A1949" s="124"/>
      <c r="O1949" s="235"/>
      <c r="X1949" s="117"/>
      <c r="Y1949" s="117"/>
      <c r="DT1949" s="240"/>
      <c r="DU1949" s="240"/>
      <c r="DV1949" s="240"/>
      <c r="DW1949" s="240"/>
      <c r="DX1949" s="240"/>
      <c r="DY1949" s="240"/>
      <c r="DZ1949" s="240"/>
      <c r="EA1949" s="240"/>
      <c r="EB1949" s="237"/>
      <c r="EC1949" s="241"/>
      <c r="ED1949" s="241"/>
      <c r="EE1949" s="241"/>
      <c r="EG1949" s="241"/>
      <c r="EI1949" s="241"/>
      <c r="EK1949" s="241"/>
    </row>
    <row r="1950" spans="1:141" s="121" customFormat="1" x14ac:dyDescent="0.3">
      <c r="A1950" s="124"/>
      <c r="O1950" s="235"/>
      <c r="X1950" s="117"/>
      <c r="Y1950" s="117"/>
      <c r="DT1950" s="240"/>
      <c r="DU1950" s="240"/>
      <c r="DV1950" s="240"/>
      <c r="DW1950" s="240"/>
      <c r="DX1950" s="240"/>
      <c r="DY1950" s="240"/>
      <c r="DZ1950" s="240"/>
      <c r="EA1950" s="240"/>
      <c r="EB1950" s="237"/>
      <c r="EC1950" s="241"/>
      <c r="ED1950" s="241"/>
      <c r="EE1950" s="241"/>
      <c r="EG1950" s="241"/>
      <c r="EI1950" s="241"/>
      <c r="EK1950" s="241"/>
    </row>
    <row r="1951" spans="1:141" s="121" customFormat="1" x14ac:dyDescent="0.3">
      <c r="A1951" s="124"/>
      <c r="O1951" s="235"/>
      <c r="X1951" s="117"/>
      <c r="Y1951" s="117"/>
      <c r="DT1951" s="240"/>
      <c r="DU1951" s="240"/>
      <c r="DV1951" s="240"/>
      <c r="DW1951" s="240"/>
      <c r="DX1951" s="240"/>
      <c r="DY1951" s="240"/>
      <c r="DZ1951" s="240"/>
      <c r="EA1951" s="240"/>
      <c r="EB1951" s="237"/>
      <c r="EC1951" s="241"/>
      <c r="ED1951" s="241"/>
      <c r="EE1951" s="241"/>
      <c r="EG1951" s="241"/>
      <c r="EI1951" s="241"/>
      <c r="EK1951" s="241"/>
    </row>
    <row r="1952" spans="1:141" s="121" customFormat="1" x14ac:dyDescent="0.3">
      <c r="A1952" s="124"/>
      <c r="O1952" s="235"/>
      <c r="X1952" s="117"/>
      <c r="Y1952" s="117"/>
      <c r="DT1952" s="240"/>
      <c r="DU1952" s="240"/>
      <c r="DV1952" s="240"/>
      <c r="DW1952" s="240"/>
      <c r="DX1952" s="240"/>
      <c r="DY1952" s="240"/>
      <c r="DZ1952" s="240"/>
      <c r="EA1952" s="240"/>
      <c r="EB1952" s="237"/>
      <c r="EC1952" s="241"/>
      <c r="ED1952" s="241"/>
      <c r="EE1952" s="241"/>
      <c r="EG1952" s="241"/>
      <c r="EI1952" s="241"/>
      <c r="EK1952" s="241"/>
    </row>
    <row r="1953" spans="1:141" s="121" customFormat="1" x14ac:dyDescent="0.3">
      <c r="A1953" s="124"/>
      <c r="O1953" s="235"/>
      <c r="X1953" s="117"/>
      <c r="Y1953" s="117"/>
      <c r="DT1953" s="240"/>
      <c r="DU1953" s="240"/>
      <c r="DV1953" s="240"/>
      <c r="DW1953" s="240"/>
      <c r="DX1953" s="240"/>
      <c r="DY1953" s="240"/>
      <c r="DZ1953" s="240"/>
      <c r="EA1953" s="240"/>
      <c r="EB1953" s="237"/>
      <c r="EC1953" s="241"/>
      <c r="ED1953" s="241"/>
      <c r="EE1953" s="241"/>
      <c r="EG1953" s="241"/>
      <c r="EI1953" s="241"/>
      <c r="EK1953" s="241"/>
    </row>
    <row r="1954" spans="1:141" s="121" customFormat="1" x14ac:dyDescent="0.3">
      <c r="A1954" s="124"/>
      <c r="O1954" s="235"/>
      <c r="X1954" s="117"/>
      <c r="Y1954" s="117"/>
      <c r="DT1954" s="240"/>
      <c r="DU1954" s="240"/>
      <c r="DV1954" s="240"/>
      <c r="DW1954" s="240"/>
      <c r="DX1954" s="240"/>
      <c r="DY1954" s="240"/>
      <c r="DZ1954" s="240"/>
      <c r="EA1954" s="240"/>
      <c r="EB1954" s="237"/>
      <c r="EC1954" s="241"/>
      <c r="ED1954" s="241"/>
      <c r="EE1954" s="241"/>
      <c r="EG1954" s="241"/>
      <c r="EI1954" s="241"/>
      <c r="EK1954" s="241"/>
    </row>
    <row r="1955" spans="1:141" s="121" customFormat="1" x14ac:dyDescent="0.3">
      <c r="A1955" s="124"/>
      <c r="O1955" s="235"/>
      <c r="X1955" s="117"/>
      <c r="Y1955" s="117"/>
      <c r="DT1955" s="240"/>
      <c r="DU1955" s="240"/>
      <c r="DV1955" s="240"/>
      <c r="DW1955" s="240"/>
      <c r="DX1955" s="240"/>
      <c r="DY1955" s="240"/>
      <c r="DZ1955" s="240"/>
      <c r="EA1955" s="240"/>
      <c r="EB1955" s="237"/>
      <c r="EC1955" s="241"/>
      <c r="ED1955" s="241"/>
      <c r="EE1955" s="241"/>
      <c r="EG1955" s="241"/>
      <c r="EI1955" s="241"/>
      <c r="EK1955" s="241"/>
    </row>
    <row r="1956" spans="1:141" s="121" customFormat="1" x14ac:dyDescent="0.3">
      <c r="A1956" s="124"/>
      <c r="O1956" s="235"/>
      <c r="X1956" s="117"/>
      <c r="Y1956" s="117"/>
      <c r="DT1956" s="240"/>
      <c r="DU1956" s="240"/>
      <c r="DV1956" s="240"/>
      <c r="DW1956" s="240"/>
      <c r="DX1956" s="240"/>
      <c r="DY1956" s="240"/>
      <c r="DZ1956" s="240"/>
      <c r="EA1956" s="240"/>
      <c r="EB1956" s="237"/>
      <c r="EC1956" s="241"/>
      <c r="ED1956" s="241"/>
      <c r="EE1956" s="241"/>
      <c r="EG1956" s="241"/>
      <c r="EI1956" s="241"/>
      <c r="EK1956" s="241"/>
    </row>
    <row r="1957" spans="1:141" s="121" customFormat="1" x14ac:dyDescent="0.3">
      <c r="A1957" s="124"/>
      <c r="O1957" s="235"/>
      <c r="X1957" s="117"/>
      <c r="Y1957" s="117"/>
      <c r="DT1957" s="240"/>
      <c r="DU1957" s="240"/>
      <c r="DV1957" s="240"/>
      <c r="DW1957" s="240"/>
      <c r="DX1957" s="240"/>
      <c r="DY1957" s="240"/>
      <c r="DZ1957" s="240"/>
      <c r="EA1957" s="240"/>
      <c r="EB1957" s="237"/>
      <c r="EC1957" s="241"/>
      <c r="ED1957" s="241"/>
      <c r="EE1957" s="241"/>
      <c r="EG1957" s="241"/>
      <c r="EI1957" s="241"/>
      <c r="EK1957" s="241"/>
    </row>
    <row r="1958" spans="1:141" s="121" customFormat="1" x14ac:dyDescent="0.3">
      <c r="A1958" s="124"/>
      <c r="O1958" s="235"/>
      <c r="X1958" s="117"/>
      <c r="Y1958" s="117"/>
      <c r="DT1958" s="240"/>
      <c r="DU1958" s="240"/>
      <c r="DV1958" s="240"/>
      <c r="DW1958" s="240"/>
      <c r="DX1958" s="240"/>
      <c r="DY1958" s="240"/>
      <c r="DZ1958" s="240"/>
      <c r="EA1958" s="240"/>
      <c r="EB1958" s="237"/>
      <c r="EC1958" s="241"/>
      <c r="ED1958" s="241"/>
      <c r="EE1958" s="241"/>
      <c r="EG1958" s="241"/>
      <c r="EI1958" s="241"/>
      <c r="EK1958" s="241"/>
    </row>
    <row r="1959" spans="1:141" s="121" customFormat="1" x14ac:dyDescent="0.3">
      <c r="A1959" s="124"/>
      <c r="O1959" s="235"/>
      <c r="X1959" s="117"/>
      <c r="Y1959" s="117"/>
      <c r="DT1959" s="240"/>
      <c r="DU1959" s="240"/>
      <c r="DV1959" s="240"/>
      <c r="DW1959" s="240"/>
      <c r="DX1959" s="240"/>
      <c r="DY1959" s="240"/>
      <c r="DZ1959" s="240"/>
      <c r="EA1959" s="240"/>
      <c r="EB1959" s="237"/>
      <c r="EC1959" s="241"/>
      <c r="ED1959" s="241"/>
      <c r="EE1959" s="241"/>
      <c r="EG1959" s="241"/>
      <c r="EI1959" s="241"/>
      <c r="EK1959" s="241"/>
    </row>
    <row r="1960" spans="1:141" s="121" customFormat="1" x14ac:dyDescent="0.3">
      <c r="A1960" s="124"/>
      <c r="O1960" s="235"/>
      <c r="X1960" s="117"/>
      <c r="Y1960" s="117"/>
      <c r="DT1960" s="240"/>
      <c r="DU1960" s="240"/>
      <c r="DV1960" s="240"/>
      <c r="DW1960" s="240"/>
      <c r="DX1960" s="240"/>
      <c r="DY1960" s="240"/>
      <c r="DZ1960" s="240"/>
      <c r="EA1960" s="240"/>
      <c r="EB1960" s="237"/>
      <c r="EC1960" s="241"/>
      <c r="ED1960" s="241"/>
      <c r="EE1960" s="241"/>
      <c r="EG1960" s="241"/>
      <c r="EI1960" s="241"/>
      <c r="EK1960" s="241"/>
    </row>
    <row r="1961" spans="1:141" s="121" customFormat="1" x14ac:dyDescent="0.3">
      <c r="A1961" s="124"/>
      <c r="O1961" s="235"/>
      <c r="X1961" s="117"/>
      <c r="Y1961" s="117"/>
      <c r="DT1961" s="240"/>
      <c r="DU1961" s="240"/>
      <c r="DV1961" s="240"/>
      <c r="DW1961" s="240"/>
      <c r="DX1961" s="240"/>
      <c r="DY1961" s="240"/>
      <c r="DZ1961" s="240"/>
      <c r="EA1961" s="240"/>
      <c r="EB1961" s="237"/>
      <c r="EC1961" s="241"/>
      <c r="ED1961" s="241"/>
      <c r="EE1961" s="241"/>
      <c r="EG1961" s="241"/>
      <c r="EI1961" s="241"/>
      <c r="EK1961" s="241"/>
    </row>
    <row r="1962" spans="1:141" s="121" customFormat="1" x14ac:dyDescent="0.3">
      <c r="A1962" s="124"/>
      <c r="O1962" s="235"/>
      <c r="X1962" s="117"/>
      <c r="Y1962" s="117"/>
      <c r="DT1962" s="240"/>
      <c r="DU1962" s="240"/>
      <c r="DV1962" s="240"/>
      <c r="DW1962" s="240"/>
      <c r="DX1962" s="240"/>
      <c r="DY1962" s="240"/>
      <c r="DZ1962" s="240"/>
      <c r="EA1962" s="240"/>
      <c r="EB1962" s="237"/>
      <c r="EC1962" s="241"/>
      <c r="ED1962" s="241"/>
      <c r="EE1962" s="241"/>
      <c r="EG1962" s="241"/>
      <c r="EI1962" s="241"/>
      <c r="EK1962" s="241"/>
    </row>
    <row r="1963" spans="1:141" s="121" customFormat="1" x14ac:dyDescent="0.3">
      <c r="A1963" s="124"/>
      <c r="O1963" s="235"/>
      <c r="X1963" s="117"/>
      <c r="Y1963" s="117"/>
      <c r="DT1963" s="240"/>
      <c r="DU1963" s="240"/>
      <c r="DV1963" s="240"/>
      <c r="DW1963" s="240"/>
      <c r="DX1963" s="240"/>
      <c r="DY1963" s="240"/>
      <c r="DZ1963" s="240"/>
      <c r="EA1963" s="240"/>
      <c r="EB1963" s="237"/>
      <c r="EC1963" s="241"/>
      <c r="ED1963" s="241"/>
      <c r="EE1963" s="241"/>
      <c r="EG1963" s="241"/>
      <c r="EI1963" s="241"/>
      <c r="EK1963" s="241"/>
    </row>
    <row r="1964" spans="1:141" s="121" customFormat="1" x14ac:dyDescent="0.3">
      <c r="A1964" s="124"/>
      <c r="O1964" s="235"/>
      <c r="X1964" s="117"/>
      <c r="Y1964" s="117"/>
      <c r="DT1964" s="240"/>
      <c r="DU1964" s="240"/>
      <c r="DV1964" s="240"/>
      <c r="DW1964" s="240"/>
      <c r="DX1964" s="240"/>
      <c r="DY1964" s="240"/>
      <c r="DZ1964" s="240"/>
      <c r="EA1964" s="240"/>
      <c r="EB1964" s="237"/>
      <c r="EC1964" s="241"/>
      <c r="ED1964" s="241"/>
      <c r="EE1964" s="241"/>
      <c r="EG1964" s="241"/>
      <c r="EI1964" s="241"/>
      <c r="EK1964" s="241"/>
    </row>
    <row r="1965" spans="1:141" s="121" customFormat="1" x14ac:dyDescent="0.3">
      <c r="A1965" s="124"/>
      <c r="O1965" s="235"/>
      <c r="X1965" s="117"/>
      <c r="Y1965" s="117"/>
      <c r="DT1965" s="240"/>
      <c r="DU1965" s="240"/>
      <c r="DV1965" s="240"/>
      <c r="DW1965" s="240"/>
      <c r="DX1965" s="240"/>
      <c r="DY1965" s="240"/>
      <c r="DZ1965" s="240"/>
      <c r="EA1965" s="240"/>
      <c r="EB1965" s="237"/>
      <c r="EC1965" s="241"/>
      <c r="ED1965" s="241"/>
      <c r="EE1965" s="241"/>
      <c r="EG1965" s="241"/>
      <c r="EI1965" s="241"/>
      <c r="EK1965" s="241"/>
    </row>
    <row r="1966" spans="1:141" s="121" customFormat="1" x14ac:dyDescent="0.3">
      <c r="A1966" s="124"/>
      <c r="O1966" s="235"/>
      <c r="X1966" s="117"/>
      <c r="Y1966" s="117"/>
      <c r="DT1966" s="240"/>
      <c r="DU1966" s="240"/>
      <c r="DV1966" s="240"/>
      <c r="DW1966" s="240"/>
      <c r="DX1966" s="240"/>
      <c r="DY1966" s="240"/>
      <c r="DZ1966" s="240"/>
      <c r="EA1966" s="240"/>
      <c r="EB1966" s="237"/>
      <c r="EC1966" s="241"/>
      <c r="ED1966" s="241"/>
      <c r="EE1966" s="241"/>
      <c r="EG1966" s="241"/>
      <c r="EI1966" s="241"/>
      <c r="EK1966" s="241"/>
    </row>
    <row r="1967" spans="1:141" s="121" customFormat="1" x14ac:dyDescent="0.3">
      <c r="A1967" s="124"/>
      <c r="O1967" s="235"/>
      <c r="X1967" s="117"/>
      <c r="Y1967" s="117"/>
      <c r="DT1967" s="240"/>
      <c r="DU1967" s="240"/>
      <c r="DV1967" s="240"/>
      <c r="DW1967" s="240"/>
      <c r="DX1967" s="240"/>
      <c r="DY1967" s="240"/>
      <c r="DZ1967" s="240"/>
      <c r="EA1967" s="240"/>
      <c r="EB1967" s="237"/>
      <c r="EC1967" s="241"/>
      <c r="ED1967" s="241"/>
      <c r="EE1967" s="241"/>
      <c r="EG1967" s="241"/>
      <c r="EI1967" s="241"/>
      <c r="EK1967" s="241"/>
    </row>
    <row r="1968" spans="1:141" s="121" customFormat="1" x14ac:dyDescent="0.3">
      <c r="A1968" s="124"/>
      <c r="O1968" s="235"/>
      <c r="X1968" s="117"/>
      <c r="Y1968" s="117"/>
      <c r="DT1968" s="240"/>
      <c r="DU1968" s="240"/>
      <c r="DV1968" s="240"/>
      <c r="DW1968" s="240"/>
      <c r="DX1968" s="240"/>
      <c r="DY1968" s="240"/>
      <c r="DZ1968" s="240"/>
      <c r="EA1968" s="240"/>
      <c r="EB1968" s="237"/>
      <c r="EC1968" s="241"/>
      <c r="ED1968" s="241"/>
      <c r="EE1968" s="241"/>
      <c r="EG1968" s="241"/>
      <c r="EI1968" s="241"/>
      <c r="EK1968" s="241"/>
    </row>
    <row r="1969" spans="1:141" s="121" customFormat="1" x14ac:dyDescent="0.3">
      <c r="A1969" s="124"/>
      <c r="O1969" s="235"/>
      <c r="X1969" s="117"/>
      <c r="Y1969" s="117"/>
      <c r="DT1969" s="240"/>
      <c r="DU1969" s="240"/>
      <c r="DV1969" s="240"/>
      <c r="DW1969" s="240"/>
      <c r="DX1969" s="240"/>
      <c r="DY1969" s="240"/>
      <c r="DZ1969" s="240"/>
      <c r="EA1969" s="240"/>
      <c r="EB1969" s="237"/>
      <c r="EC1969" s="241"/>
      <c r="ED1969" s="241"/>
      <c r="EE1969" s="241"/>
      <c r="EG1969" s="241"/>
      <c r="EI1969" s="241"/>
      <c r="EK1969" s="241"/>
    </row>
    <row r="1970" spans="1:141" s="121" customFormat="1" x14ac:dyDescent="0.3">
      <c r="A1970" s="124"/>
      <c r="O1970" s="235"/>
      <c r="X1970" s="117"/>
      <c r="Y1970" s="117"/>
      <c r="DT1970" s="240"/>
      <c r="DU1970" s="240"/>
      <c r="DV1970" s="240"/>
      <c r="DW1970" s="240"/>
      <c r="DX1970" s="240"/>
      <c r="DY1970" s="240"/>
      <c r="DZ1970" s="240"/>
      <c r="EA1970" s="240"/>
      <c r="EB1970" s="237"/>
      <c r="EC1970" s="241"/>
      <c r="ED1970" s="241"/>
      <c r="EE1970" s="241"/>
      <c r="EG1970" s="241"/>
      <c r="EI1970" s="241"/>
      <c r="EK1970" s="241"/>
    </row>
    <row r="1971" spans="1:141" s="121" customFormat="1" x14ac:dyDescent="0.3">
      <c r="A1971" s="124"/>
      <c r="O1971" s="235"/>
      <c r="X1971" s="117"/>
      <c r="Y1971" s="117"/>
      <c r="DT1971" s="240"/>
      <c r="DU1971" s="240"/>
      <c r="DV1971" s="240"/>
      <c r="DW1971" s="240"/>
      <c r="DX1971" s="240"/>
      <c r="DY1971" s="240"/>
      <c r="DZ1971" s="240"/>
      <c r="EA1971" s="240"/>
      <c r="EB1971" s="237"/>
      <c r="EC1971" s="241"/>
      <c r="ED1971" s="241"/>
      <c r="EE1971" s="241"/>
      <c r="EG1971" s="241"/>
      <c r="EI1971" s="241"/>
      <c r="EK1971" s="241"/>
    </row>
    <row r="1972" spans="1:141" s="121" customFormat="1" x14ac:dyDescent="0.3">
      <c r="A1972" s="124"/>
      <c r="O1972" s="235"/>
      <c r="X1972" s="117"/>
      <c r="Y1972" s="117"/>
      <c r="DT1972" s="240"/>
      <c r="DU1972" s="240"/>
      <c r="DV1972" s="240"/>
      <c r="DW1972" s="240"/>
      <c r="DX1972" s="240"/>
      <c r="DY1972" s="240"/>
      <c r="DZ1972" s="240"/>
      <c r="EA1972" s="240"/>
      <c r="EB1972" s="237"/>
      <c r="EC1972" s="241"/>
      <c r="ED1972" s="241"/>
      <c r="EE1972" s="241"/>
      <c r="EG1972" s="241"/>
      <c r="EI1972" s="241"/>
      <c r="EK1972" s="241"/>
    </row>
    <row r="1973" spans="1:141" s="121" customFormat="1" x14ac:dyDescent="0.3">
      <c r="A1973" s="124"/>
      <c r="O1973" s="235"/>
      <c r="X1973" s="117"/>
      <c r="Y1973" s="117"/>
      <c r="DT1973" s="240"/>
      <c r="DU1973" s="240"/>
      <c r="DV1973" s="240"/>
      <c r="DW1973" s="240"/>
      <c r="DX1973" s="240"/>
      <c r="DY1973" s="240"/>
      <c r="DZ1973" s="240"/>
      <c r="EA1973" s="240"/>
      <c r="EB1973" s="237"/>
      <c r="EC1973" s="241"/>
      <c r="ED1973" s="241"/>
      <c r="EE1973" s="241"/>
      <c r="EG1973" s="241"/>
      <c r="EI1973" s="241"/>
      <c r="EK1973" s="241"/>
    </row>
    <row r="1974" spans="1:141" s="121" customFormat="1" x14ac:dyDescent="0.3">
      <c r="A1974" s="124"/>
      <c r="O1974" s="235"/>
      <c r="X1974" s="117"/>
      <c r="Y1974" s="117"/>
      <c r="DT1974" s="240"/>
      <c r="DU1974" s="240"/>
      <c r="DV1974" s="240"/>
      <c r="DW1974" s="240"/>
      <c r="DX1974" s="240"/>
      <c r="DY1974" s="240"/>
      <c r="DZ1974" s="240"/>
      <c r="EA1974" s="240"/>
      <c r="EB1974" s="237"/>
      <c r="EC1974" s="241"/>
      <c r="ED1974" s="241"/>
      <c r="EE1974" s="241"/>
      <c r="EG1974" s="241"/>
      <c r="EI1974" s="241"/>
      <c r="EK1974" s="241"/>
    </row>
    <row r="1975" spans="1:141" s="121" customFormat="1" x14ac:dyDescent="0.3">
      <c r="A1975" s="124"/>
      <c r="O1975" s="235"/>
      <c r="X1975" s="117"/>
      <c r="Y1975" s="117"/>
      <c r="DT1975" s="240"/>
      <c r="DU1975" s="240"/>
      <c r="DV1975" s="240"/>
      <c r="DW1975" s="240"/>
      <c r="DX1975" s="240"/>
      <c r="DY1975" s="240"/>
      <c r="DZ1975" s="240"/>
      <c r="EA1975" s="240"/>
      <c r="EB1975" s="237"/>
      <c r="EC1975" s="241"/>
      <c r="ED1975" s="241"/>
      <c r="EE1975" s="241"/>
      <c r="EG1975" s="241"/>
      <c r="EI1975" s="241"/>
      <c r="EK1975" s="241"/>
    </row>
    <row r="1976" spans="1:141" s="121" customFormat="1" x14ac:dyDescent="0.3">
      <c r="A1976" s="124"/>
      <c r="O1976" s="235"/>
      <c r="X1976" s="117"/>
      <c r="Y1976" s="117"/>
      <c r="DT1976" s="240"/>
      <c r="DU1976" s="240"/>
      <c r="DV1976" s="240"/>
      <c r="DW1976" s="240"/>
      <c r="DX1976" s="240"/>
      <c r="DY1976" s="240"/>
      <c r="DZ1976" s="240"/>
      <c r="EA1976" s="240"/>
      <c r="EB1976" s="237"/>
      <c r="EC1976" s="241"/>
      <c r="ED1976" s="241"/>
      <c r="EE1976" s="241"/>
      <c r="EG1976" s="241"/>
      <c r="EI1976" s="241"/>
      <c r="EK1976" s="241"/>
    </row>
    <row r="1977" spans="1:141" s="121" customFormat="1" x14ac:dyDescent="0.3">
      <c r="A1977" s="124"/>
      <c r="O1977" s="235"/>
      <c r="X1977" s="117"/>
      <c r="Y1977" s="117"/>
      <c r="DT1977" s="240"/>
      <c r="DU1977" s="240"/>
      <c r="DV1977" s="240"/>
      <c r="DW1977" s="240"/>
      <c r="DX1977" s="240"/>
      <c r="DY1977" s="240"/>
      <c r="DZ1977" s="240"/>
      <c r="EA1977" s="240"/>
      <c r="EB1977" s="237"/>
      <c r="EC1977" s="241"/>
      <c r="ED1977" s="241"/>
      <c r="EE1977" s="241"/>
      <c r="EG1977" s="241"/>
      <c r="EI1977" s="241"/>
      <c r="EK1977" s="241"/>
    </row>
    <row r="1978" spans="1:141" s="121" customFormat="1" x14ac:dyDescent="0.3">
      <c r="A1978" s="124"/>
      <c r="O1978" s="235"/>
      <c r="X1978" s="117"/>
      <c r="Y1978" s="117"/>
      <c r="DT1978" s="240"/>
      <c r="DU1978" s="240"/>
      <c r="DV1978" s="240"/>
      <c r="DW1978" s="240"/>
      <c r="DX1978" s="240"/>
      <c r="DY1978" s="240"/>
      <c r="DZ1978" s="240"/>
      <c r="EA1978" s="240"/>
      <c r="EB1978" s="237"/>
      <c r="EC1978" s="241"/>
      <c r="ED1978" s="241"/>
      <c r="EE1978" s="241"/>
      <c r="EG1978" s="241"/>
      <c r="EI1978" s="241"/>
      <c r="EK1978" s="241"/>
    </row>
    <row r="1979" spans="1:141" s="121" customFormat="1" x14ac:dyDescent="0.3">
      <c r="A1979" s="124"/>
      <c r="O1979" s="235"/>
      <c r="X1979" s="117"/>
      <c r="Y1979" s="117"/>
      <c r="DT1979" s="240"/>
      <c r="DU1979" s="240"/>
      <c r="DV1979" s="240"/>
      <c r="DW1979" s="240"/>
      <c r="DX1979" s="240"/>
      <c r="DY1979" s="240"/>
      <c r="DZ1979" s="240"/>
      <c r="EA1979" s="240"/>
      <c r="EB1979" s="237"/>
      <c r="EC1979" s="241"/>
      <c r="ED1979" s="241"/>
      <c r="EE1979" s="241"/>
      <c r="EG1979" s="241"/>
      <c r="EI1979" s="241"/>
      <c r="EK1979" s="241"/>
    </row>
    <row r="1980" spans="1:141" s="121" customFormat="1" x14ac:dyDescent="0.3">
      <c r="A1980" s="124"/>
      <c r="O1980" s="235"/>
      <c r="X1980" s="117"/>
      <c r="Y1980" s="117"/>
      <c r="DT1980" s="240"/>
      <c r="DU1980" s="240"/>
      <c r="DV1980" s="240"/>
      <c r="DW1980" s="240"/>
      <c r="DX1980" s="240"/>
      <c r="DY1980" s="240"/>
      <c r="DZ1980" s="240"/>
      <c r="EA1980" s="240"/>
      <c r="EB1980" s="237"/>
      <c r="EC1980" s="241"/>
      <c r="ED1980" s="241"/>
      <c r="EE1980" s="241"/>
      <c r="EG1980" s="241"/>
      <c r="EI1980" s="241"/>
      <c r="EK1980" s="241"/>
    </row>
    <row r="1981" spans="1:141" s="121" customFormat="1" x14ac:dyDescent="0.3">
      <c r="A1981" s="124"/>
      <c r="O1981" s="235"/>
      <c r="X1981" s="117"/>
      <c r="Y1981" s="117"/>
      <c r="DT1981" s="240"/>
      <c r="DU1981" s="240"/>
      <c r="DV1981" s="240"/>
      <c r="DW1981" s="240"/>
      <c r="DX1981" s="240"/>
      <c r="DY1981" s="240"/>
      <c r="DZ1981" s="240"/>
      <c r="EA1981" s="240"/>
      <c r="EB1981" s="237"/>
      <c r="EC1981" s="241"/>
      <c r="ED1981" s="241"/>
      <c r="EE1981" s="241"/>
      <c r="EG1981" s="241"/>
      <c r="EI1981" s="241"/>
      <c r="EK1981" s="241"/>
    </row>
    <row r="1982" spans="1:141" s="121" customFormat="1" x14ac:dyDescent="0.3">
      <c r="A1982" s="124"/>
      <c r="O1982" s="235"/>
      <c r="X1982" s="117"/>
      <c r="Y1982" s="117"/>
      <c r="DT1982" s="240"/>
      <c r="DU1982" s="240"/>
      <c r="DV1982" s="240"/>
      <c r="DW1982" s="240"/>
      <c r="DX1982" s="240"/>
      <c r="DY1982" s="240"/>
      <c r="DZ1982" s="240"/>
      <c r="EA1982" s="240"/>
      <c r="EB1982" s="237"/>
      <c r="EC1982" s="241"/>
      <c r="ED1982" s="241"/>
      <c r="EE1982" s="241"/>
      <c r="EG1982" s="241"/>
      <c r="EI1982" s="241"/>
      <c r="EK1982" s="241"/>
    </row>
    <row r="1983" spans="1:141" s="121" customFormat="1" x14ac:dyDescent="0.3">
      <c r="A1983" s="124"/>
      <c r="O1983" s="235"/>
      <c r="X1983" s="117"/>
      <c r="Y1983" s="117"/>
      <c r="DT1983" s="240"/>
      <c r="DU1983" s="240"/>
      <c r="DV1983" s="240"/>
      <c r="DW1983" s="240"/>
      <c r="DX1983" s="240"/>
      <c r="DY1983" s="240"/>
      <c r="DZ1983" s="240"/>
      <c r="EA1983" s="240"/>
      <c r="EB1983" s="237"/>
      <c r="EC1983" s="241"/>
      <c r="ED1983" s="241"/>
      <c r="EE1983" s="241"/>
      <c r="EG1983" s="241"/>
      <c r="EI1983" s="241"/>
      <c r="EK1983" s="241"/>
    </row>
    <row r="1984" spans="1:141" s="121" customFormat="1" x14ac:dyDescent="0.3">
      <c r="A1984" s="124"/>
      <c r="O1984" s="235"/>
      <c r="X1984" s="117"/>
      <c r="Y1984" s="117"/>
      <c r="DT1984" s="240"/>
      <c r="DU1984" s="240"/>
      <c r="DV1984" s="240"/>
      <c r="DW1984" s="240"/>
      <c r="DX1984" s="240"/>
      <c r="DY1984" s="240"/>
      <c r="DZ1984" s="240"/>
      <c r="EA1984" s="240"/>
      <c r="EB1984" s="237"/>
      <c r="EC1984" s="241"/>
      <c r="ED1984" s="241"/>
      <c r="EE1984" s="241"/>
      <c r="EG1984" s="241"/>
      <c r="EI1984" s="241"/>
      <c r="EK1984" s="241"/>
    </row>
    <row r="1985" spans="1:141" s="121" customFormat="1" x14ac:dyDescent="0.3">
      <c r="A1985" s="124"/>
      <c r="O1985" s="235"/>
      <c r="X1985" s="117"/>
      <c r="Y1985" s="117"/>
      <c r="DT1985" s="240"/>
      <c r="DU1985" s="240"/>
      <c r="DV1985" s="240"/>
      <c r="DW1985" s="240"/>
      <c r="DX1985" s="240"/>
      <c r="DY1985" s="240"/>
      <c r="DZ1985" s="240"/>
      <c r="EA1985" s="240"/>
      <c r="EB1985" s="237"/>
      <c r="EC1985" s="241"/>
      <c r="ED1985" s="241"/>
      <c r="EE1985" s="241"/>
      <c r="EG1985" s="241"/>
      <c r="EI1985" s="241"/>
      <c r="EK1985" s="241"/>
    </row>
    <row r="1986" spans="1:141" s="121" customFormat="1" x14ac:dyDescent="0.3">
      <c r="A1986" s="124"/>
      <c r="O1986" s="235"/>
      <c r="X1986" s="117"/>
      <c r="Y1986" s="117"/>
      <c r="DT1986" s="240"/>
      <c r="DU1986" s="240"/>
      <c r="DV1986" s="240"/>
      <c r="DW1986" s="240"/>
      <c r="DX1986" s="240"/>
      <c r="DY1986" s="240"/>
      <c r="DZ1986" s="240"/>
      <c r="EA1986" s="240"/>
      <c r="EB1986" s="237"/>
      <c r="EC1986" s="241"/>
      <c r="ED1986" s="241"/>
      <c r="EE1986" s="241"/>
      <c r="EG1986" s="241"/>
      <c r="EI1986" s="241"/>
      <c r="EK1986" s="241"/>
    </row>
    <row r="1987" spans="1:141" s="121" customFormat="1" x14ac:dyDescent="0.3">
      <c r="A1987" s="124"/>
      <c r="O1987" s="235"/>
      <c r="X1987" s="117"/>
      <c r="Y1987" s="117"/>
      <c r="DT1987" s="240"/>
      <c r="DU1987" s="240"/>
      <c r="DV1987" s="240"/>
      <c r="DW1987" s="240"/>
      <c r="DX1987" s="240"/>
      <c r="DY1987" s="240"/>
      <c r="DZ1987" s="240"/>
      <c r="EA1987" s="240"/>
      <c r="EB1987" s="237"/>
      <c r="EC1987" s="241"/>
      <c r="ED1987" s="241"/>
      <c r="EE1987" s="241"/>
      <c r="EG1987" s="241"/>
      <c r="EI1987" s="241"/>
      <c r="EK1987" s="241"/>
    </row>
    <row r="1988" spans="1:141" s="121" customFormat="1" x14ac:dyDescent="0.3">
      <c r="A1988" s="124"/>
      <c r="O1988" s="235"/>
      <c r="X1988" s="117"/>
      <c r="Y1988" s="117"/>
      <c r="DT1988" s="240"/>
      <c r="DU1988" s="240"/>
      <c r="DV1988" s="240"/>
      <c r="DW1988" s="240"/>
      <c r="DX1988" s="240"/>
      <c r="DY1988" s="240"/>
      <c r="DZ1988" s="240"/>
      <c r="EA1988" s="240"/>
      <c r="EB1988" s="237"/>
      <c r="EC1988" s="241"/>
      <c r="ED1988" s="241"/>
      <c r="EE1988" s="241"/>
      <c r="EG1988" s="241"/>
      <c r="EI1988" s="241"/>
      <c r="EK1988" s="241"/>
    </row>
    <row r="1989" spans="1:141" s="121" customFormat="1" x14ac:dyDescent="0.3">
      <c r="A1989" s="124"/>
      <c r="O1989" s="235"/>
      <c r="X1989" s="117"/>
      <c r="Y1989" s="117"/>
      <c r="DT1989" s="240"/>
      <c r="DU1989" s="240"/>
      <c r="DV1989" s="240"/>
      <c r="DW1989" s="240"/>
      <c r="DX1989" s="240"/>
      <c r="DY1989" s="240"/>
      <c r="DZ1989" s="240"/>
      <c r="EA1989" s="240"/>
      <c r="EB1989" s="237"/>
      <c r="EC1989" s="241"/>
      <c r="ED1989" s="241"/>
      <c r="EE1989" s="241"/>
      <c r="EG1989" s="241"/>
      <c r="EI1989" s="241"/>
      <c r="EK1989" s="241"/>
    </row>
    <row r="1990" spans="1:141" s="121" customFormat="1" x14ac:dyDescent="0.3">
      <c r="A1990" s="124"/>
      <c r="O1990" s="235"/>
      <c r="X1990" s="117"/>
      <c r="Y1990" s="117"/>
      <c r="DT1990" s="240"/>
      <c r="DU1990" s="240"/>
      <c r="DV1990" s="240"/>
      <c r="DW1990" s="240"/>
      <c r="DX1990" s="240"/>
      <c r="DY1990" s="240"/>
      <c r="DZ1990" s="240"/>
      <c r="EA1990" s="240"/>
      <c r="EB1990" s="237"/>
      <c r="EC1990" s="241"/>
      <c r="ED1990" s="241"/>
      <c r="EE1990" s="241"/>
      <c r="EG1990" s="241"/>
      <c r="EI1990" s="241"/>
      <c r="EK1990" s="241"/>
    </row>
    <row r="1991" spans="1:141" s="121" customFormat="1" x14ac:dyDescent="0.3">
      <c r="A1991" s="124"/>
      <c r="O1991" s="235"/>
      <c r="X1991" s="117"/>
      <c r="Y1991" s="117"/>
      <c r="DT1991" s="240"/>
      <c r="DU1991" s="240"/>
      <c r="DV1991" s="240"/>
      <c r="DW1991" s="240"/>
      <c r="DX1991" s="240"/>
      <c r="DY1991" s="240"/>
      <c r="DZ1991" s="240"/>
      <c r="EA1991" s="240"/>
      <c r="EB1991" s="237"/>
      <c r="EC1991" s="241"/>
      <c r="ED1991" s="241"/>
      <c r="EE1991" s="241"/>
      <c r="EG1991" s="241"/>
      <c r="EI1991" s="241"/>
      <c r="EK1991" s="241"/>
    </row>
    <row r="1992" spans="1:141" s="121" customFormat="1" x14ac:dyDescent="0.3">
      <c r="A1992" s="124"/>
      <c r="O1992" s="235"/>
      <c r="X1992" s="117"/>
      <c r="Y1992" s="117"/>
      <c r="DT1992" s="240"/>
      <c r="DU1992" s="240"/>
      <c r="DV1992" s="240"/>
      <c r="DW1992" s="240"/>
      <c r="DX1992" s="240"/>
      <c r="DY1992" s="240"/>
      <c r="DZ1992" s="240"/>
      <c r="EA1992" s="240"/>
      <c r="EB1992" s="237"/>
      <c r="EC1992" s="241"/>
      <c r="ED1992" s="241"/>
      <c r="EE1992" s="241"/>
      <c r="EG1992" s="241"/>
      <c r="EI1992" s="241"/>
      <c r="EK1992" s="241"/>
    </row>
    <row r="1993" spans="1:141" s="121" customFormat="1" x14ac:dyDescent="0.3">
      <c r="A1993" s="124"/>
      <c r="O1993" s="235"/>
      <c r="X1993" s="117"/>
      <c r="Y1993" s="117"/>
      <c r="DT1993" s="240"/>
      <c r="DU1993" s="240"/>
      <c r="DV1993" s="240"/>
      <c r="DW1993" s="240"/>
      <c r="DX1993" s="240"/>
      <c r="DY1993" s="240"/>
      <c r="DZ1993" s="240"/>
      <c r="EA1993" s="240"/>
      <c r="EB1993" s="237"/>
      <c r="EC1993" s="241"/>
      <c r="ED1993" s="241"/>
      <c r="EE1993" s="241"/>
      <c r="EG1993" s="241"/>
      <c r="EI1993" s="241"/>
      <c r="EK1993" s="241"/>
    </row>
    <row r="1994" spans="1:141" s="121" customFormat="1" x14ac:dyDescent="0.3">
      <c r="A1994" s="124"/>
      <c r="O1994" s="235"/>
      <c r="X1994" s="117"/>
      <c r="Y1994" s="117"/>
      <c r="DT1994" s="240"/>
      <c r="DU1994" s="240"/>
      <c r="DV1994" s="240"/>
      <c r="DW1994" s="240"/>
      <c r="DX1994" s="240"/>
      <c r="DY1994" s="240"/>
      <c r="DZ1994" s="240"/>
      <c r="EA1994" s="240"/>
      <c r="EB1994" s="237"/>
      <c r="EC1994" s="241"/>
      <c r="ED1994" s="241"/>
      <c r="EE1994" s="241"/>
      <c r="EG1994" s="241"/>
      <c r="EI1994" s="241"/>
      <c r="EK1994" s="241"/>
    </row>
    <row r="1995" spans="1:141" s="121" customFormat="1" x14ac:dyDescent="0.3">
      <c r="A1995" s="124"/>
      <c r="O1995" s="235"/>
      <c r="X1995" s="117"/>
      <c r="Y1995" s="117"/>
      <c r="DT1995" s="240"/>
      <c r="DU1995" s="240"/>
      <c r="DV1995" s="240"/>
      <c r="DW1995" s="240"/>
      <c r="DX1995" s="240"/>
      <c r="DY1995" s="240"/>
      <c r="DZ1995" s="240"/>
      <c r="EA1995" s="240"/>
      <c r="EB1995" s="237"/>
      <c r="EC1995" s="241"/>
      <c r="ED1995" s="241"/>
      <c r="EE1995" s="241"/>
      <c r="EG1995" s="241"/>
      <c r="EI1995" s="241"/>
      <c r="EK1995" s="241"/>
    </row>
    <row r="1996" spans="1:141" s="121" customFormat="1" x14ac:dyDescent="0.3">
      <c r="A1996" s="124"/>
      <c r="O1996" s="235"/>
      <c r="X1996" s="117"/>
      <c r="Y1996" s="117"/>
      <c r="DT1996" s="240"/>
      <c r="DU1996" s="240"/>
      <c r="DV1996" s="240"/>
      <c r="DW1996" s="240"/>
      <c r="DX1996" s="240"/>
      <c r="DY1996" s="240"/>
      <c r="DZ1996" s="240"/>
      <c r="EA1996" s="240"/>
      <c r="EB1996" s="237"/>
      <c r="EC1996" s="241"/>
      <c r="ED1996" s="241"/>
      <c r="EE1996" s="241"/>
      <c r="EG1996" s="241"/>
      <c r="EI1996" s="241"/>
      <c r="EK1996" s="241"/>
    </row>
    <row r="1997" spans="1:141" s="121" customFormat="1" x14ac:dyDescent="0.3">
      <c r="A1997" s="124"/>
      <c r="O1997" s="235"/>
      <c r="X1997" s="117"/>
      <c r="Y1997" s="117"/>
      <c r="DT1997" s="240"/>
      <c r="DU1997" s="240"/>
      <c r="DV1997" s="240"/>
      <c r="DW1997" s="240"/>
      <c r="DX1997" s="240"/>
      <c r="DY1997" s="240"/>
      <c r="DZ1997" s="240"/>
      <c r="EA1997" s="240"/>
      <c r="EB1997" s="237"/>
      <c r="EC1997" s="241"/>
      <c r="ED1997" s="241"/>
      <c r="EE1997" s="241"/>
      <c r="EG1997" s="241"/>
      <c r="EI1997" s="241"/>
      <c r="EK1997" s="241"/>
    </row>
    <row r="1998" spans="1:141" s="121" customFormat="1" x14ac:dyDescent="0.3">
      <c r="A1998" s="124"/>
      <c r="O1998" s="235"/>
      <c r="X1998" s="117"/>
      <c r="Y1998" s="117"/>
      <c r="DT1998" s="240"/>
      <c r="DU1998" s="240"/>
      <c r="DV1998" s="240"/>
      <c r="DW1998" s="240"/>
      <c r="DX1998" s="240"/>
      <c r="DY1998" s="240"/>
      <c r="DZ1998" s="240"/>
      <c r="EA1998" s="240"/>
      <c r="EB1998" s="237"/>
      <c r="EC1998" s="241"/>
      <c r="ED1998" s="241"/>
      <c r="EE1998" s="241"/>
      <c r="EG1998" s="241"/>
      <c r="EI1998" s="241"/>
      <c r="EK1998" s="241"/>
    </row>
    <row r="1999" spans="1:141" s="121" customFormat="1" x14ac:dyDescent="0.3">
      <c r="A1999" s="124"/>
      <c r="O1999" s="235"/>
      <c r="X1999" s="117"/>
      <c r="Y1999" s="117"/>
      <c r="DT1999" s="240"/>
      <c r="DU1999" s="240"/>
      <c r="DV1999" s="240"/>
      <c r="DW1999" s="240"/>
      <c r="DX1999" s="240"/>
      <c r="DY1999" s="240"/>
      <c r="DZ1999" s="240"/>
      <c r="EA1999" s="240"/>
      <c r="EB1999" s="237"/>
      <c r="EC1999" s="241"/>
      <c r="ED1999" s="241"/>
      <c r="EE1999" s="241"/>
      <c r="EG1999" s="241"/>
      <c r="EI1999" s="241"/>
      <c r="EK1999" s="241"/>
    </row>
    <row r="2000" spans="1:141" s="121" customFormat="1" x14ac:dyDescent="0.3">
      <c r="A2000" s="124"/>
      <c r="O2000" s="235"/>
      <c r="X2000" s="117"/>
      <c r="Y2000" s="117"/>
      <c r="DT2000" s="240"/>
      <c r="DU2000" s="240"/>
      <c r="DV2000" s="240"/>
      <c r="DW2000" s="240"/>
      <c r="DX2000" s="240"/>
      <c r="DY2000" s="240"/>
      <c r="DZ2000" s="240"/>
      <c r="EA2000" s="240"/>
      <c r="EB2000" s="237"/>
      <c r="EC2000" s="241"/>
      <c r="ED2000" s="241"/>
      <c r="EE2000" s="241"/>
      <c r="EG2000" s="241"/>
      <c r="EI2000" s="241"/>
      <c r="EK2000" s="241"/>
    </row>
    <row r="2001" spans="1:141" s="121" customFormat="1" x14ac:dyDescent="0.3">
      <c r="A2001" s="124"/>
      <c r="O2001" s="235"/>
      <c r="X2001" s="117"/>
      <c r="Y2001" s="117"/>
      <c r="DT2001" s="240"/>
      <c r="DU2001" s="240"/>
      <c r="DV2001" s="240"/>
      <c r="DW2001" s="240"/>
      <c r="DX2001" s="240"/>
      <c r="DY2001" s="240"/>
      <c r="DZ2001" s="240"/>
      <c r="EA2001" s="240"/>
      <c r="EB2001" s="237"/>
      <c r="EC2001" s="241"/>
      <c r="ED2001" s="241"/>
      <c r="EE2001" s="241"/>
      <c r="EG2001" s="241"/>
      <c r="EI2001" s="241"/>
      <c r="EK2001" s="241"/>
    </row>
    <row r="2002" spans="1:141" s="121" customFormat="1" x14ac:dyDescent="0.3">
      <c r="A2002" s="124"/>
      <c r="O2002" s="235"/>
      <c r="X2002" s="117"/>
      <c r="Y2002" s="117"/>
      <c r="DT2002" s="240"/>
      <c r="DU2002" s="240"/>
      <c r="DV2002" s="240"/>
      <c r="DW2002" s="240"/>
      <c r="DX2002" s="240"/>
      <c r="DY2002" s="240"/>
      <c r="DZ2002" s="240"/>
      <c r="EA2002" s="240"/>
      <c r="EB2002" s="237"/>
      <c r="EC2002" s="241"/>
      <c r="ED2002" s="241"/>
      <c r="EE2002" s="241"/>
      <c r="EG2002" s="241"/>
      <c r="EI2002" s="241"/>
      <c r="EK2002" s="241"/>
    </row>
    <row r="2003" spans="1:141" s="121" customFormat="1" x14ac:dyDescent="0.3">
      <c r="A2003" s="124"/>
      <c r="O2003" s="235"/>
      <c r="X2003" s="117"/>
      <c r="Y2003" s="117"/>
      <c r="DT2003" s="240"/>
      <c r="DU2003" s="240"/>
      <c r="DV2003" s="240"/>
      <c r="DW2003" s="240"/>
      <c r="DX2003" s="240"/>
      <c r="DY2003" s="240"/>
      <c r="DZ2003" s="240"/>
      <c r="EA2003" s="240"/>
      <c r="EB2003" s="237"/>
      <c r="EC2003" s="241"/>
      <c r="ED2003" s="241"/>
      <c r="EE2003" s="241"/>
      <c r="EG2003" s="241"/>
      <c r="EI2003" s="241"/>
      <c r="EK2003" s="241"/>
    </row>
    <row r="2004" spans="1:141" s="121" customFormat="1" x14ac:dyDescent="0.3">
      <c r="A2004" s="124"/>
      <c r="O2004" s="235"/>
      <c r="X2004" s="117"/>
      <c r="Y2004" s="117"/>
      <c r="DT2004" s="240"/>
      <c r="DU2004" s="240"/>
      <c r="DV2004" s="240"/>
      <c r="DW2004" s="240"/>
      <c r="DX2004" s="240"/>
      <c r="DY2004" s="240"/>
      <c r="DZ2004" s="240"/>
      <c r="EA2004" s="240"/>
      <c r="EB2004" s="237"/>
      <c r="EC2004" s="241"/>
      <c r="ED2004" s="241"/>
      <c r="EE2004" s="241"/>
      <c r="EG2004" s="241"/>
      <c r="EI2004" s="241"/>
      <c r="EK2004" s="241"/>
    </row>
    <row r="2005" spans="1:141" s="121" customFormat="1" x14ac:dyDescent="0.3">
      <c r="A2005" s="124"/>
      <c r="O2005" s="235"/>
      <c r="X2005" s="117"/>
      <c r="Y2005" s="117"/>
      <c r="DT2005" s="240"/>
      <c r="DU2005" s="240"/>
      <c r="DV2005" s="240"/>
      <c r="DW2005" s="240"/>
      <c r="DX2005" s="240"/>
      <c r="DY2005" s="240"/>
      <c r="DZ2005" s="240"/>
      <c r="EA2005" s="240"/>
      <c r="EB2005" s="237"/>
      <c r="EC2005" s="241"/>
      <c r="ED2005" s="241"/>
      <c r="EE2005" s="241"/>
      <c r="EG2005" s="241"/>
      <c r="EI2005" s="241"/>
      <c r="EK2005" s="241"/>
    </row>
    <row r="2006" spans="1:141" s="121" customFormat="1" x14ac:dyDescent="0.3">
      <c r="A2006" s="124"/>
      <c r="O2006" s="235"/>
      <c r="X2006" s="117"/>
      <c r="Y2006" s="117"/>
      <c r="DT2006" s="240"/>
      <c r="DU2006" s="240"/>
      <c r="DV2006" s="240"/>
      <c r="DW2006" s="240"/>
      <c r="DX2006" s="240"/>
      <c r="DY2006" s="240"/>
      <c r="DZ2006" s="240"/>
      <c r="EA2006" s="240"/>
      <c r="EB2006" s="237"/>
      <c r="EC2006" s="241"/>
      <c r="ED2006" s="241"/>
      <c r="EE2006" s="241"/>
      <c r="EG2006" s="241"/>
      <c r="EI2006" s="241"/>
      <c r="EK2006" s="241"/>
    </row>
    <row r="2007" spans="1:141" s="121" customFormat="1" x14ac:dyDescent="0.3">
      <c r="A2007" s="124"/>
      <c r="O2007" s="235"/>
      <c r="X2007" s="117"/>
      <c r="Y2007" s="117"/>
      <c r="DT2007" s="240"/>
      <c r="DU2007" s="240"/>
      <c r="DV2007" s="240"/>
      <c r="DW2007" s="240"/>
      <c r="DX2007" s="240"/>
      <c r="DY2007" s="240"/>
      <c r="DZ2007" s="240"/>
      <c r="EA2007" s="240"/>
      <c r="EB2007" s="237"/>
      <c r="EC2007" s="241"/>
      <c r="ED2007" s="241"/>
      <c r="EE2007" s="241"/>
      <c r="EG2007" s="241"/>
      <c r="EI2007" s="241"/>
      <c r="EK2007" s="241"/>
    </row>
    <row r="2008" spans="1:141" s="121" customFormat="1" x14ac:dyDescent="0.3">
      <c r="A2008" s="124"/>
      <c r="O2008" s="235"/>
      <c r="X2008" s="117"/>
      <c r="Y2008" s="117"/>
      <c r="DT2008" s="240"/>
      <c r="DU2008" s="240"/>
      <c r="DV2008" s="240"/>
      <c r="DW2008" s="240"/>
      <c r="DX2008" s="240"/>
      <c r="DY2008" s="240"/>
      <c r="DZ2008" s="240"/>
      <c r="EA2008" s="240"/>
      <c r="EB2008" s="237"/>
      <c r="EC2008" s="241"/>
      <c r="ED2008" s="241"/>
      <c r="EE2008" s="241"/>
      <c r="EG2008" s="241"/>
      <c r="EI2008" s="241"/>
      <c r="EK2008" s="241"/>
    </row>
    <row r="2009" spans="1:141" s="121" customFormat="1" x14ac:dyDescent="0.3">
      <c r="A2009" s="124"/>
      <c r="O2009" s="235"/>
      <c r="X2009" s="117"/>
      <c r="Y2009" s="117"/>
      <c r="DT2009" s="240"/>
      <c r="DU2009" s="240"/>
      <c r="DV2009" s="240"/>
      <c r="DW2009" s="240"/>
      <c r="DX2009" s="240"/>
      <c r="DY2009" s="240"/>
      <c r="DZ2009" s="240"/>
      <c r="EA2009" s="240"/>
      <c r="EB2009" s="237"/>
      <c r="EC2009" s="241"/>
      <c r="ED2009" s="241"/>
      <c r="EE2009" s="241"/>
      <c r="EG2009" s="241"/>
      <c r="EI2009" s="241"/>
      <c r="EK2009" s="241"/>
    </row>
    <row r="2010" spans="1:141" s="121" customFormat="1" x14ac:dyDescent="0.3">
      <c r="A2010" s="124"/>
      <c r="O2010" s="235"/>
      <c r="X2010" s="117"/>
      <c r="Y2010" s="117"/>
      <c r="DT2010" s="240"/>
      <c r="DU2010" s="240"/>
      <c r="DV2010" s="240"/>
      <c r="DW2010" s="240"/>
      <c r="DX2010" s="240"/>
      <c r="DY2010" s="240"/>
      <c r="DZ2010" s="240"/>
      <c r="EA2010" s="240"/>
      <c r="EB2010" s="237"/>
      <c r="EC2010" s="241"/>
      <c r="ED2010" s="241"/>
      <c r="EE2010" s="241"/>
      <c r="EG2010" s="241"/>
      <c r="EI2010" s="241"/>
      <c r="EK2010" s="241"/>
    </row>
    <row r="2011" spans="1:141" s="121" customFormat="1" x14ac:dyDescent="0.3">
      <c r="A2011" s="124"/>
      <c r="O2011" s="235"/>
      <c r="X2011" s="117"/>
      <c r="Y2011" s="117"/>
      <c r="DT2011" s="240"/>
      <c r="DU2011" s="240"/>
      <c r="DV2011" s="240"/>
      <c r="DW2011" s="240"/>
      <c r="DX2011" s="240"/>
      <c r="DY2011" s="240"/>
      <c r="DZ2011" s="240"/>
      <c r="EA2011" s="240"/>
      <c r="EB2011" s="237"/>
      <c r="EC2011" s="241"/>
      <c r="ED2011" s="241"/>
      <c r="EE2011" s="241"/>
      <c r="EG2011" s="241"/>
      <c r="EI2011" s="241"/>
      <c r="EK2011" s="241"/>
    </row>
    <row r="2012" spans="1:141" s="121" customFormat="1" x14ac:dyDescent="0.3">
      <c r="A2012" s="124"/>
      <c r="O2012" s="235"/>
      <c r="X2012" s="117"/>
      <c r="Y2012" s="117"/>
      <c r="DT2012" s="240"/>
      <c r="DU2012" s="240"/>
      <c r="DV2012" s="240"/>
      <c r="DW2012" s="240"/>
      <c r="DX2012" s="240"/>
      <c r="DY2012" s="240"/>
      <c r="DZ2012" s="240"/>
      <c r="EA2012" s="240"/>
      <c r="EB2012" s="237"/>
      <c r="EC2012" s="241"/>
      <c r="ED2012" s="241"/>
      <c r="EE2012" s="241"/>
      <c r="EG2012" s="241"/>
      <c r="EI2012" s="241"/>
      <c r="EK2012" s="241"/>
    </row>
    <row r="2013" spans="1:141" s="121" customFormat="1" x14ac:dyDescent="0.3">
      <c r="A2013" s="124"/>
      <c r="O2013" s="235"/>
      <c r="X2013" s="117"/>
      <c r="Y2013" s="117"/>
      <c r="DT2013" s="240"/>
      <c r="DU2013" s="240"/>
      <c r="DV2013" s="240"/>
      <c r="DW2013" s="240"/>
      <c r="DX2013" s="240"/>
      <c r="DY2013" s="240"/>
      <c r="DZ2013" s="240"/>
      <c r="EA2013" s="240"/>
      <c r="EB2013" s="237"/>
      <c r="EC2013" s="241"/>
      <c r="ED2013" s="241"/>
      <c r="EE2013" s="241"/>
      <c r="EG2013" s="241"/>
      <c r="EI2013" s="241"/>
      <c r="EK2013" s="241"/>
    </row>
    <row r="2014" spans="1:141" s="121" customFormat="1" x14ac:dyDescent="0.3">
      <c r="A2014" s="124"/>
      <c r="O2014" s="235"/>
      <c r="X2014" s="117"/>
      <c r="Y2014" s="117"/>
      <c r="DT2014" s="240"/>
      <c r="DU2014" s="240"/>
      <c r="DV2014" s="240"/>
      <c r="DW2014" s="240"/>
      <c r="DX2014" s="240"/>
      <c r="DY2014" s="240"/>
      <c r="DZ2014" s="240"/>
      <c r="EA2014" s="240"/>
      <c r="EB2014" s="237"/>
      <c r="EC2014" s="241"/>
      <c r="ED2014" s="241"/>
      <c r="EE2014" s="241"/>
      <c r="EG2014" s="241"/>
      <c r="EI2014" s="241"/>
      <c r="EK2014" s="241"/>
    </row>
    <row r="2015" spans="1:141" s="121" customFormat="1" x14ac:dyDescent="0.3">
      <c r="A2015" s="124"/>
      <c r="O2015" s="235"/>
      <c r="X2015" s="117"/>
      <c r="Y2015" s="117"/>
      <c r="DT2015" s="240"/>
      <c r="DU2015" s="240"/>
      <c r="DV2015" s="240"/>
      <c r="DW2015" s="240"/>
      <c r="DX2015" s="240"/>
      <c r="DY2015" s="240"/>
      <c r="DZ2015" s="240"/>
      <c r="EA2015" s="240"/>
      <c r="EB2015" s="237"/>
      <c r="EC2015" s="241"/>
      <c r="ED2015" s="241"/>
      <c r="EE2015" s="241"/>
      <c r="EG2015" s="241"/>
      <c r="EI2015" s="241"/>
      <c r="EK2015" s="241"/>
    </row>
    <row r="2016" spans="1:141" s="121" customFormat="1" x14ac:dyDescent="0.3">
      <c r="A2016" s="124"/>
      <c r="O2016" s="235"/>
      <c r="X2016" s="117"/>
      <c r="Y2016" s="117"/>
      <c r="DT2016" s="240"/>
      <c r="DU2016" s="240"/>
      <c r="DV2016" s="240"/>
      <c r="DW2016" s="240"/>
      <c r="DX2016" s="240"/>
      <c r="DY2016" s="240"/>
      <c r="DZ2016" s="240"/>
      <c r="EA2016" s="240"/>
      <c r="EB2016" s="237"/>
      <c r="EC2016" s="241"/>
      <c r="ED2016" s="241"/>
      <c r="EE2016" s="241"/>
      <c r="EG2016" s="241"/>
      <c r="EI2016" s="241"/>
      <c r="EK2016" s="241"/>
    </row>
    <row r="2017" spans="1:141" s="121" customFormat="1" x14ac:dyDescent="0.3">
      <c r="A2017" s="124"/>
      <c r="O2017" s="235"/>
      <c r="X2017" s="117"/>
      <c r="Y2017" s="117"/>
      <c r="DT2017" s="240"/>
      <c r="DU2017" s="240"/>
      <c r="DV2017" s="240"/>
      <c r="DW2017" s="240"/>
      <c r="DX2017" s="240"/>
      <c r="DY2017" s="240"/>
      <c r="DZ2017" s="240"/>
      <c r="EA2017" s="240"/>
      <c r="EB2017" s="237"/>
      <c r="EC2017" s="241"/>
      <c r="ED2017" s="241"/>
      <c r="EE2017" s="241"/>
      <c r="EG2017" s="241"/>
      <c r="EI2017" s="241"/>
      <c r="EK2017" s="241"/>
    </row>
    <row r="2018" spans="1:141" s="121" customFormat="1" x14ac:dyDescent="0.3">
      <c r="A2018" s="124"/>
      <c r="O2018" s="235"/>
      <c r="X2018" s="117"/>
      <c r="Y2018" s="117"/>
      <c r="DT2018" s="240"/>
      <c r="DU2018" s="240"/>
      <c r="DV2018" s="240"/>
      <c r="DW2018" s="240"/>
      <c r="DX2018" s="240"/>
      <c r="DY2018" s="240"/>
      <c r="DZ2018" s="240"/>
      <c r="EA2018" s="240"/>
      <c r="EB2018" s="237"/>
      <c r="EC2018" s="241"/>
      <c r="ED2018" s="241"/>
      <c r="EE2018" s="241"/>
      <c r="EG2018" s="241"/>
      <c r="EI2018" s="241"/>
      <c r="EK2018" s="241"/>
    </row>
    <row r="2019" spans="1:141" s="121" customFormat="1" x14ac:dyDescent="0.3">
      <c r="A2019" s="124"/>
      <c r="O2019" s="235"/>
      <c r="X2019" s="117"/>
      <c r="Y2019" s="117"/>
      <c r="DT2019" s="240"/>
      <c r="DU2019" s="240"/>
      <c r="DV2019" s="240"/>
      <c r="DW2019" s="240"/>
      <c r="DX2019" s="240"/>
      <c r="DY2019" s="240"/>
      <c r="DZ2019" s="240"/>
      <c r="EA2019" s="240"/>
      <c r="EB2019" s="237"/>
      <c r="EC2019" s="241"/>
      <c r="ED2019" s="241"/>
      <c r="EE2019" s="241"/>
      <c r="EG2019" s="241"/>
      <c r="EI2019" s="241"/>
      <c r="EK2019" s="241"/>
    </row>
    <row r="2020" spans="1:141" s="121" customFormat="1" x14ac:dyDescent="0.3">
      <c r="A2020" s="124"/>
      <c r="O2020" s="235"/>
      <c r="X2020" s="117"/>
      <c r="Y2020" s="117"/>
      <c r="DT2020" s="240"/>
      <c r="DU2020" s="240"/>
      <c r="DV2020" s="240"/>
      <c r="DW2020" s="240"/>
      <c r="DX2020" s="240"/>
      <c r="DY2020" s="240"/>
      <c r="DZ2020" s="240"/>
      <c r="EA2020" s="240"/>
      <c r="EB2020" s="237"/>
      <c r="EC2020" s="241"/>
      <c r="ED2020" s="241"/>
      <c r="EE2020" s="241"/>
      <c r="EG2020" s="241"/>
      <c r="EI2020" s="241"/>
      <c r="EK2020" s="241"/>
    </row>
    <row r="2021" spans="1:141" s="121" customFormat="1" x14ac:dyDescent="0.3">
      <c r="A2021" s="124"/>
      <c r="O2021" s="235"/>
      <c r="X2021" s="117"/>
      <c r="Y2021" s="117"/>
      <c r="DT2021" s="240"/>
      <c r="DU2021" s="240"/>
      <c r="DV2021" s="240"/>
      <c r="DW2021" s="240"/>
      <c r="DX2021" s="240"/>
      <c r="DY2021" s="240"/>
      <c r="DZ2021" s="240"/>
      <c r="EA2021" s="240"/>
      <c r="EB2021" s="237"/>
      <c r="EC2021" s="241"/>
      <c r="ED2021" s="241"/>
      <c r="EE2021" s="241"/>
      <c r="EG2021" s="241"/>
      <c r="EI2021" s="241"/>
      <c r="EK2021" s="241"/>
    </row>
    <row r="2022" spans="1:141" s="121" customFormat="1" x14ac:dyDescent="0.3">
      <c r="A2022" s="124"/>
      <c r="O2022" s="235"/>
      <c r="X2022" s="117"/>
      <c r="Y2022" s="117"/>
      <c r="DT2022" s="240"/>
      <c r="DU2022" s="240"/>
      <c r="DV2022" s="240"/>
      <c r="DW2022" s="240"/>
      <c r="DX2022" s="240"/>
      <c r="DY2022" s="240"/>
      <c r="DZ2022" s="240"/>
      <c r="EA2022" s="240"/>
      <c r="EB2022" s="237"/>
      <c r="EC2022" s="241"/>
      <c r="ED2022" s="241"/>
      <c r="EE2022" s="241"/>
      <c r="EG2022" s="241"/>
      <c r="EI2022" s="241"/>
      <c r="EK2022" s="241"/>
    </row>
    <row r="2023" spans="1:141" s="121" customFormat="1" x14ac:dyDescent="0.3">
      <c r="A2023" s="124"/>
      <c r="O2023" s="235"/>
      <c r="X2023" s="117"/>
      <c r="Y2023" s="117"/>
      <c r="DT2023" s="240"/>
      <c r="DU2023" s="240"/>
      <c r="DV2023" s="240"/>
      <c r="DW2023" s="240"/>
      <c r="DX2023" s="240"/>
      <c r="DY2023" s="240"/>
      <c r="DZ2023" s="240"/>
      <c r="EA2023" s="240"/>
      <c r="EB2023" s="237"/>
      <c r="EC2023" s="241"/>
      <c r="ED2023" s="241"/>
      <c r="EE2023" s="241"/>
      <c r="EG2023" s="241"/>
      <c r="EI2023" s="241"/>
      <c r="EK2023" s="241"/>
    </row>
    <row r="2024" spans="1:141" s="121" customFormat="1" x14ac:dyDescent="0.3">
      <c r="A2024" s="124"/>
      <c r="O2024" s="235"/>
      <c r="X2024" s="117"/>
      <c r="Y2024" s="117"/>
      <c r="DT2024" s="240"/>
      <c r="DU2024" s="240"/>
      <c r="DV2024" s="240"/>
      <c r="DW2024" s="240"/>
      <c r="DX2024" s="240"/>
      <c r="DY2024" s="240"/>
      <c r="DZ2024" s="240"/>
      <c r="EA2024" s="240"/>
      <c r="EB2024" s="237"/>
      <c r="EC2024" s="241"/>
      <c r="ED2024" s="241"/>
      <c r="EE2024" s="241"/>
      <c r="EG2024" s="241"/>
      <c r="EI2024" s="241"/>
      <c r="EK2024" s="241"/>
    </row>
    <row r="2025" spans="1:141" s="121" customFormat="1" x14ac:dyDescent="0.3">
      <c r="A2025" s="124"/>
      <c r="O2025" s="235"/>
      <c r="X2025" s="117"/>
      <c r="Y2025" s="117"/>
      <c r="DT2025" s="240"/>
      <c r="DU2025" s="240"/>
      <c r="DV2025" s="240"/>
      <c r="DW2025" s="240"/>
      <c r="DX2025" s="240"/>
      <c r="DY2025" s="240"/>
      <c r="DZ2025" s="240"/>
      <c r="EA2025" s="240"/>
      <c r="EB2025" s="237"/>
      <c r="EC2025" s="241"/>
      <c r="ED2025" s="241"/>
      <c r="EE2025" s="241"/>
      <c r="EG2025" s="241"/>
      <c r="EI2025" s="241"/>
      <c r="EK2025" s="241"/>
    </row>
    <row r="2026" spans="1:141" s="121" customFormat="1" x14ac:dyDescent="0.3">
      <c r="A2026" s="124"/>
      <c r="O2026" s="235"/>
      <c r="X2026" s="117"/>
      <c r="Y2026" s="117"/>
      <c r="DT2026" s="240"/>
      <c r="DU2026" s="240"/>
      <c r="DV2026" s="240"/>
      <c r="DW2026" s="240"/>
      <c r="DX2026" s="240"/>
      <c r="DY2026" s="240"/>
      <c r="DZ2026" s="240"/>
      <c r="EA2026" s="240"/>
      <c r="EB2026" s="237"/>
      <c r="EC2026" s="241"/>
      <c r="ED2026" s="241"/>
      <c r="EE2026" s="241"/>
      <c r="EG2026" s="241"/>
      <c r="EI2026" s="241"/>
      <c r="EK2026" s="241"/>
    </row>
    <row r="2027" spans="1:141" s="121" customFormat="1" x14ac:dyDescent="0.3">
      <c r="A2027" s="124"/>
      <c r="O2027" s="235"/>
      <c r="X2027" s="117"/>
      <c r="Y2027" s="117"/>
      <c r="DT2027" s="240"/>
      <c r="DU2027" s="240"/>
      <c r="DV2027" s="240"/>
      <c r="DW2027" s="240"/>
      <c r="DX2027" s="240"/>
      <c r="DY2027" s="240"/>
      <c r="DZ2027" s="240"/>
      <c r="EA2027" s="240"/>
      <c r="EB2027" s="237"/>
      <c r="EC2027" s="241"/>
      <c r="ED2027" s="241"/>
      <c r="EE2027" s="241"/>
      <c r="EG2027" s="241"/>
      <c r="EI2027" s="241"/>
      <c r="EK2027" s="241"/>
    </row>
    <row r="2028" spans="1:141" s="121" customFormat="1" x14ac:dyDescent="0.3">
      <c r="A2028" s="124"/>
      <c r="O2028" s="235"/>
      <c r="X2028" s="117"/>
      <c r="Y2028" s="117"/>
      <c r="DT2028" s="240"/>
      <c r="DU2028" s="240"/>
      <c r="DV2028" s="240"/>
      <c r="DW2028" s="240"/>
      <c r="DX2028" s="240"/>
      <c r="DY2028" s="240"/>
      <c r="DZ2028" s="240"/>
      <c r="EA2028" s="240"/>
      <c r="EB2028" s="237"/>
      <c r="EC2028" s="241"/>
      <c r="ED2028" s="241"/>
      <c r="EE2028" s="241"/>
      <c r="EG2028" s="241"/>
      <c r="EI2028" s="241"/>
      <c r="EK2028" s="241"/>
    </row>
    <row r="2029" spans="1:141" s="121" customFormat="1" x14ac:dyDescent="0.3">
      <c r="A2029" s="124"/>
      <c r="O2029" s="235"/>
      <c r="X2029" s="117"/>
      <c r="Y2029" s="117"/>
      <c r="DT2029" s="240"/>
      <c r="DU2029" s="240"/>
      <c r="DV2029" s="240"/>
      <c r="DW2029" s="240"/>
      <c r="DX2029" s="240"/>
      <c r="DY2029" s="240"/>
      <c r="DZ2029" s="240"/>
      <c r="EA2029" s="240"/>
      <c r="EB2029" s="237"/>
      <c r="EC2029" s="241"/>
      <c r="ED2029" s="241"/>
      <c r="EE2029" s="241"/>
      <c r="EG2029" s="241"/>
      <c r="EI2029" s="241"/>
      <c r="EK2029" s="241"/>
    </row>
    <row r="2030" spans="1:141" s="121" customFormat="1" x14ac:dyDescent="0.3">
      <c r="A2030" s="124"/>
      <c r="O2030" s="235"/>
      <c r="X2030" s="117"/>
      <c r="Y2030" s="117"/>
      <c r="DT2030" s="240"/>
      <c r="DU2030" s="240"/>
      <c r="DV2030" s="240"/>
      <c r="DW2030" s="240"/>
      <c r="DX2030" s="240"/>
      <c r="DY2030" s="240"/>
      <c r="DZ2030" s="240"/>
      <c r="EA2030" s="240"/>
      <c r="EB2030" s="237"/>
      <c r="EC2030" s="241"/>
      <c r="ED2030" s="241"/>
      <c r="EE2030" s="241"/>
      <c r="EG2030" s="241"/>
      <c r="EI2030" s="241"/>
      <c r="EK2030" s="241"/>
    </row>
    <row r="2031" spans="1:141" s="121" customFormat="1" x14ac:dyDescent="0.3">
      <c r="A2031" s="124"/>
      <c r="O2031" s="235"/>
      <c r="X2031" s="117"/>
      <c r="Y2031" s="117"/>
      <c r="DT2031" s="240"/>
      <c r="DU2031" s="240"/>
      <c r="DV2031" s="240"/>
      <c r="DW2031" s="240"/>
      <c r="DX2031" s="240"/>
      <c r="DY2031" s="240"/>
      <c r="DZ2031" s="240"/>
      <c r="EA2031" s="240"/>
      <c r="EB2031" s="237"/>
      <c r="EC2031" s="241"/>
      <c r="ED2031" s="241"/>
      <c r="EE2031" s="241"/>
      <c r="EG2031" s="241"/>
      <c r="EI2031" s="241"/>
      <c r="EK2031" s="241"/>
    </row>
    <row r="2032" spans="1:141" s="121" customFormat="1" x14ac:dyDescent="0.3">
      <c r="A2032" s="124"/>
      <c r="O2032" s="235"/>
      <c r="X2032" s="117"/>
      <c r="Y2032" s="117"/>
      <c r="DT2032" s="240"/>
      <c r="DU2032" s="240"/>
      <c r="DV2032" s="240"/>
      <c r="DW2032" s="240"/>
      <c r="DX2032" s="240"/>
      <c r="DY2032" s="240"/>
      <c r="DZ2032" s="240"/>
      <c r="EA2032" s="240"/>
      <c r="EB2032" s="237"/>
      <c r="EC2032" s="241"/>
      <c r="ED2032" s="241"/>
      <c r="EE2032" s="241"/>
      <c r="EG2032" s="241"/>
      <c r="EI2032" s="241"/>
      <c r="EK2032" s="241"/>
    </row>
    <row r="2033" spans="1:141" s="121" customFormat="1" x14ac:dyDescent="0.3">
      <c r="A2033" s="124"/>
      <c r="O2033" s="235"/>
      <c r="X2033" s="117"/>
      <c r="Y2033" s="117"/>
      <c r="DT2033" s="240"/>
      <c r="DU2033" s="240"/>
      <c r="DV2033" s="240"/>
      <c r="DW2033" s="240"/>
      <c r="DX2033" s="240"/>
      <c r="DY2033" s="240"/>
      <c r="DZ2033" s="240"/>
      <c r="EA2033" s="240"/>
      <c r="EB2033" s="237"/>
      <c r="EC2033" s="241"/>
      <c r="ED2033" s="241"/>
      <c r="EE2033" s="241"/>
      <c r="EG2033" s="241"/>
      <c r="EI2033" s="241"/>
      <c r="EK2033" s="241"/>
    </row>
    <row r="2034" spans="1:141" s="121" customFormat="1" x14ac:dyDescent="0.3">
      <c r="A2034" s="124"/>
      <c r="O2034" s="235"/>
      <c r="X2034" s="117"/>
      <c r="Y2034" s="117"/>
      <c r="DT2034" s="240"/>
      <c r="DU2034" s="240"/>
      <c r="DV2034" s="240"/>
      <c r="DW2034" s="240"/>
      <c r="DX2034" s="240"/>
      <c r="DY2034" s="240"/>
      <c r="DZ2034" s="240"/>
      <c r="EA2034" s="240"/>
      <c r="EB2034" s="237"/>
      <c r="EC2034" s="241"/>
      <c r="ED2034" s="241"/>
      <c r="EE2034" s="241"/>
      <c r="EG2034" s="241"/>
      <c r="EI2034" s="241"/>
      <c r="EK2034" s="241"/>
    </row>
    <row r="2035" spans="1:141" s="121" customFormat="1" x14ac:dyDescent="0.3">
      <c r="A2035" s="124"/>
      <c r="O2035" s="235"/>
      <c r="X2035" s="117"/>
      <c r="Y2035" s="117"/>
      <c r="DT2035" s="240"/>
      <c r="DU2035" s="240"/>
      <c r="DV2035" s="240"/>
      <c r="DW2035" s="240"/>
      <c r="DX2035" s="240"/>
      <c r="DY2035" s="240"/>
      <c r="DZ2035" s="240"/>
      <c r="EA2035" s="240"/>
      <c r="EB2035" s="237"/>
      <c r="EC2035" s="241"/>
      <c r="ED2035" s="241"/>
      <c r="EE2035" s="241"/>
      <c r="EG2035" s="241"/>
      <c r="EI2035" s="241"/>
      <c r="EK2035" s="241"/>
    </row>
    <row r="2036" spans="1:141" s="121" customFormat="1" x14ac:dyDescent="0.3">
      <c r="A2036" s="124"/>
      <c r="O2036" s="235"/>
      <c r="X2036" s="117"/>
      <c r="Y2036" s="117"/>
      <c r="DT2036" s="240"/>
      <c r="DU2036" s="240"/>
      <c r="DV2036" s="240"/>
      <c r="DW2036" s="240"/>
      <c r="DX2036" s="240"/>
      <c r="DY2036" s="240"/>
      <c r="DZ2036" s="240"/>
      <c r="EA2036" s="240"/>
      <c r="EB2036" s="237"/>
      <c r="EC2036" s="241"/>
      <c r="ED2036" s="241"/>
      <c r="EE2036" s="241"/>
      <c r="EG2036" s="241"/>
      <c r="EI2036" s="241"/>
      <c r="EK2036" s="241"/>
    </row>
    <row r="2037" spans="1:141" s="121" customFormat="1" x14ac:dyDescent="0.3">
      <c r="A2037" s="124"/>
      <c r="O2037" s="235"/>
      <c r="X2037" s="117"/>
      <c r="Y2037" s="117"/>
      <c r="DT2037" s="240"/>
      <c r="DU2037" s="240"/>
      <c r="DV2037" s="240"/>
      <c r="DW2037" s="240"/>
      <c r="DX2037" s="240"/>
      <c r="DY2037" s="240"/>
      <c r="DZ2037" s="240"/>
      <c r="EA2037" s="240"/>
      <c r="EB2037" s="237"/>
      <c r="EC2037" s="241"/>
      <c r="ED2037" s="241"/>
      <c r="EE2037" s="241"/>
      <c r="EG2037" s="241"/>
      <c r="EI2037" s="241"/>
      <c r="EK2037" s="241"/>
    </row>
    <row r="2038" spans="1:141" s="121" customFormat="1" x14ac:dyDescent="0.3">
      <c r="A2038" s="124"/>
      <c r="O2038" s="235"/>
      <c r="X2038" s="117"/>
      <c r="Y2038" s="117"/>
      <c r="DT2038" s="240"/>
      <c r="DU2038" s="240"/>
      <c r="DV2038" s="240"/>
      <c r="DW2038" s="240"/>
      <c r="DX2038" s="240"/>
      <c r="DY2038" s="240"/>
      <c r="DZ2038" s="240"/>
      <c r="EA2038" s="240"/>
      <c r="EB2038" s="237"/>
      <c r="EC2038" s="241"/>
      <c r="ED2038" s="241"/>
      <c r="EE2038" s="241"/>
      <c r="EG2038" s="241"/>
      <c r="EI2038" s="241"/>
      <c r="EK2038" s="241"/>
    </row>
    <row r="2039" spans="1:141" s="121" customFormat="1" x14ac:dyDescent="0.3">
      <c r="A2039" s="124"/>
      <c r="O2039" s="235"/>
      <c r="X2039" s="117"/>
      <c r="Y2039" s="117"/>
      <c r="DT2039" s="240"/>
      <c r="DU2039" s="240"/>
      <c r="DV2039" s="240"/>
      <c r="DW2039" s="240"/>
      <c r="DX2039" s="240"/>
      <c r="DY2039" s="240"/>
      <c r="DZ2039" s="240"/>
      <c r="EA2039" s="240"/>
      <c r="EB2039" s="237"/>
      <c r="EC2039" s="241"/>
      <c r="ED2039" s="241"/>
      <c r="EE2039" s="241"/>
      <c r="EG2039" s="241"/>
      <c r="EI2039" s="241"/>
      <c r="EK2039" s="241"/>
    </row>
    <row r="2040" spans="1:141" s="121" customFormat="1" x14ac:dyDescent="0.3">
      <c r="A2040" s="124"/>
      <c r="O2040" s="235"/>
      <c r="X2040" s="117"/>
      <c r="Y2040" s="117"/>
      <c r="DT2040" s="240"/>
      <c r="DU2040" s="240"/>
      <c r="DV2040" s="240"/>
      <c r="DW2040" s="240"/>
      <c r="DX2040" s="240"/>
      <c r="DY2040" s="240"/>
      <c r="DZ2040" s="240"/>
      <c r="EA2040" s="240"/>
      <c r="EB2040" s="237"/>
      <c r="EC2040" s="241"/>
      <c r="ED2040" s="241"/>
      <c r="EE2040" s="241"/>
      <c r="EG2040" s="241"/>
      <c r="EI2040" s="241"/>
      <c r="EK2040" s="241"/>
    </row>
    <row r="2041" spans="1:141" s="121" customFormat="1" x14ac:dyDescent="0.3">
      <c r="A2041" s="124"/>
      <c r="O2041" s="235"/>
      <c r="X2041" s="117"/>
      <c r="Y2041" s="117"/>
      <c r="DT2041" s="240"/>
      <c r="DU2041" s="240"/>
      <c r="DV2041" s="240"/>
      <c r="DW2041" s="240"/>
      <c r="DX2041" s="240"/>
      <c r="DY2041" s="240"/>
      <c r="DZ2041" s="240"/>
      <c r="EA2041" s="240"/>
      <c r="EB2041" s="237"/>
      <c r="EC2041" s="241"/>
      <c r="ED2041" s="241"/>
      <c r="EE2041" s="241"/>
      <c r="EG2041" s="241"/>
      <c r="EI2041" s="241"/>
      <c r="EK2041" s="241"/>
    </row>
    <row r="2042" spans="1:141" s="121" customFormat="1" x14ac:dyDescent="0.3">
      <c r="A2042" s="124"/>
      <c r="O2042" s="235"/>
      <c r="X2042" s="117"/>
      <c r="Y2042" s="117"/>
      <c r="DT2042" s="240"/>
      <c r="DU2042" s="240"/>
      <c r="DV2042" s="240"/>
      <c r="DW2042" s="240"/>
      <c r="DX2042" s="240"/>
      <c r="DY2042" s="240"/>
      <c r="DZ2042" s="240"/>
      <c r="EA2042" s="240"/>
      <c r="EB2042" s="237"/>
      <c r="EC2042" s="241"/>
      <c r="ED2042" s="241"/>
      <c r="EE2042" s="241"/>
      <c r="EG2042" s="241"/>
      <c r="EI2042" s="241"/>
      <c r="EK2042" s="241"/>
    </row>
    <row r="2043" spans="1:141" s="121" customFormat="1" x14ac:dyDescent="0.3">
      <c r="A2043" s="124"/>
      <c r="O2043" s="235"/>
      <c r="X2043" s="117"/>
      <c r="Y2043" s="117"/>
      <c r="DT2043" s="240"/>
      <c r="DU2043" s="240"/>
      <c r="DV2043" s="240"/>
      <c r="DW2043" s="240"/>
      <c r="DX2043" s="240"/>
      <c r="DY2043" s="240"/>
      <c r="DZ2043" s="240"/>
      <c r="EA2043" s="240"/>
      <c r="EB2043" s="237"/>
      <c r="EC2043" s="241"/>
      <c r="ED2043" s="241"/>
      <c r="EE2043" s="241"/>
      <c r="EG2043" s="241"/>
      <c r="EI2043" s="241"/>
      <c r="EK2043" s="241"/>
    </row>
    <row r="2044" spans="1:141" s="121" customFormat="1" x14ac:dyDescent="0.3">
      <c r="A2044" s="124"/>
      <c r="O2044" s="235"/>
      <c r="X2044" s="117"/>
      <c r="Y2044" s="117"/>
      <c r="DT2044" s="240"/>
      <c r="DU2044" s="240"/>
      <c r="DV2044" s="240"/>
      <c r="DW2044" s="240"/>
      <c r="DX2044" s="240"/>
      <c r="DY2044" s="240"/>
      <c r="DZ2044" s="240"/>
      <c r="EA2044" s="240"/>
      <c r="EB2044" s="237"/>
      <c r="EC2044" s="241"/>
      <c r="ED2044" s="241"/>
      <c r="EE2044" s="241"/>
      <c r="EG2044" s="241"/>
      <c r="EI2044" s="241"/>
      <c r="EK2044" s="241"/>
    </row>
    <row r="2045" spans="1:141" s="121" customFormat="1" x14ac:dyDescent="0.3">
      <c r="A2045" s="124"/>
      <c r="O2045" s="235"/>
      <c r="X2045" s="117"/>
      <c r="Y2045" s="117"/>
      <c r="DT2045" s="240"/>
      <c r="DU2045" s="240"/>
      <c r="DV2045" s="240"/>
      <c r="DW2045" s="240"/>
      <c r="DX2045" s="240"/>
      <c r="DY2045" s="240"/>
      <c r="DZ2045" s="240"/>
      <c r="EA2045" s="240"/>
      <c r="EB2045" s="237"/>
      <c r="EC2045" s="241"/>
      <c r="ED2045" s="241"/>
      <c r="EE2045" s="241"/>
      <c r="EG2045" s="241"/>
      <c r="EI2045" s="241"/>
      <c r="EK2045" s="241"/>
    </row>
    <row r="2046" spans="1:141" s="121" customFormat="1" x14ac:dyDescent="0.3">
      <c r="A2046" s="124"/>
      <c r="O2046" s="235"/>
      <c r="X2046" s="117"/>
      <c r="Y2046" s="117"/>
      <c r="DT2046" s="240"/>
      <c r="DU2046" s="240"/>
      <c r="DV2046" s="240"/>
      <c r="DW2046" s="240"/>
      <c r="DX2046" s="240"/>
      <c r="DY2046" s="240"/>
      <c r="DZ2046" s="240"/>
      <c r="EA2046" s="240"/>
      <c r="EB2046" s="237"/>
      <c r="EC2046" s="241"/>
      <c r="ED2046" s="241"/>
      <c r="EE2046" s="241"/>
      <c r="EG2046" s="241"/>
      <c r="EI2046" s="241"/>
      <c r="EK2046" s="241"/>
    </row>
    <row r="2047" spans="1:141" s="121" customFormat="1" x14ac:dyDescent="0.3">
      <c r="A2047" s="124"/>
      <c r="O2047" s="235"/>
      <c r="X2047" s="117"/>
      <c r="Y2047" s="117"/>
      <c r="DT2047" s="240"/>
      <c r="DU2047" s="240"/>
      <c r="DV2047" s="240"/>
      <c r="DW2047" s="240"/>
      <c r="DX2047" s="240"/>
      <c r="DY2047" s="240"/>
      <c r="DZ2047" s="240"/>
      <c r="EA2047" s="240"/>
      <c r="EB2047" s="237"/>
      <c r="EC2047" s="241"/>
      <c r="ED2047" s="241"/>
      <c r="EE2047" s="241"/>
      <c r="EG2047" s="241"/>
      <c r="EI2047" s="241"/>
      <c r="EK2047" s="241"/>
    </row>
    <row r="2048" spans="1:141" s="121" customFormat="1" x14ac:dyDescent="0.3">
      <c r="A2048" s="124"/>
      <c r="O2048" s="235"/>
      <c r="X2048" s="117"/>
      <c r="Y2048" s="117"/>
      <c r="DT2048" s="240"/>
      <c r="DU2048" s="240"/>
      <c r="DV2048" s="240"/>
      <c r="DW2048" s="240"/>
      <c r="DX2048" s="240"/>
      <c r="DY2048" s="240"/>
      <c r="DZ2048" s="240"/>
      <c r="EA2048" s="240"/>
      <c r="EB2048" s="237"/>
      <c r="EC2048" s="241"/>
      <c r="ED2048" s="241"/>
      <c r="EE2048" s="241"/>
      <c r="EG2048" s="241"/>
      <c r="EI2048" s="241"/>
      <c r="EK2048" s="241"/>
    </row>
    <row r="2049" spans="1:141" s="121" customFormat="1" x14ac:dyDescent="0.3">
      <c r="A2049" s="124"/>
      <c r="O2049" s="235"/>
      <c r="X2049" s="117"/>
      <c r="Y2049" s="117"/>
      <c r="DT2049" s="240"/>
      <c r="DU2049" s="240"/>
      <c r="DV2049" s="240"/>
      <c r="DW2049" s="240"/>
      <c r="DX2049" s="240"/>
      <c r="DY2049" s="240"/>
      <c r="DZ2049" s="240"/>
      <c r="EA2049" s="240"/>
      <c r="EB2049" s="237"/>
      <c r="EC2049" s="241"/>
      <c r="ED2049" s="241"/>
      <c r="EE2049" s="241"/>
      <c r="EG2049" s="241"/>
      <c r="EI2049" s="241"/>
      <c r="EK2049" s="241"/>
    </row>
    <row r="2050" spans="1:141" s="121" customFormat="1" x14ac:dyDescent="0.3">
      <c r="A2050" s="124"/>
      <c r="O2050" s="235"/>
      <c r="X2050" s="117"/>
      <c r="Y2050" s="117"/>
      <c r="DT2050" s="240"/>
      <c r="DU2050" s="240"/>
      <c r="DV2050" s="240"/>
      <c r="DW2050" s="240"/>
      <c r="DX2050" s="240"/>
      <c r="DY2050" s="240"/>
      <c r="DZ2050" s="240"/>
      <c r="EA2050" s="240"/>
      <c r="EB2050" s="237"/>
      <c r="EC2050" s="241"/>
      <c r="ED2050" s="241"/>
      <c r="EE2050" s="241"/>
      <c r="EG2050" s="241"/>
      <c r="EI2050" s="241"/>
      <c r="EK2050" s="241"/>
    </row>
    <row r="2051" spans="1:141" s="121" customFormat="1" x14ac:dyDescent="0.3">
      <c r="A2051" s="124"/>
      <c r="O2051" s="235"/>
      <c r="X2051" s="117"/>
      <c r="Y2051" s="117"/>
      <c r="DT2051" s="240"/>
      <c r="DU2051" s="240"/>
      <c r="DV2051" s="240"/>
      <c r="DW2051" s="240"/>
      <c r="DX2051" s="240"/>
      <c r="DY2051" s="240"/>
      <c r="DZ2051" s="240"/>
      <c r="EA2051" s="240"/>
      <c r="EB2051" s="237"/>
      <c r="EC2051" s="241"/>
      <c r="ED2051" s="241"/>
      <c r="EE2051" s="241"/>
      <c r="EG2051" s="241"/>
      <c r="EI2051" s="241"/>
      <c r="EK2051" s="241"/>
    </row>
    <row r="2052" spans="1:141" s="121" customFormat="1" x14ac:dyDescent="0.3">
      <c r="A2052" s="124"/>
      <c r="O2052" s="235"/>
      <c r="X2052" s="117"/>
      <c r="Y2052" s="117"/>
      <c r="DT2052" s="240"/>
      <c r="DU2052" s="240"/>
      <c r="DV2052" s="240"/>
      <c r="DW2052" s="240"/>
      <c r="DX2052" s="240"/>
      <c r="DY2052" s="240"/>
      <c r="DZ2052" s="240"/>
      <c r="EA2052" s="240"/>
      <c r="EB2052" s="237"/>
      <c r="EC2052" s="241"/>
      <c r="ED2052" s="241"/>
      <c r="EE2052" s="241"/>
      <c r="EG2052" s="241"/>
      <c r="EI2052" s="241"/>
      <c r="EK2052" s="241"/>
    </row>
    <row r="2053" spans="1:141" s="121" customFormat="1" x14ac:dyDescent="0.3">
      <c r="A2053" s="124"/>
      <c r="O2053" s="235"/>
      <c r="X2053" s="117"/>
      <c r="Y2053" s="117"/>
      <c r="DT2053" s="240"/>
      <c r="DU2053" s="240"/>
      <c r="DV2053" s="240"/>
      <c r="DW2053" s="240"/>
      <c r="DX2053" s="240"/>
      <c r="DY2053" s="240"/>
      <c r="DZ2053" s="240"/>
      <c r="EA2053" s="240"/>
      <c r="EB2053" s="237"/>
      <c r="EC2053" s="241"/>
      <c r="ED2053" s="241"/>
      <c r="EE2053" s="241"/>
      <c r="EG2053" s="241"/>
      <c r="EI2053" s="241"/>
      <c r="EK2053" s="241"/>
    </row>
    <row r="2054" spans="1:141" s="121" customFormat="1" x14ac:dyDescent="0.3">
      <c r="A2054" s="124"/>
      <c r="O2054" s="235"/>
      <c r="X2054" s="117"/>
      <c r="Y2054" s="117"/>
      <c r="DT2054" s="240"/>
      <c r="DU2054" s="240"/>
      <c r="DV2054" s="240"/>
      <c r="DW2054" s="240"/>
      <c r="DX2054" s="240"/>
      <c r="DY2054" s="240"/>
      <c r="DZ2054" s="240"/>
      <c r="EA2054" s="240"/>
      <c r="EB2054" s="237"/>
      <c r="EC2054" s="241"/>
      <c r="ED2054" s="241"/>
      <c r="EE2054" s="241"/>
      <c r="EG2054" s="241"/>
      <c r="EI2054" s="241"/>
      <c r="EK2054" s="241"/>
    </row>
    <row r="2055" spans="1:141" s="121" customFormat="1" x14ac:dyDescent="0.3">
      <c r="A2055" s="124"/>
      <c r="O2055" s="235"/>
      <c r="X2055" s="117"/>
      <c r="Y2055" s="117"/>
      <c r="DT2055" s="240"/>
      <c r="DU2055" s="240"/>
      <c r="DV2055" s="240"/>
      <c r="DW2055" s="240"/>
      <c r="DX2055" s="240"/>
      <c r="DY2055" s="240"/>
      <c r="DZ2055" s="240"/>
      <c r="EA2055" s="240"/>
      <c r="EB2055" s="237"/>
      <c r="EC2055" s="241"/>
      <c r="ED2055" s="241"/>
      <c r="EE2055" s="241"/>
      <c r="EG2055" s="241"/>
      <c r="EI2055" s="241"/>
      <c r="EK2055" s="241"/>
    </row>
    <row r="2056" spans="1:141" s="121" customFormat="1" x14ac:dyDescent="0.3">
      <c r="A2056" s="124"/>
      <c r="O2056" s="235"/>
      <c r="X2056" s="117"/>
      <c r="Y2056" s="117"/>
      <c r="DT2056" s="240"/>
      <c r="DU2056" s="240"/>
      <c r="DV2056" s="240"/>
      <c r="DW2056" s="240"/>
      <c r="DX2056" s="240"/>
      <c r="DY2056" s="240"/>
      <c r="DZ2056" s="240"/>
      <c r="EA2056" s="240"/>
      <c r="EB2056" s="237"/>
      <c r="EC2056" s="241"/>
      <c r="ED2056" s="241"/>
      <c r="EE2056" s="241"/>
      <c r="EG2056" s="241"/>
      <c r="EI2056" s="241"/>
      <c r="EK2056" s="241"/>
    </row>
    <row r="2057" spans="1:141" s="121" customFormat="1" x14ac:dyDescent="0.3">
      <c r="A2057" s="124"/>
      <c r="O2057" s="235"/>
      <c r="X2057" s="117"/>
      <c r="Y2057" s="117"/>
      <c r="DT2057" s="240"/>
      <c r="DU2057" s="240"/>
      <c r="DV2057" s="240"/>
      <c r="DW2057" s="240"/>
      <c r="DX2057" s="240"/>
      <c r="DY2057" s="240"/>
      <c r="DZ2057" s="240"/>
      <c r="EA2057" s="240"/>
      <c r="EB2057" s="237"/>
      <c r="EC2057" s="241"/>
      <c r="ED2057" s="241"/>
      <c r="EE2057" s="241"/>
      <c r="EG2057" s="241"/>
      <c r="EI2057" s="241"/>
      <c r="EK2057" s="241"/>
    </row>
    <row r="2058" spans="1:141" s="121" customFormat="1" x14ac:dyDescent="0.3">
      <c r="A2058" s="124"/>
      <c r="O2058" s="235"/>
      <c r="X2058" s="117"/>
      <c r="Y2058" s="117"/>
      <c r="DT2058" s="240"/>
      <c r="DU2058" s="240"/>
      <c r="DV2058" s="240"/>
      <c r="DW2058" s="240"/>
      <c r="DX2058" s="240"/>
      <c r="DY2058" s="240"/>
      <c r="DZ2058" s="240"/>
      <c r="EA2058" s="240"/>
      <c r="EB2058" s="237"/>
      <c r="EC2058" s="241"/>
      <c r="ED2058" s="241"/>
      <c r="EE2058" s="241"/>
      <c r="EG2058" s="241"/>
      <c r="EI2058" s="241"/>
      <c r="EK2058" s="241"/>
    </row>
    <row r="2059" spans="1:141" s="121" customFormat="1" x14ac:dyDescent="0.3">
      <c r="A2059" s="124"/>
      <c r="O2059" s="235"/>
      <c r="X2059" s="117"/>
      <c r="Y2059" s="117"/>
      <c r="DT2059" s="240"/>
      <c r="DU2059" s="240"/>
      <c r="DV2059" s="240"/>
      <c r="DW2059" s="240"/>
      <c r="DX2059" s="240"/>
      <c r="DY2059" s="240"/>
      <c r="DZ2059" s="240"/>
      <c r="EA2059" s="240"/>
      <c r="EB2059" s="237"/>
      <c r="EC2059" s="241"/>
      <c r="ED2059" s="241"/>
      <c r="EE2059" s="241"/>
      <c r="EG2059" s="241"/>
      <c r="EI2059" s="241"/>
      <c r="EK2059" s="241"/>
    </row>
    <row r="2060" spans="1:141" s="121" customFormat="1" x14ac:dyDescent="0.3">
      <c r="A2060" s="124"/>
      <c r="O2060" s="235"/>
      <c r="X2060" s="117"/>
      <c r="Y2060" s="117"/>
      <c r="DT2060" s="240"/>
      <c r="DU2060" s="240"/>
      <c r="DV2060" s="240"/>
      <c r="DW2060" s="240"/>
      <c r="DX2060" s="240"/>
      <c r="DY2060" s="240"/>
      <c r="DZ2060" s="240"/>
      <c r="EA2060" s="240"/>
      <c r="EB2060" s="237"/>
      <c r="EC2060" s="241"/>
      <c r="ED2060" s="241"/>
      <c r="EE2060" s="241"/>
      <c r="EG2060" s="241"/>
      <c r="EI2060" s="241"/>
      <c r="EK2060" s="241"/>
    </row>
    <row r="2061" spans="1:141" s="121" customFormat="1" x14ac:dyDescent="0.3">
      <c r="A2061" s="124"/>
      <c r="O2061" s="235"/>
      <c r="X2061" s="117"/>
      <c r="Y2061" s="117"/>
      <c r="DT2061" s="240"/>
      <c r="DU2061" s="240"/>
      <c r="DV2061" s="240"/>
      <c r="DW2061" s="240"/>
      <c r="DX2061" s="240"/>
      <c r="DY2061" s="240"/>
      <c r="DZ2061" s="240"/>
      <c r="EA2061" s="240"/>
      <c r="EB2061" s="237"/>
      <c r="EC2061" s="241"/>
      <c r="ED2061" s="241"/>
      <c r="EE2061" s="241"/>
      <c r="EG2061" s="241"/>
      <c r="EI2061" s="241"/>
      <c r="EK2061" s="241"/>
    </row>
    <row r="2062" spans="1:141" s="121" customFormat="1" x14ac:dyDescent="0.3">
      <c r="A2062" s="124"/>
      <c r="O2062" s="235"/>
      <c r="X2062" s="117"/>
      <c r="Y2062" s="117"/>
      <c r="DT2062" s="240"/>
      <c r="DU2062" s="240"/>
      <c r="DV2062" s="240"/>
      <c r="DW2062" s="240"/>
      <c r="DX2062" s="240"/>
      <c r="DY2062" s="240"/>
      <c r="DZ2062" s="240"/>
      <c r="EA2062" s="240"/>
      <c r="EB2062" s="237"/>
      <c r="EC2062" s="241"/>
      <c r="ED2062" s="241"/>
      <c r="EE2062" s="241"/>
      <c r="EG2062" s="241"/>
      <c r="EI2062" s="241"/>
      <c r="EK2062" s="241"/>
    </row>
    <row r="2063" spans="1:141" s="121" customFormat="1" x14ac:dyDescent="0.3">
      <c r="A2063" s="124"/>
      <c r="O2063" s="235"/>
      <c r="X2063" s="117"/>
      <c r="Y2063" s="117"/>
      <c r="DT2063" s="240"/>
      <c r="DU2063" s="240"/>
      <c r="DV2063" s="240"/>
      <c r="DW2063" s="240"/>
      <c r="DX2063" s="240"/>
      <c r="DY2063" s="240"/>
      <c r="DZ2063" s="240"/>
      <c r="EA2063" s="240"/>
      <c r="EB2063" s="237"/>
      <c r="EC2063" s="241"/>
      <c r="ED2063" s="241"/>
      <c r="EE2063" s="241"/>
      <c r="EG2063" s="241"/>
      <c r="EI2063" s="241"/>
      <c r="EK2063" s="241"/>
    </row>
    <row r="2064" spans="1:141" s="121" customFormat="1" x14ac:dyDescent="0.3">
      <c r="A2064" s="124"/>
      <c r="O2064" s="235"/>
      <c r="X2064" s="117"/>
      <c r="Y2064" s="117"/>
      <c r="DT2064" s="240"/>
      <c r="DU2064" s="240"/>
      <c r="DV2064" s="240"/>
      <c r="DW2064" s="240"/>
      <c r="DX2064" s="240"/>
      <c r="DY2064" s="240"/>
      <c r="DZ2064" s="240"/>
      <c r="EA2064" s="240"/>
      <c r="EB2064" s="237"/>
      <c r="EC2064" s="241"/>
      <c r="ED2064" s="241"/>
      <c r="EE2064" s="241"/>
      <c r="EG2064" s="241"/>
      <c r="EI2064" s="241"/>
      <c r="EK2064" s="241"/>
    </row>
    <row r="2065" spans="1:141" s="121" customFormat="1" x14ac:dyDescent="0.3">
      <c r="A2065" s="124"/>
      <c r="O2065" s="235"/>
      <c r="X2065" s="117"/>
      <c r="Y2065" s="117"/>
      <c r="DT2065" s="240"/>
      <c r="DU2065" s="240"/>
      <c r="DV2065" s="240"/>
      <c r="DW2065" s="240"/>
      <c r="DX2065" s="240"/>
      <c r="DY2065" s="240"/>
      <c r="DZ2065" s="240"/>
      <c r="EA2065" s="240"/>
      <c r="EB2065" s="237"/>
      <c r="EC2065" s="241"/>
      <c r="ED2065" s="241"/>
      <c r="EE2065" s="241"/>
      <c r="EG2065" s="241"/>
      <c r="EI2065" s="241"/>
      <c r="EK2065" s="241"/>
    </row>
    <row r="2066" spans="1:141" s="121" customFormat="1" x14ac:dyDescent="0.3">
      <c r="A2066" s="124"/>
      <c r="O2066" s="235"/>
      <c r="X2066" s="117"/>
      <c r="Y2066" s="117"/>
      <c r="DT2066" s="240"/>
      <c r="DU2066" s="240"/>
      <c r="DV2066" s="240"/>
      <c r="DW2066" s="240"/>
      <c r="DX2066" s="240"/>
      <c r="DY2066" s="240"/>
      <c r="DZ2066" s="240"/>
      <c r="EA2066" s="240"/>
      <c r="EB2066" s="237"/>
      <c r="EC2066" s="241"/>
      <c r="ED2066" s="241"/>
      <c r="EE2066" s="241"/>
      <c r="EG2066" s="241"/>
      <c r="EI2066" s="241"/>
      <c r="EK2066" s="241"/>
    </row>
    <row r="2067" spans="1:141" s="121" customFormat="1" x14ac:dyDescent="0.3">
      <c r="A2067" s="124"/>
      <c r="O2067" s="235"/>
      <c r="X2067" s="117"/>
      <c r="Y2067" s="117"/>
      <c r="DT2067" s="240"/>
      <c r="DU2067" s="240"/>
      <c r="DV2067" s="240"/>
      <c r="DW2067" s="240"/>
      <c r="DX2067" s="240"/>
      <c r="DY2067" s="240"/>
      <c r="DZ2067" s="240"/>
      <c r="EA2067" s="240"/>
      <c r="EB2067" s="237"/>
      <c r="EC2067" s="241"/>
      <c r="ED2067" s="241"/>
      <c r="EE2067" s="241"/>
      <c r="EG2067" s="241"/>
      <c r="EI2067" s="241"/>
      <c r="EK2067" s="241"/>
    </row>
    <row r="2068" spans="1:141" s="121" customFormat="1" x14ac:dyDescent="0.3">
      <c r="A2068" s="124"/>
      <c r="O2068" s="235"/>
      <c r="X2068" s="117"/>
      <c r="Y2068" s="117"/>
      <c r="DT2068" s="240"/>
      <c r="DU2068" s="240"/>
      <c r="DV2068" s="240"/>
      <c r="DW2068" s="240"/>
      <c r="DX2068" s="240"/>
      <c r="DY2068" s="240"/>
      <c r="DZ2068" s="240"/>
      <c r="EA2068" s="240"/>
      <c r="EB2068" s="237"/>
      <c r="EC2068" s="241"/>
      <c r="ED2068" s="241"/>
      <c r="EE2068" s="241"/>
      <c r="EG2068" s="241"/>
      <c r="EI2068" s="241"/>
      <c r="EK2068" s="241"/>
    </row>
    <row r="2069" spans="1:141" s="121" customFormat="1" x14ac:dyDescent="0.3">
      <c r="A2069" s="124"/>
      <c r="O2069" s="235"/>
      <c r="X2069" s="117"/>
      <c r="Y2069" s="117"/>
      <c r="DT2069" s="240"/>
      <c r="DU2069" s="240"/>
      <c r="DV2069" s="240"/>
      <c r="DW2069" s="240"/>
      <c r="DX2069" s="240"/>
      <c r="DY2069" s="240"/>
      <c r="DZ2069" s="240"/>
      <c r="EA2069" s="240"/>
      <c r="EB2069" s="237"/>
      <c r="EC2069" s="241"/>
      <c r="ED2069" s="241"/>
      <c r="EE2069" s="241"/>
      <c r="EG2069" s="241"/>
      <c r="EI2069" s="241"/>
      <c r="EK2069" s="241"/>
    </row>
    <row r="2070" spans="1:141" s="121" customFormat="1" x14ac:dyDescent="0.3">
      <c r="A2070" s="124"/>
      <c r="O2070" s="235"/>
      <c r="X2070" s="117"/>
      <c r="Y2070" s="117"/>
      <c r="DT2070" s="240"/>
      <c r="DU2070" s="240"/>
      <c r="DV2070" s="240"/>
      <c r="DW2070" s="240"/>
      <c r="DX2070" s="240"/>
      <c r="DY2070" s="240"/>
      <c r="DZ2070" s="240"/>
      <c r="EA2070" s="240"/>
      <c r="EB2070" s="237"/>
      <c r="EC2070" s="241"/>
      <c r="ED2070" s="241"/>
      <c r="EE2070" s="241"/>
      <c r="EG2070" s="241"/>
      <c r="EI2070" s="241"/>
      <c r="EK2070" s="241"/>
    </row>
    <row r="2071" spans="1:141" s="121" customFormat="1" x14ac:dyDescent="0.3">
      <c r="A2071" s="124"/>
      <c r="O2071" s="235"/>
      <c r="X2071" s="117"/>
      <c r="Y2071" s="117"/>
      <c r="DT2071" s="240"/>
      <c r="DU2071" s="240"/>
      <c r="DV2071" s="240"/>
      <c r="DW2071" s="240"/>
      <c r="DX2071" s="240"/>
      <c r="DY2071" s="240"/>
      <c r="DZ2071" s="240"/>
      <c r="EA2071" s="240"/>
      <c r="EB2071" s="237"/>
      <c r="EC2071" s="241"/>
      <c r="ED2071" s="241"/>
      <c r="EE2071" s="241"/>
      <c r="EG2071" s="241"/>
      <c r="EI2071" s="241"/>
      <c r="EK2071" s="241"/>
    </row>
    <row r="2072" spans="1:141" s="121" customFormat="1" x14ac:dyDescent="0.3">
      <c r="A2072" s="124"/>
      <c r="O2072" s="235"/>
      <c r="X2072" s="117"/>
      <c r="Y2072" s="117"/>
      <c r="DT2072" s="240"/>
      <c r="DU2072" s="240"/>
      <c r="DV2072" s="240"/>
      <c r="DW2072" s="240"/>
      <c r="DX2072" s="240"/>
      <c r="DY2072" s="240"/>
      <c r="DZ2072" s="240"/>
      <c r="EA2072" s="240"/>
      <c r="EB2072" s="237"/>
      <c r="EC2072" s="241"/>
      <c r="ED2072" s="241"/>
      <c r="EE2072" s="241"/>
      <c r="EG2072" s="241"/>
      <c r="EI2072" s="241"/>
      <c r="EK2072" s="241"/>
    </row>
    <row r="2073" spans="1:141" s="121" customFormat="1" x14ac:dyDescent="0.3">
      <c r="A2073" s="124"/>
      <c r="O2073" s="235"/>
      <c r="X2073" s="117"/>
      <c r="Y2073" s="117"/>
      <c r="DT2073" s="240"/>
      <c r="DU2073" s="240"/>
      <c r="DV2073" s="240"/>
      <c r="DW2073" s="240"/>
      <c r="DX2073" s="240"/>
      <c r="DY2073" s="240"/>
      <c r="DZ2073" s="240"/>
      <c r="EA2073" s="240"/>
      <c r="EB2073" s="237"/>
      <c r="EC2073" s="241"/>
      <c r="ED2073" s="241"/>
      <c r="EE2073" s="241"/>
      <c r="EG2073" s="241"/>
      <c r="EI2073" s="241"/>
      <c r="EK2073" s="241"/>
    </row>
    <row r="2074" spans="1:141" s="121" customFormat="1" x14ac:dyDescent="0.3">
      <c r="A2074" s="124"/>
      <c r="O2074" s="235"/>
      <c r="X2074" s="117"/>
      <c r="Y2074" s="117"/>
      <c r="DT2074" s="240"/>
      <c r="DU2074" s="240"/>
      <c r="DV2074" s="240"/>
      <c r="DW2074" s="240"/>
      <c r="DX2074" s="240"/>
      <c r="DY2074" s="240"/>
      <c r="DZ2074" s="240"/>
      <c r="EA2074" s="240"/>
      <c r="EB2074" s="237"/>
      <c r="EC2074" s="241"/>
      <c r="ED2074" s="241"/>
      <c r="EE2074" s="241"/>
      <c r="EG2074" s="241"/>
      <c r="EI2074" s="241"/>
      <c r="EK2074" s="241"/>
    </row>
    <row r="2075" spans="1:141" s="121" customFormat="1" x14ac:dyDescent="0.3">
      <c r="A2075" s="124"/>
      <c r="O2075" s="235"/>
      <c r="X2075" s="117"/>
      <c r="Y2075" s="117"/>
      <c r="DT2075" s="240"/>
      <c r="DU2075" s="240"/>
      <c r="DV2075" s="240"/>
      <c r="DW2075" s="240"/>
      <c r="DX2075" s="240"/>
      <c r="DY2075" s="240"/>
      <c r="DZ2075" s="240"/>
      <c r="EA2075" s="240"/>
      <c r="EB2075" s="237"/>
      <c r="EC2075" s="241"/>
      <c r="ED2075" s="241"/>
      <c r="EE2075" s="241"/>
      <c r="EG2075" s="241"/>
      <c r="EI2075" s="241"/>
      <c r="EK2075" s="241"/>
    </row>
    <row r="2076" spans="1:141" s="121" customFormat="1" x14ac:dyDescent="0.3">
      <c r="A2076" s="124"/>
      <c r="O2076" s="235"/>
      <c r="X2076" s="117"/>
      <c r="Y2076" s="117"/>
      <c r="DT2076" s="240"/>
      <c r="DU2076" s="240"/>
      <c r="DV2076" s="240"/>
      <c r="DW2076" s="240"/>
      <c r="DX2076" s="240"/>
      <c r="DY2076" s="240"/>
      <c r="DZ2076" s="240"/>
      <c r="EA2076" s="240"/>
      <c r="EB2076" s="237"/>
      <c r="EC2076" s="241"/>
      <c r="ED2076" s="241"/>
      <c r="EE2076" s="241"/>
      <c r="EG2076" s="241"/>
      <c r="EI2076" s="241"/>
      <c r="EK2076" s="241"/>
    </row>
    <row r="2077" spans="1:141" s="121" customFormat="1" x14ac:dyDescent="0.3">
      <c r="A2077" s="124"/>
      <c r="O2077" s="235"/>
      <c r="X2077" s="117"/>
      <c r="Y2077" s="117"/>
      <c r="DT2077" s="240"/>
      <c r="DU2077" s="240"/>
      <c r="DV2077" s="240"/>
      <c r="DW2077" s="240"/>
      <c r="DX2077" s="240"/>
      <c r="DY2077" s="240"/>
      <c r="DZ2077" s="240"/>
      <c r="EA2077" s="240"/>
      <c r="EB2077" s="237"/>
      <c r="EC2077" s="241"/>
      <c r="ED2077" s="241"/>
      <c r="EE2077" s="241"/>
      <c r="EG2077" s="241"/>
      <c r="EI2077" s="241"/>
      <c r="EK2077" s="241"/>
    </row>
    <row r="2078" spans="1:141" s="121" customFormat="1" x14ac:dyDescent="0.3">
      <c r="A2078" s="124"/>
      <c r="O2078" s="235"/>
      <c r="X2078" s="117"/>
      <c r="Y2078" s="117"/>
      <c r="DT2078" s="240"/>
      <c r="DU2078" s="240"/>
      <c r="DV2078" s="240"/>
      <c r="DW2078" s="240"/>
      <c r="DX2078" s="240"/>
      <c r="DY2078" s="240"/>
      <c r="DZ2078" s="240"/>
      <c r="EA2078" s="240"/>
      <c r="EB2078" s="237"/>
      <c r="EC2078" s="241"/>
      <c r="ED2078" s="241"/>
      <c r="EE2078" s="241"/>
      <c r="EG2078" s="241"/>
      <c r="EI2078" s="241"/>
      <c r="EK2078" s="241"/>
    </row>
    <row r="2079" spans="1:141" s="121" customFormat="1" x14ac:dyDescent="0.3">
      <c r="A2079" s="124"/>
      <c r="O2079" s="235"/>
      <c r="X2079" s="117"/>
      <c r="Y2079" s="117"/>
      <c r="DT2079" s="240"/>
      <c r="DU2079" s="240"/>
      <c r="DV2079" s="240"/>
      <c r="DW2079" s="240"/>
      <c r="DX2079" s="240"/>
      <c r="DY2079" s="240"/>
      <c r="DZ2079" s="240"/>
      <c r="EA2079" s="240"/>
      <c r="EB2079" s="237"/>
      <c r="EC2079" s="241"/>
      <c r="ED2079" s="241"/>
      <c r="EE2079" s="241"/>
      <c r="EG2079" s="241"/>
      <c r="EI2079" s="241"/>
      <c r="EK2079" s="241"/>
    </row>
    <row r="2080" spans="1:141" s="121" customFormat="1" x14ac:dyDescent="0.3">
      <c r="A2080" s="124"/>
      <c r="O2080" s="235"/>
      <c r="X2080" s="117"/>
      <c r="Y2080" s="117"/>
      <c r="DT2080" s="240"/>
      <c r="DU2080" s="240"/>
      <c r="DV2080" s="240"/>
      <c r="DW2080" s="240"/>
      <c r="DX2080" s="240"/>
      <c r="DY2080" s="240"/>
      <c r="DZ2080" s="240"/>
      <c r="EA2080" s="240"/>
      <c r="EB2080" s="237"/>
      <c r="EC2080" s="241"/>
      <c r="ED2080" s="241"/>
      <c r="EE2080" s="241"/>
      <c r="EG2080" s="241"/>
      <c r="EI2080" s="241"/>
      <c r="EK2080" s="241"/>
    </row>
    <row r="2081" spans="1:141" s="121" customFormat="1" x14ac:dyDescent="0.3">
      <c r="A2081" s="124"/>
      <c r="O2081" s="235"/>
      <c r="X2081" s="117"/>
      <c r="Y2081" s="117"/>
      <c r="DT2081" s="240"/>
      <c r="DU2081" s="240"/>
      <c r="DV2081" s="240"/>
      <c r="DW2081" s="240"/>
      <c r="DX2081" s="240"/>
      <c r="DY2081" s="240"/>
      <c r="DZ2081" s="240"/>
      <c r="EA2081" s="240"/>
      <c r="EB2081" s="237"/>
      <c r="EC2081" s="241"/>
      <c r="ED2081" s="241"/>
      <c r="EE2081" s="241"/>
      <c r="EG2081" s="241"/>
      <c r="EI2081" s="241"/>
      <c r="EK2081" s="241"/>
    </row>
    <row r="2082" spans="1:141" s="121" customFormat="1" x14ac:dyDescent="0.3">
      <c r="A2082" s="124"/>
      <c r="O2082" s="235"/>
      <c r="X2082" s="117"/>
      <c r="Y2082" s="117"/>
      <c r="DT2082" s="240"/>
      <c r="DU2082" s="240"/>
      <c r="DV2082" s="240"/>
      <c r="DW2082" s="240"/>
      <c r="DX2082" s="240"/>
      <c r="DY2082" s="240"/>
      <c r="DZ2082" s="240"/>
      <c r="EA2082" s="240"/>
      <c r="EB2082" s="237"/>
      <c r="EC2082" s="241"/>
      <c r="ED2082" s="241"/>
      <c r="EE2082" s="241"/>
      <c r="EG2082" s="241"/>
      <c r="EI2082" s="241"/>
      <c r="EK2082" s="241"/>
    </row>
    <row r="2083" spans="1:141" s="121" customFormat="1" x14ac:dyDescent="0.3">
      <c r="A2083" s="124"/>
      <c r="O2083" s="235"/>
      <c r="X2083" s="117"/>
      <c r="Y2083" s="117"/>
      <c r="DT2083" s="240"/>
      <c r="DU2083" s="240"/>
      <c r="DV2083" s="240"/>
      <c r="DW2083" s="240"/>
      <c r="DX2083" s="240"/>
      <c r="DY2083" s="240"/>
      <c r="DZ2083" s="240"/>
      <c r="EA2083" s="240"/>
      <c r="EB2083" s="237"/>
      <c r="EC2083" s="241"/>
      <c r="ED2083" s="241"/>
      <c r="EE2083" s="241"/>
      <c r="EG2083" s="241"/>
      <c r="EI2083" s="241"/>
      <c r="EK2083" s="241"/>
    </row>
    <row r="2084" spans="1:141" s="121" customFormat="1" x14ac:dyDescent="0.3">
      <c r="A2084" s="124"/>
      <c r="O2084" s="235"/>
      <c r="X2084" s="117"/>
      <c r="Y2084" s="117"/>
      <c r="DT2084" s="240"/>
      <c r="DU2084" s="240"/>
      <c r="DV2084" s="240"/>
      <c r="DW2084" s="240"/>
      <c r="DX2084" s="240"/>
      <c r="DY2084" s="240"/>
      <c r="DZ2084" s="240"/>
      <c r="EA2084" s="240"/>
      <c r="EB2084" s="237"/>
      <c r="EC2084" s="241"/>
      <c r="ED2084" s="241"/>
      <c r="EE2084" s="241"/>
      <c r="EG2084" s="241"/>
      <c r="EI2084" s="241"/>
      <c r="EK2084" s="241"/>
    </row>
    <row r="2085" spans="1:141" s="121" customFormat="1" x14ac:dyDescent="0.3">
      <c r="A2085" s="124"/>
      <c r="O2085" s="235"/>
      <c r="X2085" s="117"/>
      <c r="Y2085" s="117"/>
      <c r="DT2085" s="240"/>
      <c r="DU2085" s="240"/>
      <c r="DV2085" s="240"/>
      <c r="DW2085" s="240"/>
      <c r="DX2085" s="240"/>
      <c r="DY2085" s="240"/>
      <c r="DZ2085" s="240"/>
      <c r="EA2085" s="240"/>
      <c r="EB2085" s="237"/>
      <c r="EC2085" s="241"/>
      <c r="ED2085" s="241"/>
      <c r="EE2085" s="241"/>
      <c r="EG2085" s="241"/>
      <c r="EI2085" s="241"/>
      <c r="EK2085" s="241"/>
    </row>
    <row r="2086" spans="1:141" s="121" customFormat="1" x14ac:dyDescent="0.3">
      <c r="A2086" s="124"/>
      <c r="O2086" s="235"/>
      <c r="X2086" s="117"/>
      <c r="Y2086" s="117"/>
      <c r="DT2086" s="240"/>
      <c r="DU2086" s="240"/>
      <c r="DV2086" s="240"/>
      <c r="DW2086" s="240"/>
      <c r="DX2086" s="240"/>
      <c r="DY2086" s="240"/>
      <c r="DZ2086" s="240"/>
      <c r="EA2086" s="240"/>
      <c r="EB2086" s="237"/>
      <c r="EC2086" s="241"/>
      <c r="ED2086" s="241"/>
      <c r="EE2086" s="241"/>
      <c r="EG2086" s="241"/>
      <c r="EI2086" s="241"/>
      <c r="EK2086" s="241"/>
    </row>
    <row r="2087" spans="1:141" s="121" customFormat="1" x14ac:dyDescent="0.3">
      <c r="A2087" s="124"/>
      <c r="O2087" s="235"/>
      <c r="X2087" s="117"/>
      <c r="Y2087" s="117"/>
      <c r="DT2087" s="240"/>
      <c r="DU2087" s="240"/>
      <c r="DV2087" s="240"/>
      <c r="DW2087" s="240"/>
      <c r="DX2087" s="240"/>
      <c r="DY2087" s="240"/>
      <c r="DZ2087" s="240"/>
      <c r="EA2087" s="240"/>
      <c r="EB2087" s="237"/>
      <c r="EC2087" s="241"/>
      <c r="ED2087" s="241"/>
      <c r="EE2087" s="241"/>
      <c r="EG2087" s="241"/>
      <c r="EI2087" s="241"/>
      <c r="EK2087" s="241"/>
    </row>
    <row r="2088" spans="1:141" s="121" customFormat="1" x14ac:dyDescent="0.3">
      <c r="A2088" s="124"/>
      <c r="O2088" s="235"/>
      <c r="X2088" s="117"/>
      <c r="Y2088" s="117"/>
      <c r="DT2088" s="240"/>
      <c r="DU2088" s="240"/>
      <c r="DV2088" s="240"/>
      <c r="DW2088" s="240"/>
      <c r="DX2088" s="240"/>
      <c r="DY2088" s="240"/>
      <c r="DZ2088" s="240"/>
      <c r="EA2088" s="240"/>
      <c r="EB2088" s="237"/>
      <c r="EC2088" s="241"/>
      <c r="ED2088" s="241"/>
      <c r="EE2088" s="241"/>
      <c r="EG2088" s="241"/>
      <c r="EI2088" s="241"/>
      <c r="EK2088" s="241"/>
    </row>
    <row r="2089" spans="1:141" s="121" customFormat="1" x14ac:dyDescent="0.3">
      <c r="A2089" s="124"/>
      <c r="O2089" s="235"/>
      <c r="X2089" s="117"/>
      <c r="Y2089" s="117"/>
      <c r="DT2089" s="240"/>
      <c r="DU2089" s="240"/>
      <c r="DV2089" s="240"/>
      <c r="DW2089" s="240"/>
      <c r="DX2089" s="240"/>
      <c r="DY2089" s="240"/>
      <c r="DZ2089" s="240"/>
      <c r="EA2089" s="240"/>
      <c r="EB2089" s="237"/>
      <c r="EC2089" s="241"/>
      <c r="ED2089" s="241"/>
      <c r="EE2089" s="241"/>
      <c r="EG2089" s="241"/>
      <c r="EI2089" s="241"/>
      <c r="EK2089" s="241"/>
    </row>
    <row r="2090" spans="1:141" s="121" customFormat="1" x14ac:dyDescent="0.3">
      <c r="A2090" s="124"/>
      <c r="O2090" s="235"/>
      <c r="X2090" s="117"/>
      <c r="Y2090" s="117"/>
      <c r="DT2090" s="240"/>
      <c r="DU2090" s="240"/>
      <c r="DV2090" s="240"/>
      <c r="DW2090" s="240"/>
      <c r="DX2090" s="240"/>
      <c r="DY2090" s="240"/>
      <c r="DZ2090" s="240"/>
      <c r="EA2090" s="240"/>
      <c r="EB2090" s="237"/>
      <c r="EC2090" s="241"/>
      <c r="ED2090" s="241"/>
      <c r="EE2090" s="241"/>
      <c r="EG2090" s="241"/>
      <c r="EI2090" s="241"/>
      <c r="EK2090" s="241"/>
    </row>
    <row r="2091" spans="1:141" s="121" customFormat="1" x14ac:dyDescent="0.3">
      <c r="A2091" s="124"/>
      <c r="O2091" s="235"/>
      <c r="X2091" s="117"/>
      <c r="Y2091" s="117"/>
      <c r="DT2091" s="240"/>
      <c r="DU2091" s="240"/>
      <c r="DV2091" s="240"/>
      <c r="DW2091" s="240"/>
      <c r="DX2091" s="240"/>
      <c r="DY2091" s="240"/>
      <c r="DZ2091" s="240"/>
      <c r="EA2091" s="240"/>
      <c r="EB2091" s="237"/>
      <c r="EC2091" s="241"/>
      <c r="ED2091" s="241"/>
      <c r="EE2091" s="241"/>
      <c r="EG2091" s="241"/>
      <c r="EI2091" s="241"/>
      <c r="EK2091" s="241"/>
    </row>
    <row r="2092" spans="1:141" s="121" customFormat="1" x14ac:dyDescent="0.3">
      <c r="A2092" s="124"/>
      <c r="O2092" s="235"/>
      <c r="X2092" s="117"/>
      <c r="Y2092" s="117"/>
      <c r="DT2092" s="240"/>
      <c r="DU2092" s="240"/>
      <c r="DV2092" s="240"/>
      <c r="DW2092" s="240"/>
      <c r="DX2092" s="240"/>
      <c r="DY2092" s="240"/>
      <c r="DZ2092" s="240"/>
      <c r="EA2092" s="240"/>
      <c r="EB2092" s="237"/>
      <c r="EC2092" s="241"/>
      <c r="ED2092" s="241"/>
      <c r="EE2092" s="241"/>
      <c r="EG2092" s="241"/>
      <c r="EI2092" s="241"/>
      <c r="EK2092" s="241"/>
    </row>
    <row r="2093" spans="1:141" s="121" customFormat="1" x14ac:dyDescent="0.3">
      <c r="A2093" s="124"/>
      <c r="O2093" s="235"/>
      <c r="X2093" s="117"/>
      <c r="Y2093" s="117"/>
      <c r="DT2093" s="240"/>
      <c r="DU2093" s="240"/>
      <c r="DV2093" s="240"/>
      <c r="DW2093" s="240"/>
      <c r="DX2093" s="240"/>
      <c r="DY2093" s="240"/>
      <c r="DZ2093" s="240"/>
      <c r="EA2093" s="240"/>
      <c r="EB2093" s="237"/>
      <c r="EC2093" s="241"/>
      <c r="ED2093" s="241"/>
      <c r="EE2093" s="241"/>
      <c r="EG2093" s="241"/>
      <c r="EI2093" s="241"/>
      <c r="EK2093" s="241"/>
    </row>
    <row r="2094" spans="1:141" s="121" customFormat="1" x14ac:dyDescent="0.3">
      <c r="A2094" s="124"/>
      <c r="O2094" s="235"/>
      <c r="X2094" s="117"/>
      <c r="Y2094" s="117"/>
      <c r="DT2094" s="240"/>
      <c r="DU2094" s="240"/>
      <c r="DV2094" s="240"/>
      <c r="DW2094" s="240"/>
      <c r="DX2094" s="240"/>
      <c r="DY2094" s="240"/>
      <c r="DZ2094" s="240"/>
      <c r="EA2094" s="240"/>
      <c r="EB2094" s="237"/>
      <c r="EC2094" s="241"/>
      <c r="ED2094" s="241"/>
      <c r="EE2094" s="241"/>
      <c r="EG2094" s="241"/>
      <c r="EI2094" s="241"/>
      <c r="EK2094" s="241"/>
    </row>
    <row r="2095" spans="1:141" s="121" customFormat="1" x14ac:dyDescent="0.3">
      <c r="A2095" s="124"/>
      <c r="O2095" s="235"/>
      <c r="X2095" s="117"/>
      <c r="Y2095" s="117"/>
      <c r="DT2095" s="240"/>
      <c r="DU2095" s="240"/>
      <c r="DV2095" s="240"/>
      <c r="DW2095" s="240"/>
      <c r="DX2095" s="240"/>
      <c r="DY2095" s="240"/>
      <c r="DZ2095" s="240"/>
      <c r="EA2095" s="240"/>
      <c r="EB2095" s="237"/>
      <c r="EC2095" s="241"/>
      <c r="ED2095" s="241"/>
      <c r="EE2095" s="241"/>
      <c r="EG2095" s="241"/>
      <c r="EI2095" s="241"/>
      <c r="EK2095" s="241"/>
    </row>
    <row r="2096" spans="1:141" s="121" customFormat="1" x14ac:dyDescent="0.3">
      <c r="A2096" s="124"/>
      <c r="O2096" s="235"/>
      <c r="X2096" s="117"/>
      <c r="Y2096" s="117"/>
      <c r="DT2096" s="240"/>
      <c r="DU2096" s="240"/>
      <c r="DV2096" s="240"/>
      <c r="DW2096" s="240"/>
      <c r="DX2096" s="240"/>
      <c r="DY2096" s="240"/>
      <c r="DZ2096" s="240"/>
      <c r="EA2096" s="240"/>
      <c r="EB2096" s="237"/>
      <c r="EC2096" s="241"/>
      <c r="ED2096" s="241"/>
      <c r="EE2096" s="241"/>
      <c r="EG2096" s="241"/>
      <c r="EI2096" s="241"/>
      <c r="EK2096" s="241"/>
    </row>
    <row r="2097" spans="1:141" s="121" customFormat="1" x14ac:dyDescent="0.3">
      <c r="A2097" s="124"/>
      <c r="O2097" s="235"/>
      <c r="X2097" s="117"/>
      <c r="Y2097" s="117"/>
      <c r="DT2097" s="240"/>
      <c r="DU2097" s="240"/>
      <c r="DV2097" s="240"/>
      <c r="DW2097" s="240"/>
      <c r="DX2097" s="240"/>
      <c r="DY2097" s="240"/>
      <c r="DZ2097" s="240"/>
      <c r="EA2097" s="240"/>
      <c r="EB2097" s="237"/>
      <c r="EC2097" s="241"/>
      <c r="ED2097" s="241"/>
      <c r="EE2097" s="241"/>
      <c r="EG2097" s="241"/>
      <c r="EI2097" s="241"/>
      <c r="EK2097" s="241"/>
    </row>
    <row r="2098" spans="1:141" s="121" customFormat="1" x14ac:dyDescent="0.3">
      <c r="A2098" s="124"/>
      <c r="O2098" s="235"/>
      <c r="X2098" s="117"/>
      <c r="Y2098" s="117"/>
      <c r="DT2098" s="240"/>
      <c r="DU2098" s="240"/>
      <c r="DV2098" s="240"/>
      <c r="DW2098" s="240"/>
      <c r="DX2098" s="240"/>
      <c r="DY2098" s="240"/>
      <c r="DZ2098" s="240"/>
      <c r="EA2098" s="240"/>
      <c r="EB2098" s="237"/>
      <c r="EC2098" s="241"/>
      <c r="ED2098" s="241"/>
      <c r="EE2098" s="241"/>
      <c r="EG2098" s="241"/>
      <c r="EI2098" s="241"/>
      <c r="EK2098" s="241"/>
    </row>
    <row r="2099" spans="1:141" s="121" customFormat="1" x14ac:dyDescent="0.3">
      <c r="A2099" s="124"/>
      <c r="O2099" s="235"/>
      <c r="X2099" s="117"/>
      <c r="Y2099" s="117"/>
      <c r="DT2099" s="240"/>
      <c r="DU2099" s="240"/>
      <c r="DV2099" s="240"/>
      <c r="DW2099" s="240"/>
      <c r="DX2099" s="240"/>
      <c r="DY2099" s="240"/>
      <c r="DZ2099" s="240"/>
      <c r="EA2099" s="240"/>
      <c r="EB2099" s="237"/>
      <c r="EC2099" s="241"/>
      <c r="ED2099" s="241"/>
      <c r="EE2099" s="241"/>
      <c r="EG2099" s="241"/>
      <c r="EI2099" s="241"/>
      <c r="EK2099" s="241"/>
    </row>
    <row r="2100" spans="1:141" s="121" customFormat="1" x14ac:dyDescent="0.3">
      <c r="A2100" s="124"/>
      <c r="O2100" s="235"/>
      <c r="X2100" s="117"/>
      <c r="Y2100" s="117"/>
      <c r="DT2100" s="240"/>
      <c r="DU2100" s="240"/>
      <c r="DV2100" s="240"/>
      <c r="DW2100" s="240"/>
      <c r="DX2100" s="240"/>
      <c r="DY2100" s="240"/>
      <c r="DZ2100" s="240"/>
      <c r="EA2100" s="240"/>
      <c r="EB2100" s="237"/>
      <c r="EC2100" s="241"/>
      <c r="ED2100" s="241"/>
      <c r="EE2100" s="241"/>
      <c r="EG2100" s="241"/>
      <c r="EI2100" s="241"/>
      <c r="EK2100" s="241"/>
    </row>
    <row r="2101" spans="1:141" s="121" customFormat="1" x14ac:dyDescent="0.3">
      <c r="A2101" s="124"/>
      <c r="O2101" s="235"/>
      <c r="X2101" s="117"/>
      <c r="Y2101" s="117"/>
      <c r="DT2101" s="240"/>
      <c r="DU2101" s="240"/>
      <c r="DV2101" s="240"/>
      <c r="DW2101" s="240"/>
      <c r="DX2101" s="240"/>
      <c r="DY2101" s="240"/>
      <c r="DZ2101" s="240"/>
      <c r="EA2101" s="240"/>
      <c r="EB2101" s="237"/>
      <c r="EC2101" s="241"/>
      <c r="ED2101" s="241"/>
      <c r="EE2101" s="241"/>
      <c r="EG2101" s="241"/>
      <c r="EI2101" s="241"/>
      <c r="EK2101" s="241"/>
    </row>
    <row r="2102" spans="1:141" s="121" customFormat="1" x14ac:dyDescent="0.3">
      <c r="A2102" s="124"/>
      <c r="O2102" s="235"/>
      <c r="X2102" s="117"/>
      <c r="Y2102" s="117"/>
      <c r="DT2102" s="240"/>
      <c r="DU2102" s="240"/>
      <c r="DV2102" s="240"/>
      <c r="DW2102" s="240"/>
      <c r="DX2102" s="240"/>
      <c r="DY2102" s="240"/>
      <c r="DZ2102" s="240"/>
      <c r="EA2102" s="240"/>
      <c r="EB2102" s="237"/>
      <c r="EC2102" s="241"/>
      <c r="ED2102" s="241"/>
      <c r="EE2102" s="241"/>
      <c r="EG2102" s="241"/>
      <c r="EI2102" s="241"/>
      <c r="EK2102" s="241"/>
    </row>
    <row r="2103" spans="1:141" s="121" customFormat="1" x14ac:dyDescent="0.3">
      <c r="A2103" s="124"/>
      <c r="O2103" s="235"/>
      <c r="X2103" s="117"/>
      <c r="Y2103" s="117"/>
      <c r="DT2103" s="240"/>
      <c r="DU2103" s="240"/>
      <c r="DV2103" s="240"/>
      <c r="DW2103" s="240"/>
      <c r="DX2103" s="240"/>
      <c r="DY2103" s="240"/>
      <c r="DZ2103" s="240"/>
      <c r="EA2103" s="240"/>
      <c r="EB2103" s="237"/>
      <c r="EC2103" s="241"/>
      <c r="ED2103" s="241"/>
      <c r="EE2103" s="241"/>
      <c r="EG2103" s="241"/>
      <c r="EI2103" s="241"/>
      <c r="EK2103" s="241"/>
    </row>
    <row r="2104" spans="1:141" s="121" customFormat="1" x14ac:dyDescent="0.3">
      <c r="A2104" s="124"/>
      <c r="O2104" s="235"/>
      <c r="X2104" s="117"/>
      <c r="Y2104" s="117"/>
      <c r="DT2104" s="240"/>
      <c r="DU2104" s="240"/>
      <c r="DV2104" s="240"/>
      <c r="DW2104" s="240"/>
      <c r="DX2104" s="240"/>
      <c r="DY2104" s="240"/>
      <c r="DZ2104" s="240"/>
      <c r="EA2104" s="240"/>
      <c r="EB2104" s="237"/>
      <c r="EC2104" s="241"/>
      <c r="ED2104" s="241"/>
      <c r="EE2104" s="241"/>
      <c r="EG2104" s="241"/>
      <c r="EI2104" s="241"/>
      <c r="EK2104" s="241"/>
    </row>
    <row r="2105" spans="1:141" s="121" customFormat="1" x14ac:dyDescent="0.3">
      <c r="A2105" s="124"/>
      <c r="O2105" s="235"/>
      <c r="X2105" s="117"/>
      <c r="Y2105" s="117"/>
      <c r="DT2105" s="240"/>
      <c r="DU2105" s="240"/>
      <c r="DV2105" s="240"/>
      <c r="DW2105" s="240"/>
      <c r="DX2105" s="240"/>
      <c r="DY2105" s="240"/>
      <c r="DZ2105" s="240"/>
      <c r="EA2105" s="240"/>
      <c r="EB2105" s="237"/>
      <c r="EC2105" s="241"/>
      <c r="ED2105" s="241"/>
      <c r="EE2105" s="241"/>
      <c r="EG2105" s="241"/>
      <c r="EI2105" s="241"/>
      <c r="EK2105" s="241"/>
    </row>
    <row r="2106" spans="1:141" s="121" customFormat="1" x14ac:dyDescent="0.3">
      <c r="A2106" s="124"/>
      <c r="O2106" s="235"/>
      <c r="X2106" s="117"/>
      <c r="Y2106" s="117"/>
      <c r="DT2106" s="240"/>
      <c r="DU2106" s="240"/>
      <c r="DV2106" s="240"/>
      <c r="DW2106" s="240"/>
      <c r="DX2106" s="240"/>
      <c r="DY2106" s="240"/>
      <c r="DZ2106" s="240"/>
      <c r="EA2106" s="240"/>
      <c r="EB2106" s="237"/>
      <c r="EC2106" s="241"/>
      <c r="ED2106" s="241"/>
      <c r="EE2106" s="241"/>
      <c r="EG2106" s="241"/>
      <c r="EI2106" s="241"/>
      <c r="EK2106" s="241"/>
    </row>
    <row r="2107" spans="1:141" s="121" customFormat="1" x14ac:dyDescent="0.3">
      <c r="A2107" s="124"/>
      <c r="O2107" s="235"/>
      <c r="X2107" s="117"/>
      <c r="Y2107" s="117"/>
      <c r="DT2107" s="240"/>
      <c r="DU2107" s="240"/>
      <c r="DV2107" s="240"/>
      <c r="DW2107" s="240"/>
      <c r="DX2107" s="240"/>
      <c r="DY2107" s="240"/>
      <c r="DZ2107" s="240"/>
      <c r="EA2107" s="240"/>
      <c r="EB2107" s="237"/>
      <c r="EC2107" s="241"/>
      <c r="ED2107" s="241"/>
      <c r="EE2107" s="241"/>
      <c r="EG2107" s="241"/>
      <c r="EI2107" s="241"/>
      <c r="EK2107" s="241"/>
    </row>
    <row r="2108" spans="1:141" s="121" customFormat="1" x14ac:dyDescent="0.3">
      <c r="A2108" s="124"/>
      <c r="O2108" s="235"/>
      <c r="X2108" s="117"/>
      <c r="Y2108" s="117"/>
      <c r="DT2108" s="240"/>
      <c r="DU2108" s="240"/>
      <c r="DV2108" s="240"/>
      <c r="DW2108" s="240"/>
      <c r="DX2108" s="240"/>
      <c r="DY2108" s="240"/>
      <c r="DZ2108" s="240"/>
      <c r="EA2108" s="240"/>
      <c r="EB2108" s="237"/>
      <c r="EC2108" s="241"/>
      <c r="ED2108" s="241"/>
      <c r="EE2108" s="241"/>
      <c r="EG2108" s="241"/>
      <c r="EI2108" s="241"/>
      <c r="EK2108" s="241"/>
    </row>
    <row r="2109" spans="1:141" s="121" customFormat="1" x14ac:dyDescent="0.3">
      <c r="A2109" s="124"/>
      <c r="O2109" s="235"/>
      <c r="X2109" s="117"/>
      <c r="Y2109" s="117"/>
      <c r="DT2109" s="240"/>
      <c r="DU2109" s="240"/>
      <c r="DV2109" s="240"/>
      <c r="DW2109" s="240"/>
      <c r="DX2109" s="240"/>
      <c r="DY2109" s="240"/>
      <c r="DZ2109" s="240"/>
      <c r="EA2109" s="240"/>
      <c r="EB2109" s="237"/>
      <c r="EC2109" s="241"/>
      <c r="ED2109" s="241"/>
      <c r="EE2109" s="241"/>
      <c r="EG2109" s="241"/>
      <c r="EI2109" s="241"/>
      <c r="EK2109" s="241"/>
    </row>
    <row r="2110" spans="1:141" s="121" customFormat="1" x14ac:dyDescent="0.3">
      <c r="A2110" s="124"/>
      <c r="O2110" s="235"/>
      <c r="X2110" s="117"/>
      <c r="Y2110" s="117"/>
      <c r="DT2110" s="240"/>
      <c r="DU2110" s="240"/>
      <c r="DV2110" s="240"/>
      <c r="DW2110" s="240"/>
      <c r="DX2110" s="240"/>
      <c r="DY2110" s="240"/>
      <c r="DZ2110" s="240"/>
      <c r="EA2110" s="240"/>
      <c r="EB2110" s="237"/>
      <c r="EC2110" s="241"/>
      <c r="ED2110" s="241"/>
      <c r="EE2110" s="241"/>
      <c r="EG2110" s="241"/>
      <c r="EI2110" s="241"/>
      <c r="EK2110" s="241"/>
    </row>
    <row r="2111" spans="1:141" s="121" customFormat="1" x14ac:dyDescent="0.3">
      <c r="A2111" s="124"/>
      <c r="O2111" s="235"/>
      <c r="X2111" s="117"/>
      <c r="Y2111" s="117"/>
      <c r="DT2111" s="240"/>
      <c r="DU2111" s="240"/>
      <c r="DV2111" s="240"/>
      <c r="DW2111" s="240"/>
      <c r="DX2111" s="240"/>
      <c r="DY2111" s="240"/>
      <c r="DZ2111" s="240"/>
      <c r="EA2111" s="240"/>
      <c r="EB2111" s="237"/>
      <c r="EC2111" s="241"/>
      <c r="ED2111" s="241"/>
      <c r="EE2111" s="241"/>
      <c r="EG2111" s="241"/>
      <c r="EI2111" s="241"/>
      <c r="EK2111" s="241"/>
    </row>
    <row r="2112" spans="1:141" s="121" customFormat="1" x14ac:dyDescent="0.3">
      <c r="A2112" s="124"/>
      <c r="O2112" s="235"/>
      <c r="X2112" s="117"/>
      <c r="Y2112" s="117"/>
      <c r="DT2112" s="240"/>
      <c r="DU2112" s="240"/>
      <c r="DV2112" s="240"/>
      <c r="DW2112" s="240"/>
      <c r="DX2112" s="240"/>
      <c r="DY2112" s="240"/>
      <c r="DZ2112" s="240"/>
      <c r="EA2112" s="240"/>
      <c r="EB2112" s="237"/>
      <c r="EC2112" s="241"/>
      <c r="ED2112" s="241"/>
      <c r="EE2112" s="241"/>
      <c r="EG2112" s="241"/>
      <c r="EI2112" s="241"/>
      <c r="EK2112" s="241"/>
    </row>
    <row r="2113" spans="1:141" s="121" customFormat="1" x14ac:dyDescent="0.3">
      <c r="A2113" s="124"/>
      <c r="O2113" s="235"/>
      <c r="X2113" s="117"/>
      <c r="Y2113" s="117"/>
      <c r="DT2113" s="240"/>
      <c r="DU2113" s="240"/>
      <c r="DV2113" s="240"/>
      <c r="DW2113" s="240"/>
      <c r="DX2113" s="240"/>
      <c r="DY2113" s="240"/>
      <c r="DZ2113" s="240"/>
      <c r="EA2113" s="240"/>
      <c r="EB2113" s="237"/>
      <c r="EC2113" s="241"/>
      <c r="ED2113" s="241"/>
      <c r="EE2113" s="241"/>
      <c r="EG2113" s="241"/>
      <c r="EI2113" s="241"/>
      <c r="EK2113" s="241"/>
    </row>
    <row r="2114" spans="1:141" s="121" customFormat="1" x14ac:dyDescent="0.3">
      <c r="A2114" s="124"/>
      <c r="O2114" s="235"/>
      <c r="X2114" s="117"/>
      <c r="Y2114" s="117"/>
      <c r="DT2114" s="240"/>
      <c r="DU2114" s="240"/>
      <c r="DV2114" s="240"/>
      <c r="DW2114" s="240"/>
      <c r="DX2114" s="240"/>
      <c r="DY2114" s="240"/>
      <c r="DZ2114" s="240"/>
      <c r="EA2114" s="240"/>
      <c r="EB2114" s="237"/>
      <c r="EC2114" s="241"/>
      <c r="ED2114" s="241"/>
      <c r="EE2114" s="241"/>
      <c r="EG2114" s="241"/>
      <c r="EI2114" s="241"/>
      <c r="EK2114" s="241"/>
    </row>
    <row r="2115" spans="1:141" s="121" customFormat="1" x14ac:dyDescent="0.3">
      <c r="A2115" s="124"/>
      <c r="O2115" s="235"/>
      <c r="X2115" s="117"/>
      <c r="Y2115" s="117"/>
      <c r="DT2115" s="240"/>
      <c r="DU2115" s="240"/>
      <c r="DV2115" s="240"/>
      <c r="DW2115" s="240"/>
      <c r="DX2115" s="240"/>
      <c r="DY2115" s="240"/>
      <c r="DZ2115" s="240"/>
      <c r="EA2115" s="240"/>
      <c r="EB2115" s="237"/>
      <c r="EC2115" s="241"/>
      <c r="ED2115" s="241"/>
      <c r="EE2115" s="241"/>
      <c r="EG2115" s="241"/>
      <c r="EI2115" s="241"/>
      <c r="EK2115" s="241"/>
    </row>
    <row r="2116" spans="1:141" s="121" customFormat="1" x14ac:dyDescent="0.3">
      <c r="A2116" s="124"/>
      <c r="O2116" s="235"/>
      <c r="X2116" s="117"/>
      <c r="Y2116" s="117"/>
      <c r="DT2116" s="240"/>
      <c r="DU2116" s="240"/>
      <c r="DV2116" s="240"/>
      <c r="DW2116" s="240"/>
      <c r="DX2116" s="240"/>
      <c r="DY2116" s="240"/>
      <c r="DZ2116" s="240"/>
      <c r="EA2116" s="240"/>
      <c r="EB2116" s="237"/>
      <c r="EC2116" s="241"/>
      <c r="ED2116" s="241"/>
      <c r="EE2116" s="241"/>
      <c r="EG2116" s="241"/>
      <c r="EI2116" s="241"/>
      <c r="EK2116" s="241"/>
    </row>
    <row r="2117" spans="1:141" s="121" customFormat="1" x14ac:dyDescent="0.3">
      <c r="A2117" s="124"/>
      <c r="O2117" s="235"/>
      <c r="X2117" s="117"/>
      <c r="Y2117" s="117"/>
      <c r="DT2117" s="240"/>
      <c r="DU2117" s="240"/>
      <c r="DV2117" s="240"/>
      <c r="DW2117" s="240"/>
      <c r="DX2117" s="240"/>
      <c r="DY2117" s="240"/>
      <c r="DZ2117" s="240"/>
      <c r="EA2117" s="240"/>
      <c r="EB2117" s="237"/>
      <c r="EC2117" s="241"/>
      <c r="ED2117" s="241"/>
      <c r="EE2117" s="241"/>
      <c r="EG2117" s="241"/>
      <c r="EI2117" s="241"/>
      <c r="EK2117" s="241"/>
    </row>
    <row r="2118" spans="1:141" s="121" customFormat="1" x14ac:dyDescent="0.3">
      <c r="A2118" s="124"/>
      <c r="O2118" s="235"/>
      <c r="X2118" s="117"/>
      <c r="Y2118" s="117"/>
      <c r="DT2118" s="240"/>
      <c r="DU2118" s="240"/>
      <c r="DV2118" s="240"/>
      <c r="DW2118" s="240"/>
      <c r="DX2118" s="240"/>
      <c r="DY2118" s="240"/>
      <c r="DZ2118" s="240"/>
      <c r="EA2118" s="240"/>
      <c r="EB2118" s="237"/>
      <c r="EC2118" s="241"/>
      <c r="ED2118" s="241"/>
      <c r="EE2118" s="241"/>
      <c r="EG2118" s="241"/>
      <c r="EI2118" s="241"/>
      <c r="EK2118" s="241"/>
    </row>
    <row r="2119" spans="1:141" s="121" customFormat="1" x14ac:dyDescent="0.3">
      <c r="A2119" s="124"/>
      <c r="O2119" s="235"/>
      <c r="X2119" s="117"/>
      <c r="Y2119" s="117"/>
      <c r="DT2119" s="240"/>
      <c r="DU2119" s="240"/>
      <c r="DV2119" s="240"/>
      <c r="DW2119" s="240"/>
      <c r="DX2119" s="240"/>
      <c r="DY2119" s="240"/>
      <c r="DZ2119" s="240"/>
      <c r="EA2119" s="240"/>
      <c r="EB2119" s="237"/>
      <c r="EC2119" s="241"/>
      <c r="ED2119" s="241"/>
      <c r="EE2119" s="241"/>
      <c r="EG2119" s="241"/>
      <c r="EI2119" s="241"/>
      <c r="EK2119" s="241"/>
    </row>
    <row r="2120" spans="1:141" s="121" customFormat="1" x14ac:dyDescent="0.3">
      <c r="A2120" s="124"/>
      <c r="O2120" s="235"/>
      <c r="X2120" s="117"/>
      <c r="Y2120" s="117"/>
      <c r="DT2120" s="240"/>
      <c r="DU2120" s="240"/>
      <c r="DV2120" s="240"/>
      <c r="DW2120" s="240"/>
      <c r="DX2120" s="240"/>
      <c r="DY2120" s="240"/>
      <c r="DZ2120" s="240"/>
      <c r="EA2120" s="240"/>
      <c r="EB2120" s="237"/>
      <c r="EC2120" s="241"/>
      <c r="ED2120" s="241"/>
      <c r="EE2120" s="241"/>
      <c r="EG2120" s="241"/>
      <c r="EI2120" s="241"/>
      <c r="EK2120" s="241"/>
    </row>
    <row r="2121" spans="1:141" s="121" customFormat="1" x14ac:dyDescent="0.3">
      <c r="A2121" s="124"/>
      <c r="O2121" s="235"/>
      <c r="X2121" s="117"/>
      <c r="Y2121" s="117"/>
      <c r="DT2121" s="240"/>
      <c r="DU2121" s="240"/>
      <c r="DV2121" s="240"/>
      <c r="DW2121" s="240"/>
      <c r="DX2121" s="240"/>
      <c r="DY2121" s="240"/>
      <c r="DZ2121" s="240"/>
      <c r="EA2121" s="240"/>
      <c r="EB2121" s="237"/>
      <c r="EC2121" s="241"/>
      <c r="ED2121" s="241"/>
      <c r="EE2121" s="241"/>
      <c r="EG2121" s="241"/>
      <c r="EI2121" s="241"/>
      <c r="EK2121" s="241"/>
    </row>
    <row r="2122" spans="1:141" s="121" customFormat="1" x14ac:dyDescent="0.3">
      <c r="A2122" s="124"/>
      <c r="O2122" s="235"/>
      <c r="X2122" s="117"/>
      <c r="Y2122" s="117"/>
      <c r="DT2122" s="240"/>
      <c r="DU2122" s="240"/>
      <c r="DV2122" s="240"/>
      <c r="DW2122" s="240"/>
      <c r="DX2122" s="240"/>
      <c r="DY2122" s="240"/>
      <c r="DZ2122" s="240"/>
      <c r="EA2122" s="240"/>
      <c r="EB2122" s="237"/>
      <c r="EC2122" s="241"/>
      <c r="ED2122" s="241"/>
      <c r="EE2122" s="241"/>
      <c r="EG2122" s="241"/>
      <c r="EI2122" s="241"/>
      <c r="EK2122" s="241"/>
    </row>
    <row r="2123" spans="1:141" s="121" customFormat="1" x14ac:dyDescent="0.3">
      <c r="A2123" s="124"/>
      <c r="O2123" s="235"/>
      <c r="X2123" s="117"/>
      <c r="Y2123" s="117"/>
      <c r="DT2123" s="240"/>
      <c r="DU2123" s="240"/>
      <c r="DV2123" s="240"/>
      <c r="DW2123" s="240"/>
      <c r="DX2123" s="240"/>
      <c r="DY2123" s="240"/>
      <c r="DZ2123" s="240"/>
      <c r="EA2123" s="240"/>
      <c r="EB2123" s="237"/>
      <c r="EC2123" s="241"/>
      <c r="ED2123" s="241"/>
      <c r="EE2123" s="241"/>
      <c r="EG2123" s="241"/>
      <c r="EI2123" s="241"/>
      <c r="EK2123" s="241"/>
    </row>
    <row r="2124" spans="1:141" s="121" customFormat="1" x14ac:dyDescent="0.3">
      <c r="A2124" s="124"/>
      <c r="O2124" s="235"/>
      <c r="X2124" s="117"/>
      <c r="Y2124" s="117"/>
      <c r="DT2124" s="240"/>
      <c r="DU2124" s="240"/>
      <c r="DV2124" s="240"/>
      <c r="DW2124" s="240"/>
      <c r="DX2124" s="240"/>
      <c r="DY2124" s="240"/>
      <c r="DZ2124" s="240"/>
      <c r="EA2124" s="240"/>
      <c r="EB2124" s="237"/>
      <c r="EC2124" s="241"/>
      <c r="ED2124" s="241"/>
      <c r="EE2124" s="241"/>
      <c r="EG2124" s="241"/>
      <c r="EI2124" s="241"/>
      <c r="EK2124" s="241"/>
    </row>
    <row r="2125" spans="1:141" s="121" customFormat="1" x14ac:dyDescent="0.3">
      <c r="A2125" s="124"/>
      <c r="O2125" s="235"/>
      <c r="X2125" s="117"/>
      <c r="Y2125" s="117"/>
      <c r="DT2125" s="240"/>
      <c r="DU2125" s="240"/>
      <c r="DV2125" s="240"/>
      <c r="DW2125" s="240"/>
      <c r="DX2125" s="240"/>
      <c r="DY2125" s="240"/>
      <c r="DZ2125" s="240"/>
      <c r="EA2125" s="240"/>
      <c r="EB2125" s="237"/>
      <c r="EC2125" s="241"/>
      <c r="ED2125" s="241"/>
      <c r="EE2125" s="241"/>
      <c r="EG2125" s="241"/>
      <c r="EI2125" s="241"/>
      <c r="EK2125" s="241"/>
    </row>
    <row r="2126" spans="1:141" s="121" customFormat="1" x14ac:dyDescent="0.3">
      <c r="A2126" s="124"/>
      <c r="O2126" s="235"/>
      <c r="X2126" s="117"/>
      <c r="Y2126" s="117"/>
      <c r="DT2126" s="240"/>
      <c r="DU2126" s="240"/>
      <c r="DV2126" s="240"/>
      <c r="DW2126" s="240"/>
      <c r="DX2126" s="240"/>
      <c r="DY2126" s="240"/>
      <c r="DZ2126" s="240"/>
      <c r="EA2126" s="240"/>
      <c r="EB2126" s="237"/>
      <c r="EC2126" s="241"/>
      <c r="ED2126" s="241"/>
      <c r="EE2126" s="241"/>
      <c r="EG2126" s="241"/>
      <c r="EI2126" s="241"/>
      <c r="EK2126" s="241"/>
    </row>
    <row r="2127" spans="1:141" s="121" customFormat="1" x14ac:dyDescent="0.3">
      <c r="A2127" s="124"/>
      <c r="O2127" s="235"/>
      <c r="X2127" s="117"/>
      <c r="Y2127" s="117"/>
      <c r="DT2127" s="240"/>
      <c r="DU2127" s="240"/>
      <c r="DV2127" s="240"/>
      <c r="DW2127" s="240"/>
      <c r="DX2127" s="240"/>
      <c r="DY2127" s="240"/>
      <c r="DZ2127" s="240"/>
      <c r="EA2127" s="240"/>
      <c r="EB2127" s="237"/>
      <c r="EC2127" s="241"/>
      <c r="ED2127" s="241"/>
      <c r="EE2127" s="241"/>
      <c r="EG2127" s="241"/>
      <c r="EI2127" s="241"/>
      <c r="EK2127" s="241"/>
    </row>
    <row r="2128" spans="1:141" s="121" customFormat="1" x14ac:dyDescent="0.3">
      <c r="A2128" s="124"/>
      <c r="O2128" s="235"/>
      <c r="X2128" s="117"/>
      <c r="Y2128" s="117"/>
      <c r="DT2128" s="240"/>
      <c r="DU2128" s="240"/>
      <c r="DV2128" s="240"/>
      <c r="DW2128" s="240"/>
      <c r="DX2128" s="240"/>
      <c r="DY2128" s="240"/>
      <c r="DZ2128" s="240"/>
      <c r="EA2128" s="240"/>
      <c r="EB2128" s="237"/>
      <c r="EC2128" s="241"/>
      <c r="ED2128" s="241"/>
      <c r="EE2128" s="241"/>
      <c r="EG2128" s="241"/>
      <c r="EI2128" s="241"/>
      <c r="EK2128" s="241"/>
    </row>
    <row r="2129" spans="1:141" s="121" customFormat="1" x14ac:dyDescent="0.3">
      <c r="A2129" s="124"/>
      <c r="O2129" s="235"/>
      <c r="X2129" s="117"/>
      <c r="Y2129" s="117"/>
      <c r="DT2129" s="240"/>
      <c r="DU2129" s="240"/>
      <c r="DV2129" s="240"/>
      <c r="DW2129" s="240"/>
      <c r="DX2129" s="240"/>
      <c r="DY2129" s="240"/>
      <c r="DZ2129" s="240"/>
      <c r="EA2129" s="240"/>
      <c r="EB2129" s="237"/>
      <c r="EC2129" s="241"/>
      <c r="ED2129" s="241"/>
      <c r="EE2129" s="241"/>
      <c r="EG2129" s="241"/>
      <c r="EI2129" s="241"/>
      <c r="EK2129" s="241"/>
    </row>
    <row r="2130" spans="1:141" s="121" customFormat="1" x14ac:dyDescent="0.3">
      <c r="A2130" s="124"/>
      <c r="O2130" s="235"/>
      <c r="X2130" s="117"/>
      <c r="Y2130" s="117"/>
      <c r="DT2130" s="240"/>
      <c r="DU2130" s="240"/>
      <c r="DV2130" s="240"/>
      <c r="DW2130" s="240"/>
      <c r="DX2130" s="240"/>
      <c r="DY2130" s="240"/>
      <c r="DZ2130" s="240"/>
      <c r="EA2130" s="240"/>
      <c r="EB2130" s="237"/>
      <c r="EC2130" s="241"/>
      <c r="ED2130" s="241"/>
      <c r="EE2130" s="241"/>
      <c r="EG2130" s="241"/>
      <c r="EI2130" s="241"/>
      <c r="EK2130" s="241"/>
    </row>
    <row r="2131" spans="1:141" s="121" customFormat="1" x14ac:dyDescent="0.3">
      <c r="A2131" s="124"/>
      <c r="O2131" s="235"/>
      <c r="X2131" s="117"/>
      <c r="Y2131" s="117"/>
      <c r="DT2131" s="240"/>
      <c r="DU2131" s="240"/>
      <c r="DV2131" s="240"/>
      <c r="DW2131" s="240"/>
      <c r="DX2131" s="240"/>
      <c r="DY2131" s="240"/>
      <c r="DZ2131" s="240"/>
      <c r="EA2131" s="240"/>
      <c r="EB2131" s="237"/>
      <c r="EC2131" s="241"/>
      <c r="ED2131" s="241"/>
      <c r="EE2131" s="241"/>
      <c r="EG2131" s="241"/>
      <c r="EI2131" s="241"/>
      <c r="EK2131" s="241"/>
    </row>
    <row r="2132" spans="1:141" s="121" customFormat="1" x14ac:dyDescent="0.3">
      <c r="A2132" s="124"/>
      <c r="O2132" s="235"/>
      <c r="X2132" s="117"/>
      <c r="Y2132" s="117"/>
      <c r="DT2132" s="240"/>
      <c r="DU2132" s="240"/>
      <c r="DV2132" s="240"/>
      <c r="DW2132" s="240"/>
      <c r="DX2132" s="240"/>
      <c r="DY2132" s="240"/>
      <c r="DZ2132" s="240"/>
      <c r="EA2132" s="240"/>
      <c r="EB2132" s="237"/>
      <c r="EC2132" s="241"/>
      <c r="ED2132" s="241"/>
      <c r="EE2132" s="241"/>
      <c r="EG2132" s="241"/>
      <c r="EI2132" s="241"/>
      <c r="EK2132" s="241"/>
    </row>
    <row r="2133" spans="1:141" s="121" customFormat="1" x14ac:dyDescent="0.3">
      <c r="A2133" s="124"/>
      <c r="O2133" s="235"/>
      <c r="X2133" s="117"/>
      <c r="Y2133" s="117"/>
      <c r="DT2133" s="240"/>
      <c r="DU2133" s="240"/>
      <c r="DV2133" s="240"/>
      <c r="DW2133" s="240"/>
      <c r="DX2133" s="240"/>
      <c r="DY2133" s="240"/>
      <c r="DZ2133" s="240"/>
      <c r="EA2133" s="240"/>
      <c r="EB2133" s="237"/>
      <c r="EC2133" s="241"/>
      <c r="ED2133" s="241"/>
      <c r="EE2133" s="241"/>
      <c r="EG2133" s="241"/>
      <c r="EI2133" s="241"/>
      <c r="EK2133" s="241"/>
    </row>
    <row r="2134" spans="1:141" s="121" customFormat="1" x14ac:dyDescent="0.3">
      <c r="A2134" s="124"/>
      <c r="O2134" s="235"/>
      <c r="X2134" s="117"/>
      <c r="Y2134" s="117"/>
      <c r="DT2134" s="240"/>
      <c r="DU2134" s="240"/>
      <c r="DV2134" s="240"/>
      <c r="DW2134" s="240"/>
      <c r="DX2134" s="240"/>
      <c r="DY2134" s="240"/>
      <c r="DZ2134" s="240"/>
      <c r="EA2134" s="240"/>
      <c r="EB2134" s="237"/>
      <c r="EC2134" s="241"/>
      <c r="ED2134" s="241"/>
      <c r="EE2134" s="241"/>
      <c r="EG2134" s="241"/>
      <c r="EI2134" s="241"/>
      <c r="EK2134" s="241"/>
    </row>
    <row r="2135" spans="1:141" s="121" customFormat="1" x14ac:dyDescent="0.3">
      <c r="A2135" s="124"/>
      <c r="O2135" s="235"/>
      <c r="X2135" s="117"/>
      <c r="Y2135" s="117"/>
      <c r="DT2135" s="240"/>
      <c r="DU2135" s="240"/>
      <c r="DV2135" s="240"/>
      <c r="DW2135" s="240"/>
      <c r="DX2135" s="240"/>
      <c r="DY2135" s="240"/>
      <c r="DZ2135" s="240"/>
      <c r="EA2135" s="240"/>
      <c r="EB2135" s="237"/>
      <c r="EC2135" s="241"/>
      <c r="ED2135" s="241"/>
      <c r="EE2135" s="241"/>
      <c r="EG2135" s="241"/>
      <c r="EI2135" s="241"/>
      <c r="EK2135" s="241"/>
    </row>
    <row r="2136" spans="1:141" s="121" customFormat="1" x14ac:dyDescent="0.3">
      <c r="A2136" s="124"/>
      <c r="O2136" s="235"/>
      <c r="X2136" s="117"/>
      <c r="Y2136" s="117"/>
      <c r="DT2136" s="240"/>
      <c r="DU2136" s="240"/>
      <c r="DV2136" s="240"/>
      <c r="DW2136" s="240"/>
      <c r="DX2136" s="240"/>
      <c r="DY2136" s="240"/>
      <c r="DZ2136" s="240"/>
      <c r="EA2136" s="240"/>
      <c r="EB2136" s="237"/>
      <c r="EC2136" s="241"/>
      <c r="ED2136" s="241"/>
      <c r="EE2136" s="241"/>
      <c r="EG2136" s="241"/>
      <c r="EI2136" s="241"/>
      <c r="EK2136" s="241"/>
    </row>
    <row r="2137" spans="1:141" s="121" customFormat="1" x14ac:dyDescent="0.3">
      <c r="A2137" s="124"/>
      <c r="O2137" s="235"/>
      <c r="X2137" s="117"/>
      <c r="Y2137" s="117"/>
      <c r="DT2137" s="240"/>
      <c r="DU2137" s="240"/>
      <c r="DV2137" s="240"/>
      <c r="DW2137" s="240"/>
      <c r="DX2137" s="240"/>
      <c r="DY2137" s="240"/>
      <c r="DZ2137" s="240"/>
      <c r="EA2137" s="240"/>
      <c r="EB2137" s="237"/>
      <c r="EC2137" s="241"/>
      <c r="ED2137" s="241"/>
      <c r="EE2137" s="241"/>
      <c r="EG2137" s="241"/>
      <c r="EI2137" s="241"/>
      <c r="EK2137" s="241"/>
    </row>
    <row r="2138" spans="1:141" s="121" customFormat="1" x14ac:dyDescent="0.3">
      <c r="A2138" s="124"/>
      <c r="O2138" s="235"/>
      <c r="X2138" s="117"/>
      <c r="Y2138" s="117"/>
      <c r="DT2138" s="240"/>
      <c r="DU2138" s="240"/>
      <c r="DV2138" s="240"/>
      <c r="DW2138" s="240"/>
      <c r="DX2138" s="240"/>
      <c r="DY2138" s="240"/>
      <c r="DZ2138" s="240"/>
      <c r="EA2138" s="240"/>
      <c r="EB2138" s="237"/>
      <c r="EC2138" s="241"/>
      <c r="ED2138" s="241"/>
      <c r="EE2138" s="241"/>
      <c r="EG2138" s="241"/>
      <c r="EI2138" s="241"/>
      <c r="EK2138" s="241"/>
    </row>
    <row r="2139" spans="1:141" s="121" customFormat="1" x14ac:dyDescent="0.3">
      <c r="A2139" s="124"/>
      <c r="O2139" s="235"/>
      <c r="X2139" s="117"/>
      <c r="Y2139" s="117"/>
      <c r="DT2139" s="240"/>
      <c r="DU2139" s="240"/>
      <c r="DV2139" s="240"/>
      <c r="DW2139" s="240"/>
      <c r="DX2139" s="240"/>
      <c r="DY2139" s="240"/>
      <c r="DZ2139" s="240"/>
      <c r="EA2139" s="240"/>
      <c r="EB2139" s="237"/>
      <c r="EC2139" s="241"/>
      <c r="ED2139" s="241"/>
      <c r="EE2139" s="241"/>
      <c r="EG2139" s="241"/>
      <c r="EI2139" s="241"/>
      <c r="EK2139" s="241"/>
    </row>
    <row r="2140" spans="1:141" s="121" customFormat="1" x14ac:dyDescent="0.3">
      <c r="A2140" s="124"/>
      <c r="O2140" s="235"/>
      <c r="X2140" s="117"/>
      <c r="Y2140" s="117"/>
      <c r="DT2140" s="240"/>
      <c r="DU2140" s="240"/>
      <c r="DV2140" s="240"/>
      <c r="DW2140" s="240"/>
      <c r="DX2140" s="240"/>
      <c r="DY2140" s="240"/>
      <c r="DZ2140" s="240"/>
      <c r="EA2140" s="240"/>
      <c r="EB2140" s="237"/>
      <c r="EC2140" s="241"/>
      <c r="ED2140" s="241"/>
      <c r="EE2140" s="241"/>
      <c r="EG2140" s="241"/>
      <c r="EI2140" s="241"/>
      <c r="EK2140" s="241"/>
    </row>
    <row r="2141" spans="1:141" s="121" customFormat="1" x14ac:dyDescent="0.3">
      <c r="A2141" s="124"/>
      <c r="O2141" s="235"/>
      <c r="X2141" s="117"/>
      <c r="Y2141" s="117"/>
      <c r="DT2141" s="240"/>
      <c r="DU2141" s="240"/>
      <c r="DV2141" s="240"/>
      <c r="DW2141" s="240"/>
      <c r="DX2141" s="240"/>
      <c r="DY2141" s="240"/>
      <c r="DZ2141" s="240"/>
      <c r="EA2141" s="240"/>
      <c r="EB2141" s="237"/>
      <c r="EC2141" s="241"/>
      <c r="ED2141" s="241"/>
      <c r="EE2141" s="241"/>
      <c r="EG2141" s="241"/>
      <c r="EI2141" s="241"/>
      <c r="EK2141" s="241"/>
    </row>
    <row r="2142" spans="1:141" s="121" customFormat="1" x14ac:dyDescent="0.3">
      <c r="A2142" s="124"/>
      <c r="O2142" s="235"/>
      <c r="X2142" s="117"/>
      <c r="Y2142" s="117"/>
      <c r="DT2142" s="240"/>
      <c r="DU2142" s="240"/>
      <c r="DV2142" s="240"/>
      <c r="DW2142" s="240"/>
      <c r="DX2142" s="240"/>
      <c r="DY2142" s="240"/>
      <c r="DZ2142" s="240"/>
      <c r="EA2142" s="240"/>
      <c r="EB2142" s="237"/>
      <c r="EC2142" s="241"/>
      <c r="ED2142" s="241"/>
      <c r="EE2142" s="241"/>
      <c r="EG2142" s="241"/>
      <c r="EI2142" s="241"/>
      <c r="EK2142" s="241"/>
    </row>
    <row r="2143" spans="1:141" s="121" customFormat="1" x14ac:dyDescent="0.3">
      <c r="A2143" s="124"/>
      <c r="O2143" s="235"/>
      <c r="X2143" s="117"/>
      <c r="Y2143" s="117"/>
      <c r="DT2143" s="240"/>
      <c r="DU2143" s="240"/>
      <c r="DV2143" s="240"/>
      <c r="DW2143" s="240"/>
      <c r="DX2143" s="240"/>
      <c r="DY2143" s="240"/>
      <c r="DZ2143" s="240"/>
      <c r="EA2143" s="240"/>
      <c r="EB2143" s="237"/>
      <c r="EC2143" s="241"/>
      <c r="ED2143" s="241"/>
      <c r="EE2143" s="241"/>
      <c r="EG2143" s="241"/>
      <c r="EI2143" s="241"/>
      <c r="EK2143" s="241"/>
    </row>
    <row r="2144" spans="1:141" s="121" customFormat="1" x14ac:dyDescent="0.3">
      <c r="A2144" s="124"/>
      <c r="O2144" s="235"/>
      <c r="X2144" s="117"/>
      <c r="Y2144" s="117"/>
      <c r="DT2144" s="240"/>
      <c r="DU2144" s="240"/>
      <c r="DV2144" s="240"/>
      <c r="DW2144" s="240"/>
      <c r="DX2144" s="240"/>
      <c r="DY2144" s="240"/>
      <c r="DZ2144" s="240"/>
      <c r="EA2144" s="240"/>
      <c r="EB2144" s="237"/>
      <c r="EC2144" s="241"/>
      <c r="ED2144" s="241"/>
      <c r="EE2144" s="241"/>
      <c r="EG2144" s="241"/>
      <c r="EI2144" s="241"/>
      <c r="EK2144" s="241"/>
    </row>
    <row r="2145" spans="1:141" s="121" customFormat="1" x14ac:dyDescent="0.3">
      <c r="A2145" s="124"/>
      <c r="O2145" s="235"/>
      <c r="X2145" s="117"/>
      <c r="Y2145" s="117"/>
      <c r="DT2145" s="240"/>
      <c r="DU2145" s="240"/>
      <c r="DV2145" s="240"/>
      <c r="DW2145" s="240"/>
      <c r="DX2145" s="240"/>
      <c r="DY2145" s="240"/>
      <c r="DZ2145" s="240"/>
      <c r="EA2145" s="240"/>
      <c r="EB2145" s="237"/>
      <c r="EC2145" s="241"/>
      <c r="ED2145" s="241"/>
      <c r="EE2145" s="241"/>
      <c r="EG2145" s="241"/>
      <c r="EI2145" s="241"/>
      <c r="EK2145" s="241"/>
    </row>
    <row r="2146" spans="1:141" s="121" customFormat="1" x14ac:dyDescent="0.3">
      <c r="A2146" s="124"/>
      <c r="O2146" s="235"/>
      <c r="X2146" s="117"/>
      <c r="Y2146" s="117"/>
      <c r="DT2146" s="240"/>
      <c r="DU2146" s="240"/>
      <c r="DV2146" s="240"/>
      <c r="DW2146" s="240"/>
      <c r="DX2146" s="240"/>
      <c r="DY2146" s="240"/>
      <c r="DZ2146" s="240"/>
      <c r="EA2146" s="240"/>
      <c r="EB2146" s="237"/>
      <c r="EC2146" s="241"/>
      <c r="ED2146" s="241"/>
      <c r="EE2146" s="241"/>
      <c r="EG2146" s="241"/>
      <c r="EI2146" s="241"/>
      <c r="EK2146" s="241"/>
    </row>
    <row r="2147" spans="1:141" s="121" customFormat="1" x14ac:dyDescent="0.3">
      <c r="A2147" s="124"/>
      <c r="O2147" s="235"/>
      <c r="X2147" s="117"/>
      <c r="Y2147" s="117"/>
      <c r="DT2147" s="240"/>
      <c r="DU2147" s="240"/>
      <c r="DV2147" s="240"/>
      <c r="DW2147" s="240"/>
      <c r="DX2147" s="240"/>
      <c r="DY2147" s="240"/>
      <c r="DZ2147" s="240"/>
      <c r="EA2147" s="240"/>
      <c r="EB2147" s="237"/>
      <c r="EC2147" s="241"/>
      <c r="ED2147" s="241"/>
      <c r="EE2147" s="241"/>
      <c r="EG2147" s="241"/>
      <c r="EI2147" s="241"/>
      <c r="EK2147" s="241"/>
    </row>
    <row r="2148" spans="1:141" s="121" customFormat="1" x14ac:dyDescent="0.3">
      <c r="A2148" s="124"/>
      <c r="O2148" s="235"/>
      <c r="X2148" s="117"/>
      <c r="Y2148" s="117"/>
      <c r="DT2148" s="240"/>
      <c r="DU2148" s="240"/>
      <c r="DV2148" s="240"/>
      <c r="DW2148" s="240"/>
      <c r="DX2148" s="240"/>
      <c r="DY2148" s="240"/>
      <c r="DZ2148" s="240"/>
      <c r="EA2148" s="240"/>
      <c r="EB2148" s="237"/>
      <c r="EC2148" s="241"/>
      <c r="ED2148" s="241"/>
      <c r="EE2148" s="241"/>
      <c r="EG2148" s="241"/>
      <c r="EI2148" s="241"/>
      <c r="EK2148" s="241"/>
    </row>
    <row r="2149" spans="1:141" s="121" customFormat="1" x14ac:dyDescent="0.3">
      <c r="A2149" s="124"/>
      <c r="O2149" s="235"/>
      <c r="X2149" s="117"/>
      <c r="Y2149" s="117"/>
      <c r="DT2149" s="240"/>
      <c r="DU2149" s="240"/>
      <c r="DV2149" s="240"/>
      <c r="DW2149" s="240"/>
      <c r="DX2149" s="240"/>
      <c r="DY2149" s="240"/>
      <c r="DZ2149" s="240"/>
      <c r="EA2149" s="240"/>
      <c r="EB2149" s="237"/>
      <c r="EC2149" s="241"/>
      <c r="ED2149" s="241"/>
      <c r="EE2149" s="241"/>
      <c r="EG2149" s="241"/>
      <c r="EI2149" s="241"/>
      <c r="EK2149" s="241"/>
    </row>
    <row r="2150" spans="1:141" s="121" customFormat="1" x14ac:dyDescent="0.3">
      <c r="A2150" s="124"/>
      <c r="O2150" s="235"/>
      <c r="X2150" s="117"/>
      <c r="Y2150" s="117"/>
      <c r="DT2150" s="240"/>
      <c r="DU2150" s="240"/>
      <c r="DV2150" s="240"/>
      <c r="DW2150" s="240"/>
      <c r="DX2150" s="240"/>
      <c r="DY2150" s="240"/>
      <c r="DZ2150" s="240"/>
      <c r="EA2150" s="240"/>
      <c r="EB2150" s="237"/>
      <c r="EC2150" s="241"/>
      <c r="ED2150" s="241"/>
      <c r="EE2150" s="241"/>
      <c r="EG2150" s="241"/>
      <c r="EI2150" s="241"/>
      <c r="EK2150" s="241"/>
    </row>
    <row r="2151" spans="1:141" s="121" customFormat="1" x14ac:dyDescent="0.3">
      <c r="A2151" s="124"/>
      <c r="O2151" s="235"/>
      <c r="X2151" s="117"/>
      <c r="Y2151" s="117"/>
      <c r="DT2151" s="240"/>
      <c r="DU2151" s="240"/>
      <c r="DV2151" s="240"/>
      <c r="DW2151" s="240"/>
      <c r="DX2151" s="240"/>
      <c r="DY2151" s="240"/>
      <c r="DZ2151" s="240"/>
      <c r="EA2151" s="240"/>
      <c r="EB2151" s="237"/>
      <c r="EC2151" s="241"/>
      <c r="ED2151" s="241"/>
      <c r="EE2151" s="241"/>
      <c r="EG2151" s="241"/>
      <c r="EI2151" s="241"/>
      <c r="EK2151" s="241"/>
    </row>
    <row r="2152" spans="1:141" s="121" customFormat="1" x14ac:dyDescent="0.3">
      <c r="A2152" s="124"/>
      <c r="O2152" s="235"/>
      <c r="X2152" s="117"/>
      <c r="Y2152" s="117"/>
      <c r="DT2152" s="240"/>
      <c r="DU2152" s="240"/>
      <c r="DV2152" s="240"/>
      <c r="DW2152" s="240"/>
      <c r="DX2152" s="240"/>
      <c r="DY2152" s="240"/>
      <c r="DZ2152" s="240"/>
      <c r="EA2152" s="240"/>
      <c r="EB2152" s="237"/>
      <c r="EC2152" s="241"/>
      <c r="ED2152" s="241"/>
      <c r="EE2152" s="241"/>
      <c r="EG2152" s="241"/>
      <c r="EI2152" s="241"/>
      <c r="EK2152" s="241"/>
    </row>
    <row r="2153" spans="1:141" s="121" customFormat="1" x14ac:dyDescent="0.3">
      <c r="A2153" s="124"/>
      <c r="O2153" s="235"/>
      <c r="X2153" s="117"/>
      <c r="Y2153" s="117"/>
      <c r="DT2153" s="240"/>
      <c r="DU2153" s="240"/>
      <c r="DV2153" s="240"/>
      <c r="DW2153" s="240"/>
      <c r="DX2153" s="240"/>
      <c r="DY2153" s="240"/>
      <c r="DZ2153" s="240"/>
      <c r="EA2153" s="240"/>
      <c r="EB2153" s="237"/>
      <c r="EC2153" s="241"/>
      <c r="ED2153" s="241"/>
      <c r="EE2153" s="241"/>
      <c r="EG2153" s="241"/>
      <c r="EI2153" s="241"/>
      <c r="EK2153" s="241"/>
    </row>
    <row r="2154" spans="1:141" s="121" customFormat="1" x14ac:dyDescent="0.3">
      <c r="A2154" s="124"/>
      <c r="O2154" s="235"/>
      <c r="X2154" s="117"/>
      <c r="Y2154" s="117"/>
      <c r="DT2154" s="240"/>
      <c r="DU2154" s="240"/>
      <c r="DV2154" s="240"/>
      <c r="DW2154" s="240"/>
      <c r="DX2154" s="240"/>
      <c r="DY2154" s="240"/>
      <c r="DZ2154" s="240"/>
      <c r="EA2154" s="240"/>
      <c r="EB2154" s="237"/>
      <c r="EC2154" s="241"/>
      <c r="ED2154" s="241"/>
      <c r="EE2154" s="241"/>
      <c r="EG2154" s="241"/>
      <c r="EI2154" s="241"/>
      <c r="EK2154" s="241"/>
    </row>
    <row r="2155" spans="1:141" s="121" customFormat="1" x14ac:dyDescent="0.3">
      <c r="A2155" s="124"/>
      <c r="O2155" s="235"/>
      <c r="X2155" s="117"/>
      <c r="Y2155" s="117"/>
      <c r="DT2155" s="240"/>
      <c r="DU2155" s="240"/>
      <c r="DV2155" s="240"/>
      <c r="DW2155" s="240"/>
      <c r="DX2155" s="240"/>
      <c r="DY2155" s="240"/>
      <c r="DZ2155" s="240"/>
      <c r="EA2155" s="240"/>
      <c r="EB2155" s="237"/>
      <c r="EC2155" s="241"/>
      <c r="ED2155" s="241"/>
      <c r="EE2155" s="241"/>
      <c r="EG2155" s="241"/>
      <c r="EI2155" s="241"/>
      <c r="EK2155" s="241"/>
    </row>
    <row r="2156" spans="1:141" s="121" customFormat="1" x14ac:dyDescent="0.3">
      <c r="A2156" s="124"/>
      <c r="O2156" s="235"/>
      <c r="X2156" s="117"/>
      <c r="Y2156" s="117"/>
      <c r="DT2156" s="240"/>
      <c r="DU2156" s="240"/>
      <c r="DV2156" s="240"/>
      <c r="DW2156" s="240"/>
      <c r="DX2156" s="240"/>
      <c r="DY2156" s="240"/>
      <c r="DZ2156" s="240"/>
      <c r="EA2156" s="240"/>
      <c r="EB2156" s="237"/>
      <c r="EC2156" s="241"/>
      <c r="ED2156" s="241"/>
      <c r="EE2156" s="241"/>
      <c r="EG2156" s="241"/>
      <c r="EI2156" s="241"/>
      <c r="EK2156" s="241"/>
    </row>
    <row r="2157" spans="1:141" s="121" customFormat="1" x14ac:dyDescent="0.3">
      <c r="A2157" s="124"/>
      <c r="O2157" s="235"/>
      <c r="X2157" s="117"/>
      <c r="Y2157" s="117"/>
      <c r="DT2157" s="240"/>
      <c r="DU2157" s="240"/>
      <c r="DV2157" s="240"/>
      <c r="DW2157" s="240"/>
      <c r="DX2157" s="240"/>
      <c r="DY2157" s="240"/>
      <c r="DZ2157" s="240"/>
      <c r="EA2157" s="240"/>
      <c r="EB2157" s="237"/>
      <c r="EC2157" s="241"/>
      <c r="ED2157" s="241"/>
      <c r="EE2157" s="241"/>
      <c r="EG2157" s="241"/>
      <c r="EI2157" s="241"/>
      <c r="EK2157" s="241"/>
    </row>
    <row r="2158" spans="1:141" s="121" customFormat="1" x14ac:dyDescent="0.3">
      <c r="A2158" s="124"/>
      <c r="O2158" s="235"/>
      <c r="X2158" s="117"/>
      <c r="Y2158" s="117"/>
      <c r="DT2158" s="240"/>
      <c r="DU2158" s="240"/>
      <c r="DV2158" s="240"/>
      <c r="DW2158" s="240"/>
      <c r="DX2158" s="240"/>
      <c r="DY2158" s="240"/>
      <c r="DZ2158" s="240"/>
      <c r="EA2158" s="240"/>
      <c r="EB2158" s="237"/>
      <c r="EC2158" s="241"/>
      <c r="ED2158" s="241"/>
      <c r="EE2158" s="241"/>
      <c r="EG2158" s="241"/>
      <c r="EI2158" s="241"/>
      <c r="EK2158" s="241"/>
    </row>
    <row r="2159" spans="1:141" s="121" customFormat="1" x14ac:dyDescent="0.3">
      <c r="A2159" s="124"/>
      <c r="O2159" s="235"/>
      <c r="X2159" s="117"/>
      <c r="Y2159" s="117"/>
      <c r="DT2159" s="240"/>
      <c r="DU2159" s="240"/>
      <c r="DV2159" s="240"/>
      <c r="DW2159" s="240"/>
      <c r="DX2159" s="240"/>
      <c r="DY2159" s="240"/>
      <c r="DZ2159" s="240"/>
      <c r="EA2159" s="240"/>
      <c r="EB2159" s="237"/>
      <c r="EC2159" s="241"/>
      <c r="ED2159" s="241"/>
      <c r="EE2159" s="241"/>
      <c r="EG2159" s="241"/>
      <c r="EI2159" s="241"/>
      <c r="EK2159" s="241"/>
    </row>
    <row r="2160" spans="1:141" s="121" customFormat="1" x14ac:dyDescent="0.3">
      <c r="A2160" s="124"/>
      <c r="O2160" s="235"/>
      <c r="X2160" s="117"/>
      <c r="Y2160" s="117"/>
      <c r="DT2160" s="240"/>
      <c r="DU2160" s="240"/>
      <c r="DV2160" s="240"/>
      <c r="DW2160" s="240"/>
      <c r="DX2160" s="240"/>
      <c r="DY2160" s="240"/>
      <c r="DZ2160" s="240"/>
      <c r="EA2160" s="240"/>
      <c r="EB2160" s="237"/>
      <c r="EC2160" s="241"/>
      <c r="ED2160" s="241"/>
      <c r="EE2160" s="241"/>
      <c r="EG2160" s="241"/>
      <c r="EI2160" s="241"/>
      <c r="EK2160" s="241"/>
    </row>
    <row r="2161" spans="1:141" s="121" customFormat="1" x14ac:dyDescent="0.3">
      <c r="A2161" s="124"/>
      <c r="O2161" s="235"/>
      <c r="X2161" s="117"/>
      <c r="Y2161" s="117"/>
      <c r="DT2161" s="240"/>
      <c r="DU2161" s="240"/>
      <c r="DV2161" s="240"/>
      <c r="DW2161" s="240"/>
      <c r="DX2161" s="240"/>
      <c r="DY2161" s="240"/>
      <c r="DZ2161" s="240"/>
      <c r="EA2161" s="240"/>
      <c r="EB2161" s="237"/>
      <c r="EC2161" s="241"/>
      <c r="ED2161" s="241"/>
      <c r="EE2161" s="241"/>
      <c r="EG2161" s="241"/>
      <c r="EI2161" s="241"/>
      <c r="EK2161" s="241"/>
    </row>
    <row r="2162" spans="1:141" s="121" customFormat="1" x14ac:dyDescent="0.3">
      <c r="A2162" s="124"/>
      <c r="O2162" s="235"/>
      <c r="X2162" s="117"/>
      <c r="Y2162" s="117"/>
      <c r="DT2162" s="240"/>
      <c r="DU2162" s="240"/>
      <c r="DV2162" s="240"/>
      <c r="DW2162" s="240"/>
      <c r="DX2162" s="240"/>
      <c r="DY2162" s="240"/>
      <c r="DZ2162" s="240"/>
      <c r="EA2162" s="240"/>
      <c r="EB2162" s="237"/>
      <c r="EC2162" s="241"/>
      <c r="ED2162" s="241"/>
      <c r="EE2162" s="241"/>
      <c r="EG2162" s="241"/>
      <c r="EI2162" s="241"/>
      <c r="EK2162" s="241"/>
    </row>
    <row r="2163" spans="1:141" s="121" customFormat="1" x14ac:dyDescent="0.3">
      <c r="A2163" s="124"/>
      <c r="O2163" s="235"/>
      <c r="X2163" s="117"/>
      <c r="Y2163" s="117"/>
      <c r="DT2163" s="240"/>
      <c r="DU2163" s="240"/>
      <c r="DV2163" s="240"/>
      <c r="DW2163" s="240"/>
      <c r="DX2163" s="240"/>
      <c r="DY2163" s="240"/>
      <c r="DZ2163" s="240"/>
      <c r="EA2163" s="240"/>
      <c r="EB2163" s="237"/>
      <c r="EC2163" s="241"/>
      <c r="ED2163" s="241"/>
      <c r="EE2163" s="241"/>
      <c r="EG2163" s="241"/>
      <c r="EI2163" s="241"/>
      <c r="EK2163" s="241"/>
    </row>
    <row r="2164" spans="1:141" s="121" customFormat="1" x14ac:dyDescent="0.3">
      <c r="A2164" s="124"/>
      <c r="O2164" s="235"/>
      <c r="X2164" s="117"/>
      <c r="Y2164" s="117"/>
      <c r="DT2164" s="240"/>
      <c r="DU2164" s="240"/>
      <c r="DV2164" s="240"/>
      <c r="DW2164" s="240"/>
      <c r="DX2164" s="240"/>
      <c r="DY2164" s="240"/>
      <c r="DZ2164" s="240"/>
      <c r="EA2164" s="240"/>
      <c r="EB2164" s="237"/>
      <c r="EC2164" s="241"/>
      <c r="ED2164" s="241"/>
      <c r="EE2164" s="241"/>
      <c r="EG2164" s="241"/>
      <c r="EI2164" s="241"/>
      <c r="EK2164" s="241"/>
    </row>
    <row r="2165" spans="1:141" s="121" customFormat="1" x14ac:dyDescent="0.3">
      <c r="A2165" s="124"/>
      <c r="O2165" s="235"/>
      <c r="X2165" s="117"/>
      <c r="Y2165" s="117"/>
      <c r="DT2165" s="240"/>
      <c r="DU2165" s="240"/>
      <c r="DV2165" s="240"/>
      <c r="DW2165" s="240"/>
      <c r="DX2165" s="240"/>
      <c r="DY2165" s="240"/>
      <c r="DZ2165" s="240"/>
      <c r="EA2165" s="240"/>
      <c r="EB2165" s="237"/>
      <c r="EC2165" s="241"/>
      <c r="ED2165" s="241"/>
      <c r="EE2165" s="241"/>
      <c r="EG2165" s="241"/>
      <c r="EI2165" s="241"/>
      <c r="EK2165" s="241"/>
    </row>
    <row r="2166" spans="1:141" s="121" customFormat="1" x14ac:dyDescent="0.3">
      <c r="A2166" s="124"/>
      <c r="O2166" s="235"/>
      <c r="X2166" s="117"/>
      <c r="Y2166" s="117"/>
      <c r="DT2166" s="240"/>
      <c r="DU2166" s="240"/>
      <c r="DV2166" s="240"/>
      <c r="DW2166" s="240"/>
      <c r="DX2166" s="240"/>
      <c r="DY2166" s="240"/>
      <c r="DZ2166" s="240"/>
      <c r="EA2166" s="240"/>
      <c r="EB2166" s="237"/>
      <c r="EC2166" s="241"/>
      <c r="ED2166" s="241"/>
      <c r="EE2166" s="241"/>
      <c r="EG2166" s="241"/>
      <c r="EI2166" s="241"/>
      <c r="EK2166" s="241"/>
    </row>
    <row r="2167" spans="1:141" s="121" customFormat="1" x14ac:dyDescent="0.3">
      <c r="A2167" s="124"/>
      <c r="O2167" s="235"/>
      <c r="X2167" s="117"/>
      <c r="Y2167" s="117"/>
      <c r="DT2167" s="240"/>
      <c r="DU2167" s="240"/>
      <c r="DV2167" s="240"/>
      <c r="DW2167" s="240"/>
      <c r="DX2167" s="240"/>
      <c r="DY2167" s="240"/>
      <c r="DZ2167" s="240"/>
      <c r="EA2167" s="240"/>
      <c r="EB2167" s="237"/>
      <c r="EC2167" s="241"/>
      <c r="ED2167" s="241"/>
      <c r="EE2167" s="241"/>
      <c r="EG2167" s="241"/>
      <c r="EI2167" s="241"/>
      <c r="EK2167" s="241"/>
    </row>
    <row r="2168" spans="1:141" s="121" customFormat="1" x14ac:dyDescent="0.3">
      <c r="A2168" s="124"/>
      <c r="O2168" s="235"/>
      <c r="X2168" s="117"/>
      <c r="Y2168" s="117"/>
      <c r="DT2168" s="240"/>
      <c r="DU2168" s="240"/>
      <c r="DV2168" s="240"/>
      <c r="DW2168" s="240"/>
      <c r="DX2168" s="240"/>
      <c r="DY2168" s="240"/>
      <c r="DZ2168" s="240"/>
      <c r="EA2168" s="240"/>
      <c r="EB2168" s="237"/>
      <c r="EC2168" s="241"/>
      <c r="ED2168" s="241"/>
      <c r="EE2168" s="241"/>
      <c r="EG2168" s="241"/>
      <c r="EI2168" s="241"/>
      <c r="EK2168" s="241"/>
    </row>
    <row r="2169" spans="1:141" s="121" customFormat="1" x14ac:dyDescent="0.3">
      <c r="A2169" s="124"/>
      <c r="O2169" s="235"/>
      <c r="X2169" s="117"/>
      <c r="Y2169" s="117"/>
      <c r="DT2169" s="240"/>
      <c r="DU2169" s="240"/>
      <c r="DV2169" s="240"/>
      <c r="DW2169" s="240"/>
      <c r="DX2169" s="240"/>
      <c r="DY2169" s="240"/>
      <c r="DZ2169" s="240"/>
      <c r="EA2169" s="240"/>
      <c r="EB2169" s="237"/>
      <c r="EC2169" s="241"/>
      <c r="ED2169" s="241"/>
      <c r="EE2169" s="241"/>
      <c r="EG2169" s="241"/>
      <c r="EI2169" s="241"/>
      <c r="EK2169" s="241"/>
    </row>
    <row r="2170" spans="1:141" s="121" customFormat="1" x14ac:dyDescent="0.3">
      <c r="A2170" s="124"/>
      <c r="O2170" s="235"/>
      <c r="X2170" s="117"/>
      <c r="Y2170" s="117"/>
      <c r="DT2170" s="240"/>
      <c r="DU2170" s="240"/>
      <c r="DV2170" s="240"/>
      <c r="DW2170" s="240"/>
      <c r="DX2170" s="240"/>
      <c r="DY2170" s="240"/>
      <c r="DZ2170" s="240"/>
      <c r="EA2170" s="240"/>
      <c r="EB2170" s="237"/>
      <c r="EC2170" s="241"/>
      <c r="ED2170" s="241"/>
      <c r="EE2170" s="241"/>
      <c r="EG2170" s="241"/>
      <c r="EI2170" s="241"/>
      <c r="EK2170" s="241"/>
    </row>
    <row r="2171" spans="1:141" s="121" customFormat="1" x14ac:dyDescent="0.3">
      <c r="A2171" s="124"/>
      <c r="O2171" s="235"/>
      <c r="X2171" s="117"/>
      <c r="Y2171" s="117"/>
      <c r="DT2171" s="240"/>
      <c r="DU2171" s="240"/>
      <c r="DV2171" s="240"/>
      <c r="DW2171" s="240"/>
      <c r="DX2171" s="240"/>
      <c r="DY2171" s="240"/>
      <c r="DZ2171" s="240"/>
      <c r="EA2171" s="240"/>
      <c r="EB2171" s="237"/>
      <c r="EC2171" s="241"/>
      <c r="ED2171" s="241"/>
      <c r="EE2171" s="241"/>
      <c r="EG2171" s="241"/>
      <c r="EI2171" s="241"/>
      <c r="EK2171" s="241"/>
    </row>
    <row r="2172" spans="1:141" s="121" customFormat="1" x14ac:dyDescent="0.3">
      <c r="A2172" s="124"/>
      <c r="O2172" s="235"/>
      <c r="X2172" s="117"/>
      <c r="Y2172" s="117"/>
      <c r="DT2172" s="240"/>
      <c r="DU2172" s="240"/>
      <c r="DV2172" s="240"/>
      <c r="DW2172" s="240"/>
      <c r="DX2172" s="240"/>
      <c r="DY2172" s="240"/>
      <c r="DZ2172" s="240"/>
      <c r="EA2172" s="240"/>
      <c r="EB2172" s="237"/>
      <c r="EC2172" s="241"/>
      <c r="ED2172" s="241"/>
      <c r="EE2172" s="241"/>
      <c r="EG2172" s="241"/>
      <c r="EI2172" s="241"/>
      <c r="EK2172" s="241"/>
    </row>
    <row r="2173" spans="1:141" s="121" customFormat="1" x14ac:dyDescent="0.3">
      <c r="A2173" s="124"/>
      <c r="O2173" s="235"/>
      <c r="X2173" s="117"/>
      <c r="Y2173" s="117"/>
      <c r="DT2173" s="240"/>
      <c r="DU2173" s="240"/>
      <c r="DV2173" s="240"/>
      <c r="DW2173" s="240"/>
      <c r="DX2173" s="240"/>
      <c r="DY2173" s="240"/>
      <c r="DZ2173" s="240"/>
      <c r="EA2173" s="240"/>
      <c r="EB2173" s="237"/>
      <c r="EC2173" s="241"/>
      <c r="ED2173" s="241"/>
      <c r="EE2173" s="241"/>
      <c r="EG2173" s="241"/>
      <c r="EI2173" s="241"/>
      <c r="EK2173" s="241"/>
    </row>
    <row r="2174" spans="1:141" s="121" customFormat="1" x14ac:dyDescent="0.3">
      <c r="A2174" s="124"/>
      <c r="O2174" s="235"/>
      <c r="X2174" s="117"/>
      <c r="Y2174" s="117"/>
      <c r="DT2174" s="240"/>
      <c r="DU2174" s="240"/>
      <c r="DV2174" s="240"/>
      <c r="DW2174" s="240"/>
      <c r="DX2174" s="240"/>
      <c r="DY2174" s="240"/>
      <c r="DZ2174" s="240"/>
      <c r="EA2174" s="240"/>
      <c r="EB2174" s="237"/>
      <c r="EC2174" s="241"/>
      <c r="ED2174" s="241"/>
      <c r="EE2174" s="241"/>
      <c r="EG2174" s="241"/>
      <c r="EI2174" s="241"/>
      <c r="EK2174" s="241"/>
    </row>
    <row r="2175" spans="1:141" s="121" customFormat="1" x14ac:dyDescent="0.3">
      <c r="A2175" s="124"/>
      <c r="O2175" s="235"/>
      <c r="X2175" s="117"/>
      <c r="Y2175" s="117"/>
      <c r="DT2175" s="240"/>
      <c r="DU2175" s="240"/>
      <c r="DV2175" s="240"/>
      <c r="DW2175" s="240"/>
      <c r="DX2175" s="240"/>
      <c r="DY2175" s="240"/>
      <c r="DZ2175" s="240"/>
      <c r="EA2175" s="240"/>
      <c r="EB2175" s="237"/>
      <c r="EC2175" s="241"/>
      <c r="ED2175" s="241"/>
      <c r="EE2175" s="241"/>
      <c r="EG2175" s="241"/>
      <c r="EI2175" s="241"/>
      <c r="EK2175" s="241"/>
    </row>
    <row r="2176" spans="1:141" s="121" customFormat="1" x14ac:dyDescent="0.3">
      <c r="A2176" s="124"/>
      <c r="O2176" s="235"/>
      <c r="X2176" s="117"/>
      <c r="Y2176" s="117"/>
      <c r="DT2176" s="240"/>
      <c r="DU2176" s="240"/>
      <c r="DV2176" s="240"/>
      <c r="DW2176" s="240"/>
      <c r="DX2176" s="240"/>
      <c r="DY2176" s="240"/>
      <c r="DZ2176" s="240"/>
      <c r="EA2176" s="240"/>
      <c r="EB2176" s="237"/>
      <c r="EC2176" s="241"/>
      <c r="ED2176" s="241"/>
      <c r="EE2176" s="241"/>
      <c r="EG2176" s="241"/>
      <c r="EI2176" s="241"/>
      <c r="EK2176" s="241"/>
    </row>
    <row r="2177" spans="1:141" s="121" customFormat="1" x14ac:dyDescent="0.3">
      <c r="A2177" s="124"/>
      <c r="O2177" s="235"/>
      <c r="X2177" s="117"/>
      <c r="Y2177" s="117"/>
      <c r="DT2177" s="240"/>
      <c r="DU2177" s="240"/>
      <c r="DV2177" s="240"/>
      <c r="DW2177" s="240"/>
      <c r="DX2177" s="240"/>
      <c r="DY2177" s="240"/>
      <c r="DZ2177" s="240"/>
      <c r="EA2177" s="240"/>
      <c r="EB2177" s="237"/>
      <c r="EC2177" s="241"/>
      <c r="ED2177" s="241"/>
      <c r="EE2177" s="241"/>
      <c r="EG2177" s="241"/>
      <c r="EI2177" s="241"/>
      <c r="EK2177" s="241"/>
    </row>
    <row r="2178" spans="1:141" s="121" customFormat="1" x14ac:dyDescent="0.3">
      <c r="A2178" s="124"/>
      <c r="O2178" s="235"/>
      <c r="X2178" s="117"/>
      <c r="Y2178" s="117"/>
      <c r="DT2178" s="240"/>
      <c r="DU2178" s="240"/>
      <c r="DV2178" s="240"/>
      <c r="DW2178" s="240"/>
      <c r="DX2178" s="240"/>
      <c r="DY2178" s="240"/>
      <c r="DZ2178" s="240"/>
      <c r="EA2178" s="240"/>
      <c r="EB2178" s="237"/>
      <c r="EC2178" s="241"/>
      <c r="ED2178" s="241"/>
      <c r="EE2178" s="241"/>
      <c r="EG2178" s="241"/>
      <c r="EI2178" s="241"/>
      <c r="EK2178" s="241"/>
    </row>
    <row r="2179" spans="1:141" s="121" customFormat="1" x14ac:dyDescent="0.3">
      <c r="A2179" s="124"/>
      <c r="O2179" s="235"/>
      <c r="X2179" s="117"/>
      <c r="Y2179" s="117"/>
      <c r="DT2179" s="240"/>
      <c r="DU2179" s="240"/>
      <c r="DV2179" s="240"/>
      <c r="DW2179" s="240"/>
      <c r="DX2179" s="240"/>
      <c r="DY2179" s="240"/>
      <c r="DZ2179" s="240"/>
      <c r="EA2179" s="240"/>
      <c r="EB2179" s="237"/>
      <c r="EC2179" s="241"/>
      <c r="ED2179" s="241"/>
      <c r="EE2179" s="241"/>
      <c r="EG2179" s="241"/>
      <c r="EI2179" s="241"/>
      <c r="EK2179" s="241"/>
    </row>
    <row r="2180" spans="1:141" s="121" customFormat="1" x14ac:dyDescent="0.3">
      <c r="A2180" s="124"/>
      <c r="O2180" s="235"/>
      <c r="X2180" s="117"/>
      <c r="Y2180" s="117"/>
      <c r="DT2180" s="240"/>
      <c r="DU2180" s="240"/>
      <c r="DV2180" s="240"/>
      <c r="DW2180" s="240"/>
      <c r="DX2180" s="240"/>
      <c r="DY2180" s="240"/>
      <c r="DZ2180" s="240"/>
      <c r="EA2180" s="240"/>
      <c r="EB2180" s="237"/>
      <c r="EC2180" s="241"/>
      <c r="ED2180" s="241"/>
      <c r="EE2180" s="241"/>
      <c r="EG2180" s="241"/>
      <c r="EI2180" s="241"/>
      <c r="EK2180" s="241"/>
    </row>
    <row r="2181" spans="1:141" s="121" customFormat="1" x14ac:dyDescent="0.3">
      <c r="A2181" s="124"/>
      <c r="O2181" s="235"/>
      <c r="X2181" s="117"/>
      <c r="Y2181" s="117"/>
      <c r="DT2181" s="240"/>
      <c r="DU2181" s="240"/>
      <c r="DV2181" s="240"/>
      <c r="DW2181" s="240"/>
      <c r="DX2181" s="240"/>
      <c r="DY2181" s="240"/>
      <c r="DZ2181" s="240"/>
      <c r="EA2181" s="240"/>
      <c r="EB2181" s="237"/>
      <c r="EC2181" s="241"/>
      <c r="ED2181" s="241"/>
      <c r="EE2181" s="241"/>
      <c r="EG2181" s="241"/>
      <c r="EI2181" s="241"/>
      <c r="EK2181" s="241"/>
    </row>
    <row r="2182" spans="1:141" s="121" customFormat="1" x14ac:dyDescent="0.3">
      <c r="A2182" s="124"/>
      <c r="O2182" s="235"/>
      <c r="X2182" s="117"/>
      <c r="Y2182" s="117"/>
      <c r="DT2182" s="240"/>
      <c r="DU2182" s="240"/>
      <c r="DV2182" s="240"/>
      <c r="DW2182" s="240"/>
      <c r="DX2182" s="240"/>
      <c r="DY2182" s="240"/>
      <c r="DZ2182" s="240"/>
      <c r="EA2182" s="240"/>
      <c r="EB2182" s="237"/>
      <c r="EC2182" s="241"/>
      <c r="ED2182" s="241"/>
      <c r="EE2182" s="241"/>
      <c r="EG2182" s="241"/>
      <c r="EI2182" s="241"/>
      <c r="EK2182" s="241"/>
    </row>
    <row r="2183" spans="1:141" s="121" customFormat="1" x14ac:dyDescent="0.3">
      <c r="A2183" s="124"/>
      <c r="O2183" s="235"/>
      <c r="X2183" s="117"/>
      <c r="Y2183" s="117"/>
      <c r="DT2183" s="240"/>
      <c r="DU2183" s="240"/>
      <c r="DV2183" s="240"/>
      <c r="DW2183" s="240"/>
      <c r="DX2183" s="240"/>
      <c r="DY2183" s="240"/>
      <c r="DZ2183" s="240"/>
      <c r="EA2183" s="240"/>
      <c r="EB2183" s="237"/>
      <c r="EC2183" s="241"/>
      <c r="ED2183" s="241"/>
      <c r="EE2183" s="241"/>
      <c r="EG2183" s="241"/>
      <c r="EI2183" s="241"/>
      <c r="EK2183" s="241"/>
    </row>
    <row r="2184" spans="1:141" s="121" customFormat="1" x14ac:dyDescent="0.3">
      <c r="A2184" s="124"/>
      <c r="O2184" s="235"/>
      <c r="X2184" s="117"/>
      <c r="Y2184" s="117"/>
      <c r="DT2184" s="240"/>
      <c r="DU2184" s="240"/>
      <c r="DV2184" s="240"/>
      <c r="DW2184" s="240"/>
      <c r="DX2184" s="240"/>
      <c r="DY2184" s="240"/>
      <c r="DZ2184" s="240"/>
      <c r="EA2184" s="240"/>
      <c r="EB2184" s="237"/>
      <c r="EC2184" s="241"/>
      <c r="ED2184" s="241"/>
      <c r="EE2184" s="241"/>
      <c r="EG2184" s="241"/>
      <c r="EI2184" s="241"/>
      <c r="EK2184" s="241"/>
    </row>
    <row r="2185" spans="1:141" s="121" customFormat="1" x14ac:dyDescent="0.3">
      <c r="A2185" s="124"/>
      <c r="O2185" s="235"/>
      <c r="X2185" s="117"/>
      <c r="Y2185" s="117"/>
      <c r="DT2185" s="240"/>
      <c r="DU2185" s="240"/>
      <c r="DV2185" s="240"/>
      <c r="DW2185" s="240"/>
      <c r="DX2185" s="240"/>
      <c r="DY2185" s="240"/>
      <c r="DZ2185" s="240"/>
      <c r="EA2185" s="240"/>
      <c r="EB2185" s="237"/>
      <c r="EC2185" s="241"/>
      <c r="ED2185" s="241"/>
      <c r="EE2185" s="241"/>
      <c r="EG2185" s="241"/>
      <c r="EI2185" s="241"/>
      <c r="EK2185" s="241"/>
    </row>
    <row r="2186" spans="1:141" s="121" customFormat="1" x14ac:dyDescent="0.3">
      <c r="A2186" s="124"/>
      <c r="O2186" s="235"/>
      <c r="X2186" s="117"/>
      <c r="Y2186" s="117"/>
      <c r="DT2186" s="240"/>
      <c r="DU2186" s="240"/>
      <c r="DV2186" s="240"/>
      <c r="DW2186" s="240"/>
      <c r="DX2186" s="240"/>
      <c r="DY2186" s="240"/>
      <c r="DZ2186" s="240"/>
      <c r="EA2186" s="240"/>
      <c r="EB2186" s="237"/>
      <c r="EC2186" s="241"/>
      <c r="ED2186" s="241"/>
      <c r="EE2186" s="241"/>
      <c r="EG2186" s="241"/>
      <c r="EI2186" s="241"/>
      <c r="EK2186" s="241"/>
    </row>
    <row r="2187" spans="1:141" s="121" customFormat="1" x14ac:dyDescent="0.3">
      <c r="A2187" s="124"/>
      <c r="O2187" s="235"/>
      <c r="X2187" s="117"/>
      <c r="Y2187" s="117"/>
      <c r="DT2187" s="240"/>
      <c r="DU2187" s="240"/>
      <c r="DV2187" s="240"/>
      <c r="DW2187" s="240"/>
      <c r="DX2187" s="240"/>
      <c r="DY2187" s="240"/>
      <c r="DZ2187" s="240"/>
      <c r="EA2187" s="240"/>
      <c r="EB2187" s="237"/>
      <c r="EC2187" s="241"/>
      <c r="ED2187" s="241"/>
      <c r="EE2187" s="241"/>
      <c r="EG2187" s="241"/>
      <c r="EI2187" s="241"/>
      <c r="EK2187" s="241"/>
    </row>
    <row r="2188" spans="1:141" s="121" customFormat="1" x14ac:dyDescent="0.3">
      <c r="A2188" s="124"/>
      <c r="O2188" s="235"/>
      <c r="X2188" s="117"/>
      <c r="Y2188" s="117"/>
      <c r="DT2188" s="240"/>
      <c r="DU2188" s="240"/>
      <c r="DV2188" s="240"/>
      <c r="DW2188" s="240"/>
      <c r="DX2188" s="240"/>
      <c r="DY2188" s="240"/>
      <c r="DZ2188" s="240"/>
      <c r="EA2188" s="240"/>
      <c r="EB2188" s="237"/>
      <c r="EC2188" s="241"/>
      <c r="ED2188" s="241"/>
      <c r="EE2188" s="241"/>
      <c r="EG2188" s="241"/>
      <c r="EI2188" s="241"/>
      <c r="EK2188" s="241"/>
    </row>
    <row r="2189" spans="1:141" s="121" customFormat="1" x14ac:dyDescent="0.3">
      <c r="A2189" s="124"/>
      <c r="O2189" s="235"/>
      <c r="X2189" s="117"/>
      <c r="Y2189" s="117"/>
      <c r="DT2189" s="240"/>
      <c r="DU2189" s="240"/>
      <c r="DV2189" s="240"/>
      <c r="DW2189" s="240"/>
      <c r="DX2189" s="240"/>
      <c r="DY2189" s="240"/>
      <c r="DZ2189" s="240"/>
      <c r="EA2189" s="240"/>
      <c r="EB2189" s="237"/>
      <c r="EC2189" s="241"/>
      <c r="ED2189" s="241"/>
      <c r="EE2189" s="241"/>
      <c r="EG2189" s="241"/>
      <c r="EI2189" s="241"/>
      <c r="EK2189" s="241"/>
    </row>
    <row r="2190" spans="1:141" s="121" customFormat="1" x14ac:dyDescent="0.3">
      <c r="A2190" s="124"/>
      <c r="O2190" s="235"/>
      <c r="X2190" s="117"/>
      <c r="Y2190" s="117"/>
      <c r="DT2190" s="240"/>
      <c r="DU2190" s="240"/>
      <c r="DV2190" s="240"/>
      <c r="DW2190" s="240"/>
      <c r="DX2190" s="240"/>
      <c r="DY2190" s="240"/>
      <c r="DZ2190" s="240"/>
      <c r="EA2190" s="240"/>
      <c r="EB2190" s="237"/>
      <c r="EC2190" s="241"/>
      <c r="ED2190" s="241"/>
      <c r="EE2190" s="241"/>
      <c r="EG2190" s="241"/>
      <c r="EI2190" s="241"/>
      <c r="EK2190" s="241"/>
    </row>
    <row r="2191" spans="1:141" s="121" customFormat="1" x14ac:dyDescent="0.3">
      <c r="A2191" s="124"/>
      <c r="O2191" s="235"/>
      <c r="X2191" s="117"/>
      <c r="Y2191" s="117"/>
      <c r="DT2191" s="240"/>
      <c r="DU2191" s="240"/>
      <c r="DV2191" s="240"/>
      <c r="DW2191" s="240"/>
      <c r="DX2191" s="240"/>
      <c r="DY2191" s="240"/>
      <c r="DZ2191" s="240"/>
      <c r="EA2191" s="240"/>
      <c r="EB2191" s="237"/>
      <c r="EC2191" s="241"/>
      <c r="ED2191" s="241"/>
      <c r="EE2191" s="241"/>
      <c r="EG2191" s="241"/>
      <c r="EI2191" s="241"/>
      <c r="EK2191" s="241"/>
    </row>
    <row r="2192" spans="1:141" s="121" customFormat="1" x14ac:dyDescent="0.3">
      <c r="A2192" s="124"/>
      <c r="O2192" s="235"/>
      <c r="X2192" s="117"/>
      <c r="Y2192" s="117"/>
      <c r="DT2192" s="240"/>
      <c r="DU2192" s="240"/>
      <c r="DV2192" s="240"/>
      <c r="DW2192" s="240"/>
      <c r="DX2192" s="240"/>
      <c r="DY2192" s="240"/>
      <c r="DZ2192" s="240"/>
      <c r="EA2192" s="240"/>
      <c r="EB2192" s="237"/>
      <c r="EC2192" s="241"/>
      <c r="ED2192" s="241"/>
      <c r="EE2192" s="241"/>
      <c r="EG2192" s="241"/>
      <c r="EI2192" s="241"/>
      <c r="EK2192" s="241"/>
    </row>
    <row r="2193" spans="1:141" s="121" customFormat="1" x14ac:dyDescent="0.3">
      <c r="A2193" s="124"/>
      <c r="O2193" s="235"/>
      <c r="X2193" s="117"/>
      <c r="Y2193" s="117"/>
      <c r="DT2193" s="240"/>
      <c r="DU2193" s="240"/>
      <c r="DV2193" s="240"/>
      <c r="DW2193" s="240"/>
      <c r="DX2193" s="240"/>
      <c r="DY2193" s="240"/>
      <c r="DZ2193" s="240"/>
      <c r="EA2193" s="240"/>
      <c r="EB2193" s="237"/>
      <c r="EC2193" s="241"/>
      <c r="ED2193" s="241"/>
      <c r="EE2193" s="241"/>
      <c r="EG2193" s="241"/>
      <c r="EI2193" s="241"/>
      <c r="EK2193" s="241"/>
    </row>
    <row r="2194" spans="1:141" s="121" customFormat="1" x14ac:dyDescent="0.3">
      <c r="A2194" s="124"/>
      <c r="O2194" s="235"/>
      <c r="X2194" s="117"/>
      <c r="Y2194" s="117"/>
      <c r="DT2194" s="240"/>
      <c r="DU2194" s="240"/>
      <c r="DV2194" s="240"/>
      <c r="DW2194" s="240"/>
      <c r="DX2194" s="240"/>
      <c r="DY2194" s="240"/>
      <c r="DZ2194" s="240"/>
      <c r="EA2194" s="240"/>
      <c r="EB2194" s="237"/>
      <c r="EC2194" s="241"/>
      <c r="ED2194" s="241"/>
      <c r="EE2194" s="241"/>
      <c r="EG2194" s="241"/>
      <c r="EI2194" s="241"/>
      <c r="EK2194" s="241"/>
    </row>
    <row r="2195" spans="1:141" s="121" customFormat="1" x14ac:dyDescent="0.3">
      <c r="A2195" s="124"/>
      <c r="O2195" s="235"/>
      <c r="X2195" s="117"/>
      <c r="Y2195" s="117"/>
      <c r="DT2195" s="240"/>
      <c r="DU2195" s="240"/>
      <c r="DV2195" s="240"/>
      <c r="DW2195" s="240"/>
      <c r="DX2195" s="240"/>
      <c r="DY2195" s="240"/>
      <c r="DZ2195" s="240"/>
      <c r="EA2195" s="240"/>
      <c r="EB2195" s="237"/>
      <c r="EC2195" s="241"/>
      <c r="ED2195" s="241"/>
      <c r="EE2195" s="241"/>
      <c r="EG2195" s="241"/>
      <c r="EI2195" s="241"/>
      <c r="EK2195" s="241"/>
    </row>
    <row r="2196" spans="1:141" s="121" customFormat="1" x14ac:dyDescent="0.3">
      <c r="A2196" s="124"/>
      <c r="O2196" s="235"/>
      <c r="X2196" s="117"/>
      <c r="Y2196" s="117"/>
      <c r="DT2196" s="240"/>
      <c r="DU2196" s="240"/>
      <c r="DV2196" s="240"/>
      <c r="DW2196" s="240"/>
      <c r="DX2196" s="240"/>
      <c r="DY2196" s="240"/>
      <c r="DZ2196" s="240"/>
      <c r="EA2196" s="240"/>
      <c r="EB2196" s="237"/>
      <c r="EC2196" s="241"/>
      <c r="ED2196" s="241"/>
      <c r="EE2196" s="241"/>
      <c r="EG2196" s="241"/>
      <c r="EI2196" s="241"/>
      <c r="EK2196" s="241"/>
    </row>
    <row r="2197" spans="1:141" s="121" customFormat="1" x14ac:dyDescent="0.3">
      <c r="A2197" s="124"/>
      <c r="O2197" s="235"/>
      <c r="X2197" s="117"/>
      <c r="Y2197" s="117"/>
      <c r="DT2197" s="240"/>
      <c r="DU2197" s="240"/>
      <c r="DV2197" s="240"/>
      <c r="DW2197" s="240"/>
      <c r="DX2197" s="240"/>
      <c r="DY2197" s="240"/>
      <c r="DZ2197" s="240"/>
      <c r="EA2197" s="240"/>
      <c r="EB2197" s="237"/>
      <c r="EC2197" s="241"/>
      <c r="ED2197" s="241"/>
      <c r="EE2197" s="241"/>
      <c r="EG2197" s="241"/>
      <c r="EI2197" s="241"/>
      <c r="EK2197" s="241"/>
    </row>
    <row r="2198" spans="1:141" s="121" customFormat="1" x14ac:dyDescent="0.3">
      <c r="A2198" s="124"/>
      <c r="O2198" s="235"/>
      <c r="X2198" s="117"/>
      <c r="Y2198" s="117"/>
      <c r="DT2198" s="240"/>
      <c r="DU2198" s="240"/>
      <c r="DV2198" s="240"/>
      <c r="DW2198" s="240"/>
      <c r="DX2198" s="240"/>
      <c r="DY2198" s="240"/>
      <c r="DZ2198" s="240"/>
      <c r="EA2198" s="240"/>
      <c r="EB2198" s="237"/>
      <c r="EC2198" s="241"/>
      <c r="ED2198" s="241"/>
      <c r="EE2198" s="241"/>
      <c r="EG2198" s="241"/>
      <c r="EI2198" s="241"/>
      <c r="EK2198" s="241"/>
    </row>
    <row r="2199" spans="1:141" s="121" customFormat="1" x14ac:dyDescent="0.3">
      <c r="A2199" s="124"/>
      <c r="O2199" s="235"/>
      <c r="X2199" s="117"/>
      <c r="Y2199" s="117"/>
      <c r="DT2199" s="240"/>
      <c r="DU2199" s="240"/>
      <c r="DV2199" s="240"/>
      <c r="DW2199" s="240"/>
      <c r="DX2199" s="240"/>
      <c r="DY2199" s="240"/>
      <c r="DZ2199" s="240"/>
      <c r="EA2199" s="240"/>
      <c r="EB2199" s="237"/>
      <c r="EC2199" s="241"/>
      <c r="ED2199" s="241"/>
      <c r="EE2199" s="241"/>
      <c r="EG2199" s="241"/>
      <c r="EI2199" s="241"/>
      <c r="EK2199" s="241"/>
    </row>
    <row r="2200" spans="1:141" s="121" customFormat="1" x14ac:dyDescent="0.3">
      <c r="A2200" s="124"/>
      <c r="O2200" s="235"/>
      <c r="X2200" s="117"/>
      <c r="Y2200" s="117"/>
      <c r="DT2200" s="240"/>
      <c r="DU2200" s="240"/>
      <c r="DV2200" s="240"/>
      <c r="DW2200" s="240"/>
      <c r="DX2200" s="240"/>
      <c r="DY2200" s="240"/>
      <c r="DZ2200" s="240"/>
      <c r="EA2200" s="240"/>
      <c r="EB2200" s="237"/>
      <c r="EC2200" s="241"/>
      <c r="ED2200" s="241"/>
      <c r="EE2200" s="241"/>
      <c r="EG2200" s="241"/>
      <c r="EI2200" s="241"/>
      <c r="EK2200" s="241"/>
    </row>
    <row r="2201" spans="1:141" s="121" customFormat="1" x14ac:dyDescent="0.3">
      <c r="A2201" s="124"/>
      <c r="O2201" s="235"/>
      <c r="X2201" s="117"/>
      <c r="Y2201" s="117"/>
      <c r="DT2201" s="240"/>
      <c r="DU2201" s="240"/>
      <c r="DV2201" s="240"/>
      <c r="DW2201" s="240"/>
      <c r="DX2201" s="240"/>
      <c r="DY2201" s="240"/>
      <c r="DZ2201" s="240"/>
      <c r="EA2201" s="240"/>
      <c r="EB2201" s="237"/>
      <c r="EC2201" s="241"/>
      <c r="ED2201" s="241"/>
      <c r="EE2201" s="241"/>
      <c r="EG2201" s="241"/>
      <c r="EI2201" s="241"/>
      <c r="EK2201" s="241"/>
    </row>
    <row r="2202" spans="1:141" s="121" customFormat="1" x14ac:dyDescent="0.3">
      <c r="A2202" s="124"/>
      <c r="O2202" s="235"/>
      <c r="X2202" s="117"/>
      <c r="Y2202" s="117"/>
      <c r="DT2202" s="240"/>
      <c r="DU2202" s="240"/>
      <c r="DV2202" s="240"/>
      <c r="DW2202" s="240"/>
      <c r="DX2202" s="240"/>
      <c r="DY2202" s="240"/>
      <c r="DZ2202" s="240"/>
      <c r="EA2202" s="240"/>
      <c r="EB2202" s="237"/>
      <c r="EC2202" s="241"/>
      <c r="ED2202" s="241"/>
      <c r="EE2202" s="241"/>
      <c r="EG2202" s="241"/>
      <c r="EI2202" s="241"/>
      <c r="EK2202" s="241"/>
    </row>
    <row r="2203" spans="1:141" s="121" customFormat="1" x14ac:dyDescent="0.3">
      <c r="A2203" s="124"/>
      <c r="O2203" s="235"/>
      <c r="X2203" s="117"/>
      <c r="Y2203" s="117"/>
      <c r="DT2203" s="240"/>
      <c r="DU2203" s="240"/>
      <c r="DV2203" s="240"/>
      <c r="DW2203" s="240"/>
      <c r="DX2203" s="240"/>
      <c r="DY2203" s="240"/>
      <c r="DZ2203" s="240"/>
      <c r="EA2203" s="240"/>
      <c r="EB2203" s="237"/>
      <c r="EC2203" s="241"/>
      <c r="ED2203" s="241"/>
      <c r="EE2203" s="241"/>
      <c r="EG2203" s="241"/>
      <c r="EI2203" s="241"/>
      <c r="EK2203" s="241"/>
    </row>
    <row r="2204" spans="1:141" s="121" customFormat="1" x14ac:dyDescent="0.3">
      <c r="A2204" s="124"/>
      <c r="O2204" s="235"/>
      <c r="X2204" s="117"/>
      <c r="Y2204" s="117"/>
      <c r="DT2204" s="240"/>
      <c r="DU2204" s="240"/>
      <c r="DV2204" s="240"/>
      <c r="DW2204" s="240"/>
      <c r="DX2204" s="240"/>
      <c r="DY2204" s="240"/>
      <c r="DZ2204" s="240"/>
      <c r="EA2204" s="240"/>
      <c r="EB2204" s="237"/>
      <c r="EC2204" s="241"/>
      <c r="ED2204" s="241"/>
      <c r="EE2204" s="241"/>
      <c r="EG2204" s="241"/>
      <c r="EI2204" s="241"/>
      <c r="EK2204" s="241"/>
    </row>
    <row r="2205" spans="1:141" s="121" customFormat="1" x14ac:dyDescent="0.3">
      <c r="A2205" s="124"/>
      <c r="O2205" s="235"/>
      <c r="X2205" s="117"/>
      <c r="Y2205" s="117"/>
      <c r="DT2205" s="240"/>
      <c r="DU2205" s="240"/>
      <c r="DV2205" s="240"/>
      <c r="DW2205" s="240"/>
      <c r="DX2205" s="240"/>
      <c r="DY2205" s="240"/>
      <c r="DZ2205" s="240"/>
      <c r="EA2205" s="240"/>
      <c r="EB2205" s="237"/>
      <c r="EC2205" s="241"/>
      <c r="ED2205" s="241"/>
      <c r="EE2205" s="241"/>
      <c r="EG2205" s="241"/>
      <c r="EI2205" s="241"/>
      <c r="EK2205" s="241"/>
    </row>
    <row r="2206" spans="1:141" s="121" customFormat="1" x14ac:dyDescent="0.3">
      <c r="A2206" s="124"/>
      <c r="O2206" s="235"/>
      <c r="X2206" s="117"/>
      <c r="Y2206" s="117"/>
      <c r="DT2206" s="240"/>
      <c r="DU2206" s="240"/>
      <c r="DV2206" s="240"/>
      <c r="DW2206" s="240"/>
      <c r="DX2206" s="240"/>
      <c r="DY2206" s="240"/>
      <c r="DZ2206" s="240"/>
      <c r="EA2206" s="240"/>
      <c r="EB2206" s="237"/>
      <c r="EC2206" s="241"/>
      <c r="ED2206" s="241"/>
      <c r="EE2206" s="241"/>
      <c r="EG2206" s="241"/>
      <c r="EI2206" s="241"/>
      <c r="EK2206" s="241"/>
    </row>
    <row r="2207" spans="1:141" s="121" customFormat="1" x14ac:dyDescent="0.3">
      <c r="A2207" s="124"/>
      <c r="O2207" s="235"/>
      <c r="X2207" s="117"/>
      <c r="Y2207" s="117"/>
      <c r="DT2207" s="240"/>
      <c r="DU2207" s="240"/>
      <c r="DV2207" s="240"/>
      <c r="DW2207" s="240"/>
      <c r="DX2207" s="240"/>
      <c r="DY2207" s="240"/>
      <c r="DZ2207" s="240"/>
      <c r="EA2207" s="240"/>
      <c r="EB2207" s="237"/>
      <c r="EC2207" s="241"/>
      <c r="ED2207" s="241"/>
      <c r="EE2207" s="241"/>
      <c r="EG2207" s="241"/>
      <c r="EI2207" s="241"/>
      <c r="EK2207" s="241"/>
    </row>
    <row r="2208" spans="1:141" s="121" customFormat="1" x14ac:dyDescent="0.3">
      <c r="A2208" s="124"/>
      <c r="O2208" s="235"/>
      <c r="X2208" s="117"/>
      <c r="Y2208" s="117"/>
      <c r="DT2208" s="240"/>
      <c r="DU2208" s="240"/>
      <c r="DV2208" s="240"/>
      <c r="DW2208" s="240"/>
      <c r="DX2208" s="240"/>
      <c r="DY2208" s="240"/>
      <c r="DZ2208" s="240"/>
      <c r="EA2208" s="240"/>
      <c r="EB2208" s="237"/>
      <c r="EC2208" s="241"/>
      <c r="ED2208" s="241"/>
      <c r="EE2208" s="241"/>
      <c r="EG2208" s="241"/>
      <c r="EI2208" s="241"/>
      <c r="EK2208" s="241"/>
    </row>
    <row r="2209" spans="1:141" s="121" customFormat="1" x14ac:dyDescent="0.3">
      <c r="A2209" s="124"/>
      <c r="O2209" s="235"/>
      <c r="X2209" s="117"/>
      <c r="Y2209" s="117"/>
      <c r="DT2209" s="240"/>
      <c r="DU2209" s="240"/>
      <c r="DV2209" s="240"/>
      <c r="DW2209" s="240"/>
      <c r="DX2209" s="240"/>
      <c r="DY2209" s="240"/>
      <c r="DZ2209" s="240"/>
      <c r="EA2209" s="240"/>
      <c r="EB2209" s="237"/>
      <c r="EC2209" s="241"/>
      <c r="ED2209" s="241"/>
      <c r="EE2209" s="241"/>
      <c r="EG2209" s="241"/>
      <c r="EI2209" s="241"/>
      <c r="EK2209" s="241"/>
    </row>
    <row r="2210" spans="1:141" s="121" customFormat="1" x14ac:dyDescent="0.3">
      <c r="A2210" s="124"/>
      <c r="O2210" s="235"/>
      <c r="X2210" s="117"/>
      <c r="Y2210" s="117"/>
      <c r="DT2210" s="240"/>
      <c r="DU2210" s="240"/>
      <c r="DV2210" s="240"/>
      <c r="DW2210" s="240"/>
      <c r="DX2210" s="240"/>
      <c r="DY2210" s="240"/>
      <c r="DZ2210" s="240"/>
      <c r="EA2210" s="240"/>
      <c r="EB2210" s="237"/>
      <c r="EC2210" s="241"/>
      <c r="ED2210" s="241"/>
      <c r="EE2210" s="241"/>
      <c r="EG2210" s="241"/>
      <c r="EI2210" s="241"/>
      <c r="EK2210" s="241"/>
    </row>
    <row r="2211" spans="1:141" s="121" customFormat="1" x14ac:dyDescent="0.3">
      <c r="A2211" s="124"/>
      <c r="O2211" s="235"/>
      <c r="X2211" s="117"/>
      <c r="Y2211" s="117"/>
      <c r="DT2211" s="240"/>
      <c r="DU2211" s="240"/>
      <c r="DV2211" s="240"/>
      <c r="DW2211" s="240"/>
      <c r="DX2211" s="240"/>
      <c r="DY2211" s="240"/>
      <c r="DZ2211" s="240"/>
      <c r="EA2211" s="240"/>
      <c r="EB2211" s="237"/>
      <c r="EC2211" s="241"/>
      <c r="ED2211" s="241"/>
      <c r="EE2211" s="241"/>
      <c r="EG2211" s="241"/>
      <c r="EI2211" s="241"/>
      <c r="EK2211" s="241"/>
    </row>
    <row r="2212" spans="1:141" s="121" customFormat="1" x14ac:dyDescent="0.3">
      <c r="A2212" s="124"/>
      <c r="O2212" s="235"/>
      <c r="X2212" s="117"/>
      <c r="Y2212" s="117"/>
      <c r="DT2212" s="240"/>
      <c r="DU2212" s="240"/>
      <c r="DV2212" s="240"/>
      <c r="DW2212" s="240"/>
      <c r="DX2212" s="240"/>
      <c r="DY2212" s="240"/>
      <c r="DZ2212" s="240"/>
      <c r="EA2212" s="240"/>
      <c r="EB2212" s="237"/>
      <c r="EC2212" s="241"/>
      <c r="ED2212" s="241"/>
      <c r="EE2212" s="241"/>
      <c r="EG2212" s="241"/>
      <c r="EI2212" s="241"/>
      <c r="EK2212" s="241"/>
    </row>
    <row r="2213" spans="1:141" s="121" customFormat="1" x14ac:dyDescent="0.3">
      <c r="A2213" s="124"/>
      <c r="O2213" s="235"/>
      <c r="X2213" s="117"/>
      <c r="Y2213" s="117"/>
      <c r="DT2213" s="240"/>
      <c r="DU2213" s="240"/>
      <c r="DV2213" s="240"/>
      <c r="DW2213" s="240"/>
      <c r="DX2213" s="240"/>
      <c r="DY2213" s="240"/>
      <c r="DZ2213" s="240"/>
      <c r="EA2213" s="240"/>
      <c r="EB2213" s="237"/>
      <c r="EC2213" s="241"/>
      <c r="ED2213" s="241"/>
      <c r="EE2213" s="241"/>
      <c r="EG2213" s="241"/>
      <c r="EI2213" s="241"/>
      <c r="EK2213" s="241"/>
    </row>
    <row r="2214" spans="1:141" s="121" customFormat="1" x14ac:dyDescent="0.3">
      <c r="A2214" s="124"/>
      <c r="O2214" s="235"/>
      <c r="X2214" s="117"/>
      <c r="Y2214" s="117"/>
      <c r="DT2214" s="240"/>
      <c r="DU2214" s="240"/>
      <c r="DV2214" s="240"/>
      <c r="DW2214" s="240"/>
      <c r="DX2214" s="240"/>
      <c r="DY2214" s="240"/>
      <c r="DZ2214" s="240"/>
      <c r="EA2214" s="240"/>
      <c r="EB2214" s="237"/>
      <c r="EC2214" s="241"/>
      <c r="ED2214" s="241"/>
      <c r="EE2214" s="241"/>
      <c r="EG2214" s="241"/>
      <c r="EI2214" s="241"/>
      <c r="EK2214" s="241"/>
    </row>
    <row r="2215" spans="1:141" s="121" customFormat="1" x14ac:dyDescent="0.3">
      <c r="A2215" s="124"/>
      <c r="O2215" s="235"/>
      <c r="X2215" s="117"/>
      <c r="Y2215" s="117"/>
      <c r="DT2215" s="240"/>
      <c r="DU2215" s="240"/>
      <c r="DV2215" s="240"/>
      <c r="DW2215" s="240"/>
      <c r="DX2215" s="240"/>
      <c r="DY2215" s="240"/>
      <c r="DZ2215" s="240"/>
      <c r="EA2215" s="240"/>
      <c r="EB2215" s="237"/>
      <c r="EC2215" s="241"/>
      <c r="ED2215" s="241"/>
      <c r="EE2215" s="241"/>
      <c r="EG2215" s="241"/>
      <c r="EI2215" s="241"/>
      <c r="EK2215" s="241"/>
    </row>
    <row r="2216" spans="1:141" s="121" customFormat="1" x14ac:dyDescent="0.3">
      <c r="A2216" s="124"/>
      <c r="O2216" s="235"/>
      <c r="X2216" s="117"/>
      <c r="Y2216" s="117"/>
      <c r="DT2216" s="240"/>
      <c r="DU2216" s="240"/>
      <c r="DV2216" s="240"/>
      <c r="DW2216" s="240"/>
      <c r="DX2216" s="240"/>
      <c r="DY2216" s="240"/>
      <c r="DZ2216" s="240"/>
      <c r="EA2216" s="240"/>
      <c r="EB2216" s="237"/>
      <c r="EC2216" s="241"/>
      <c r="ED2216" s="241"/>
      <c r="EE2216" s="241"/>
      <c r="EG2216" s="241"/>
      <c r="EI2216" s="241"/>
      <c r="EK2216" s="241"/>
    </row>
    <row r="2217" spans="1:141" s="121" customFormat="1" x14ac:dyDescent="0.3">
      <c r="A2217" s="124"/>
      <c r="O2217" s="235"/>
      <c r="X2217" s="117"/>
      <c r="Y2217" s="117"/>
      <c r="DT2217" s="240"/>
      <c r="DU2217" s="240"/>
      <c r="DV2217" s="240"/>
      <c r="DW2217" s="240"/>
      <c r="DX2217" s="240"/>
      <c r="DY2217" s="240"/>
      <c r="DZ2217" s="240"/>
      <c r="EA2217" s="240"/>
      <c r="EB2217" s="237"/>
      <c r="EC2217" s="241"/>
      <c r="ED2217" s="241"/>
      <c r="EE2217" s="241"/>
      <c r="EG2217" s="241"/>
      <c r="EI2217" s="241"/>
      <c r="EK2217" s="241"/>
    </row>
    <row r="2218" spans="1:141" s="121" customFormat="1" x14ac:dyDescent="0.3">
      <c r="A2218" s="124"/>
      <c r="O2218" s="235"/>
      <c r="X2218" s="117"/>
      <c r="Y2218" s="117"/>
      <c r="DT2218" s="240"/>
      <c r="DU2218" s="240"/>
      <c r="DV2218" s="240"/>
      <c r="DW2218" s="240"/>
      <c r="DX2218" s="240"/>
      <c r="DY2218" s="240"/>
      <c r="DZ2218" s="240"/>
      <c r="EA2218" s="240"/>
      <c r="EB2218" s="237"/>
      <c r="EC2218" s="241"/>
      <c r="ED2218" s="241"/>
      <c r="EE2218" s="241"/>
      <c r="EG2218" s="241"/>
      <c r="EI2218" s="241"/>
      <c r="EK2218" s="241"/>
    </row>
    <row r="2219" spans="1:141" s="121" customFormat="1" x14ac:dyDescent="0.3">
      <c r="A2219" s="124"/>
      <c r="O2219" s="235"/>
      <c r="X2219" s="117"/>
      <c r="Y2219" s="117"/>
      <c r="DT2219" s="240"/>
      <c r="DU2219" s="240"/>
      <c r="DV2219" s="240"/>
      <c r="DW2219" s="240"/>
      <c r="DX2219" s="240"/>
      <c r="DY2219" s="240"/>
      <c r="DZ2219" s="240"/>
      <c r="EA2219" s="240"/>
      <c r="EB2219" s="237"/>
      <c r="EC2219" s="241"/>
      <c r="ED2219" s="241"/>
      <c r="EE2219" s="241"/>
      <c r="EG2219" s="241"/>
      <c r="EI2219" s="241"/>
      <c r="EK2219" s="241"/>
    </row>
    <row r="2220" spans="1:141" s="121" customFormat="1" x14ac:dyDescent="0.3">
      <c r="A2220" s="124"/>
      <c r="O2220" s="235"/>
      <c r="X2220" s="117"/>
      <c r="Y2220" s="117"/>
      <c r="DT2220" s="240"/>
      <c r="DU2220" s="240"/>
      <c r="DV2220" s="240"/>
      <c r="DW2220" s="240"/>
      <c r="DX2220" s="240"/>
      <c r="DY2220" s="240"/>
      <c r="DZ2220" s="240"/>
      <c r="EA2220" s="240"/>
      <c r="EB2220" s="237"/>
      <c r="EC2220" s="241"/>
      <c r="ED2220" s="241"/>
      <c r="EE2220" s="241"/>
      <c r="EG2220" s="241"/>
      <c r="EI2220" s="241"/>
      <c r="EK2220" s="241"/>
    </row>
    <row r="2221" spans="1:141" s="121" customFormat="1" x14ac:dyDescent="0.3">
      <c r="A2221" s="124"/>
      <c r="O2221" s="235"/>
      <c r="X2221" s="117"/>
      <c r="Y2221" s="117"/>
      <c r="DT2221" s="240"/>
      <c r="DU2221" s="240"/>
      <c r="DV2221" s="240"/>
      <c r="DW2221" s="240"/>
      <c r="DX2221" s="240"/>
      <c r="DY2221" s="240"/>
      <c r="DZ2221" s="240"/>
      <c r="EA2221" s="240"/>
      <c r="EB2221" s="237"/>
      <c r="EC2221" s="241"/>
      <c r="ED2221" s="241"/>
      <c r="EE2221" s="241"/>
      <c r="EG2221" s="241"/>
      <c r="EI2221" s="241"/>
      <c r="EK2221" s="241"/>
    </row>
    <row r="2222" spans="1:141" s="121" customFormat="1" x14ac:dyDescent="0.3">
      <c r="A2222" s="124"/>
      <c r="O2222" s="235"/>
      <c r="X2222" s="117"/>
      <c r="Y2222" s="117"/>
      <c r="DT2222" s="240"/>
      <c r="DU2222" s="240"/>
      <c r="DV2222" s="240"/>
      <c r="DW2222" s="240"/>
      <c r="DX2222" s="240"/>
      <c r="DY2222" s="240"/>
      <c r="DZ2222" s="240"/>
      <c r="EA2222" s="240"/>
      <c r="EB2222" s="237"/>
      <c r="EC2222" s="241"/>
      <c r="ED2222" s="241"/>
      <c r="EE2222" s="241"/>
      <c r="EG2222" s="241"/>
      <c r="EI2222" s="241"/>
      <c r="EK2222" s="241"/>
    </row>
    <row r="2223" spans="1:141" s="121" customFormat="1" x14ac:dyDescent="0.3">
      <c r="A2223" s="124"/>
      <c r="O2223" s="235"/>
      <c r="X2223" s="117"/>
      <c r="Y2223" s="117"/>
      <c r="DT2223" s="240"/>
      <c r="DU2223" s="240"/>
      <c r="DV2223" s="240"/>
      <c r="DW2223" s="240"/>
      <c r="DX2223" s="240"/>
      <c r="DY2223" s="240"/>
      <c r="DZ2223" s="240"/>
      <c r="EA2223" s="240"/>
      <c r="EB2223" s="237"/>
      <c r="EC2223" s="241"/>
      <c r="ED2223" s="241"/>
      <c r="EE2223" s="241"/>
      <c r="EG2223" s="241"/>
      <c r="EI2223" s="241"/>
      <c r="EK2223" s="241"/>
    </row>
    <row r="2224" spans="1:141" s="121" customFormat="1" x14ac:dyDescent="0.3">
      <c r="A2224" s="124"/>
      <c r="O2224" s="235"/>
      <c r="X2224" s="117"/>
      <c r="Y2224" s="117"/>
      <c r="DT2224" s="240"/>
      <c r="DU2224" s="240"/>
      <c r="DV2224" s="240"/>
      <c r="DW2224" s="240"/>
      <c r="DX2224" s="240"/>
      <c r="DY2224" s="240"/>
      <c r="DZ2224" s="240"/>
      <c r="EA2224" s="240"/>
      <c r="EB2224" s="237"/>
      <c r="EC2224" s="241"/>
      <c r="ED2224" s="241"/>
      <c r="EE2224" s="241"/>
      <c r="EG2224" s="241"/>
      <c r="EI2224" s="241"/>
      <c r="EK2224" s="241"/>
    </row>
    <row r="2225" spans="1:141" s="121" customFormat="1" x14ac:dyDescent="0.3">
      <c r="A2225" s="124"/>
      <c r="O2225" s="235"/>
      <c r="X2225" s="117"/>
      <c r="Y2225" s="117"/>
      <c r="DT2225" s="240"/>
      <c r="DU2225" s="240"/>
      <c r="DV2225" s="240"/>
      <c r="DW2225" s="240"/>
      <c r="DX2225" s="240"/>
      <c r="DY2225" s="240"/>
      <c r="DZ2225" s="240"/>
      <c r="EA2225" s="240"/>
      <c r="EB2225" s="237"/>
      <c r="EC2225" s="241"/>
      <c r="ED2225" s="241"/>
      <c r="EE2225" s="241"/>
      <c r="EG2225" s="241"/>
      <c r="EI2225" s="241"/>
      <c r="EK2225" s="241"/>
    </row>
    <row r="2226" spans="1:141" s="121" customFormat="1" x14ac:dyDescent="0.3">
      <c r="A2226" s="124"/>
      <c r="O2226" s="235"/>
      <c r="X2226" s="117"/>
      <c r="Y2226" s="117"/>
      <c r="DT2226" s="240"/>
      <c r="DU2226" s="240"/>
      <c r="DV2226" s="240"/>
      <c r="DW2226" s="240"/>
      <c r="DX2226" s="240"/>
      <c r="DY2226" s="240"/>
      <c r="DZ2226" s="240"/>
      <c r="EA2226" s="240"/>
      <c r="EB2226" s="237"/>
      <c r="EC2226" s="241"/>
      <c r="ED2226" s="241"/>
      <c r="EE2226" s="241"/>
      <c r="EG2226" s="241"/>
      <c r="EI2226" s="241"/>
      <c r="EK2226" s="241"/>
    </row>
    <row r="2227" spans="1:141" s="121" customFormat="1" x14ac:dyDescent="0.3">
      <c r="A2227" s="124"/>
      <c r="O2227" s="235"/>
      <c r="X2227" s="117"/>
      <c r="Y2227" s="117"/>
      <c r="DT2227" s="240"/>
      <c r="DU2227" s="240"/>
      <c r="DV2227" s="240"/>
      <c r="DW2227" s="240"/>
      <c r="DX2227" s="240"/>
      <c r="DY2227" s="240"/>
      <c r="DZ2227" s="240"/>
      <c r="EA2227" s="240"/>
      <c r="EB2227" s="237"/>
      <c r="EC2227" s="241"/>
      <c r="ED2227" s="241"/>
      <c r="EE2227" s="241"/>
      <c r="EG2227" s="241"/>
      <c r="EI2227" s="241"/>
      <c r="EK2227" s="241"/>
    </row>
    <row r="2228" spans="1:141" s="121" customFormat="1" x14ac:dyDescent="0.3">
      <c r="A2228" s="124"/>
      <c r="O2228" s="235"/>
      <c r="X2228" s="117"/>
      <c r="Y2228" s="117"/>
      <c r="DT2228" s="240"/>
      <c r="DU2228" s="240"/>
      <c r="DV2228" s="240"/>
      <c r="DW2228" s="240"/>
      <c r="DX2228" s="240"/>
      <c r="DY2228" s="240"/>
      <c r="DZ2228" s="240"/>
      <c r="EA2228" s="240"/>
      <c r="EB2228" s="237"/>
      <c r="EC2228" s="241"/>
      <c r="ED2228" s="241"/>
      <c r="EE2228" s="241"/>
      <c r="EG2228" s="241"/>
      <c r="EI2228" s="241"/>
      <c r="EK2228" s="241"/>
    </row>
    <row r="2229" spans="1:141" s="121" customFormat="1" x14ac:dyDescent="0.3">
      <c r="A2229" s="124"/>
      <c r="O2229" s="235"/>
      <c r="X2229" s="117"/>
      <c r="Y2229" s="117"/>
      <c r="DT2229" s="240"/>
      <c r="DU2229" s="240"/>
      <c r="DV2229" s="240"/>
      <c r="DW2229" s="240"/>
      <c r="DX2229" s="240"/>
      <c r="DY2229" s="240"/>
      <c r="DZ2229" s="240"/>
      <c r="EA2229" s="240"/>
      <c r="EB2229" s="237"/>
      <c r="EC2229" s="241"/>
      <c r="ED2229" s="241"/>
      <c r="EE2229" s="241"/>
      <c r="EG2229" s="241"/>
      <c r="EI2229" s="241"/>
      <c r="EK2229" s="241"/>
    </row>
    <row r="2230" spans="1:141" s="121" customFormat="1" x14ac:dyDescent="0.3">
      <c r="A2230" s="124"/>
      <c r="O2230" s="235"/>
      <c r="X2230" s="117"/>
      <c r="Y2230" s="117"/>
      <c r="DT2230" s="240"/>
      <c r="DU2230" s="240"/>
      <c r="DV2230" s="240"/>
      <c r="DW2230" s="240"/>
      <c r="DX2230" s="240"/>
      <c r="DY2230" s="240"/>
      <c r="DZ2230" s="240"/>
      <c r="EA2230" s="240"/>
      <c r="EB2230" s="237"/>
      <c r="EC2230" s="241"/>
      <c r="ED2230" s="241"/>
      <c r="EE2230" s="241"/>
      <c r="EG2230" s="241"/>
      <c r="EI2230" s="241"/>
      <c r="EK2230" s="241"/>
    </row>
    <row r="2231" spans="1:141" s="121" customFormat="1" x14ac:dyDescent="0.3">
      <c r="A2231" s="124"/>
      <c r="O2231" s="235"/>
      <c r="X2231" s="117"/>
      <c r="Y2231" s="117"/>
      <c r="DT2231" s="240"/>
      <c r="DU2231" s="240"/>
      <c r="DV2231" s="240"/>
      <c r="DW2231" s="240"/>
      <c r="DX2231" s="240"/>
      <c r="DY2231" s="240"/>
      <c r="DZ2231" s="240"/>
      <c r="EA2231" s="240"/>
      <c r="EB2231" s="237"/>
      <c r="EC2231" s="241"/>
      <c r="ED2231" s="241"/>
      <c r="EE2231" s="241"/>
      <c r="EG2231" s="241"/>
      <c r="EI2231" s="241"/>
      <c r="EK2231" s="241"/>
    </row>
    <row r="2232" spans="1:141" s="121" customFormat="1" x14ac:dyDescent="0.3">
      <c r="A2232" s="124"/>
      <c r="O2232" s="235"/>
      <c r="X2232" s="117"/>
      <c r="Y2232" s="117"/>
      <c r="DT2232" s="240"/>
      <c r="DU2232" s="240"/>
      <c r="DV2232" s="240"/>
      <c r="DW2232" s="240"/>
      <c r="DX2232" s="240"/>
      <c r="DY2232" s="240"/>
      <c r="DZ2232" s="240"/>
      <c r="EA2232" s="240"/>
      <c r="EB2232" s="237"/>
      <c r="EC2232" s="241"/>
      <c r="ED2232" s="241"/>
      <c r="EE2232" s="241"/>
      <c r="EG2232" s="241"/>
      <c r="EI2232" s="241"/>
      <c r="EK2232" s="241"/>
    </row>
    <row r="2233" spans="1:141" s="121" customFormat="1" x14ac:dyDescent="0.3">
      <c r="A2233" s="124"/>
      <c r="O2233" s="235"/>
      <c r="X2233" s="117"/>
      <c r="Y2233" s="117"/>
      <c r="DT2233" s="240"/>
      <c r="DU2233" s="240"/>
      <c r="DV2233" s="240"/>
      <c r="DW2233" s="240"/>
      <c r="DX2233" s="240"/>
      <c r="DY2233" s="240"/>
      <c r="DZ2233" s="240"/>
      <c r="EA2233" s="240"/>
      <c r="EB2233" s="237"/>
      <c r="EC2233" s="241"/>
      <c r="ED2233" s="241"/>
      <c r="EE2233" s="241"/>
      <c r="EG2233" s="241"/>
      <c r="EI2233" s="241"/>
      <c r="EK2233" s="241"/>
    </row>
    <row r="2234" spans="1:141" s="121" customFormat="1" x14ac:dyDescent="0.3">
      <c r="A2234" s="124"/>
      <c r="O2234" s="235"/>
      <c r="X2234" s="117"/>
      <c r="Y2234" s="117"/>
      <c r="DT2234" s="240"/>
      <c r="DU2234" s="240"/>
      <c r="DV2234" s="240"/>
      <c r="DW2234" s="240"/>
      <c r="DX2234" s="240"/>
      <c r="DY2234" s="240"/>
      <c r="DZ2234" s="240"/>
      <c r="EA2234" s="240"/>
      <c r="EB2234" s="237"/>
      <c r="EC2234" s="241"/>
      <c r="ED2234" s="241"/>
      <c r="EE2234" s="241"/>
      <c r="EG2234" s="241"/>
      <c r="EI2234" s="241"/>
      <c r="EK2234" s="241"/>
    </row>
    <row r="2235" spans="1:141" s="121" customFormat="1" x14ac:dyDescent="0.3">
      <c r="A2235" s="124"/>
      <c r="O2235" s="235"/>
      <c r="X2235" s="117"/>
      <c r="Y2235" s="117"/>
      <c r="DT2235" s="240"/>
      <c r="DU2235" s="240"/>
      <c r="DV2235" s="240"/>
      <c r="DW2235" s="240"/>
      <c r="DX2235" s="240"/>
      <c r="DY2235" s="240"/>
      <c r="DZ2235" s="240"/>
      <c r="EA2235" s="240"/>
      <c r="EB2235" s="237"/>
      <c r="EC2235" s="241"/>
      <c r="ED2235" s="241"/>
      <c r="EE2235" s="241"/>
      <c r="EG2235" s="241"/>
      <c r="EI2235" s="241"/>
      <c r="EK2235" s="241"/>
    </row>
    <row r="2236" spans="1:141" s="121" customFormat="1" x14ac:dyDescent="0.3">
      <c r="A2236" s="124"/>
      <c r="O2236" s="235"/>
      <c r="X2236" s="117"/>
      <c r="Y2236" s="117"/>
      <c r="DT2236" s="240"/>
      <c r="DU2236" s="240"/>
      <c r="DV2236" s="240"/>
      <c r="DW2236" s="240"/>
      <c r="DX2236" s="240"/>
      <c r="DY2236" s="240"/>
      <c r="DZ2236" s="240"/>
      <c r="EA2236" s="240"/>
      <c r="EB2236" s="237"/>
      <c r="EC2236" s="241"/>
      <c r="ED2236" s="241"/>
      <c r="EE2236" s="241"/>
      <c r="EG2236" s="241"/>
      <c r="EI2236" s="241"/>
      <c r="EK2236" s="241"/>
    </row>
    <row r="2237" spans="1:141" s="121" customFormat="1" x14ac:dyDescent="0.3">
      <c r="A2237" s="124"/>
      <c r="O2237" s="235"/>
      <c r="X2237" s="117"/>
      <c r="Y2237" s="117"/>
      <c r="DT2237" s="240"/>
      <c r="DU2237" s="240"/>
      <c r="DV2237" s="240"/>
      <c r="DW2237" s="240"/>
      <c r="DX2237" s="240"/>
      <c r="DY2237" s="240"/>
      <c r="DZ2237" s="240"/>
      <c r="EA2237" s="240"/>
      <c r="EB2237" s="237"/>
      <c r="EC2237" s="241"/>
      <c r="ED2237" s="241"/>
      <c r="EE2237" s="241"/>
      <c r="EG2237" s="241"/>
      <c r="EI2237" s="241"/>
      <c r="EK2237" s="241"/>
    </row>
    <row r="2238" spans="1:141" s="121" customFormat="1" x14ac:dyDescent="0.3">
      <c r="A2238" s="124"/>
      <c r="O2238" s="235"/>
      <c r="X2238" s="117"/>
      <c r="Y2238" s="117"/>
      <c r="DT2238" s="240"/>
      <c r="DU2238" s="240"/>
      <c r="DV2238" s="240"/>
      <c r="DW2238" s="240"/>
      <c r="DX2238" s="240"/>
      <c r="DY2238" s="240"/>
      <c r="DZ2238" s="240"/>
      <c r="EA2238" s="240"/>
      <c r="EB2238" s="237"/>
      <c r="EC2238" s="241"/>
      <c r="ED2238" s="241"/>
      <c r="EE2238" s="241"/>
      <c r="EG2238" s="241"/>
      <c r="EI2238" s="241"/>
      <c r="EK2238" s="241"/>
    </row>
    <row r="2239" spans="1:141" s="121" customFormat="1" x14ac:dyDescent="0.3">
      <c r="A2239" s="124"/>
      <c r="O2239" s="235"/>
      <c r="X2239" s="117"/>
      <c r="Y2239" s="117"/>
      <c r="DT2239" s="240"/>
      <c r="DU2239" s="240"/>
      <c r="DV2239" s="240"/>
      <c r="DW2239" s="240"/>
      <c r="DX2239" s="240"/>
      <c r="DY2239" s="240"/>
      <c r="DZ2239" s="240"/>
      <c r="EA2239" s="240"/>
      <c r="EB2239" s="237"/>
      <c r="EC2239" s="241"/>
      <c r="ED2239" s="241"/>
      <c r="EE2239" s="241"/>
      <c r="EG2239" s="241"/>
      <c r="EI2239" s="241"/>
      <c r="EK2239" s="241"/>
    </row>
    <row r="2240" spans="1:141" s="121" customFormat="1" x14ac:dyDescent="0.3">
      <c r="A2240" s="124"/>
      <c r="O2240" s="235"/>
      <c r="X2240" s="117"/>
      <c r="Y2240" s="117"/>
      <c r="DT2240" s="240"/>
      <c r="DU2240" s="240"/>
      <c r="DV2240" s="240"/>
      <c r="DW2240" s="240"/>
      <c r="DX2240" s="240"/>
      <c r="DY2240" s="240"/>
      <c r="DZ2240" s="240"/>
      <c r="EA2240" s="240"/>
      <c r="EB2240" s="237"/>
      <c r="EC2240" s="241"/>
      <c r="ED2240" s="241"/>
      <c r="EE2240" s="241"/>
      <c r="EG2240" s="241"/>
      <c r="EI2240" s="241"/>
      <c r="EK2240" s="241"/>
    </row>
    <row r="2241" spans="1:141" s="121" customFormat="1" x14ac:dyDescent="0.3">
      <c r="A2241" s="124"/>
      <c r="O2241" s="235"/>
      <c r="X2241" s="117"/>
      <c r="Y2241" s="117"/>
      <c r="DT2241" s="240"/>
      <c r="DU2241" s="240"/>
      <c r="DV2241" s="240"/>
      <c r="DW2241" s="240"/>
      <c r="DX2241" s="240"/>
      <c r="DY2241" s="240"/>
      <c r="DZ2241" s="240"/>
      <c r="EA2241" s="240"/>
      <c r="EB2241" s="237"/>
      <c r="EC2241" s="241"/>
      <c r="ED2241" s="241"/>
      <c r="EE2241" s="241"/>
      <c r="EG2241" s="241"/>
      <c r="EI2241" s="241"/>
      <c r="EK2241" s="241"/>
    </row>
    <row r="2242" spans="1:141" s="121" customFormat="1" x14ac:dyDescent="0.3">
      <c r="A2242" s="124"/>
      <c r="O2242" s="235"/>
      <c r="X2242" s="117"/>
      <c r="Y2242" s="117"/>
      <c r="DT2242" s="240"/>
      <c r="DU2242" s="240"/>
      <c r="DV2242" s="240"/>
      <c r="DW2242" s="240"/>
      <c r="DX2242" s="240"/>
      <c r="DY2242" s="240"/>
      <c r="DZ2242" s="240"/>
      <c r="EA2242" s="240"/>
      <c r="EB2242" s="237"/>
      <c r="EC2242" s="241"/>
      <c r="ED2242" s="241"/>
      <c r="EE2242" s="241"/>
      <c r="EG2242" s="241"/>
      <c r="EI2242" s="241"/>
      <c r="EK2242" s="241"/>
    </row>
    <row r="2243" spans="1:141" s="121" customFormat="1" x14ac:dyDescent="0.3">
      <c r="A2243" s="124"/>
      <c r="O2243" s="235"/>
      <c r="X2243" s="117"/>
      <c r="Y2243" s="117"/>
      <c r="DT2243" s="240"/>
      <c r="DU2243" s="240"/>
      <c r="DV2243" s="240"/>
      <c r="DW2243" s="240"/>
      <c r="DX2243" s="240"/>
      <c r="DY2243" s="240"/>
      <c r="DZ2243" s="240"/>
      <c r="EA2243" s="240"/>
      <c r="EB2243" s="237"/>
      <c r="EC2243" s="241"/>
      <c r="ED2243" s="241"/>
      <c r="EE2243" s="241"/>
      <c r="EG2243" s="241"/>
      <c r="EI2243" s="241"/>
      <c r="EK2243" s="241"/>
    </row>
    <row r="2244" spans="1:141" s="121" customFormat="1" x14ac:dyDescent="0.3">
      <c r="A2244" s="124"/>
      <c r="O2244" s="235"/>
      <c r="X2244" s="117"/>
      <c r="Y2244" s="117"/>
      <c r="DT2244" s="240"/>
      <c r="DU2244" s="240"/>
      <c r="DV2244" s="240"/>
      <c r="DW2244" s="240"/>
      <c r="DX2244" s="240"/>
      <c r="DY2244" s="240"/>
      <c r="DZ2244" s="240"/>
      <c r="EA2244" s="240"/>
      <c r="EB2244" s="237"/>
      <c r="EC2244" s="241"/>
      <c r="ED2244" s="241"/>
      <c r="EE2244" s="241"/>
      <c r="EG2244" s="241"/>
      <c r="EI2244" s="241"/>
      <c r="EK2244" s="241"/>
    </row>
    <row r="2245" spans="1:141" s="121" customFormat="1" x14ac:dyDescent="0.3">
      <c r="A2245" s="124"/>
      <c r="O2245" s="235"/>
      <c r="X2245" s="117"/>
      <c r="Y2245" s="117"/>
      <c r="DT2245" s="240"/>
      <c r="DU2245" s="240"/>
      <c r="DV2245" s="240"/>
      <c r="DW2245" s="240"/>
      <c r="DX2245" s="240"/>
      <c r="DY2245" s="240"/>
      <c r="DZ2245" s="240"/>
      <c r="EA2245" s="240"/>
      <c r="EB2245" s="237"/>
      <c r="EC2245" s="241"/>
      <c r="ED2245" s="241"/>
      <c r="EE2245" s="241"/>
      <c r="EG2245" s="241"/>
      <c r="EI2245" s="241"/>
      <c r="EK2245" s="241"/>
    </row>
    <row r="2246" spans="1:141" s="121" customFormat="1" x14ac:dyDescent="0.3">
      <c r="A2246" s="124"/>
      <c r="O2246" s="235"/>
      <c r="X2246" s="117"/>
      <c r="Y2246" s="117"/>
      <c r="DT2246" s="240"/>
      <c r="DU2246" s="240"/>
      <c r="DV2246" s="240"/>
      <c r="DW2246" s="240"/>
      <c r="DX2246" s="240"/>
      <c r="DY2246" s="240"/>
      <c r="DZ2246" s="240"/>
      <c r="EA2246" s="240"/>
      <c r="EB2246" s="237"/>
      <c r="EC2246" s="241"/>
      <c r="ED2246" s="241"/>
      <c r="EE2246" s="241"/>
      <c r="EG2246" s="241"/>
      <c r="EI2246" s="241"/>
      <c r="EK2246" s="241"/>
    </row>
    <row r="2247" spans="1:141" s="121" customFormat="1" x14ac:dyDescent="0.3">
      <c r="A2247" s="124"/>
      <c r="O2247" s="235"/>
      <c r="X2247" s="117"/>
      <c r="Y2247" s="117"/>
      <c r="DT2247" s="240"/>
      <c r="DU2247" s="240"/>
      <c r="DV2247" s="240"/>
      <c r="DW2247" s="240"/>
      <c r="DX2247" s="240"/>
      <c r="DY2247" s="240"/>
      <c r="DZ2247" s="240"/>
      <c r="EA2247" s="240"/>
      <c r="EB2247" s="237"/>
      <c r="EC2247" s="241"/>
      <c r="ED2247" s="241"/>
      <c r="EE2247" s="241"/>
      <c r="EG2247" s="241"/>
      <c r="EI2247" s="241"/>
      <c r="EK2247" s="241"/>
    </row>
    <row r="2248" spans="1:141" s="121" customFormat="1" x14ac:dyDescent="0.3">
      <c r="A2248" s="124"/>
      <c r="O2248" s="235"/>
      <c r="X2248" s="117"/>
      <c r="Y2248" s="117"/>
      <c r="DT2248" s="240"/>
      <c r="DU2248" s="240"/>
      <c r="DV2248" s="240"/>
      <c r="DW2248" s="240"/>
      <c r="DX2248" s="240"/>
      <c r="DY2248" s="240"/>
      <c r="DZ2248" s="240"/>
      <c r="EA2248" s="240"/>
      <c r="EB2248" s="237"/>
      <c r="EC2248" s="241"/>
      <c r="ED2248" s="241"/>
      <c r="EE2248" s="241"/>
      <c r="EG2248" s="241"/>
      <c r="EI2248" s="241"/>
      <c r="EK2248" s="241"/>
    </row>
    <row r="2249" spans="1:141" s="121" customFormat="1" x14ac:dyDescent="0.3">
      <c r="A2249" s="124"/>
      <c r="O2249" s="235"/>
      <c r="X2249" s="117"/>
      <c r="Y2249" s="117"/>
      <c r="DT2249" s="240"/>
      <c r="DU2249" s="240"/>
      <c r="DV2249" s="240"/>
      <c r="DW2249" s="240"/>
      <c r="DX2249" s="240"/>
      <c r="DY2249" s="240"/>
      <c r="DZ2249" s="240"/>
      <c r="EA2249" s="240"/>
      <c r="EB2249" s="237"/>
      <c r="EC2249" s="241"/>
      <c r="ED2249" s="241"/>
      <c r="EE2249" s="241"/>
      <c r="EG2249" s="241"/>
      <c r="EI2249" s="241"/>
      <c r="EK2249" s="241"/>
    </row>
    <row r="2250" spans="1:141" s="121" customFormat="1" x14ac:dyDescent="0.3">
      <c r="A2250" s="124"/>
      <c r="O2250" s="235"/>
      <c r="X2250" s="117"/>
      <c r="Y2250" s="117"/>
      <c r="DT2250" s="240"/>
      <c r="DU2250" s="240"/>
      <c r="DV2250" s="240"/>
      <c r="DW2250" s="240"/>
      <c r="DX2250" s="240"/>
      <c r="DY2250" s="240"/>
      <c r="DZ2250" s="240"/>
      <c r="EA2250" s="240"/>
      <c r="EB2250" s="237"/>
      <c r="EC2250" s="241"/>
      <c r="ED2250" s="241"/>
      <c r="EE2250" s="241"/>
      <c r="EG2250" s="241"/>
      <c r="EI2250" s="241"/>
      <c r="EK2250" s="241"/>
    </row>
    <row r="2251" spans="1:141" s="121" customFormat="1" x14ac:dyDescent="0.3">
      <c r="A2251" s="124"/>
      <c r="O2251" s="235"/>
      <c r="X2251" s="117"/>
      <c r="Y2251" s="117"/>
      <c r="DT2251" s="240"/>
      <c r="DU2251" s="240"/>
      <c r="DV2251" s="240"/>
      <c r="DW2251" s="240"/>
      <c r="DX2251" s="240"/>
      <c r="DY2251" s="240"/>
      <c r="DZ2251" s="240"/>
      <c r="EA2251" s="240"/>
      <c r="EB2251" s="237"/>
      <c r="EC2251" s="241"/>
      <c r="ED2251" s="241"/>
      <c r="EE2251" s="241"/>
      <c r="EG2251" s="241"/>
      <c r="EI2251" s="241"/>
      <c r="EK2251" s="241"/>
    </row>
    <row r="2252" spans="1:141" s="121" customFormat="1" x14ac:dyDescent="0.3">
      <c r="A2252" s="124"/>
      <c r="O2252" s="235"/>
      <c r="X2252" s="117"/>
      <c r="Y2252" s="117"/>
      <c r="DT2252" s="240"/>
      <c r="DU2252" s="240"/>
      <c r="DV2252" s="240"/>
      <c r="DW2252" s="240"/>
      <c r="DX2252" s="240"/>
      <c r="DY2252" s="240"/>
      <c r="DZ2252" s="240"/>
      <c r="EA2252" s="240"/>
      <c r="EB2252" s="237"/>
      <c r="EC2252" s="241"/>
      <c r="ED2252" s="241"/>
      <c r="EE2252" s="241"/>
      <c r="EG2252" s="241"/>
      <c r="EI2252" s="241"/>
      <c r="EK2252" s="241"/>
    </row>
    <row r="2253" spans="1:141" s="121" customFormat="1" x14ac:dyDescent="0.3">
      <c r="A2253" s="124"/>
      <c r="O2253" s="235"/>
      <c r="X2253" s="117"/>
      <c r="Y2253" s="117"/>
      <c r="DT2253" s="240"/>
      <c r="DU2253" s="240"/>
      <c r="DV2253" s="240"/>
      <c r="DW2253" s="240"/>
      <c r="DX2253" s="240"/>
      <c r="DY2253" s="240"/>
      <c r="DZ2253" s="240"/>
      <c r="EA2253" s="240"/>
      <c r="EB2253" s="237"/>
      <c r="EC2253" s="241"/>
      <c r="ED2253" s="241"/>
      <c r="EE2253" s="241"/>
      <c r="EG2253" s="241"/>
      <c r="EI2253" s="241"/>
      <c r="EK2253" s="241"/>
    </row>
    <row r="2254" spans="1:141" s="121" customFormat="1" x14ac:dyDescent="0.3">
      <c r="A2254" s="124"/>
      <c r="O2254" s="235"/>
      <c r="X2254" s="117"/>
      <c r="Y2254" s="117"/>
      <c r="DT2254" s="240"/>
      <c r="DU2254" s="240"/>
      <c r="DV2254" s="240"/>
      <c r="DW2254" s="240"/>
      <c r="DX2254" s="240"/>
      <c r="DY2254" s="240"/>
      <c r="DZ2254" s="240"/>
      <c r="EA2254" s="240"/>
      <c r="EB2254" s="237"/>
      <c r="EC2254" s="241"/>
      <c r="ED2254" s="241"/>
      <c r="EE2254" s="241"/>
      <c r="EG2254" s="241"/>
      <c r="EI2254" s="241"/>
      <c r="EK2254" s="241"/>
    </row>
    <row r="2255" spans="1:141" s="121" customFormat="1" x14ac:dyDescent="0.3">
      <c r="A2255" s="124"/>
      <c r="O2255" s="235"/>
      <c r="X2255" s="117"/>
      <c r="Y2255" s="117"/>
      <c r="DT2255" s="240"/>
      <c r="DU2255" s="240"/>
      <c r="DV2255" s="240"/>
      <c r="DW2255" s="240"/>
      <c r="DX2255" s="240"/>
      <c r="DY2255" s="240"/>
      <c r="DZ2255" s="240"/>
      <c r="EA2255" s="240"/>
      <c r="EB2255" s="237"/>
      <c r="EC2255" s="241"/>
      <c r="ED2255" s="241"/>
      <c r="EE2255" s="241"/>
      <c r="EG2255" s="241"/>
      <c r="EI2255" s="241"/>
      <c r="EK2255" s="241"/>
    </row>
    <row r="2256" spans="1:141" s="121" customFormat="1" x14ac:dyDescent="0.3">
      <c r="A2256" s="124"/>
      <c r="O2256" s="235"/>
      <c r="X2256" s="117"/>
      <c r="Y2256" s="117"/>
      <c r="DT2256" s="240"/>
      <c r="DU2256" s="240"/>
      <c r="DV2256" s="240"/>
      <c r="DW2256" s="240"/>
      <c r="DX2256" s="240"/>
      <c r="DY2256" s="240"/>
      <c r="DZ2256" s="240"/>
      <c r="EA2256" s="240"/>
      <c r="EB2256" s="237"/>
      <c r="EC2256" s="241"/>
      <c r="ED2256" s="241"/>
      <c r="EE2256" s="241"/>
      <c r="EG2256" s="241"/>
      <c r="EI2256" s="241"/>
      <c r="EK2256" s="241"/>
    </row>
    <row r="2257" spans="1:141" s="121" customFormat="1" x14ac:dyDescent="0.3">
      <c r="A2257" s="124"/>
      <c r="O2257" s="235"/>
      <c r="X2257" s="117"/>
      <c r="Y2257" s="117"/>
      <c r="DT2257" s="240"/>
      <c r="DU2257" s="240"/>
      <c r="DV2257" s="240"/>
      <c r="DW2257" s="240"/>
      <c r="DX2257" s="240"/>
      <c r="DY2257" s="240"/>
      <c r="DZ2257" s="240"/>
      <c r="EA2257" s="240"/>
      <c r="EB2257" s="237"/>
      <c r="EC2257" s="241"/>
      <c r="ED2257" s="241"/>
      <c r="EE2257" s="241"/>
      <c r="EG2257" s="241"/>
      <c r="EI2257" s="241"/>
      <c r="EK2257" s="241"/>
    </row>
    <row r="2258" spans="1:141" s="121" customFormat="1" x14ac:dyDescent="0.3">
      <c r="A2258" s="124"/>
      <c r="O2258" s="235"/>
      <c r="X2258" s="117"/>
      <c r="Y2258" s="117"/>
      <c r="DT2258" s="240"/>
      <c r="DU2258" s="240"/>
      <c r="DV2258" s="240"/>
      <c r="DW2258" s="240"/>
      <c r="DX2258" s="240"/>
      <c r="DY2258" s="240"/>
      <c r="DZ2258" s="240"/>
      <c r="EA2258" s="240"/>
      <c r="EB2258" s="237"/>
      <c r="EC2258" s="241"/>
      <c r="ED2258" s="241"/>
      <c r="EE2258" s="241"/>
      <c r="EG2258" s="241"/>
      <c r="EI2258" s="241"/>
      <c r="EK2258" s="241"/>
    </row>
    <row r="2259" spans="1:141" s="121" customFormat="1" x14ac:dyDescent="0.3">
      <c r="A2259" s="124"/>
      <c r="O2259" s="235"/>
      <c r="X2259" s="117"/>
      <c r="Y2259" s="117"/>
      <c r="DT2259" s="240"/>
      <c r="DU2259" s="240"/>
      <c r="DV2259" s="240"/>
      <c r="DW2259" s="240"/>
      <c r="DX2259" s="240"/>
      <c r="DY2259" s="240"/>
      <c r="DZ2259" s="240"/>
      <c r="EA2259" s="240"/>
      <c r="EB2259" s="237"/>
      <c r="EC2259" s="241"/>
      <c r="ED2259" s="241"/>
      <c r="EE2259" s="241"/>
      <c r="EG2259" s="241"/>
      <c r="EI2259" s="241"/>
      <c r="EK2259" s="241"/>
    </row>
    <row r="2260" spans="1:141" s="121" customFormat="1" x14ac:dyDescent="0.3">
      <c r="A2260" s="124"/>
      <c r="O2260" s="235"/>
      <c r="X2260" s="117"/>
      <c r="Y2260" s="117"/>
      <c r="DT2260" s="240"/>
      <c r="DU2260" s="240"/>
      <c r="DV2260" s="240"/>
      <c r="DW2260" s="240"/>
      <c r="DX2260" s="240"/>
      <c r="DY2260" s="240"/>
      <c r="DZ2260" s="240"/>
      <c r="EA2260" s="240"/>
      <c r="EB2260" s="237"/>
      <c r="EC2260" s="241"/>
      <c r="ED2260" s="241"/>
      <c r="EE2260" s="241"/>
      <c r="EG2260" s="241"/>
      <c r="EI2260" s="241"/>
      <c r="EK2260" s="241"/>
    </row>
    <row r="2261" spans="1:141" s="121" customFormat="1" x14ac:dyDescent="0.3">
      <c r="A2261" s="124"/>
      <c r="O2261" s="235"/>
      <c r="X2261" s="117"/>
      <c r="Y2261" s="117"/>
      <c r="DT2261" s="240"/>
      <c r="DU2261" s="240"/>
      <c r="DV2261" s="240"/>
      <c r="DW2261" s="240"/>
      <c r="DX2261" s="240"/>
      <c r="DY2261" s="240"/>
      <c r="DZ2261" s="240"/>
      <c r="EA2261" s="240"/>
      <c r="EB2261" s="237"/>
      <c r="EC2261" s="241"/>
      <c r="ED2261" s="241"/>
      <c r="EE2261" s="241"/>
      <c r="EG2261" s="241"/>
      <c r="EI2261" s="241"/>
      <c r="EK2261" s="241"/>
    </row>
    <row r="2262" spans="1:141" s="121" customFormat="1" x14ac:dyDescent="0.3">
      <c r="A2262" s="124"/>
      <c r="O2262" s="235"/>
      <c r="X2262" s="117"/>
      <c r="Y2262" s="117"/>
      <c r="DT2262" s="240"/>
      <c r="DU2262" s="240"/>
      <c r="DV2262" s="240"/>
      <c r="DW2262" s="240"/>
      <c r="DX2262" s="240"/>
      <c r="DY2262" s="240"/>
      <c r="DZ2262" s="240"/>
      <c r="EA2262" s="240"/>
      <c r="EB2262" s="237"/>
      <c r="EC2262" s="241"/>
      <c r="ED2262" s="241"/>
      <c r="EE2262" s="241"/>
      <c r="EG2262" s="241"/>
      <c r="EI2262" s="241"/>
      <c r="EK2262" s="241"/>
    </row>
    <row r="2263" spans="1:141" s="121" customFormat="1" x14ac:dyDescent="0.3">
      <c r="A2263" s="124"/>
      <c r="O2263" s="235"/>
      <c r="X2263" s="117"/>
      <c r="Y2263" s="117"/>
      <c r="DT2263" s="240"/>
      <c r="DU2263" s="240"/>
      <c r="DV2263" s="240"/>
      <c r="DW2263" s="240"/>
      <c r="DX2263" s="240"/>
      <c r="DY2263" s="240"/>
      <c r="DZ2263" s="240"/>
      <c r="EA2263" s="240"/>
      <c r="EB2263" s="237"/>
      <c r="EC2263" s="241"/>
      <c r="ED2263" s="241"/>
      <c r="EE2263" s="241"/>
      <c r="EG2263" s="241"/>
      <c r="EI2263" s="241"/>
      <c r="EK2263" s="241"/>
    </row>
    <row r="2264" spans="1:141" s="121" customFormat="1" x14ac:dyDescent="0.3">
      <c r="A2264" s="124"/>
      <c r="O2264" s="235"/>
      <c r="X2264" s="117"/>
      <c r="Y2264" s="117"/>
      <c r="DT2264" s="240"/>
      <c r="DU2264" s="240"/>
      <c r="DV2264" s="240"/>
      <c r="DW2264" s="240"/>
      <c r="DX2264" s="240"/>
      <c r="DY2264" s="240"/>
      <c r="DZ2264" s="240"/>
      <c r="EA2264" s="240"/>
      <c r="EB2264" s="237"/>
      <c r="EC2264" s="241"/>
      <c r="ED2264" s="241"/>
      <c r="EE2264" s="241"/>
      <c r="EG2264" s="241"/>
      <c r="EI2264" s="241"/>
      <c r="EK2264" s="241"/>
    </row>
    <row r="2265" spans="1:141" s="121" customFormat="1" x14ac:dyDescent="0.3">
      <c r="A2265" s="124"/>
      <c r="O2265" s="235"/>
      <c r="X2265" s="117"/>
      <c r="Y2265" s="117"/>
      <c r="DT2265" s="240"/>
      <c r="DU2265" s="240"/>
      <c r="DV2265" s="240"/>
      <c r="DW2265" s="240"/>
      <c r="DX2265" s="240"/>
      <c r="DY2265" s="240"/>
      <c r="DZ2265" s="240"/>
      <c r="EA2265" s="240"/>
      <c r="EB2265" s="237"/>
      <c r="EC2265" s="241"/>
      <c r="ED2265" s="241"/>
      <c r="EE2265" s="241"/>
      <c r="EG2265" s="241"/>
      <c r="EI2265" s="241"/>
      <c r="EK2265" s="241"/>
    </row>
    <row r="2266" spans="1:141" s="121" customFormat="1" x14ac:dyDescent="0.3">
      <c r="A2266" s="124"/>
      <c r="O2266" s="235"/>
      <c r="X2266" s="117"/>
      <c r="Y2266" s="117"/>
      <c r="DT2266" s="240"/>
      <c r="DU2266" s="240"/>
      <c r="DV2266" s="240"/>
      <c r="DW2266" s="240"/>
      <c r="DX2266" s="240"/>
      <c r="DY2266" s="240"/>
      <c r="DZ2266" s="240"/>
      <c r="EA2266" s="240"/>
      <c r="EB2266" s="237"/>
      <c r="EC2266" s="241"/>
      <c r="ED2266" s="241"/>
      <c r="EE2266" s="241"/>
      <c r="EG2266" s="241"/>
      <c r="EI2266" s="241"/>
      <c r="EK2266" s="241"/>
    </row>
    <row r="2267" spans="1:141" s="121" customFormat="1" x14ac:dyDescent="0.3">
      <c r="A2267" s="124"/>
      <c r="O2267" s="235"/>
      <c r="X2267" s="117"/>
      <c r="Y2267" s="117"/>
      <c r="DT2267" s="240"/>
      <c r="DU2267" s="240"/>
      <c r="DV2267" s="240"/>
      <c r="DW2267" s="240"/>
      <c r="DX2267" s="240"/>
      <c r="DY2267" s="240"/>
      <c r="DZ2267" s="240"/>
      <c r="EA2267" s="240"/>
      <c r="EB2267" s="237"/>
      <c r="EC2267" s="241"/>
      <c r="ED2267" s="241"/>
      <c r="EE2267" s="241"/>
      <c r="EG2267" s="241"/>
      <c r="EI2267" s="241"/>
      <c r="EK2267" s="241"/>
    </row>
    <row r="2268" spans="1:141" s="121" customFormat="1" x14ac:dyDescent="0.3">
      <c r="A2268" s="124"/>
      <c r="O2268" s="235"/>
      <c r="X2268" s="117"/>
      <c r="Y2268" s="117"/>
      <c r="DT2268" s="240"/>
      <c r="DU2268" s="240"/>
      <c r="DV2268" s="240"/>
      <c r="DW2268" s="240"/>
      <c r="DX2268" s="240"/>
      <c r="DY2268" s="240"/>
      <c r="DZ2268" s="240"/>
      <c r="EA2268" s="240"/>
      <c r="EB2268" s="237"/>
      <c r="EC2268" s="241"/>
      <c r="ED2268" s="241"/>
      <c r="EE2268" s="241"/>
      <c r="EG2268" s="241"/>
      <c r="EI2268" s="241"/>
      <c r="EK2268" s="241"/>
    </row>
    <row r="2269" spans="1:141" s="121" customFormat="1" x14ac:dyDescent="0.3">
      <c r="A2269" s="124"/>
      <c r="O2269" s="235"/>
      <c r="X2269" s="117"/>
      <c r="Y2269" s="117"/>
      <c r="DT2269" s="240"/>
      <c r="DU2269" s="240"/>
      <c r="DV2269" s="240"/>
      <c r="DW2269" s="240"/>
      <c r="DX2269" s="240"/>
      <c r="DY2269" s="240"/>
      <c r="DZ2269" s="240"/>
      <c r="EA2269" s="240"/>
      <c r="EB2269" s="237"/>
      <c r="EC2269" s="241"/>
      <c r="ED2269" s="241"/>
      <c r="EE2269" s="241"/>
      <c r="EG2269" s="241"/>
      <c r="EI2269" s="241"/>
      <c r="EK2269" s="241"/>
    </row>
    <row r="2270" spans="1:141" s="121" customFormat="1" x14ac:dyDescent="0.3">
      <c r="A2270" s="124"/>
      <c r="O2270" s="235"/>
      <c r="X2270" s="117"/>
      <c r="Y2270" s="117"/>
      <c r="DT2270" s="240"/>
      <c r="DU2270" s="240"/>
      <c r="DV2270" s="240"/>
      <c r="DW2270" s="240"/>
      <c r="DX2270" s="240"/>
      <c r="DY2270" s="240"/>
      <c r="DZ2270" s="240"/>
      <c r="EA2270" s="240"/>
      <c r="EB2270" s="237"/>
      <c r="EC2270" s="241"/>
      <c r="ED2270" s="241"/>
      <c r="EE2270" s="241"/>
      <c r="EG2270" s="241"/>
      <c r="EI2270" s="241"/>
      <c r="EK2270" s="241"/>
    </row>
    <row r="2271" spans="1:141" s="121" customFormat="1" x14ac:dyDescent="0.3">
      <c r="A2271" s="124"/>
      <c r="O2271" s="235"/>
      <c r="X2271" s="117"/>
      <c r="Y2271" s="117"/>
      <c r="DT2271" s="240"/>
      <c r="DU2271" s="240"/>
      <c r="DV2271" s="240"/>
      <c r="DW2271" s="240"/>
      <c r="DX2271" s="240"/>
      <c r="DY2271" s="240"/>
      <c r="DZ2271" s="240"/>
      <c r="EA2271" s="240"/>
      <c r="EB2271" s="237"/>
      <c r="EC2271" s="241"/>
      <c r="ED2271" s="241"/>
      <c r="EE2271" s="241"/>
      <c r="EG2271" s="241"/>
      <c r="EI2271" s="241"/>
      <c r="EK2271" s="241"/>
    </row>
    <row r="2272" spans="1:141" s="121" customFormat="1" x14ac:dyDescent="0.3">
      <c r="A2272" s="124"/>
      <c r="O2272" s="235"/>
      <c r="X2272" s="117"/>
      <c r="Y2272" s="117"/>
      <c r="DT2272" s="240"/>
      <c r="DU2272" s="240"/>
      <c r="DV2272" s="240"/>
      <c r="DW2272" s="240"/>
      <c r="DX2272" s="240"/>
      <c r="DY2272" s="240"/>
      <c r="DZ2272" s="240"/>
      <c r="EA2272" s="240"/>
      <c r="EB2272" s="237"/>
      <c r="EC2272" s="241"/>
      <c r="ED2272" s="241"/>
      <c r="EE2272" s="241"/>
      <c r="EG2272" s="241"/>
      <c r="EI2272" s="241"/>
      <c r="EK2272" s="241"/>
    </row>
    <row r="2273" spans="1:141" s="121" customFormat="1" x14ac:dyDescent="0.3">
      <c r="A2273" s="124"/>
      <c r="O2273" s="235"/>
      <c r="X2273" s="117"/>
      <c r="Y2273" s="117"/>
      <c r="DT2273" s="240"/>
      <c r="DU2273" s="240"/>
      <c r="DV2273" s="240"/>
      <c r="DW2273" s="240"/>
      <c r="DX2273" s="240"/>
      <c r="DY2273" s="240"/>
      <c r="DZ2273" s="240"/>
      <c r="EA2273" s="240"/>
      <c r="EB2273" s="237"/>
      <c r="EC2273" s="241"/>
      <c r="ED2273" s="241"/>
      <c r="EE2273" s="241"/>
      <c r="EG2273" s="241"/>
      <c r="EI2273" s="241"/>
      <c r="EK2273" s="241"/>
    </row>
    <row r="2274" spans="1:141" s="121" customFormat="1" x14ac:dyDescent="0.3">
      <c r="A2274" s="124"/>
      <c r="O2274" s="235"/>
      <c r="X2274" s="117"/>
      <c r="Y2274" s="117"/>
      <c r="DT2274" s="240"/>
      <c r="DU2274" s="240"/>
      <c r="DV2274" s="240"/>
      <c r="DW2274" s="240"/>
      <c r="DX2274" s="240"/>
      <c r="DY2274" s="240"/>
      <c r="DZ2274" s="240"/>
      <c r="EA2274" s="240"/>
      <c r="EB2274" s="237"/>
      <c r="EC2274" s="241"/>
      <c r="ED2274" s="241"/>
      <c r="EE2274" s="241"/>
      <c r="EG2274" s="241"/>
      <c r="EI2274" s="241"/>
      <c r="EK2274" s="241"/>
    </row>
    <row r="2275" spans="1:141" s="121" customFormat="1" x14ac:dyDescent="0.3">
      <c r="A2275" s="124"/>
      <c r="O2275" s="235"/>
      <c r="X2275" s="117"/>
      <c r="Y2275" s="117"/>
      <c r="DT2275" s="240"/>
      <c r="DU2275" s="240"/>
      <c r="DV2275" s="240"/>
      <c r="DW2275" s="240"/>
      <c r="DX2275" s="240"/>
      <c r="DY2275" s="240"/>
      <c r="DZ2275" s="240"/>
      <c r="EA2275" s="240"/>
      <c r="EB2275" s="237"/>
      <c r="EC2275" s="241"/>
      <c r="ED2275" s="241"/>
      <c r="EE2275" s="241"/>
      <c r="EG2275" s="241"/>
      <c r="EI2275" s="241"/>
      <c r="EK2275" s="241"/>
    </row>
    <row r="2276" spans="1:141" s="121" customFormat="1" x14ac:dyDescent="0.3">
      <c r="A2276" s="124"/>
      <c r="O2276" s="235"/>
      <c r="X2276" s="117"/>
      <c r="Y2276" s="117"/>
      <c r="DT2276" s="240"/>
      <c r="DU2276" s="240"/>
      <c r="DV2276" s="240"/>
      <c r="DW2276" s="240"/>
      <c r="DX2276" s="240"/>
      <c r="DY2276" s="240"/>
      <c r="DZ2276" s="240"/>
      <c r="EA2276" s="240"/>
      <c r="EB2276" s="237"/>
      <c r="EC2276" s="241"/>
      <c r="ED2276" s="241"/>
      <c r="EE2276" s="241"/>
      <c r="EG2276" s="241"/>
      <c r="EI2276" s="241"/>
      <c r="EK2276" s="241"/>
    </row>
    <row r="2277" spans="1:141" s="121" customFormat="1" x14ac:dyDescent="0.3">
      <c r="A2277" s="124"/>
      <c r="O2277" s="235"/>
      <c r="X2277" s="117"/>
      <c r="Y2277" s="117"/>
      <c r="DT2277" s="240"/>
      <c r="DU2277" s="240"/>
      <c r="DV2277" s="240"/>
      <c r="DW2277" s="240"/>
      <c r="DX2277" s="240"/>
      <c r="DY2277" s="240"/>
      <c r="DZ2277" s="240"/>
      <c r="EA2277" s="240"/>
      <c r="EB2277" s="237"/>
      <c r="EC2277" s="241"/>
      <c r="ED2277" s="241"/>
      <c r="EE2277" s="241"/>
      <c r="EG2277" s="241"/>
      <c r="EI2277" s="241"/>
      <c r="EK2277" s="241"/>
    </row>
    <row r="2278" spans="1:141" s="121" customFormat="1" x14ac:dyDescent="0.3">
      <c r="A2278" s="124"/>
      <c r="O2278" s="235"/>
      <c r="X2278" s="117"/>
      <c r="Y2278" s="117"/>
      <c r="DT2278" s="240"/>
      <c r="DU2278" s="240"/>
      <c r="DV2278" s="240"/>
      <c r="DW2278" s="240"/>
      <c r="DX2278" s="240"/>
      <c r="DY2278" s="240"/>
      <c r="DZ2278" s="240"/>
      <c r="EA2278" s="240"/>
      <c r="EB2278" s="237"/>
      <c r="EC2278" s="241"/>
      <c r="ED2278" s="241"/>
      <c r="EE2278" s="241"/>
      <c r="EG2278" s="241"/>
      <c r="EI2278" s="241"/>
      <c r="EK2278" s="241"/>
    </row>
    <row r="2279" spans="1:141" s="121" customFormat="1" x14ac:dyDescent="0.3">
      <c r="A2279" s="124"/>
      <c r="O2279" s="235"/>
      <c r="X2279" s="117"/>
      <c r="Y2279" s="117"/>
      <c r="DT2279" s="240"/>
      <c r="DU2279" s="240"/>
      <c r="DV2279" s="240"/>
      <c r="DW2279" s="240"/>
      <c r="DX2279" s="240"/>
      <c r="DY2279" s="240"/>
      <c r="DZ2279" s="240"/>
      <c r="EA2279" s="240"/>
      <c r="EB2279" s="237"/>
      <c r="EC2279" s="241"/>
      <c r="ED2279" s="241"/>
      <c r="EE2279" s="241"/>
      <c r="EG2279" s="241"/>
      <c r="EI2279" s="241"/>
      <c r="EK2279" s="241"/>
    </row>
    <row r="2280" spans="1:141" s="121" customFormat="1" x14ac:dyDescent="0.3">
      <c r="A2280" s="124"/>
      <c r="O2280" s="235"/>
      <c r="X2280" s="117"/>
      <c r="Y2280" s="117"/>
      <c r="DT2280" s="240"/>
      <c r="DU2280" s="240"/>
      <c r="DV2280" s="240"/>
      <c r="DW2280" s="240"/>
      <c r="DX2280" s="240"/>
      <c r="DY2280" s="240"/>
      <c r="DZ2280" s="240"/>
      <c r="EA2280" s="240"/>
      <c r="EB2280" s="237"/>
      <c r="EC2280" s="241"/>
      <c r="ED2280" s="241"/>
      <c r="EE2280" s="241"/>
      <c r="EG2280" s="241"/>
      <c r="EI2280" s="241"/>
      <c r="EK2280" s="241"/>
    </row>
    <row r="2281" spans="1:141" s="121" customFormat="1" x14ac:dyDescent="0.3">
      <c r="A2281" s="124"/>
      <c r="O2281" s="235"/>
      <c r="X2281" s="117"/>
      <c r="Y2281" s="117"/>
      <c r="DT2281" s="240"/>
      <c r="DU2281" s="240"/>
      <c r="DV2281" s="240"/>
      <c r="DW2281" s="240"/>
      <c r="DX2281" s="240"/>
      <c r="DY2281" s="240"/>
      <c r="DZ2281" s="240"/>
      <c r="EA2281" s="240"/>
      <c r="EB2281" s="237"/>
      <c r="EC2281" s="241"/>
      <c r="ED2281" s="241"/>
      <c r="EE2281" s="241"/>
      <c r="EG2281" s="241"/>
      <c r="EI2281" s="241"/>
      <c r="EK2281" s="241"/>
    </row>
    <row r="2282" spans="1:141" s="121" customFormat="1" x14ac:dyDescent="0.3">
      <c r="A2282" s="124"/>
      <c r="O2282" s="235"/>
      <c r="X2282" s="117"/>
      <c r="Y2282" s="117"/>
      <c r="DT2282" s="240"/>
      <c r="DU2282" s="240"/>
      <c r="DV2282" s="240"/>
      <c r="DW2282" s="240"/>
      <c r="DX2282" s="240"/>
      <c r="DY2282" s="240"/>
      <c r="DZ2282" s="240"/>
      <c r="EA2282" s="240"/>
      <c r="EB2282" s="237"/>
      <c r="EC2282" s="241"/>
      <c r="ED2282" s="241"/>
      <c r="EE2282" s="241"/>
      <c r="EG2282" s="241"/>
      <c r="EI2282" s="241"/>
      <c r="EK2282" s="241"/>
    </row>
    <row r="2283" spans="1:141" s="121" customFormat="1" x14ac:dyDescent="0.3">
      <c r="A2283" s="124"/>
      <c r="O2283" s="235"/>
      <c r="X2283" s="117"/>
      <c r="Y2283" s="117"/>
      <c r="DT2283" s="240"/>
      <c r="DU2283" s="240"/>
      <c r="DV2283" s="240"/>
      <c r="DW2283" s="240"/>
      <c r="DX2283" s="240"/>
      <c r="DY2283" s="240"/>
      <c r="DZ2283" s="240"/>
      <c r="EA2283" s="240"/>
      <c r="EB2283" s="237"/>
      <c r="EC2283" s="241"/>
      <c r="ED2283" s="241"/>
      <c r="EE2283" s="241"/>
      <c r="EG2283" s="241"/>
      <c r="EI2283" s="241"/>
      <c r="EK2283" s="241"/>
    </row>
    <row r="2284" spans="1:141" s="121" customFormat="1" x14ac:dyDescent="0.3">
      <c r="A2284" s="124"/>
      <c r="O2284" s="235"/>
      <c r="X2284" s="117"/>
      <c r="Y2284" s="117"/>
      <c r="DT2284" s="240"/>
      <c r="DU2284" s="240"/>
      <c r="DV2284" s="240"/>
      <c r="DW2284" s="240"/>
      <c r="DX2284" s="240"/>
      <c r="DY2284" s="240"/>
      <c r="DZ2284" s="240"/>
      <c r="EA2284" s="240"/>
      <c r="EB2284" s="237"/>
      <c r="EC2284" s="241"/>
      <c r="ED2284" s="241"/>
      <c r="EE2284" s="241"/>
      <c r="EG2284" s="241"/>
      <c r="EI2284" s="241"/>
      <c r="EK2284" s="241"/>
    </row>
    <row r="2285" spans="1:141" s="121" customFormat="1" x14ac:dyDescent="0.3">
      <c r="A2285" s="124"/>
      <c r="O2285" s="235"/>
      <c r="X2285" s="117"/>
      <c r="Y2285" s="117"/>
      <c r="DT2285" s="240"/>
      <c r="DU2285" s="240"/>
      <c r="DV2285" s="240"/>
      <c r="DW2285" s="240"/>
      <c r="DX2285" s="240"/>
      <c r="DY2285" s="240"/>
      <c r="DZ2285" s="240"/>
      <c r="EA2285" s="240"/>
      <c r="EB2285" s="237"/>
      <c r="EC2285" s="241"/>
      <c r="ED2285" s="241"/>
      <c r="EE2285" s="241"/>
      <c r="EG2285" s="241"/>
      <c r="EI2285" s="241"/>
      <c r="EK2285" s="241"/>
    </row>
    <row r="2286" spans="1:141" s="121" customFormat="1" x14ac:dyDescent="0.3">
      <c r="A2286" s="124"/>
      <c r="O2286" s="235"/>
      <c r="X2286" s="117"/>
      <c r="Y2286" s="117"/>
      <c r="DT2286" s="240"/>
      <c r="DU2286" s="240"/>
      <c r="DV2286" s="240"/>
      <c r="DW2286" s="240"/>
      <c r="DX2286" s="240"/>
      <c r="DY2286" s="240"/>
      <c r="DZ2286" s="240"/>
      <c r="EA2286" s="240"/>
      <c r="EB2286" s="237"/>
      <c r="EC2286" s="241"/>
      <c r="ED2286" s="241"/>
      <c r="EE2286" s="241"/>
      <c r="EG2286" s="241"/>
      <c r="EI2286" s="241"/>
      <c r="EK2286" s="241"/>
    </row>
    <row r="2287" spans="1:141" s="121" customFormat="1" x14ac:dyDescent="0.3">
      <c r="A2287" s="124"/>
      <c r="O2287" s="235"/>
      <c r="X2287" s="117"/>
      <c r="Y2287" s="117"/>
      <c r="DT2287" s="240"/>
      <c r="DU2287" s="240"/>
      <c r="DV2287" s="240"/>
      <c r="DW2287" s="240"/>
      <c r="DX2287" s="240"/>
      <c r="DY2287" s="240"/>
      <c r="DZ2287" s="240"/>
      <c r="EA2287" s="240"/>
      <c r="EB2287" s="237"/>
      <c r="EC2287" s="241"/>
      <c r="ED2287" s="241"/>
      <c r="EE2287" s="241"/>
      <c r="EG2287" s="241"/>
      <c r="EI2287" s="241"/>
      <c r="EK2287" s="241"/>
    </row>
    <row r="2288" spans="1:141" s="121" customFormat="1" x14ac:dyDescent="0.3">
      <c r="A2288" s="124"/>
      <c r="O2288" s="235"/>
      <c r="X2288" s="117"/>
      <c r="Y2288" s="117"/>
      <c r="DT2288" s="240"/>
      <c r="DU2288" s="240"/>
      <c r="DV2288" s="240"/>
      <c r="DW2288" s="240"/>
      <c r="DX2288" s="240"/>
      <c r="DY2288" s="240"/>
      <c r="DZ2288" s="240"/>
      <c r="EA2288" s="240"/>
      <c r="EB2288" s="237"/>
      <c r="EC2288" s="241"/>
      <c r="ED2288" s="241"/>
      <c r="EE2288" s="241"/>
      <c r="EG2288" s="241"/>
      <c r="EI2288" s="241"/>
      <c r="EK2288" s="241"/>
    </row>
    <row r="2289" spans="1:141" s="121" customFormat="1" x14ac:dyDescent="0.3">
      <c r="A2289" s="124"/>
      <c r="O2289" s="235"/>
      <c r="X2289" s="117"/>
      <c r="Y2289" s="117"/>
      <c r="DT2289" s="240"/>
      <c r="DU2289" s="240"/>
      <c r="DV2289" s="240"/>
      <c r="DW2289" s="240"/>
      <c r="DX2289" s="240"/>
      <c r="DY2289" s="240"/>
      <c r="DZ2289" s="240"/>
      <c r="EA2289" s="240"/>
      <c r="EB2289" s="237"/>
      <c r="EC2289" s="241"/>
      <c r="ED2289" s="241"/>
      <c r="EE2289" s="241"/>
      <c r="EG2289" s="241"/>
      <c r="EI2289" s="241"/>
      <c r="EK2289" s="241"/>
    </row>
    <row r="2290" spans="1:141" s="121" customFormat="1" x14ac:dyDescent="0.3">
      <c r="A2290" s="124"/>
      <c r="O2290" s="235"/>
      <c r="X2290" s="117"/>
      <c r="Y2290" s="117"/>
      <c r="DT2290" s="240"/>
      <c r="DU2290" s="240"/>
      <c r="DV2290" s="240"/>
      <c r="DW2290" s="240"/>
      <c r="DX2290" s="240"/>
      <c r="DY2290" s="240"/>
      <c r="DZ2290" s="240"/>
      <c r="EA2290" s="240"/>
      <c r="EB2290" s="237"/>
      <c r="EC2290" s="241"/>
      <c r="ED2290" s="241"/>
      <c r="EE2290" s="241"/>
      <c r="EG2290" s="241"/>
      <c r="EI2290" s="241"/>
      <c r="EK2290" s="241"/>
    </row>
    <row r="2291" spans="1:141" s="121" customFormat="1" x14ac:dyDescent="0.3">
      <c r="A2291" s="124"/>
      <c r="O2291" s="235"/>
      <c r="X2291" s="117"/>
      <c r="Y2291" s="117"/>
      <c r="DT2291" s="240"/>
      <c r="DU2291" s="240"/>
      <c r="DV2291" s="240"/>
      <c r="DW2291" s="240"/>
      <c r="DX2291" s="240"/>
      <c r="DY2291" s="240"/>
      <c r="DZ2291" s="240"/>
      <c r="EA2291" s="240"/>
      <c r="EB2291" s="237"/>
      <c r="EC2291" s="241"/>
      <c r="ED2291" s="241"/>
      <c r="EE2291" s="241"/>
      <c r="EG2291" s="241"/>
      <c r="EI2291" s="241"/>
      <c r="EK2291" s="241"/>
    </row>
    <row r="2292" spans="1:141" s="121" customFormat="1" x14ac:dyDescent="0.3">
      <c r="A2292" s="124"/>
      <c r="O2292" s="235"/>
      <c r="X2292" s="117"/>
      <c r="Y2292" s="117"/>
      <c r="DT2292" s="240"/>
      <c r="DU2292" s="240"/>
      <c r="DV2292" s="240"/>
      <c r="DW2292" s="240"/>
      <c r="DX2292" s="240"/>
      <c r="DY2292" s="240"/>
      <c r="DZ2292" s="240"/>
      <c r="EA2292" s="240"/>
      <c r="EB2292" s="237"/>
      <c r="EC2292" s="241"/>
      <c r="ED2292" s="241"/>
      <c r="EE2292" s="241"/>
      <c r="EG2292" s="241"/>
      <c r="EI2292" s="241"/>
      <c r="EK2292" s="241"/>
    </row>
    <row r="2293" spans="1:141" s="121" customFormat="1" x14ac:dyDescent="0.3">
      <c r="A2293" s="124"/>
      <c r="O2293" s="235"/>
      <c r="X2293" s="117"/>
      <c r="Y2293" s="117"/>
      <c r="DT2293" s="240"/>
      <c r="DU2293" s="240"/>
      <c r="DV2293" s="240"/>
      <c r="DW2293" s="240"/>
      <c r="DX2293" s="240"/>
      <c r="DY2293" s="240"/>
      <c r="DZ2293" s="240"/>
      <c r="EA2293" s="240"/>
      <c r="EB2293" s="237"/>
      <c r="EC2293" s="241"/>
      <c r="ED2293" s="241"/>
      <c r="EE2293" s="241"/>
      <c r="EG2293" s="241"/>
      <c r="EI2293" s="241"/>
      <c r="EK2293" s="241"/>
    </row>
    <row r="2294" spans="1:141" s="121" customFormat="1" x14ac:dyDescent="0.3">
      <c r="A2294" s="124"/>
      <c r="O2294" s="235"/>
      <c r="X2294" s="117"/>
      <c r="Y2294" s="117"/>
      <c r="DT2294" s="240"/>
      <c r="DU2294" s="240"/>
      <c r="DV2294" s="240"/>
      <c r="DW2294" s="240"/>
      <c r="DX2294" s="240"/>
      <c r="DY2294" s="240"/>
      <c r="DZ2294" s="240"/>
      <c r="EA2294" s="240"/>
      <c r="EB2294" s="237"/>
      <c r="EC2294" s="241"/>
      <c r="ED2294" s="241"/>
      <c r="EE2294" s="241"/>
      <c r="EG2294" s="241"/>
      <c r="EI2294" s="241"/>
      <c r="EK2294" s="241"/>
    </row>
    <row r="2295" spans="1:141" s="121" customFormat="1" x14ac:dyDescent="0.3">
      <c r="A2295" s="124"/>
      <c r="O2295" s="235"/>
      <c r="X2295" s="117"/>
      <c r="Y2295" s="117"/>
      <c r="DT2295" s="240"/>
      <c r="DU2295" s="240"/>
      <c r="DV2295" s="240"/>
      <c r="DW2295" s="240"/>
      <c r="DX2295" s="240"/>
      <c r="DY2295" s="240"/>
      <c r="DZ2295" s="240"/>
      <c r="EA2295" s="240"/>
      <c r="EB2295" s="237"/>
      <c r="EC2295" s="241"/>
      <c r="ED2295" s="241"/>
      <c r="EE2295" s="241"/>
      <c r="EG2295" s="241"/>
      <c r="EI2295" s="241"/>
      <c r="EK2295" s="241"/>
    </row>
    <row r="2296" spans="1:141" s="121" customFormat="1" x14ac:dyDescent="0.3">
      <c r="A2296" s="124"/>
      <c r="O2296" s="235"/>
      <c r="X2296" s="117"/>
      <c r="Y2296" s="117"/>
      <c r="DT2296" s="240"/>
      <c r="DU2296" s="240"/>
      <c r="DV2296" s="240"/>
      <c r="DW2296" s="240"/>
      <c r="DX2296" s="240"/>
      <c r="DY2296" s="240"/>
      <c r="DZ2296" s="240"/>
      <c r="EA2296" s="240"/>
      <c r="EB2296" s="237"/>
      <c r="EC2296" s="241"/>
      <c r="ED2296" s="241"/>
      <c r="EE2296" s="241"/>
      <c r="EG2296" s="241"/>
      <c r="EI2296" s="241"/>
      <c r="EK2296" s="241"/>
    </row>
    <row r="2297" spans="1:141" s="121" customFormat="1" x14ac:dyDescent="0.3">
      <c r="A2297" s="124"/>
      <c r="O2297" s="235"/>
      <c r="X2297" s="117"/>
      <c r="Y2297" s="117"/>
      <c r="DT2297" s="240"/>
      <c r="DU2297" s="240"/>
      <c r="DV2297" s="240"/>
      <c r="DW2297" s="240"/>
      <c r="DX2297" s="240"/>
      <c r="DY2297" s="240"/>
      <c r="DZ2297" s="240"/>
      <c r="EA2297" s="240"/>
      <c r="EB2297" s="237"/>
      <c r="EC2297" s="241"/>
      <c r="ED2297" s="241"/>
      <c r="EE2297" s="241"/>
      <c r="EG2297" s="241"/>
      <c r="EI2297" s="241"/>
      <c r="EK2297" s="241"/>
    </row>
    <row r="2298" spans="1:141" s="121" customFormat="1" x14ac:dyDescent="0.3">
      <c r="A2298" s="124"/>
      <c r="O2298" s="235"/>
      <c r="X2298" s="117"/>
      <c r="Y2298" s="117"/>
      <c r="DT2298" s="240"/>
      <c r="DU2298" s="240"/>
      <c r="DV2298" s="240"/>
      <c r="DW2298" s="240"/>
      <c r="DX2298" s="240"/>
      <c r="DY2298" s="240"/>
      <c r="DZ2298" s="240"/>
      <c r="EA2298" s="240"/>
      <c r="EB2298" s="237"/>
      <c r="EC2298" s="241"/>
      <c r="ED2298" s="241"/>
      <c r="EE2298" s="241"/>
      <c r="EG2298" s="241"/>
      <c r="EI2298" s="241"/>
      <c r="EK2298" s="241"/>
    </row>
    <row r="2299" spans="1:141" s="121" customFormat="1" x14ac:dyDescent="0.3">
      <c r="A2299" s="124"/>
      <c r="O2299" s="235"/>
      <c r="X2299" s="117"/>
      <c r="Y2299" s="117"/>
      <c r="DT2299" s="240"/>
      <c r="DU2299" s="240"/>
      <c r="DV2299" s="240"/>
      <c r="DW2299" s="240"/>
      <c r="DX2299" s="240"/>
      <c r="DY2299" s="240"/>
      <c r="DZ2299" s="240"/>
      <c r="EA2299" s="240"/>
      <c r="EB2299" s="237"/>
      <c r="EC2299" s="241"/>
      <c r="ED2299" s="241"/>
      <c r="EE2299" s="241"/>
      <c r="EG2299" s="241"/>
      <c r="EI2299" s="241"/>
      <c r="EK2299" s="241"/>
    </row>
    <row r="2300" spans="1:141" s="121" customFormat="1" x14ac:dyDescent="0.3">
      <c r="A2300" s="124"/>
      <c r="O2300" s="235"/>
      <c r="X2300" s="117"/>
      <c r="Y2300" s="117"/>
      <c r="DT2300" s="240"/>
      <c r="DU2300" s="240"/>
      <c r="DV2300" s="240"/>
      <c r="DW2300" s="240"/>
      <c r="DX2300" s="240"/>
      <c r="DY2300" s="240"/>
      <c r="DZ2300" s="240"/>
      <c r="EA2300" s="240"/>
      <c r="EB2300" s="237"/>
      <c r="EC2300" s="241"/>
      <c r="ED2300" s="241"/>
      <c r="EE2300" s="241"/>
      <c r="EG2300" s="241"/>
      <c r="EI2300" s="241"/>
      <c r="EK2300" s="241"/>
    </row>
    <row r="2301" spans="1:141" s="121" customFormat="1" x14ac:dyDescent="0.3">
      <c r="A2301" s="124"/>
      <c r="O2301" s="235"/>
      <c r="X2301" s="117"/>
      <c r="Y2301" s="117"/>
      <c r="DT2301" s="240"/>
      <c r="DU2301" s="240"/>
      <c r="DV2301" s="240"/>
      <c r="DW2301" s="240"/>
      <c r="DX2301" s="240"/>
      <c r="DY2301" s="240"/>
      <c r="DZ2301" s="240"/>
      <c r="EA2301" s="240"/>
      <c r="EB2301" s="237"/>
      <c r="EC2301" s="241"/>
      <c r="ED2301" s="241"/>
      <c r="EE2301" s="241"/>
      <c r="EG2301" s="241"/>
      <c r="EI2301" s="241"/>
      <c r="EK2301" s="241"/>
    </row>
    <row r="2302" spans="1:141" s="121" customFormat="1" x14ac:dyDescent="0.3">
      <c r="A2302" s="124"/>
      <c r="O2302" s="235"/>
      <c r="X2302" s="117"/>
      <c r="Y2302" s="117"/>
      <c r="DT2302" s="240"/>
      <c r="DU2302" s="240"/>
      <c r="DV2302" s="240"/>
      <c r="DW2302" s="240"/>
      <c r="DX2302" s="240"/>
      <c r="DY2302" s="240"/>
      <c r="DZ2302" s="240"/>
      <c r="EA2302" s="240"/>
      <c r="EB2302" s="237"/>
      <c r="EC2302" s="241"/>
      <c r="ED2302" s="241"/>
      <c r="EE2302" s="241"/>
      <c r="EG2302" s="241"/>
      <c r="EI2302" s="241"/>
      <c r="EK2302" s="241"/>
    </row>
    <row r="2303" spans="1:141" s="121" customFormat="1" x14ac:dyDescent="0.3">
      <c r="A2303" s="124"/>
      <c r="O2303" s="235"/>
      <c r="X2303" s="117"/>
      <c r="Y2303" s="117"/>
      <c r="DT2303" s="240"/>
      <c r="DU2303" s="240"/>
      <c r="DV2303" s="240"/>
      <c r="DW2303" s="240"/>
      <c r="DX2303" s="240"/>
      <c r="DY2303" s="240"/>
      <c r="DZ2303" s="240"/>
      <c r="EA2303" s="240"/>
      <c r="EB2303" s="237"/>
      <c r="EC2303" s="241"/>
      <c r="ED2303" s="241"/>
      <c r="EE2303" s="241"/>
      <c r="EG2303" s="241"/>
      <c r="EI2303" s="241"/>
      <c r="EK2303" s="241"/>
    </row>
    <row r="2304" spans="1:141" s="121" customFormat="1" x14ac:dyDescent="0.3">
      <c r="A2304" s="124"/>
      <c r="O2304" s="235"/>
      <c r="X2304" s="117"/>
      <c r="Y2304" s="117"/>
      <c r="DT2304" s="240"/>
      <c r="DU2304" s="240"/>
      <c r="DV2304" s="240"/>
      <c r="DW2304" s="240"/>
      <c r="DX2304" s="240"/>
      <c r="DY2304" s="240"/>
      <c r="DZ2304" s="240"/>
      <c r="EA2304" s="240"/>
      <c r="EB2304" s="237"/>
      <c r="EC2304" s="241"/>
      <c r="ED2304" s="241"/>
      <c r="EE2304" s="241"/>
      <c r="EG2304" s="241"/>
      <c r="EI2304" s="241"/>
      <c r="EK2304" s="241"/>
    </row>
    <row r="2305" spans="1:141" s="121" customFormat="1" x14ac:dyDescent="0.3">
      <c r="A2305" s="124"/>
      <c r="O2305" s="235"/>
      <c r="X2305" s="117"/>
      <c r="Y2305" s="117"/>
      <c r="DT2305" s="240"/>
      <c r="DU2305" s="240"/>
      <c r="DV2305" s="240"/>
      <c r="DW2305" s="240"/>
      <c r="DX2305" s="240"/>
      <c r="DY2305" s="240"/>
      <c r="DZ2305" s="240"/>
      <c r="EA2305" s="240"/>
      <c r="EB2305" s="237"/>
      <c r="EC2305" s="241"/>
      <c r="ED2305" s="241"/>
      <c r="EE2305" s="241"/>
      <c r="EG2305" s="241"/>
      <c r="EI2305" s="241"/>
      <c r="EK2305" s="241"/>
    </row>
    <row r="2306" spans="1:141" s="121" customFormat="1" x14ac:dyDescent="0.3">
      <c r="A2306" s="124"/>
      <c r="O2306" s="235"/>
      <c r="X2306" s="117"/>
      <c r="Y2306" s="117"/>
      <c r="DT2306" s="240"/>
      <c r="DU2306" s="240"/>
      <c r="DV2306" s="240"/>
      <c r="DW2306" s="240"/>
      <c r="DX2306" s="240"/>
      <c r="DY2306" s="240"/>
      <c r="DZ2306" s="240"/>
      <c r="EA2306" s="240"/>
      <c r="EB2306" s="237"/>
      <c r="EC2306" s="241"/>
      <c r="ED2306" s="241"/>
      <c r="EE2306" s="241"/>
      <c r="EG2306" s="241"/>
      <c r="EI2306" s="241"/>
      <c r="EK2306" s="241"/>
    </row>
    <row r="2307" spans="1:141" s="121" customFormat="1" x14ac:dyDescent="0.3">
      <c r="A2307" s="124"/>
      <c r="O2307" s="235"/>
      <c r="X2307" s="117"/>
      <c r="Y2307" s="117"/>
      <c r="DT2307" s="240"/>
      <c r="DU2307" s="240"/>
      <c r="DV2307" s="240"/>
      <c r="DW2307" s="240"/>
      <c r="DX2307" s="240"/>
      <c r="DY2307" s="240"/>
      <c r="DZ2307" s="240"/>
      <c r="EA2307" s="240"/>
      <c r="EB2307" s="237"/>
      <c r="EC2307" s="241"/>
      <c r="ED2307" s="241"/>
      <c r="EE2307" s="241"/>
      <c r="EG2307" s="241"/>
      <c r="EI2307" s="241"/>
      <c r="EK2307" s="241"/>
    </row>
    <row r="2308" spans="1:141" s="121" customFormat="1" x14ac:dyDescent="0.3">
      <c r="A2308" s="124"/>
      <c r="O2308" s="235"/>
      <c r="X2308" s="117"/>
      <c r="Y2308" s="117"/>
      <c r="DT2308" s="240"/>
      <c r="DU2308" s="240"/>
      <c r="DV2308" s="240"/>
      <c r="DW2308" s="240"/>
      <c r="DX2308" s="240"/>
      <c r="DY2308" s="240"/>
      <c r="DZ2308" s="240"/>
      <c r="EA2308" s="240"/>
      <c r="EB2308" s="237"/>
      <c r="EC2308" s="241"/>
      <c r="ED2308" s="241"/>
      <c r="EE2308" s="241"/>
      <c r="EG2308" s="241"/>
      <c r="EI2308" s="241"/>
      <c r="EK2308" s="241"/>
    </row>
    <row r="2309" spans="1:141" s="121" customFormat="1" x14ac:dyDescent="0.3">
      <c r="A2309" s="124"/>
      <c r="O2309" s="235"/>
      <c r="X2309" s="117"/>
      <c r="Y2309" s="117"/>
      <c r="DT2309" s="240"/>
      <c r="DU2309" s="240"/>
      <c r="DV2309" s="240"/>
      <c r="DW2309" s="240"/>
      <c r="DX2309" s="240"/>
      <c r="DY2309" s="240"/>
      <c r="DZ2309" s="240"/>
      <c r="EA2309" s="240"/>
      <c r="EB2309" s="237"/>
      <c r="EC2309" s="241"/>
      <c r="ED2309" s="241"/>
      <c r="EE2309" s="241"/>
      <c r="EG2309" s="241"/>
      <c r="EI2309" s="241"/>
      <c r="EK2309" s="241"/>
    </row>
    <row r="2310" spans="1:141" s="121" customFormat="1" x14ac:dyDescent="0.3">
      <c r="A2310" s="124"/>
      <c r="O2310" s="235"/>
      <c r="X2310" s="117"/>
      <c r="Y2310" s="117"/>
      <c r="DT2310" s="240"/>
      <c r="DU2310" s="240"/>
      <c r="DV2310" s="240"/>
      <c r="DW2310" s="240"/>
      <c r="DX2310" s="240"/>
      <c r="DY2310" s="240"/>
      <c r="DZ2310" s="240"/>
      <c r="EA2310" s="240"/>
      <c r="EB2310" s="237"/>
      <c r="EC2310" s="241"/>
      <c r="ED2310" s="241"/>
      <c r="EE2310" s="241"/>
      <c r="EG2310" s="241"/>
      <c r="EI2310" s="241"/>
      <c r="EK2310" s="241"/>
    </row>
    <row r="2311" spans="1:141" s="121" customFormat="1" x14ac:dyDescent="0.3">
      <c r="A2311" s="124"/>
      <c r="O2311" s="235"/>
      <c r="X2311" s="117"/>
      <c r="Y2311" s="117"/>
      <c r="DT2311" s="240"/>
      <c r="DU2311" s="240"/>
      <c r="DV2311" s="240"/>
      <c r="DW2311" s="240"/>
      <c r="DX2311" s="240"/>
      <c r="DY2311" s="240"/>
      <c r="DZ2311" s="240"/>
      <c r="EA2311" s="240"/>
      <c r="EB2311" s="237"/>
      <c r="EC2311" s="241"/>
      <c r="ED2311" s="241"/>
      <c r="EE2311" s="241"/>
      <c r="EG2311" s="241"/>
      <c r="EI2311" s="241"/>
      <c r="EK2311" s="241"/>
    </row>
    <row r="2312" spans="1:141" s="121" customFormat="1" x14ac:dyDescent="0.3">
      <c r="A2312" s="124"/>
      <c r="O2312" s="235"/>
      <c r="X2312" s="117"/>
      <c r="Y2312" s="117"/>
      <c r="DT2312" s="240"/>
      <c r="DU2312" s="240"/>
      <c r="DV2312" s="240"/>
      <c r="DW2312" s="240"/>
      <c r="DX2312" s="240"/>
      <c r="DY2312" s="240"/>
      <c r="DZ2312" s="240"/>
      <c r="EA2312" s="240"/>
      <c r="EB2312" s="237"/>
      <c r="EC2312" s="241"/>
      <c r="ED2312" s="241"/>
      <c r="EE2312" s="241"/>
      <c r="EG2312" s="241"/>
      <c r="EI2312" s="241"/>
      <c r="EK2312" s="241"/>
    </row>
    <row r="2313" spans="1:141" s="121" customFormat="1" x14ac:dyDescent="0.3">
      <c r="A2313" s="124"/>
      <c r="O2313" s="235"/>
      <c r="X2313" s="117"/>
      <c r="Y2313" s="117"/>
      <c r="DT2313" s="240"/>
      <c r="DU2313" s="240"/>
      <c r="DV2313" s="240"/>
      <c r="DW2313" s="240"/>
      <c r="DX2313" s="240"/>
      <c r="DY2313" s="240"/>
      <c r="DZ2313" s="240"/>
      <c r="EA2313" s="240"/>
      <c r="EB2313" s="237"/>
      <c r="EC2313" s="241"/>
      <c r="ED2313" s="241"/>
      <c r="EE2313" s="241"/>
      <c r="EG2313" s="241"/>
      <c r="EI2313" s="241"/>
      <c r="EK2313" s="241"/>
    </row>
    <row r="2314" spans="1:141" s="121" customFormat="1" x14ac:dyDescent="0.3">
      <c r="A2314" s="124"/>
      <c r="O2314" s="235"/>
      <c r="X2314" s="117"/>
      <c r="Y2314" s="117"/>
      <c r="DT2314" s="240"/>
      <c r="DU2314" s="240"/>
      <c r="DV2314" s="240"/>
      <c r="DW2314" s="240"/>
      <c r="DX2314" s="240"/>
      <c r="DY2314" s="240"/>
      <c r="DZ2314" s="240"/>
      <c r="EA2314" s="240"/>
      <c r="EB2314" s="237"/>
      <c r="EC2314" s="241"/>
      <c r="ED2314" s="241"/>
      <c r="EE2314" s="241"/>
      <c r="EG2314" s="241"/>
      <c r="EI2314" s="241"/>
      <c r="EK2314" s="241"/>
    </row>
    <row r="2315" spans="1:141" s="121" customFormat="1" x14ac:dyDescent="0.3">
      <c r="A2315" s="124"/>
      <c r="O2315" s="235"/>
      <c r="X2315" s="117"/>
      <c r="Y2315" s="117"/>
      <c r="DT2315" s="240"/>
      <c r="DU2315" s="240"/>
      <c r="DV2315" s="240"/>
      <c r="DW2315" s="240"/>
      <c r="DX2315" s="240"/>
      <c r="DY2315" s="240"/>
      <c r="DZ2315" s="240"/>
      <c r="EA2315" s="240"/>
      <c r="EB2315" s="237"/>
      <c r="EC2315" s="241"/>
      <c r="ED2315" s="241"/>
      <c r="EE2315" s="241"/>
      <c r="EG2315" s="241"/>
      <c r="EI2315" s="241"/>
      <c r="EK2315" s="241"/>
    </row>
    <row r="2316" spans="1:141" s="121" customFormat="1" x14ac:dyDescent="0.3">
      <c r="A2316" s="124"/>
      <c r="O2316" s="235"/>
      <c r="X2316" s="117"/>
      <c r="Y2316" s="117"/>
      <c r="DT2316" s="240"/>
      <c r="DU2316" s="240"/>
      <c r="DV2316" s="240"/>
      <c r="DW2316" s="240"/>
      <c r="DX2316" s="240"/>
      <c r="DY2316" s="240"/>
      <c r="DZ2316" s="240"/>
      <c r="EA2316" s="240"/>
      <c r="EB2316" s="237"/>
      <c r="EC2316" s="241"/>
      <c r="ED2316" s="241"/>
      <c r="EE2316" s="241"/>
      <c r="EG2316" s="241"/>
      <c r="EI2316" s="241"/>
      <c r="EK2316" s="241"/>
    </row>
    <row r="2317" spans="1:141" s="121" customFormat="1" x14ac:dyDescent="0.3">
      <c r="A2317" s="124"/>
      <c r="O2317" s="235"/>
      <c r="X2317" s="117"/>
      <c r="Y2317" s="117"/>
      <c r="DT2317" s="240"/>
      <c r="DU2317" s="240"/>
      <c r="DV2317" s="240"/>
      <c r="DW2317" s="240"/>
      <c r="DX2317" s="240"/>
      <c r="DY2317" s="240"/>
      <c r="DZ2317" s="240"/>
      <c r="EA2317" s="240"/>
      <c r="EB2317" s="237"/>
      <c r="EC2317" s="241"/>
      <c r="ED2317" s="241"/>
      <c r="EE2317" s="241"/>
      <c r="EG2317" s="241"/>
      <c r="EI2317" s="241"/>
      <c r="EK2317" s="241"/>
    </row>
    <row r="2318" spans="1:141" s="121" customFormat="1" x14ac:dyDescent="0.3">
      <c r="A2318" s="124"/>
      <c r="O2318" s="235"/>
      <c r="X2318" s="117"/>
      <c r="Y2318" s="117"/>
      <c r="DT2318" s="240"/>
      <c r="DU2318" s="240"/>
      <c r="DV2318" s="240"/>
      <c r="DW2318" s="240"/>
      <c r="DX2318" s="240"/>
      <c r="DY2318" s="240"/>
      <c r="DZ2318" s="240"/>
      <c r="EA2318" s="240"/>
      <c r="EB2318" s="237"/>
      <c r="EC2318" s="241"/>
      <c r="ED2318" s="241"/>
      <c r="EE2318" s="241"/>
      <c r="EG2318" s="241"/>
      <c r="EI2318" s="241"/>
      <c r="EK2318" s="241"/>
    </row>
    <row r="2319" spans="1:141" s="121" customFormat="1" x14ac:dyDescent="0.3">
      <c r="A2319" s="124"/>
      <c r="O2319" s="235"/>
      <c r="X2319" s="117"/>
      <c r="Y2319" s="117"/>
      <c r="DT2319" s="240"/>
      <c r="DU2319" s="240"/>
      <c r="DV2319" s="240"/>
      <c r="DW2319" s="240"/>
      <c r="DX2319" s="240"/>
      <c r="DY2319" s="240"/>
      <c r="DZ2319" s="240"/>
      <c r="EA2319" s="240"/>
      <c r="EB2319" s="237"/>
      <c r="EC2319" s="241"/>
      <c r="ED2319" s="241"/>
      <c r="EE2319" s="241"/>
      <c r="EG2319" s="241"/>
      <c r="EI2319" s="241"/>
      <c r="EK2319" s="241"/>
    </row>
    <row r="2320" spans="1:141" s="121" customFormat="1" x14ac:dyDescent="0.3">
      <c r="A2320" s="124"/>
      <c r="O2320" s="235"/>
      <c r="X2320" s="117"/>
      <c r="Y2320" s="117"/>
      <c r="DT2320" s="240"/>
      <c r="DU2320" s="240"/>
      <c r="DV2320" s="240"/>
      <c r="DW2320" s="240"/>
      <c r="DX2320" s="240"/>
      <c r="DY2320" s="240"/>
      <c r="DZ2320" s="240"/>
      <c r="EA2320" s="240"/>
      <c r="EB2320" s="237"/>
      <c r="EC2320" s="241"/>
      <c r="ED2320" s="241"/>
      <c r="EE2320" s="241"/>
      <c r="EG2320" s="241"/>
      <c r="EI2320" s="241"/>
      <c r="EK2320" s="241"/>
    </row>
    <row r="2321" spans="1:141" s="121" customFormat="1" x14ac:dyDescent="0.3">
      <c r="A2321" s="124"/>
      <c r="O2321" s="235"/>
      <c r="X2321" s="117"/>
      <c r="Y2321" s="117"/>
      <c r="DT2321" s="240"/>
      <c r="DU2321" s="240"/>
      <c r="DV2321" s="240"/>
      <c r="DW2321" s="240"/>
      <c r="DX2321" s="240"/>
      <c r="DY2321" s="240"/>
      <c r="DZ2321" s="240"/>
      <c r="EA2321" s="240"/>
      <c r="EB2321" s="237"/>
      <c r="EC2321" s="241"/>
      <c r="ED2321" s="241"/>
      <c r="EE2321" s="241"/>
      <c r="EG2321" s="241"/>
      <c r="EI2321" s="241"/>
      <c r="EK2321" s="241"/>
    </row>
    <row r="2322" spans="1:141" s="121" customFormat="1" x14ac:dyDescent="0.3">
      <c r="A2322" s="124"/>
      <c r="O2322" s="235"/>
      <c r="X2322" s="117"/>
      <c r="Y2322" s="117"/>
      <c r="DT2322" s="240"/>
      <c r="DU2322" s="240"/>
      <c r="DV2322" s="240"/>
      <c r="DW2322" s="240"/>
      <c r="DX2322" s="240"/>
      <c r="DY2322" s="240"/>
      <c r="DZ2322" s="240"/>
      <c r="EA2322" s="240"/>
      <c r="EB2322" s="237"/>
      <c r="EC2322" s="241"/>
      <c r="ED2322" s="241"/>
      <c r="EE2322" s="241"/>
      <c r="EG2322" s="241"/>
      <c r="EI2322" s="241"/>
      <c r="EK2322" s="241"/>
    </row>
    <row r="2323" spans="1:141" s="121" customFormat="1" x14ac:dyDescent="0.3">
      <c r="A2323" s="124"/>
      <c r="O2323" s="235"/>
      <c r="X2323" s="117"/>
      <c r="Y2323" s="117"/>
      <c r="DT2323" s="240"/>
      <c r="DU2323" s="240"/>
      <c r="DV2323" s="240"/>
      <c r="DW2323" s="240"/>
      <c r="DX2323" s="240"/>
      <c r="DY2323" s="240"/>
      <c r="DZ2323" s="240"/>
      <c r="EA2323" s="240"/>
      <c r="EB2323" s="237"/>
      <c r="EC2323" s="241"/>
      <c r="ED2323" s="241"/>
      <c r="EE2323" s="241"/>
      <c r="EG2323" s="241"/>
      <c r="EI2323" s="241"/>
      <c r="EK2323" s="241"/>
    </row>
    <row r="2324" spans="1:141" s="121" customFormat="1" x14ac:dyDescent="0.3">
      <c r="A2324" s="124"/>
      <c r="O2324" s="235"/>
      <c r="X2324" s="117"/>
      <c r="Y2324" s="117"/>
      <c r="DT2324" s="240"/>
      <c r="DU2324" s="240"/>
      <c r="DV2324" s="240"/>
      <c r="DW2324" s="240"/>
      <c r="DX2324" s="240"/>
      <c r="DY2324" s="240"/>
      <c r="DZ2324" s="240"/>
      <c r="EA2324" s="240"/>
      <c r="EB2324" s="237"/>
      <c r="EC2324" s="241"/>
      <c r="ED2324" s="241"/>
      <c r="EE2324" s="241"/>
      <c r="EG2324" s="241"/>
      <c r="EI2324" s="241"/>
      <c r="EK2324" s="241"/>
    </row>
    <row r="2325" spans="1:141" s="121" customFormat="1" x14ac:dyDescent="0.3">
      <c r="A2325" s="124"/>
      <c r="O2325" s="235"/>
      <c r="X2325" s="117"/>
      <c r="Y2325" s="117"/>
      <c r="DT2325" s="240"/>
      <c r="DU2325" s="240"/>
      <c r="DV2325" s="240"/>
      <c r="DW2325" s="240"/>
      <c r="DX2325" s="240"/>
      <c r="DY2325" s="240"/>
      <c r="DZ2325" s="240"/>
      <c r="EA2325" s="240"/>
      <c r="EB2325" s="237"/>
      <c r="EC2325" s="241"/>
      <c r="ED2325" s="241"/>
      <c r="EE2325" s="241"/>
      <c r="EG2325" s="241"/>
      <c r="EI2325" s="241"/>
      <c r="EK2325" s="241"/>
    </row>
    <row r="2326" spans="1:141" s="121" customFormat="1" x14ac:dyDescent="0.3">
      <c r="A2326" s="124"/>
      <c r="O2326" s="235"/>
      <c r="X2326" s="117"/>
      <c r="Y2326" s="117"/>
      <c r="DT2326" s="240"/>
      <c r="DU2326" s="240"/>
      <c r="DV2326" s="240"/>
      <c r="DW2326" s="240"/>
      <c r="DX2326" s="240"/>
      <c r="DY2326" s="240"/>
      <c r="DZ2326" s="240"/>
      <c r="EA2326" s="240"/>
      <c r="EB2326" s="237"/>
      <c r="EC2326" s="241"/>
      <c r="ED2326" s="241"/>
      <c r="EE2326" s="241"/>
      <c r="EG2326" s="241"/>
      <c r="EI2326" s="241"/>
      <c r="EK2326" s="241"/>
    </row>
    <row r="2327" spans="1:141" s="121" customFormat="1" x14ac:dyDescent="0.3">
      <c r="A2327" s="124"/>
      <c r="O2327" s="235"/>
      <c r="X2327" s="117"/>
      <c r="Y2327" s="117"/>
      <c r="DT2327" s="240"/>
      <c r="DU2327" s="240"/>
      <c r="DV2327" s="240"/>
      <c r="DW2327" s="240"/>
      <c r="DX2327" s="240"/>
      <c r="DY2327" s="240"/>
      <c r="DZ2327" s="240"/>
      <c r="EA2327" s="240"/>
      <c r="EB2327" s="237"/>
      <c r="EC2327" s="241"/>
      <c r="ED2327" s="241"/>
      <c r="EE2327" s="241"/>
      <c r="EG2327" s="241"/>
      <c r="EI2327" s="241"/>
      <c r="EK2327" s="241"/>
    </row>
    <row r="2328" spans="1:141" s="121" customFormat="1" x14ac:dyDescent="0.3">
      <c r="A2328" s="124"/>
      <c r="O2328" s="235"/>
      <c r="X2328" s="117"/>
      <c r="Y2328" s="117"/>
      <c r="DT2328" s="240"/>
      <c r="DU2328" s="240"/>
      <c r="DV2328" s="240"/>
      <c r="DW2328" s="240"/>
      <c r="DX2328" s="240"/>
      <c r="DY2328" s="240"/>
      <c r="DZ2328" s="240"/>
      <c r="EA2328" s="240"/>
      <c r="EB2328" s="237"/>
      <c r="EC2328" s="241"/>
      <c r="ED2328" s="241"/>
      <c r="EE2328" s="241"/>
      <c r="EG2328" s="241"/>
      <c r="EI2328" s="241"/>
      <c r="EK2328" s="241"/>
    </row>
    <row r="2329" spans="1:141" s="121" customFormat="1" x14ac:dyDescent="0.3">
      <c r="A2329" s="124"/>
      <c r="O2329" s="235"/>
      <c r="X2329" s="117"/>
      <c r="Y2329" s="117"/>
      <c r="DT2329" s="240"/>
      <c r="DU2329" s="240"/>
      <c r="DV2329" s="240"/>
      <c r="DW2329" s="240"/>
      <c r="DX2329" s="240"/>
      <c r="DY2329" s="240"/>
      <c r="DZ2329" s="240"/>
      <c r="EA2329" s="240"/>
      <c r="EB2329" s="237"/>
      <c r="EC2329" s="241"/>
      <c r="ED2329" s="241"/>
      <c r="EE2329" s="241"/>
      <c r="EG2329" s="241"/>
      <c r="EI2329" s="241"/>
      <c r="EK2329" s="241"/>
    </row>
    <row r="2330" spans="1:141" s="121" customFormat="1" x14ac:dyDescent="0.3">
      <c r="A2330" s="124"/>
      <c r="O2330" s="235"/>
      <c r="X2330" s="117"/>
      <c r="Y2330" s="117"/>
      <c r="DT2330" s="240"/>
      <c r="DU2330" s="240"/>
      <c r="DV2330" s="240"/>
      <c r="DW2330" s="240"/>
      <c r="DX2330" s="240"/>
      <c r="DY2330" s="240"/>
      <c r="DZ2330" s="240"/>
      <c r="EA2330" s="240"/>
      <c r="EB2330" s="237"/>
      <c r="EC2330" s="241"/>
      <c r="ED2330" s="241"/>
      <c r="EE2330" s="241"/>
      <c r="EG2330" s="241"/>
      <c r="EI2330" s="241"/>
      <c r="EK2330" s="241"/>
    </row>
    <row r="2331" spans="1:141" s="121" customFormat="1" x14ac:dyDescent="0.3">
      <c r="A2331" s="124"/>
      <c r="O2331" s="235"/>
      <c r="X2331" s="117"/>
      <c r="Y2331" s="117"/>
      <c r="DT2331" s="240"/>
      <c r="DU2331" s="240"/>
      <c r="DV2331" s="240"/>
      <c r="DW2331" s="240"/>
      <c r="DX2331" s="240"/>
      <c r="DY2331" s="240"/>
      <c r="DZ2331" s="240"/>
      <c r="EA2331" s="240"/>
      <c r="EB2331" s="237"/>
      <c r="EC2331" s="241"/>
      <c r="ED2331" s="241"/>
      <c r="EE2331" s="241"/>
      <c r="EG2331" s="241"/>
      <c r="EI2331" s="241"/>
      <c r="EK2331" s="241"/>
    </row>
    <row r="2332" spans="1:141" s="121" customFormat="1" x14ac:dyDescent="0.3">
      <c r="A2332" s="124"/>
      <c r="O2332" s="235"/>
      <c r="X2332" s="117"/>
      <c r="Y2332" s="117"/>
      <c r="DT2332" s="240"/>
      <c r="DU2332" s="240"/>
      <c r="DV2332" s="240"/>
      <c r="DW2332" s="240"/>
      <c r="DX2332" s="240"/>
      <c r="DY2332" s="240"/>
      <c r="DZ2332" s="240"/>
      <c r="EA2332" s="240"/>
      <c r="EB2332" s="237"/>
      <c r="EC2332" s="241"/>
      <c r="ED2332" s="241"/>
      <c r="EE2332" s="241"/>
      <c r="EG2332" s="241"/>
      <c r="EI2332" s="241"/>
      <c r="EK2332" s="241"/>
    </row>
    <row r="2333" spans="1:141" s="121" customFormat="1" x14ac:dyDescent="0.3">
      <c r="A2333" s="124"/>
      <c r="O2333" s="235"/>
      <c r="X2333" s="117"/>
      <c r="Y2333" s="117"/>
      <c r="DT2333" s="240"/>
      <c r="DU2333" s="240"/>
      <c r="DV2333" s="240"/>
      <c r="DW2333" s="240"/>
      <c r="DX2333" s="240"/>
      <c r="DY2333" s="240"/>
      <c r="DZ2333" s="240"/>
      <c r="EA2333" s="240"/>
      <c r="EB2333" s="237"/>
      <c r="EC2333" s="241"/>
      <c r="ED2333" s="241"/>
      <c r="EE2333" s="241"/>
      <c r="EG2333" s="241"/>
      <c r="EI2333" s="241"/>
      <c r="EK2333" s="241"/>
    </row>
    <row r="2334" spans="1:141" s="121" customFormat="1" x14ac:dyDescent="0.3">
      <c r="A2334" s="124"/>
      <c r="O2334" s="235"/>
      <c r="X2334" s="117"/>
      <c r="Y2334" s="117"/>
      <c r="DT2334" s="240"/>
      <c r="DU2334" s="240"/>
      <c r="DV2334" s="240"/>
      <c r="DW2334" s="240"/>
      <c r="DX2334" s="240"/>
      <c r="DY2334" s="240"/>
      <c r="DZ2334" s="240"/>
      <c r="EA2334" s="240"/>
      <c r="EB2334" s="237"/>
      <c r="EC2334" s="241"/>
      <c r="ED2334" s="241"/>
      <c r="EE2334" s="241"/>
      <c r="EG2334" s="241"/>
      <c r="EI2334" s="241"/>
      <c r="EK2334" s="241"/>
    </row>
    <row r="2335" spans="1:141" s="121" customFormat="1" x14ac:dyDescent="0.3">
      <c r="A2335" s="124"/>
      <c r="O2335" s="235"/>
      <c r="X2335" s="117"/>
      <c r="Y2335" s="117"/>
      <c r="DT2335" s="240"/>
      <c r="DU2335" s="240"/>
      <c r="DV2335" s="240"/>
      <c r="DW2335" s="240"/>
      <c r="DX2335" s="240"/>
      <c r="DY2335" s="240"/>
      <c r="DZ2335" s="240"/>
      <c r="EA2335" s="240"/>
      <c r="EB2335" s="237"/>
      <c r="EC2335" s="241"/>
      <c r="ED2335" s="241"/>
      <c r="EE2335" s="241"/>
      <c r="EG2335" s="241"/>
      <c r="EI2335" s="241"/>
      <c r="EK2335" s="241"/>
    </row>
    <row r="2336" spans="1:141" s="121" customFormat="1" x14ac:dyDescent="0.3">
      <c r="A2336" s="124"/>
      <c r="O2336" s="235"/>
      <c r="X2336" s="117"/>
      <c r="Y2336" s="117"/>
      <c r="DT2336" s="240"/>
      <c r="DU2336" s="240"/>
      <c r="DV2336" s="240"/>
      <c r="DW2336" s="240"/>
      <c r="DX2336" s="240"/>
      <c r="DY2336" s="240"/>
      <c r="DZ2336" s="240"/>
      <c r="EA2336" s="240"/>
      <c r="EB2336" s="237"/>
      <c r="EC2336" s="241"/>
      <c r="ED2336" s="241"/>
      <c r="EE2336" s="241"/>
      <c r="EG2336" s="241"/>
      <c r="EI2336" s="241"/>
      <c r="EK2336" s="241"/>
    </row>
    <row r="2337" spans="1:141" s="121" customFormat="1" x14ac:dyDescent="0.3">
      <c r="A2337" s="124"/>
      <c r="O2337" s="235"/>
      <c r="X2337" s="117"/>
      <c r="Y2337" s="117"/>
      <c r="DT2337" s="240"/>
      <c r="DU2337" s="240"/>
      <c r="DV2337" s="240"/>
      <c r="DW2337" s="240"/>
      <c r="DX2337" s="240"/>
      <c r="DY2337" s="240"/>
      <c r="DZ2337" s="240"/>
      <c r="EA2337" s="240"/>
      <c r="EB2337" s="237"/>
      <c r="EC2337" s="241"/>
      <c r="ED2337" s="241"/>
      <c r="EE2337" s="241"/>
      <c r="EG2337" s="241"/>
      <c r="EI2337" s="241"/>
      <c r="EK2337" s="241"/>
    </row>
    <row r="2338" spans="1:141" s="121" customFormat="1" x14ac:dyDescent="0.3">
      <c r="A2338" s="124"/>
      <c r="O2338" s="235"/>
      <c r="X2338" s="117"/>
      <c r="Y2338" s="117"/>
      <c r="DT2338" s="240"/>
      <c r="DU2338" s="240"/>
      <c r="DV2338" s="240"/>
      <c r="DW2338" s="240"/>
      <c r="DX2338" s="240"/>
      <c r="DY2338" s="240"/>
      <c r="DZ2338" s="240"/>
      <c r="EA2338" s="240"/>
      <c r="EB2338" s="237"/>
      <c r="EC2338" s="241"/>
      <c r="ED2338" s="241"/>
      <c r="EE2338" s="241"/>
      <c r="EG2338" s="241"/>
      <c r="EI2338" s="241"/>
      <c r="EK2338" s="241"/>
    </row>
    <row r="2339" spans="1:141" s="121" customFormat="1" x14ac:dyDescent="0.3">
      <c r="A2339" s="124"/>
      <c r="O2339" s="235"/>
      <c r="X2339" s="117"/>
      <c r="Y2339" s="117"/>
      <c r="DT2339" s="240"/>
      <c r="DU2339" s="240"/>
      <c r="DV2339" s="240"/>
      <c r="DW2339" s="240"/>
      <c r="DX2339" s="240"/>
      <c r="DY2339" s="240"/>
      <c r="DZ2339" s="240"/>
      <c r="EA2339" s="240"/>
      <c r="EB2339" s="237"/>
      <c r="EC2339" s="241"/>
      <c r="ED2339" s="241"/>
      <c r="EE2339" s="241"/>
      <c r="EG2339" s="241"/>
      <c r="EI2339" s="241"/>
      <c r="EK2339" s="241"/>
    </row>
    <row r="2340" spans="1:141" s="121" customFormat="1" x14ac:dyDescent="0.3">
      <c r="A2340" s="124"/>
      <c r="O2340" s="235"/>
      <c r="X2340" s="117"/>
      <c r="Y2340" s="117"/>
      <c r="DT2340" s="240"/>
      <c r="DU2340" s="240"/>
      <c r="DV2340" s="240"/>
      <c r="DW2340" s="240"/>
      <c r="DX2340" s="240"/>
      <c r="DY2340" s="240"/>
      <c r="DZ2340" s="240"/>
      <c r="EA2340" s="240"/>
      <c r="EB2340" s="237"/>
      <c r="EC2340" s="241"/>
      <c r="ED2340" s="241"/>
      <c r="EE2340" s="241"/>
      <c r="EG2340" s="241"/>
      <c r="EI2340" s="241"/>
      <c r="EK2340" s="241"/>
    </row>
    <row r="2341" spans="1:141" s="121" customFormat="1" x14ac:dyDescent="0.3">
      <c r="A2341" s="124"/>
      <c r="O2341" s="235"/>
      <c r="X2341" s="117"/>
      <c r="Y2341" s="117"/>
      <c r="DT2341" s="240"/>
      <c r="DU2341" s="240"/>
      <c r="DV2341" s="240"/>
      <c r="DW2341" s="240"/>
      <c r="DX2341" s="240"/>
      <c r="DY2341" s="240"/>
      <c r="DZ2341" s="240"/>
      <c r="EA2341" s="240"/>
      <c r="EB2341" s="237"/>
      <c r="EC2341" s="241"/>
      <c r="ED2341" s="241"/>
      <c r="EE2341" s="241"/>
      <c r="EG2341" s="241"/>
      <c r="EI2341" s="241"/>
      <c r="EK2341" s="241"/>
    </row>
    <row r="2342" spans="1:141" s="121" customFormat="1" x14ac:dyDescent="0.3">
      <c r="A2342" s="124"/>
      <c r="O2342" s="235"/>
      <c r="X2342" s="117"/>
      <c r="Y2342" s="117"/>
      <c r="DT2342" s="240"/>
      <c r="DU2342" s="240"/>
      <c r="DV2342" s="240"/>
      <c r="DW2342" s="240"/>
      <c r="DX2342" s="240"/>
      <c r="DY2342" s="240"/>
      <c r="DZ2342" s="240"/>
      <c r="EA2342" s="240"/>
      <c r="EB2342" s="237"/>
      <c r="EC2342" s="241"/>
      <c r="ED2342" s="241"/>
      <c r="EE2342" s="241"/>
      <c r="EG2342" s="241"/>
      <c r="EI2342" s="241"/>
      <c r="EK2342" s="241"/>
    </row>
    <row r="2343" spans="1:141" s="121" customFormat="1" x14ac:dyDescent="0.3">
      <c r="A2343" s="124"/>
      <c r="O2343" s="235"/>
      <c r="X2343" s="117"/>
      <c r="Y2343" s="117"/>
      <c r="DT2343" s="240"/>
      <c r="DU2343" s="240"/>
      <c r="DV2343" s="240"/>
      <c r="DW2343" s="240"/>
      <c r="DX2343" s="240"/>
      <c r="DY2343" s="240"/>
      <c r="DZ2343" s="240"/>
      <c r="EA2343" s="240"/>
      <c r="EB2343" s="237"/>
      <c r="EC2343" s="241"/>
      <c r="ED2343" s="241"/>
      <c r="EE2343" s="241"/>
      <c r="EG2343" s="241"/>
      <c r="EI2343" s="241"/>
      <c r="EK2343" s="241"/>
    </row>
    <row r="2344" spans="1:141" s="121" customFormat="1" x14ac:dyDescent="0.3">
      <c r="A2344" s="124"/>
      <c r="O2344" s="235"/>
      <c r="X2344" s="117"/>
      <c r="Y2344" s="117"/>
      <c r="DT2344" s="240"/>
      <c r="DU2344" s="240"/>
      <c r="DV2344" s="240"/>
      <c r="DW2344" s="240"/>
      <c r="DX2344" s="240"/>
      <c r="DY2344" s="240"/>
      <c r="DZ2344" s="240"/>
      <c r="EA2344" s="240"/>
      <c r="EB2344" s="237"/>
      <c r="EC2344" s="241"/>
      <c r="ED2344" s="241"/>
      <c r="EE2344" s="241"/>
      <c r="EG2344" s="241"/>
      <c r="EI2344" s="241"/>
      <c r="EK2344" s="241"/>
    </row>
    <row r="2345" spans="1:141" s="121" customFormat="1" x14ac:dyDescent="0.3">
      <c r="A2345" s="124"/>
      <c r="O2345" s="235"/>
      <c r="X2345" s="117"/>
      <c r="Y2345" s="117"/>
      <c r="DT2345" s="240"/>
      <c r="DU2345" s="240"/>
      <c r="DV2345" s="240"/>
      <c r="DW2345" s="240"/>
      <c r="DX2345" s="240"/>
      <c r="DY2345" s="240"/>
      <c r="DZ2345" s="240"/>
      <c r="EA2345" s="240"/>
      <c r="EB2345" s="237"/>
      <c r="EC2345" s="241"/>
      <c r="ED2345" s="241"/>
      <c r="EE2345" s="241"/>
      <c r="EG2345" s="241"/>
      <c r="EI2345" s="241"/>
      <c r="EK2345" s="241"/>
    </row>
    <row r="2346" spans="1:141" s="121" customFormat="1" x14ac:dyDescent="0.3">
      <c r="A2346" s="124"/>
      <c r="O2346" s="235"/>
      <c r="X2346" s="117"/>
      <c r="Y2346" s="117"/>
      <c r="DT2346" s="240"/>
      <c r="DU2346" s="240"/>
      <c r="DV2346" s="240"/>
      <c r="DW2346" s="240"/>
      <c r="DX2346" s="240"/>
      <c r="DY2346" s="240"/>
      <c r="DZ2346" s="240"/>
      <c r="EA2346" s="240"/>
      <c r="EB2346" s="237"/>
      <c r="EC2346" s="241"/>
      <c r="ED2346" s="241"/>
      <c r="EE2346" s="241"/>
      <c r="EG2346" s="241"/>
      <c r="EI2346" s="241"/>
      <c r="EK2346" s="241"/>
    </row>
    <row r="2347" spans="1:141" s="121" customFormat="1" x14ac:dyDescent="0.3">
      <c r="A2347" s="124"/>
      <c r="O2347" s="235"/>
      <c r="X2347" s="117"/>
      <c r="Y2347" s="117"/>
      <c r="DT2347" s="240"/>
      <c r="DU2347" s="240"/>
      <c r="DV2347" s="240"/>
      <c r="DW2347" s="240"/>
      <c r="DX2347" s="240"/>
      <c r="DY2347" s="240"/>
      <c r="DZ2347" s="240"/>
      <c r="EA2347" s="240"/>
      <c r="EB2347" s="237"/>
      <c r="EC2347" s="241"/>
      <c r="ED2347" s="241"/>
      <c r="EE2347" s="241"/>
      <c r="EG2347" s="241"/>
      <c r="EI2347" s="241"/>
      <c r="EK2347" s="241"/>
    </row>
    <row r="2348" spans="1:141" s="121" customFormat="1" x14ac:dyDescent="0.3">
      <c r="A2348" s="124"/>
      <c r="O2348" s="235"/>
      <c r="X2348" s="117"/>
      <c r="Y2348" s="117"/>
      <c r="DT2348" s="240"/>
      <c r="DU2348" s="240"/>
      <c r="DV2348" s="240"/>
      <c r="DW2348" s="240"/>
      <c r="DX2348" s="240"/>
      <c r="DY2348" s="240"/>
      <c r="DZ2348" s="240"/>
      <c r="EA2348" s="240"/>
      <c r="EB2348" s="237"/>
      <c r="EC2348" s="241"/>
      <c r="ED2348" s="241"/>
      <c r="EE2348" s="241"/>
      <c r="EG2348" s="241"/>
      <c r="EI2348" s="241"/>
      <c r="EK2348" s="241"/>
    </row>
    <row r="2349" spans="1:141" s="121" customFormat="1" x14ac:dyDescent="0.3">
      <c r="A2349" s="124"/>
      <c r="O2349" s="235"/>
      <c r="X2349" s="117"/>
      <c r="Y2349" s="117"/>
      <c r="DT2349" s="240"/>
      <c r="DU2349" s="240"/>
      <c r="DV2349" s="240"/>
      <c r="DW2349" s="240"/>
      <c r="DX2349" s="240"/>
      <c r="DY2349" s="240"/>
      <c r="DZ2349" s="240"/>
      <c r="EA2349" s="240"/>
      <c r="EB2349" s="237"/>
      <c r="EC2349" s="241"/>
      <c r="ED2349" s="241"/>
      <c r="EE2349" s="241"/>
      <c r="EG2349" s="241"/>
      <c r="EI2349" s="241"/>
      <c r="EK2349" s="241"/>
    </row>
    <row r="2350" spans="1:141" s="121" customFormat="1" x14ac:dyDescent="0.3">
      <c r="A2350" s="124"/>
      <c r="O2350" s="235"/>
      <c r="X2350" s="117"/>
      <c r="Y2350" s="117"/>
      <c r="DT2350" s="240"/>
      <c r="DU2350" s="240"/>
      <c r="DV2350" s="240"/>
      <c r="DW2350" s="240"/>
      <c r="DX2350" s="240"/>
      <c r="DY2350" s="240"/>
      <c r="DZ2350" s="240"/>
      <c r="EA2350" s="240"/>
      <c r="EB2350" s="237"/>
      <c r="EC2350" s="241"/>
      <c r="ED2350" s="241"/>
      <c r="EE2350" s="241"/>
      <c r="EG2350" s="241"/>
      <c r="EI2350" s="241"/>
      <c r="EK2350" s="241"/>
    </row>
    <row r="2351" spans="1:141" s="121" customFormat="1" x14ac:dyDescent="0.3">
      <c r="A2351" s="124"/>
      <c r="O2351" s="235"/>
      <c r="X2351" s="117"/>
      <c r="Y2351" s="117"/>
      <c r="DT2351" s="240"/>
      <c r="DU2351" s="240"/>
      <c r="DV2351" s="240"/>
      <c r="DW2351" s="240"/>
      <c r="DX2351" s="240"/>
      <c r="DY2351" s="240"/>
      <c r="DZ2351" s="240"/>
      <c r="EA2351" s="240"/>
      <c r="EB2351" s="237"/>
      <c r="EC2351" s="241"/>
      <c r="ED2351" s="241"/>
      <c r="EE2351" s="241"/>
      <c r="EG2351" s="241"/>
      <c r="EI2351" s="241"/>
      <c r="EK2351" s="241"/>
    </row>
    <row r="2352" spans="1:141" s="121" customFormat="1" x14ac:dyDescent="0.3">
      <c r="A2352" s="124"/>
      <c r="O2352" s="235"/>
      <c r="X2352" s="117"/>
      <c r="Y2352" s="117"/>
      <c r="DT2352" s="240"/>
      <c r="DU2352" s="240"/>
      <c r="DV2352" s="240"/>
      <c r="DW2352" s="240"/>
      <c r="DX2352" s="240"/>
      <c r="DY2352" s="240"/>
      <c r="DZ2352" s="240"/>
      <c r="EA2352" s="240"/>
      <c r="EB2352" s="237"/>
      <c r="EC2352" s="241"/>
      <c r="ED2352" s="241"/>
      <c r="EE2352" s="241"/>
      <c r="EG2352" s="241"/>
      <c r="EI2352" s="241"/>
      <c r="EK2352" s="241"/>
    </row>
    <row r="2353" spans="1:141" s="121" customFormat="1" x14ac:dyDescent="0.3">
      <c r="A2353" s="124"/>
      <c r="O2353" s="235"/>
      <c r="X2353" s="117"/>
      <c r="Y2353" s="117"/>
      <c r="DT2353" s="240"/>
      <c r="DU2353" s="240"/>
      <c r="DV2353" s="240"/>
      <c r="DW2353" s="240"/>
      <c r="DX2353" s="240"/>
      <c r="DY2353" s="240"/>
      <c r="DZ2353" s="240"/>
      <c r="EA2353" s="240"/>
      <c r="EB2353" s="237"/>
      <c r="EC2353" s="241"/>
      <c r="ED2353" s="241"/>
      <c r="EE2353" s="241"/>
      <c r="EG2353" s="241"/>
      <c r="EI2353" s="241"/>
      <c r="EK2353" s="241"/>
    </row>
    <row r="2354" spans="1:141" s="121" customFormat="1" x14ac:dyDescent="0.3">
      <c r="A2354" s="124"/>
      <c r="O2354" s="235"/>
      <c r="X2354" s="117"/>
      <c r="Y2354" s="117"/>
      <c r="DT2354" s="240"/>
      <c r="DU2354" s="240"/>
      <c r="DV2354" s="240"/>
      <c r="DW2354" s="240"/>
      <c r="DX2354" s="240"/>
      <c r="DY2354" s="240"/>
      <c r="DZ2354" s="240"/>
      <c r="EA2354" s="240"/>
      <c r="EB2354" s="237"/>
      <c r="EC2354" s="241"/>
      <c r="ED2354" s="241"/>
      <c r="EE2354" s="241"/>
      <c r="EG2354" s="241"/>
      <c r="EI2354" s="241"/>
      <c r="EK2354" s="241"/>
    </row>
    <row r="2355" spans="1:141" s="121" customFormat="1" x14ac:dyDescent="0.3">
      <c r="A2355" s="124"/>
      <c r="O2355" s="235"/>
      <c r="X2355" s="117"/>
      <c r="Y2355" s="117"/>
      <c r="DT2355" s="240"/>
      <c r="DU2355" s="240"/>
      <c r="DV2355" s="240"/>
      <c r="DW2355" s="240"/>
      <c r="DX2355" s="240"/>
      <c r="DY2355" s="240"/>
      <c r="DZ2355" s="240"/>
      <c r="EA2355" s="240"/>
      <c r="EB2355" s="237"/>
      <c r="EC2355" s="241"/>
      <c r="ED2355" s="241"/>
      <c r="EE2355" s="241"/>
      <c r="EG2355" s="241"/>
      <c r="EI2355" s="241"/>
      <c r="EK2355" s="241"/>
    </row>
    <row r="2356" spans="1:141" s="121" customFormat="1" x14ac:dyDescent="0.3">
      <c r="A2356" s="124"/>
      <c r="O2356" s="235"/>
      <c r="X2356" s="117"/>
      <c r="Y2356" s="117"/>
      <c r="DT2356" s="240"/>
      <c r="DU2356" s="240"/>
      <c r="DV2356" s="240"/>
      <c r="DW2356" s="240"/>
      <c r="DX2356" s="240"/>
      <c r="DY2356" s="240"/>
      <c r="DZ2356" s="240"/>
      <c r="EA2356" s="240"/>
      <c r="EB2356" s="237"/>
      <c r="EC2356" s="241"/>
      <c r="ED2356" s="241"/>
      <c r="EE2356" s="241"/>
      <c r="EG2356" s="241"/>
      <c r="EI2356" s="241"/>
      <c r="EK2356" s="241"/>
    </row>
    <row r="2357" spans="1:141" s="121" customFormat="1" x14ac:dyDescent="0.3">
      <c r="A2357" s="124"/>
      <c r="O2357" s="235"/>
      <c r="X2357" s="117"/>
      <c r="Y2357" s="117"/>
      <c r="DT2357" s="240"/>
      <c r="DU2357" s="240"/>
      <c r="DV2357" s="240"/>
      <c r="DW2357" s="240"/>
      <c r="DX2357" s="240"/>
      <c r="DY2357" s="240"/>
      <c r="DZ2357" s="240"/>
      <c r="EA2357" s="240"/>
      <c r="EB2357" s="237"/>
      <c r="EC2357" s="241"/>
      <c r="ED2357" s="241"/>
      <c r="EE2357" s="241"/>
      <c r="EG2357" s="241"/>
      <c r="EI2357" s="241"/>
      <c r="EK2357" s="241"/>
    </row>
    <row r="2358" spans="1:141" s="121" customFormat="1" x14ac:dyDescent="0.3">
      <c r="A2358" s="124"/>
      <c r="O2358" s="235"/>
      <c r="X2358" s="117"/>
      <c r="Y2358" s="117"/>
      <c r="DT2358" s="240"/>
      <c r="DU2358" s="240"/>
      <c r="DV2358" s="240"/>
      <c r="DW2358" s="240"/>
      <c r="DX2358" s="240"/>
      <c r="DY2358" s="240"/>
      <c r="DZ2358" s="240"/>
      <c r="EA2358" s="240"/>
      <c r="EB2358" s="237"/>
      <c r="EC2358" s="241"/>
      <c r="ED2358" s="241"/>
      <c r="EE2358" s="241"/>
      <c r="EG2358" s="241"/>
      <c r="EI2358" s="241"/>
      <c r="EK2358" s="241"/>
    </row>
    <row r="2359" spans="1:141" s="121" customFormat="1" x14ac:dyDescent="0.3">
      <c r="A2359" s="124"/>
      <c r="O2359" s="235"/>
      <c r="X2359" s="117"/>
      <c r="Y2359" s="117"/>
      <c r="DT2359" s="240"/>
      <c r="DU2359" s="240"/>
      <c r="DV2359" s="240"/>
      <c r="DW2359" s="240"/>
      <c r="DX2359" s="240"/>
      <c r="DY2359" s="240"/>
      <c r="DZ2359" s="240"/>
      <c r="EA2359" s="240"/>
      <c r="EB2359" s="237"/>
      <c r="EC2359" s="241"/>
      <c r="ED2359" s="241"/>
      <c r="EE2359" s="241"/>
      <c r="EG2359" s="241"/>
      <c r="EI2359" s="241"/>
      <c r="EK2359" s="241"/>
    </row>
    <row r="2360" spans="1:141" s="121" customFormat="1" x14ac:dyDescent="0.3">
      <c r="A2360" s="124"/>
      <c r="O2360" s="235"/>
      <c r="X2360" s="117"/>
      <c r="Y2360" s="117"/>
      <c r="DT2360" s="240"/>
      <c r="DU2360" s="240"/>
      <c r="DV2360" s="240"/>
      <c r="DW2360" s="240"/>
      <c r="DX2360" s="240"/>
      <c r="DY2360" s="240"/>
      <c r="DZ2360" s="240"/>
      <c r="EA2360" s="240"/>
      <c r="EB2360" s="237"/>
      <c r="EC2360" s="241"/>
      <c r="ED2360" s="241"/>
      <c r="EE2360" s="241"/>
      <c r="EG2360" s="241"/>
      <c r="EI2360" s="241"/>
      <c r="EK2360" s="241"/>
    </row>
    <row r="2361" spans="1:141" s="121" customFormat="1" x14ac:dyDescent="0.3">
      <c r="A2361" s="124"/>
      <c r="O2361" s="235"/>
      <c r="X2361" s="117"/>
      <c r="Y2361" s="117"/>
      <c r="DT2361" s="240"/>
      <c r="DU2361" s="240"/>
      <c r="DV2361" s="240"/>
      <c r="DW2361" s="240"/>
      <c r="DX2361" s="240"/>
      <c r="DY2361" s="240"/>
      <c r="DZ2361" s="240"/>
      <c r="EA2361" s="240"/>
      <c r="EB2361" s="237"/>
      <c r="EC2361" s="241"/>
      <c r="ED2361" s="241"/>
      <c r="EE2361" s="241"/>
      <c r="EG2361" s="241"/>
      <c r="EI2361" s="241"/>
      <c r="EK2361" s="241"/>
    </row>
    <row r="2362" spans="1:141" s="121" customFormat="1" x14ac:dyDescent="0.3">
      <c r="A2362" s="124"/>
      <c r="O2362" s="235"/>
      <c r="X2362" s="117"/>
      <c r="Y2362" s="117"/>
      <c r="DT2362" s="240"/>
      <c r="DU2362" s="240"/>
      <c r="DV2362" s="240"/>
      <c r="DW2362" s="240"/>
      <c r="DX2362" s="240"/>
      <c r="DY2362" s="240"/>
      <c r="DZ2362" s="240"/>
      <c r="EA2362" s="240"/>
      <c r="EB2362" s="237"/>
      <c r="EC2362" s="241"/>
      <c r="ED2362" s="241"/>
      <c r="EE2362" s="241"/>
      <c r="EG2362" s="241"/>
      <c r="EI2362" s="241"/>
      <c r="EK2362" s="241"/>
    </row>
    <row r="2363" spans="1:141" s="121" customFormat="1" x14ac:dyDescent="0.3">
      <c r="A2363" s="124"/>
      <c r="O2363" s="235"/>
      <c r="X2363" s="117"/>
      <c r="Y2363" s="117"/>
      <c r="DT2363" s="240"/>
      <c r="DU2363" s="240"/>
      <c r="DV2363" s="240"/>
      <c r="DW2363" s="240"/>
      <c r="DX2363" s="240"/>
      <c r="DY2363" s="240"/>
      <c r="DZ2363" s="240"/>
      <c r="EA2363" s="240"/>
      <c r="EB2363" s="237"/>
      <c r="EC2363" s="241"/>
      <c r="ED2363" s="241"/>
      <c r="EE2363" s="241"/>
      <c r="EG2363" s="241"/>
      <c r="EI2363" s="241"/>
      <c r="EK2363" s="241"/>
    </row>
    <row r="2364" spans="1:141" s="121" customFormat="1" x14ac:dyDescent="0.3">
      <c r="A2364" s="124"/>
      <c r="O2364" s="235"/>
      <c r="X2364" s="117"/>
      <c r="Y2364" s="117"/>
      <c r="DT2364" s="240"/>
      <c r="DU2364" s="240"/>
      <c r="DV2364" s="240"/>
      <c r="DW2364" s="240"/>
      <c r="DX2364" s="240"/>
      <c r="DY2364" s="240"/>
      <c r="DZ2364" s="240"/>
      <c r="EA2364" s="240"/>
      <c r="EB2364" s="237"/>
      <c r="EC2364" s="241"/>
      <c r="ED2364" s="241"/>
      <c r="EE2364" s="241"/>
      <c r="EG2364" s="241"/>
      <c r="EI2364" s="241"/>
      <c r="EK2364" s="241"/>
    </row>
    <row r="2365" spans="1:141" s="121" customFormat="1" x14ac:dyDescent="0.3">
      <c r="A2365" s="124"/>
      <c r="O2365" s="235"/>
      <c r="X2365" s="117"/>
      <c r="Y2365" s="117"/>
      <c r="DT2365" s="240"/>
      <c r="DU2365" s="240"/>
      <c r="DV2365" s="240"/>
      <c r="DW2365" s="240"/>
      <c r="DX2365" s="240"/>
      <c r="DY2365" s="240"/>
      <c r="DZ2365" s="240"/>
      <c r="EA2365" s="240"/>
      <c r="EB2365" s="237"/>
      <c r="EC2365" s="241"/>
      <c r="ED2365" s="241"/>
      <c r="EE2365" s="241"/>
      <c r="EG2365" s="241"/>
      <c r="EI2365" s="241"/>
      <c r="EK2365" s="241"/>
    </row>
    <row r="2366" spans="1:141" s="121" customFormat="1" x14ac:dyDescent="0.3">
      <c r="A2366" s="124"/>
      <c r="O2366" s="235"/>
      <c r="X2366" s="117"/>
      <c r="Y2366" s="117"/>
      <c r="DT2366" s="240"/>
      <c r="DU2366" s="240"/>
      <c r="DV2366" s="240"/>
      <c r="DW2366" s="240"/>
      <c r="DX2366" s="240"/>
      <c r="DY2366" s="240"/>
      <c r="DZ2366" s="240"/>
      <c r="EA2366" s="240"/>
      <c r="EB2366" s="237"/>
      <c r="EC2366" s="241"/>
      <c r="ED2366" s="241"/>
      <c r="EE2366" s="241"/>
      <c r="EG2366" s="241"/>
    </row>
    <row r="2367" spans="1:141" s="121" customFormat="1" x14ac:dyDescent="0.3">
      <c r="A2367" s="124"/>
      <c r="O2367" s="235"/>
      <c r="X2367" s="117"/>
      <c r="Y2367" s="117"/>
      <c r="DT2367" s="240"/>
      <c r="DU2367" s="240"/>
      <c r="DV2367" s="240"/>
      <c r="DW2367" s="240"/>
      <c r="DX2367" s="240"/>
      <c r="DY2367" s="240"/>
      <c r="DZ2367" s="240"/>
      <c r="EA2367" s="240"/>
      <c r="EB2367" s="237"/>
      <c r="EC2367" s="241"/>
      <c r="ED2367" s="241"/>
      <c r="EE2367" s="241"/>
      <c r="EG2367" s="241"/>
    </row>
    <row r="2368" spans="1:141" s="121" customFormat="1" x14ac:dyDescent="0.3">
      <c r="A2368" s="124"/>
      <c r="O2368" s="235"/>
      <c r="X2368" s="117"/>
      <c r="Y2368" s="117"/>
      <c r="DT2368" s="240"/>
      <c r="DU2368" s="240"/>
      <c r="DV2368" s="240"/>
      <c r="DW2368" s="240"/>
      <c r="DX2368" s="240"/>
      <c r="DY2368" s="240"/>
      <c r="DZ2368" s="240"/>
      <c r="EA2368" s="240"/>
      <c r="EB2368" s="237"/>
      <c r="EC2368" s="241"/>
      <c r="ED2368" s="241"/>
      <c r="EE2368" s="241"/>
      <c r="EG2368" s="241"/>
    </row>
    <row r="2369" spans="1:137" s="121" customFormat="1" x14ac:dyDescent="0.3">
      <c r="A2369" s="124"/>
      <c r="O2369" s="235"/>
      <c r="X2369" s="117"/>
      <c r="Y2369" s="117"/>
      <c r="DT2369" s="240"/>
      <c r="DU2369" s="240"/>
      <c r="DV2369" s="240"/>
      <c r="DW2369" s="240"/>
      <c r="DX2369" s="240"/>
      <c r="DY2369" s="240"/>
      <c r="DZ2369" s="240"/>
      <c r="EA2369" s="240"/>
      <c r="EB2369" s="237"/>
      <c r="EC2369" s="241"/>
      <c r="ED2369" s="241"/>
      <c r="EE2369" s="241"/>
      <c r="EG2369" s="241"/>
    </row>
    <row r="2370" spans="1:137" s="121" customFormat="1" x14ac:dyDescent="0.3">
      <c r="A2370" s="124"/>
      <c r="O2370" s="235"/>
      <c r="X2370" s="117"/>
      <c r="Y2370" s="117"/>
      <c r="DT2370" s="240"/>
      <c r="DU2370" s="240"/>
      <c r="DV2370" s="240"/>
      <c r="DW2370" s="240"/>
      <c r="DX2370" s="240"/>
      <c r="DY2370" s="240"/>
      <c r="DZ2370" s="240"/>
      <c r="EA2370" s="240"/>
      <c r="EB2370" s="237"/>
      <c r="EC2370" s="241"/>
      <c r="ED2370" s="241"/>
      <c r="EE2370" s="241"/>
      <c r="EG2370" s="241"/>
    </row>
    <row r="2371" spans="1:137" s="121" customFormat="1" x14ac:dyDescent="0.3">
      <c r="A2371" s="124"/>
      <c r="O2371" s="235"/>
      <c r="X2371" s="117"/>
      <c r="Y2371" s="117"/>
      <c r="DT2371" s="240"/>
      <c r="DU2371" s="240"/>
      <c r="DV2371" s="240"/>
      <c r="DW2371" s="240"/>
      <c r="DX2371" s="240"/>
      <c r="DY2371" s="240"/>
      <c r="DZ2371" s="240"/>
      <c r="EA2371" s="240"/>
      <c r="EB2371" s="237"/>
      <c r="EC2371" s="241"/>
      <c r="ED2371" s="241"/>
      <c r="EE2371" s="241"/>
      <c r="EG2371" s="241"/>
    </row>
    <row r="2372" spans="1:137" s="121" customFormat="1" x14ac:dyDescent="0.3">
      <c r="A2372" s="124"/>
      <c r="O2372" s="235"/>
      <c r="X2372" s="117"/>
      <c r="Y2372" s="117"/>
      <c r="DT2372" s="240"/>
      <c r="DU2372" s="240"/>
      <c r="DV2372" s="240"/>
      <c r="DW2372" s="240"/>
      <c r="DX2372" s="240"/>
      <c r="DY2372" s="240"/>
      <c r="DZ2372" s="240"/>
      <c r="EA2372" s="240"/>
      <c r="EB2372" s="237"/>
      <c r="EC2372" s="241"/>
      <c r="ED2372" s="241"/>
      <c r="EE2372" s="241"/>
      <c r="EG2372" s="241"/>
    </row>
    <row r="2373" spans="1:137" s="121" customFormat="1" x14ac:dyDescent="0.3">
      <c r="A2373" s="124"/>
      <c r="O2373" s="235"/>
      <c r="X2373" s="117"/>
      <c r="Y2373" s="117"/>
      <c r="DT2373" s="240"/>
      <c r="DU2373" s="240"/>
      <c r="DV2373" s="240"/>
      <c r="DW2373" s="240"/>
      <c r="DX2373" s="240"/>
      <c r="DY2373" s="240"/>
      <c r="DZ2373" s="240"/>
      <c r="EA2373" s="240"/>
      <c r="EB2373" s="237"/>
      <c r="EC2373" s="241"/>
      <c r="ED2373" s="241"/>
      <c r="EE2373" s="241"/>
      <c r="EG2373" s="241"/>
    </row>
    <row r="2374" spans="1:137" s="121" customFormat="1" x14ac:dyDescent="0.3">
      <c r="A2374" s="124"/>
      <c r="O2374" s="235"/>
      <c r="X2374" s="117"/>
      <c r="Y2374" s="117"/>
      <c r="DT2374" s="240"/>
      <c r="DU2374" s="240"/>
      <c r="DV2374" s="240"/>
      <c r="DW2374" s="240"/>
      <c r="DX2374" s="240"/>
      <c r="DY2374" s="240"/>
      <c r="DZ2374" s="240"/>
      <c r="EA2374" s="240"/>
      <c r="EB2374" s="237"/>
      <c r="EC2374" s="241"/>
      <c r="ED2374" s="241"/>
      <c r="EE2374" s="241"/>
      <c r="EG2374" s="241"/>
    </row>
    <row r="2375" spans="1:137" s="121" customFormat="1" x14ac:dyDescent="0.3">
      <c r="A2375" s="124"/>
      <c r="O2375" s="235"/>
      <c r="X2375" s="117"/>
      <c r="Y2375" s="117"/>
      <c r="DT2375" s="240"/>
      <c r="DU2375" s="240"/>
      <c r="DV2375" s="240"/>
      <c r="DW2375" s="240"/>
      <c r="DX2375" s="240"/>
      <c r="DY2375" s="240"/>
      <c r="DZ2375" s="240"/>
      <c r="EA2375" s="240"/>
      <c r="EB2375" s="237"/>
      <c r="EC2375" s="241"/>
      <c r="ED2375" s="241"/>
      <c r="EE2375" s="241"/>
      <c r="EG2375" s="241"/>
    </row>
    <row r="2376" spans="1:137" s="121" customFormat="1" x14ac:dyDescent="0.3">
      <c r="A2376" s="124"/>
      <c r="O2376" s="235"/>
      <c r="X2376" s="117"/>
      <c r="Y2376" s="117"/>
      <c r="DT2376" s="240"/>
      <c r="DU2376" s="240"/>
      <c r="DV2376" s="240"/>
      <c r="DW2376" s="240"/>
      <c r="DX2376" s="240"/>
      <c r="DY2376" s="240"/>
      <c r="DZ2376" s="240"/>
      <c r="EA2376" s="240"/>
      <c r="EB2376" s="237"/>
      <c r="EC2376" s="241"/>
      <c r="ED2376" s="241"/>
      <c r="EE2376" s="241"/>
      <c r="EG2376" s="241"/>
    </row>
    <row r="2377" spans="1:137" s="121" customFormat="1" x14ac:dyDescent="0.3">
      <c r="A2377" s="124"/>
      <c r="O2377" s="235"/>
      <c r="X2377" s="117"/>
      <c r="Y2377" s="117"/>
      <c r="DT2377" s="240"/>
      <c r="DU2377" s="240"/>
      <c r="DV2377" s="240"/>
      <c r="DW2377" s="240"/>
      <c r="DX2377" s="240"/>
      <c r="DY2377" s="240"/>
      <c r="DZ2377" s="240"/>
      <c r="EA2377" s="240"/>
      <c r="EB2377" s="237"/>
      <c r="EC2377" s="241"/>
      <c r="ED2377" s="241"/>
      <c r="EE2377" s="241"/>
      <c r="EG2377" s="241"/>
    </row>
    <row r="2378" spans="1:137" s="121" customFormat="1" x14ac:dyDescent="0.3">
      <c r="A2378" s="124"/>
      <c r="O2378" s="235"/>
      <c r="X2378" s="117"/>
      <c r="Y2378" s="117"/>
      <c r="DT2378" s="240"/>
      <c r="DU2378" s="240"/>
      <c r="DV2378" s="240"/>
      <c r="DW2378" s="240"/>
      <c r="DX2378" s="240"/>
      <c r="DY2378" s="240"/>
      <c r="DZ2378" s="240"/>
      <c r="EA2378" s="240"/>
      <c r="EB2378" s="237"/>
      <c r="EC2378" s="241"/>
      <c r="ED2378" s="241"/>
      <c r="EE2378" s="241"/>
      <c r="EG2378" s="241"/>
    </row>
    <row r="2379" spans="1:137" s="121" customFormat="1" x14ac:dyDescent="0.3">
      <c r="A2379" s="124"/>
      <c r="O2379" s="235"/>
      <c r="X2379" s="117"/>
      <c r="Y2379" s="117"/>
      <c r="DT2379" s="240"/>
      <c r="DU2379" s="240"/>
      <c r="DV2379" s="240"/>
      <c r="DW2379" s="240"/>
      <c r="DX2379" s="240"/>
      <c r="DY2379" s="240"/>
      <c r="DZ2379" s="240"/>
      <c r="EA2379" s="240"/>
      <c r="EB2379" s="237"/>
      <c r="EC2379" s="241"/>
      <c r="ED2379" s="241"/>
      <c r="EE2379" s="241"/>
      <c r="EG2379" s="241"/>
    </row>
    <row r="2380" spans="1:137" s="121" customFormat="1" x14ac:dyDescent="0.3">
      <c r="A2380" s="124"/>
      <c r="O2380" s="235"/>
      <c r="X2380" s="117"/>
      <c r="Y2380" s="117"/>
      <c r="DT2380" s="240"/>
      <c r="DU2380" s="240"/>
      <c r="DV2380" s="240"/>
      <c r="DW2380" s="240"/>
      <c r="DX2380" s="240"/>
      <c r="DY2380" s="240"/>
      <c r="DZ2380" s="240"/>
      <c r="EA2380" s="240"/>
      <c r="EB2380" s="237"/>
      <c r="EC2380" s="241"/>
      <c r="ED2380" s="241"/>
      <c r="EE2380" s="241"/>
      <c r="EG2380" s="241"/>
    </row>
    <row r="2381" spans="1:137" s="121" customFormat="1" x14ac:dyDescent="0.3">
      <c r="A2381" s="124"/>
      <c r="O2381" s="235"/>
      <c r="X2381" s="117"/>
      <c r="Y2381" s="117"/>
      <c r="DT2381" s="240"/>
      <c r="DU2381" s="240"/>
      <c r="DV2381" s="240"/>
      <c r="DW2381" s="240"/>
      <c r="DX2381" s="240"/>
      <c r="DY2381" s="240"/>
      <c r="DZ2381" s="240"/>
      <c r="EA2381" s="240"/>
      <c r="EB2381" s="237"/>
      <c r="EC2381" s="241"/>
      <c r="ED2381" s="241"/>
      <c r="EE2381" s="241"/>
      <c r="EG2381" s="241"/>
    </row>
    <row r="2382" spans="1:137" s="121" customFormat="1" x14ac:dyDescent="0.3">
      <c r="A2382" s="124"/>
      <c r="O2382" s="235"/>
      <c r="X2382" s="117"/>
      <c r="Y2382" s="117"/>
      <c r="DT2382" s="240"/>
      <c r="DU2382" s="240"/>
      <c r="DV2382" s="240"/>
      <c r="DW2382" s="240"/>
      <c r="DX2382" s="240"/>
      <c r="DY2382" s="240"/>
      <c r="DZ2382" s="240"/>
      <c r="EA2382" s="240"/>
      <c r="EB2382" s="237"/>
      <c r="EC2382" s="241"/>
      <c r="ED2382" s="241"/>
      <c r="EE2382" s="241"/>
      <c r="EG2382" s="241"/>
    </row>
    <row r="2383" spans="1:137" s="121" customFormat="1" x14ac:dyDescent="0.3">
      <c r="A2383" s="124"/>
      <c r="O2383" s="235"/>
      <c r="X2383" s="117"/>
      <c r="Y2383" s="117"/>
      <c r="DT2383" s="240"/>
      <c r="DU2383" s="240"/>
      <c r="DV2383" s="240"/>
      <c r="DW2383" s="240"/>
      <c r="DX2383" s="240"/>
      <c r="DY2383" s="240"/>
      <c r="DZ2383" s="240"/>
      <c r="EA2383" s="240"/>
      <c r="EB2383" s="237"/>
      <c r="EC2383" s="241"/>
      <c r="ED2383" s="241"/>
      <c r="EE2383" s="241"/>
      <c r="EG2383" s="241"/>
    </row>
    <row r="2384" spans="1:137" s="121" customFormat="1" x14ac:dyDescent="0.3">
      <c r="A2384" s="124"/>
      <c r="O2384" s="235"/>
      <c r="X2384" s="117"/>
      <c r="Y2384" s="117"/>
      <c r="DT2384" s="240"/>
      <c r="DU2384" s="240"/>
      <c r="DV2384" s="240"/>
      <c r="DW2384" s="240"/>
      <c r="DX2384" s="240"/>
      <c r="DY2384" s="240"/>
      <c r="DZ2384" s="240"/>
      <c r="EA2384" s="240"/>
      <c r="EB2384" s="237"/>
      <c r="EC2384" s="241"/>
      <c r="ED2384" s="241"/>
      <c r="EE2384" s="241"/>
      <c r="EG2384" s="241"/>
    </row>
    <row r="2385" spans="1:137" s="121" customFormat="1" x14ac:dyDescent="0.3">
      <c r="A2385" s="124"/>
      <c r="O2385" s="235"/>
      <c r="X2385" s="117"/>
      <c r="Y2385" s="117"/>
      <c r="DT2385" s="240"/>
      <c r="DU2385" s="240"/>
      <c r="DV2385" s="240"/>
      <c r="DW2385" s="240"/>
      <c r="DX2385" s="240"/>
      <c r="DY2385" s="240"/>
      <c r="DZ2385" s="240"/>
      <c r="EA2385" s="240"/>
      <c r="EB2385" s="237"/>
      <c r="EC2385" s="241"/>
      <c r="ED2385" s="241"/>
      <c r="EE2385" s="241"/>
      <c r="EG2385" s="241"/>
    </row>
    <row r="2386" spans="1:137" s="121" customFormat="1" x14ac:dyDescent="0.3">
      <c r="A2386" s="124"/>
      <c r="O2386" s="235"/>
      <c r="X2386" s="117"/>
      <c r="Y2386" s="117"/>
      <c r="DT2386" s="240"/>
      <c r="DU2386" s="240"/>
      <c r="DV2386" s="240"/>
      <c r="DW2386" s="240"/>
      <c r="DX2386" s="240"/>
      <c r="DY2386" s="240"/>
      <c r="DZ2386" s="240"/>
      <c r="EA2386" s="240"/>
      <c r="EB2386" s="237"/>
      <c r="EC2386" s="241"/>
      <c r="ED2386" s="241"/>
      <c r="EE2386" s="241"/>
      <c r="EG2386" s="241"/>
    </row>
    <row r="2387" spans="1:137" s="121" customFormat="1" x14ac:dyDescent="0.3">
      <c r="A2387" s="124"/>
      <c r="O2387" s="235"/>
      <c r="X2387" s="117"/>
      <c r="Y2387" s="117"/>
      <c r="DT2387" s="240"/>
      <c r="DU2387" s="240"/>
      <c r="DV2387" s="240"/>
      <c r="DW2387" s="240"/>
      <c r="DX2387" s="240"/>
      <c r="DY2387" s="240"/>
      <c r="DZ2387" s="240"/>
      <c r="EA2387" s="240"/>
      <c r="EB2387" s="237"/>
      <c r="EC2387" s="241"/>
      <c r="ED2387" s="241"/>
      <c r="EE2387" s="241"/>
      <c r="EG2387" s="241"/>
    </row>
    <row r="2388" spans="1:137" s="121" customFormat="1" x14ac:dyDescent="0.3">
      <c r="A2388" s="124"/>
      <c r="O2388" s="235"/>
      <c r="X2388" s="117"/>
      <c r="Y2388" s="117"/>
      <c r="DT2388" s="240"/>
      <c r="DU2388" s="240"/>
      <c r="DV2388" s="240"/>
      <c r="DW2388" s="240"/>
      <c r="DX2388" s="240"/>
      <c r="DY2388" s="240"/>
      <c r="DZ2388" s="240"/>
      <c r="EA2388" s="240"/>
      <c r="EB2388" s="237"/>
      <c r="EC2388" s="241"/>
      <c r="ED2388" s="241"/>
      <c r="EE2388" s="241"/>
      <c r="EG2388" s="241"/>
    </row>
    <row r="2389" spans="1:137" s="121" customFormat="1" x14ac:dyDescent="0.3">
      <c r="A2389" s="124"/>
      <c r="O2389" s="235"/>
      <c r="X2389" s="117"/>
      <c r="Y2389" s="117"/>
      <c r="DT2389" s="240"/>
      <c r="DU2389" s="240"/>
      <c r="DV2389" s="240"/>
      <c r="DW2389" s="240"/>
      <c r="DX2389" s="240"/>
      <c r="DY2389" s="240"/>
      <c r="DZ2389" s="240"/>
      <c r="EA2389" s="240"/>
      <c r="EB2389" s="237"/>
      <c r="EC2389" s="241"/>
      <c r="ED2389" s="241"/>
      <c r="EE2389" s="241"/>
      <c r="EG2389" s="241"/>
    </row>
    <row r="2390" spans="1:137" s="121" customFormat="1" x14ac:dyDescent="0.3">
      <c r="A2390" s="124"/>
      <c r="O2390" s="235"/>
      <c r="X2390" s="117"/>
      <c r="Y2390" s="117"/>
      <c r="DT2390" s="240"/>
      <c r="DU2390" s="240"/>
      <c r="DV2390" s="240"/>
      <c r="DW2390" s="240"/>
      <c r="DX2390" s="240"/>
      <c r="DY2390" s="240"/>
      <c r="DZ2390" s="240"/>
      <c r="EA2390" s="240"/>
      <c r="EB2390" s="237"/>
      <c r="EC2390" s="241"/>
      <c r="ED2390" s="241"/>
      <c r="EE2390" s="241"/>
      <c r="EG2390" s="241"/>
    </row>
    <row r="2391" spans="1:137" s="121" customFormat="1" x14ac:dyDescent="0.3">
      <c r="A2391" s="124"/>
      <c r="O2391" s="235"/>
      <c r="X2391" s="117"/>
      <c r="Y2391" s="117"/>
      <c r="DT2391" s="240"/>
      <c r="DU2391" s="240"/>
      <c r="DV2391" s="240"/>
      <c r="DW2391" s="240"/>
      <c r="DX2391" s="240"/>
      <c r="DY2391" s="240"/>
      <c r="DZ2391" s="240"/>
      <c r="EA2391" s="240"/>
      <c r="EB2391" s="237"/>
      <c r="EC2391" s="241"/>
      <c r="ED2391" s="241"/>
      <c r="EE2391" s="241"/>
      <c r="EG2391" s="241"/>
    </row>
    <row r="2392" spans="1:137" s="121" customFormat="1" x14ac:dyDescent="0.3">
      <c r="A2392" s="124"/>
      <c r="O2392" s="235"/>
      <c r="X2392" s="117"/>
      <c r="Y2392" s="117"/>
      <c r="DT2392" s="240"/>
      <c r="DU2392" s="240"/>
      <c r="DV2392" s="240"/>
      <c r="DW2392" s="240"/>
      <c r="DX2392" s="240"/>
      <c r="DY2392" s="240"/>
      <c r="DZ2392" s="240"/>
      <c r="EA2392" s="240"/>
      <c r="EB2392" s="237"/>
      <c r="EC2392" s="241"/>
      <c r="ED2392" s="241"/>
      <c r="EE2392" s="241"/>
      <c r="EG2392" s="241"/>
    </row>
    <row r="2393" spans="1:137" s="121" customFormat="1" x14ac:dyDescent="0.3">
      <c r="A2393" s="124"/>
      <c r="O2393" s="235"/>
      <c r="X2393" s="117"/>
      <c r="Y2393" s="117"/>
      <c r="DT2393" s="240"/>
      <c r="DU2393" s="240"/>
      <c r="DV2393" s="240"/>
      <c r="DW2393" s="240"/>
      <c r="DX2393" s="240"/>
      <c r="DY2393" s="240"/>
      <c r="DZ2393" s="240"/>
      <c r="EA2393" s="240"/>
      <c r="EB2393" s="237"/>
      <c r="EC2393" s="241"/>
      <c r="ED2393" s="241"/>
      <c r="EE2393" s="241"/>
      <c r="EG2393" s="241"/>
    </row>
    <row r="2394" spans="1:137" s="121" customFormat="1" x14ac:dyDescent="0.3">
      <c r="A2394" s="124"/>
      <c r="O2394" s="235"/>
      <c r="X2394" s="117"/>
      <c r="Y2394" s="117"/>
      <c r="DT2394" s="240"/>
      <c r="DU2394" s="240"/>
      <c r="DV2394" s="240"/>
      <c r="DW2394" s="240"/>
      <c r="DX2394" s="240"/>
      <c r="DY2394" s="240"/>
      <c r="DZ2394" s="240"/>
      <c r="EA2394" s="240"/>
      <c r="EB2394" s="237"/>
      <c r="EC2394" s="241"/>
      <c r="ED2394" s="241"/>
      <c r="EE2394" s="241"/>
      <c r="EG2394" s="241"/>
    </row>
    <row r="2395" spans="1:137" s="121" customFormat="1" x14ac:dyDescent="0.3">
      <c r="A2395" s="124"/>
      <c r="O2395" s="235"/>
      <c r="X2395" s="117"/>
      <c r="Y2395" s="117"/>
      <c r="DT2395" s="240"/>
      <c r="DU2395" s="240"/>
      <c r="DV2395" s="240"/>
      <c r="DW2395" s="240"/>
      <c r="DX2395" s="240"/>
      <c r="DY2395" s="240"/>
      <c r="DZ2395" s="240"/>
      <c r="EA2395" s="240"/>
      <c r="EB2395" s="237"/>
      <c r="EC2395" s="241"/>
      <c r="ED2395" s="241"/>
      <c r="EE2395" s="241"/>
      <c r="EG2395" s="241"/>
    </row>
    <row r="2396" spans="1:137" s="121" customFormat="1" x14ac:dyDescent="0.3">
      <c r="A2396" s="124"/>
      <c r="O2396" s="235"/>
      <c r="X2396" s="117"/>
      <c r="Y2396" s="117"/>
      <c r="DT2396" s="240"/>
      <c r="DU2396" s="240"/>
      <c r="DV2396" s="240"/>
      <c r="DW2396" s="240"/>
      <c r="DX2396" s="240"/>
      <c r="DY2396" s="240"/>
      <c r="DZ2396" s="240"/>
      <c r="EA2396" s="240"/>
      <c r="EB2396" s="237"/>
      <c r="EC2396" s="241"/>
      <c r="ED2396" s="241"/>
      <c r="EE2396" s="241"/>
      <c r="EG2396" s="241"/>
    </row>
    <row r="2397" spans="1:137" s="121" customFormat="1" x14ac:dyDescent="0.3">
      <c r="A2397" s="124"/>
      <c r="O2397" s="235"/>
      <c r="X2397" s="117"/>
      <c r="Y2397" s="117"/>
      <c r="DT2397" s="240"/>
      <c r="DU2397" s="240"/>
      <c r="DV2397" s="240"/>
      <c r="DW2397" s="240"/>
      <c r="DX2397" s="240"/>
      <c r="DY2397" s="240"/>
      <c r="DZ2397" s="240"/>
      <c r="EA2397" s="240"/>
      <c r="EB2397" s="237"/>
      <c r="EC2397" s="241"/>
      <c r="ED2397" s="241"/>
      <c r="EE2397" s="241"/>
      <c r="EG2397" s="241"/>
    </row>
    <row r="2398" spans="1:137" s="121" customFormat="1" x14ac:dyDescent="0.3">
      <c r="A2398" s="124"/>
      <c r="O2398" s="235"/>
      <c r="X2398" s="117"/>
      <c r="Y2398" s="117"/>
      <c r="DT2398" s="240"/>
      <c r="DU2398" s="240"/>
      <c r="DV2398" s="240"/>
      <c r="DW2398" s="240"/>
      <c r="DX2398" s="240"/>
      <c r="DY2398" s="240"/>
      <c r="DZ2398" s="240"/>
      <c r="EA2398" s="240"/>
      <c r="EB2398" s="237"/>
      <c r="EC2398" s="241"/>
      <c r="ED2398" s="241"/>
      <c r="EE2398" s="241"/>
      <c r="EG2398" s="241"/>
    </row>
    <row r="2399" spans="1:137" s="121" customFormat="1" x14ac:dyDescent="0.3">
      <c r="A2399" s="124"/>
      <c r="O2399" s="235"/>
      <c r="X2399" s="117"/>
      <c r="Y2399" s="117"/>
      <c r="DT2399" s="240"/>
      <c r="DU2399" s="240"/>
      <c r="DV2399" s="240"/>
      <c r="DW2399" s="240"/>
      <c r="DX2399" s="240"/>
      <c r="DY2399" s="240"/>
      <c r="DZ2399" s="240"/>
      <c r="EA2399" s="240"/>
      <c r="EB2399" s="237"/>
      <c r="EC2399" s="241"/>
      <c r="ED2399" s="241"/>
      <c r="EE2399" s="241"/>
      <c r="EG2399" s="241"/>
    </row>
    <row r="2400" spans="1:137" s="121" customFormat="1" x14ac:dyDescent="0.3">
      <c r="A2400" s="124"/>
      <c r="O2400" s="235"/>
      <c r="X2400" s="117"/>
      <c r="Y2400" s="117"/>
      <c r="DT2400" s="240"/>
      <c r="DU2400" s="240"/>
      <c r="DV2400" s="240"/>
      <c r="DW2400" s="240"/>
      <c r="DX2400" s="240"/>
      <c r="DY2400" s="240"/>
      <c r="DZ2400" s="240"/>
      <c r="EA2400" s="240"/>
      <c r="EB2400" s="237"/>
      <c r="EC2400" s="241"/>
      <c r="ED2400" s="241"/>
      <c r="EE2400" s="241"/>
      <c r="EG2400" s="241"/>
    </row>
    <row r="2401" spans="1:137" s="121" customFormat="1" x14ac:dyDescent="0.3">
      <c r="A2401" s="124"/>
      <c r="O2401" s="235"/>
      <c r="X2401" s="117"/>
      <c r="Y2401" s="117"/>
      <c r="DT2401" s="240"/>
      <c r="DU2401" s="240"/>
      <c r="DV2401" s="240"/>
      <c r="DW2401" s="240"/>
      <c r="DX2401" s="240"/>
      <c r="DY2401" s="240"/>
      <c r="DZ2401" s="240"/>
      <c r="EA2401" s="240"/>
      <c r="EB2401" s="237"/>
      <c r="EC2401" s="241"/>
      <c r="ED2401" s="241"/>
      <c r="EE2401" s="241"/>
      <c r="EG2401" s="241"/>
    </row>
    <row r="2402" spans="1:137" s="121" customFormat="1" x14ac:dyDescent="0.3">
      <c r="A2402" s="124"/>
      <c r="O2402" s="235"/>
      <c r="X2402" s="117"/>
      <c r="Y2402" s="117"/>
      <c r="DT2402" s="240"/>
      <c r="DU2402" s="240"/>
      <c r="DV2402" s="240"/>
      <c r="DW2402" s="240"/>
      <c r="DX2402" s="240"/>
      <c r="DY2402" s="240"/>
      <c r="DZ2402" s="240"/>
      <c r="EA2402" s="240"/>
      <c r="EB2402" s="237"/>
      <c r="EC2402" s="241"/>
      <c r="ED2402" s="241"/>
      <c r="EE2402" s="241"/>
      <c r="EG2402" s="241"/>
    </row>
    <row r="2403" spans="1:137" s="121" customFormat="1" x14ac:dyDescent="0.3">
      <c r="A2403" s="124"/>
      <c r="O2403" s="235"/>
      <c r="X2403" s="117"/>
      <c r="Y2403" s="117"/>
      <c r="DT2403" s="240"/>
      <c r="DU2403" s="240"/>
      <c r="DV2403" s="240"/>
      <c r="DW2403" s="240"/>
      <c r="DX2403" s="240"/>
      <c r="DY2403" s="240"/>
      <c r="DZ2403" s="240"/>
      <c r="EA2403" s="240"/>
      <c r="EB2403" s="237"/>
      <c r="EC2403" s="241"/>
      <c r="ED2403" s="241"/>
      <c r="EE2403" s="241"/>
      <c r="EG2403" s="241"/>
    </row>
    <row r="2404" spans="1:137" s="121" customFormat="1" x14ac:dyDescent="0.3">
      <c r="A2404" s="124"/>
      <c r="O2404" s="235"/>
      <c r="X2404" s="117"/>
      <c r="Y2404" s="117"/>
      <c r="DT2404" s="240"/>
      <c r="DU2404" s="240"/>
      <c r="DV2404" s="240"/>
      <c r="DW2404" s="240"/>
      <c r="DX2404" s="240"/>
      <c r="DY2404" s="240"/>
      <c r="DZ2404" s="240"/>
      <c r="EA2404" s="240"/>
      <c r="EB2404" s="237"/>
      <c r="EC2404" s="241"/>
      <c r="ED2404" s="241"/>
      <c r="EE2404" s="241"/>
      <c r="EG2404" s="241"/>
    </row>
    <row r="2405" spans="1:137" s="121" customFormat="1" x14ac:dyDescent="0.3">
      <c r="A2405" s="124"/>
      <c r="O2405" s="235"/>
      <c r="X2405" s="117"/>
      <c r="Y2405" s="117"/>
      <c r="DT2405" s="240"/>
      <c r="DU2405" s="240"/>
      <c r="DV2405" s="240"/>
      <c r="DW2405" s="240"/>
      <c r="DX2405" s="240"/>
      <c r="DY2405" s="240"/>
      <c r="DZ2405" s="240"/>
      <c r="EA2405" s="240"/>
      <c r="EB2405" s="237"/>
      <c r="EC2405" s="241"/>
      <c r="ED2405" s="241"/>
      <c r="EE2405" s="241"/>
      <c r="EG2405" s="241"/>
    </row>
    <row r="2406" spans="1:137" s="121" customFormat="1" x14ac:dyDescent="0.3">
      <c r="A2406" s="124"/>
      <c r="O2406" s="235"/>
      <c r="X2406" s="117"/>
      <c r="Y2406" s="117"/>
      <c r="DT2406" s="240"/>
      <c r="DU2406" s="240"/>
      <c r="DV2406" s="240"/>
      <c r="DW2406" s="240"/>
      <c r="DX2406" s="240"/>
      <c r="DY2406" s="240"/>
      <c r="DZ2406" s="240"/>
      <c r="EA2406" s="240"/>
      <c r="EB2406" s="237"/>
      <c r="EC2406" s="241"/>
      <c r="ED2406" s="241"/>
      <c r="EE2406" s="241"/>
      <c r="EG2406" s="241"/>
    </row>
    <row r="2407" spans="1:137" s="121" customFormat="1" x14ac:dyDescent="0.3">
      <c r="A2407" s="124"/>
      <c r="O2407" s="235"/>
      <c r="X2407" s="117"/>
      <c r="Y2407" s="117"/>
      <c r="DT2407" s="240"/>
      <c r="DU2407" s="240"/>
      <c r="DV2407" s="240"/>
      <c r="DW2407" s="240"/>
      <c r="DX2407" s="240"/>
      <c r="DY2407" s="240"/>
      <c r="DZ2407" s="240"/>
      <c r="EA2407" s="240"/>
      <c r="EB2407" s="237"/>
      <c r="EC2407" s="241"/>
      <c r="ED2407" s="241"/>
      <c r="EE2407" s="241"/>
      <c r="EG2407" s="241"/>
    </row>
    <row r="2408" spans="1:137" s="121" customFormat="1" x14ac:dyDescent="0.3">
      <c r="A2408" s="124"/>
      <c r="O2408" s="235"/>
      <c r="X2408" s="117"/>
      <c r="Y2408" s="117"/>
      <c r="DT2408" s="240"/>
      <c r="DU2408" s="240"/>
      <c r="DV2408" s="240"/>
      <c r="DW2408" s="240"/>
      <c r="DX2408" s="240"/>
      <c r="DY2408" s="240"/>
      <c r="DZ2408" s="240"/>
      <c r="EA2408" s="240"/>
      <c r="EB2408" s="237"/>
      <c r="EC2408" s="241"/>
      <c r="ED2408" s="241"/>
      <c r="EE2408" s="241"/>
      <c r="EG2408" s="241"/>
    </row>
    <row r="2409" spans="1:137" s="121" customFormat="1" x14ac:dyDescent="0.3">
      <c r="A2409" s="124"/>
      <c r="O2409" s="235"/>
      <c r="X2409" s="117"/>
      <c r="Y2409" s="117"/>
      <c r="DT2409" s="240"/>
      <c r="DU2409" s="240"/>
      <c r="DV2409" s="240"/>
      <c r="DW2409" s="240"/>
      <c r="DX2409" s="240"/>
      <c r="DY2409" s="240"/>
      <c r="DZ2409" s="240"/>
      <c r="EA2409" s="240"/>
      <c r="EB2409" s="237"/>
      <c r="EC2409" s="241"/>
      <c r="ED2409" s="241"/>
      <c r="EE2409" s="241"/>
      <c r="EG2409" s="241"/>
    </row>
    <row r="2410" spans="1:137" s="121" customFormat="1" x14ac:dyDescent="0.3">
      <c r="A2410" s="124"/>
      <c r="O2410" s="235"/>
      <c r="X2410" s="117"/>
      <c r="Y2410" s="117"/>
      <c r="DT2410" s="240"/>
      <c r="DU2410" s="240"/>
      <c r="DV2410" s="240"/>
      <c r="DW2410" s="240"/>
      <c r="DX2410" s="240"/>
      <c r="DY2410" s="240"/>
      <c r="DZ2410" s="240"/>
      <c r="EA2410" s="240"/>
      <c r="EB2410" s="237"/>
      <c r="EC2410" s="241"/>
      <c r="ED2410" s="241"/>
      <c r="EE2410" s="241"/>
      <c r="EG2410" s="241"/>
    </row>
    <row r="2411" spans="1:137" s="121" customFormat="1" x14ac:dyDescent="0.3">
      <c r="A2411" s="124"/>
      <c r="O2411" s="235"/>
      <c r="X2411" s="117"/>
      <c r="Y2411" s="117"/>
      <c r="DT2411" s="240"/>
      <c r="DU2411" s="240"/>
      <c r="DV2411" s="240"/>
      <c r="DW2411" s="240"/>
      <c r="DX2411" s="240"/>
      <c r="DY2411" s="240"/>
      <c r="DZ2411" s="240"/>
      <c r="EA2411" s="240"/>
      <c r="EB2411" s="237"/>
      <c r="EC2411" s="241"/>
      <c r="ED2411" s="241"/>
      <c r="EE2411" s="241"/>
      <c r="EG2411" s="241"/>
    </row>
    <row r="2412" spans="1:137" s="121" customFormat="1" x14ac:dyDescent="0.3">
      <c r="A2412" s="124"/>
      <c r="O2412" s="235"/>
      <c r="X2412" s="117"/>
      <c r="Y2412" s="117"/>
      <c r="DT2412" s="240"/>
      <c r="DU2412" s="240"/>
      <c r="DV2412" s="240"/>
      <c r="DW2412" s="240"/>
      <c r="DX2412" s="240"/>
      <c r="DY2412" s="240"/>
      <c r="DZ2412" s="240"/>
      <c r="EA2412" s="240"/>
      <c r="EB2412" s="237"/>
      <c r="EC2412" s="241"/>
      <c r="ED2412" s="241"/>
      <c r="EE2412" s="241"/>
      <c r="EG2412" s="241"/>
    </row>
    <row r="2413" spans="1:137" s="121" customFormat="1" x14ac:dyDescent="0.3">
      <c r="A2413" s="124"/>
      <c r="O2413" s="235"/>
      <c r="X2413" s="117"/>
      <c r="Y2413" s="117"/>
      <c r="DT2413" s="240"/>
      <c r="DU2413" s="240"/>
      <c r="DV2413" s="240"/>
      <c r="DW2413" s="240"/>
      <c r="DX2413" s="240"/>
      <c r="DY2413" s="240"/>
      <c r="DZ2413" s="240"/>
      <c r="EA2413" s="240"/>
      <c r="EB2413" s="237"/>
      <c r="EC2413" s="241"/>
      <c r="ED2413" s="241"/>
      <c r="EE2413" s="241"/>
      <c r="EG2413" s="241"/>
    </row>
    <row r="2414" spans="1:137" s="121" customFormat="1" x14ac:dyDescent="0.3">
      <c r="A2414" s="124"/>
      <c r="O2414" s="235"/>
      <c r="X2414" s="117"/>
      <c r="Y2414" s="117"/>
      <c r="DT2414" s="240"/>
      <c r="DU2414" s="240"/>
      <c r="DV2414" s="240"/>
      <c r="DW2414" s="240"/>
      <c r="DX2414" s="240"/>
      <c r="DY2414" s="240"/>
      <c r="DZ2414" s="240"/>
      <c r="EA2414" s="240"/>
      <c r="EB2414" s="237"/>
      <c r="EC2414" s="241"/>
      <c r="ED2414" s="241"/>
      <c r="EE2414" s="241"/>
      <c r="EG2414" s="241"/>
    </row>
    <row r="2415" spans="1:137" s="121" customFormat="1" x14ac:dyDescent="0.3">
      <c r="A2415" s="124"/>
      <c r="O2415" s="235"/>
      <c r="X2415" s="117"/>
      <c r="Y2415" s="117"/>
      <c r="DT2415" s="240"/>
      <c r="DU2415" s="240"/>
      <c r="DV2415" s="240"/>
      <c r="DW2415" s="240"/>
      <c r="DX2415" s="240"/>
      <c r="DY2415" s="240"/>
      <c r="DZ2415" s="240"/>
      <c r="EA2415" s="240"/>
      <c r="EB2415" s="237"/>
      <c r="EC2415" s="241"/>
      <c r="ED2415" s="241"/>
      <c r="EE2415" s="241"/>
      <c r="EG2415" s="241"/>
    </row>
    <row r="2416" spans="1:137" s="121" customFormat="1" x14ac:dyDescent="0.3">
      <c r="A2416" s="124"/>
      <c r="O2416" s="235"/>
      <c r="X2416" s="117"/>
      <c r="Y2416" s="117"/>
      <c r="DT2416" s="240"/>
      <c r="DU2416" s="240"/>
      <c r="DV2416" s="240"/>
      <c r="DW2416" s="240"/>
      <c r="DX2416" s="240"/>
      <c r="DY2416" s="240"/>
      <c r="DZ2416" s="240"/>
      <c r="EA2416" s="240"/>
      <c r="EB2416" s="237"/>
      <c r="EC2416" s="241"/>
      <c r="ED2416" s="241"/>
      <c r="EE2416" s="241"/>
      <c r="EG2416" s="241"/>
    </row>
    <row r="2417" spans="1:137" s="121" customFormat="1" x14ac:dyDescent="0.3">
      <c r="A2417" s="124"/>
      <c r="O2417" s="235"/>
      <c r="X2417" s="117"/>
      <c r="Y2417" s="117"/>
      <c r="DT2417" s="240"/>
      <c r="DU2417" s="240"/>
      <c r="DV2417" s="240"/>
      <c r="DW2417" s="240"/>
      <c r="DX2417" s="240"/>
      <c r="DY2417" s="240"/>
      <c r="DZ2417" s="240"/>
      <c r="EA2417" s="240"/>
      <c r="EB2417" s="237"/>
      <c r="EC2417" s="241"/>
      <c r="ED2417" s="241"/>
      <c r="EE2417" s="241"/>
      <c r="EG2417" s="241"/>
    </row>
    <row r="2418" spans="1:137" s="121" customFormat="1" x14ac:dyDescent="0.3">
      <c r="A2418" s="124"/>
      <c r="O2418" s="235"/>
      <c r="X2418" s="117"/>
      <c r="Y2418" s="117"/>
      <c r="DT2418" s="240"/>
      <c r="DU2418" s="240"/>
      <c r="DV2418" s="240"/>
      <c r="DW2418" s="240"/>
      <c r="DX2418" s="240"/>
      <c r="DY2418" s="240"/>
      <c r="DZ2418" s="240"/>
      <c r="EA2418" s="240"/>
      <c r="EB2418" s="237"/>
      <c r="EC2418" s="241"/>
      <c r="ED2418" s="241"/>
      <c r="EE2418" s="241"/>
      <c r="EG2418" s="241"/>
    </row>
    <row r="2419" spans="1:137" s="121" customFormat="1" x14ac:dyDescent="0.3">
      <c r="A2419" s="124"/>
      <c r="O2419" s="235"/>
      <c r="X2419" s="117"/>
      <c r="Y2419" s="117"/>
      <c r="DT2419" s="240"/>
      <c r="DU2419" s="240"/>
      <c r="DV2419" s="240"/>
      <c r="DW2419" s="240"/>
      <c r="DX2419" s="240"/>
      <c r="DY2419" s="240"/>
      <c r="DZ2419" s="240"/>
      <c r="EA2419" s="240"/>
      <c r="EB2419" s="237"/>
      <c r="EC2419" s="241"/>
      <c r="ED2419" s="241"/>
      <c r="EE2419" s="241"/>
      <c r="EG2419" s="241"/>
    </row>
    <row r="2420" spans="1:137" s="121" customFormat="1" x14ac:dyDescent="0.3">
      <c r="A2420" s="124"/>
      <c r="O2420" s="235"/>
      <c r="X2420" s="117"/>
      <c r="Y2420" s="117"/>
      <c r="DT2420" s="240"/>
      <c r="DU2420" s="240"/>
      <c r="DV2420" s="240"/>
      <c r="DW2420" s="240"/>
      <c r="DX2420" s="240"/>
      <c r="DY2420" s="240"/>
      <c r="DZ2420" s="240"/>
      <c r="EA2420" s="240"/>
      <c r="EB2420" s="237"/>
      <c r="EC2420" s="241"/>
      <c r="ED2420" s="241"/>
      <c r="EE2420" s="241"/>
      <c r="EG2420" s="241"/>
    </row>
    <row r="2421" spans="1:137" s="121" customFormat="1" x14ac:dyDescent="0.3">
      <c r="A2421" s="124"/>
      <c r="O2421" s="235"/>
      <c r="X2421" s="117"/>
      <c r="Y2421" s="117"/>
      <c r="DT2421" s="240"/>
      <c r="DU2421" s="240"/>
      <c r="DV2421" s="240"/>
      <c r="DW2421" s="240"/>
      <c r="DX2421" s="240"/>
      <c r="DY2421" s="240"/>
      <c r="DZ2421" s="240"/>
      <c r="EA2421" s="240"/>
      <c r="EB2421" s="237"/>
      <c r="EC2421" s="241"/>
      <c r="ED2421" s="241"/>
      <c r="EE2421" s="241"/>
      <c r="EG2421" s="241"/>
    </row>
    <row r="2422" spans="1:137" s="121" customFormat="1" x14ac:dyDescent="0.3">
      <c r="A2422" s="124"/>
      <c r="O2422" s="235"/>
      <c r="X2422" s="117"/>
      <c r="Y2422" s="117"/>
      <c r="DT2422" s="240"/>
      <c r="DU2422" s="240"/>
      <c r="DV2422" s="240"/>
      <c r="DW2422" s="240"/>
      <c r="DX2422" s="240"/>
      <c r="DY2422" s="240"/>
      <c r="DZ2422" s="240"/>
      <c r="EA2422" s="240"/>
      <c r="EB2422" s="237"/>
      <c r="EC2422" s="241"/>
      <c r="ED2422" s="241"/>
      <c r="EE2422" s="241"/>
      <c r="EG2422" s="241"/>
    </row>
    <row r="2423" spans="1:137" s="121" customFormat="1" x14ac:dyDescent="0.3">
      <c r="A2423" s="124"/>
      <c r="O2423" s="235"/>
      <c r="X2423" s="117"/>
      <c r="Y2423" s="117"/>
      <c r="DT2423" s="240"/>
      <c r="DU2423" s="240"/>
      <c r="DV2423" s="240"/>
      <c r="DW2423" s="240"/>
      <c r="DX2423" s="240"/>
      <c r="DY2423" s="240"/>
      <c r="DZ2423" s="240"/>
      <c r="EA2423" s="240"/>
      <c r="EB2423" s="237"/>
      <c r="EC2423" s="241"/>
      <c r="ED2423" s="241"/>
      <c r="EE2423" s="241"/>
      <c r="EG2423" s="241"/>
    </row>
    <row r="2424" spans="1:137" s="121" customFormat="1" x14ac:dyDescent="0.3">
      <c r="A2424" s="124"/>
      <c r="O2424" s="235"/>
      <c r="X2424" s="117"/>
      <c r="Y2424" s="117"/>
      <c r="DT2424" s="240"/>
      <c r="DU2424" s="240"/>
      <c r="DV2424" s="240"/>
      <c r="DW2424" s="240"/>
      <c r="DX2424" s="240"/>
      <c r="DY2424" s="240"/>
      <c r="DZ2424" s="240"/>
      <c r="EA2424" s="240"/>
      <c r="EB2424" s="237"/>
      <c r="EC2424" s="241"/>
      <c r="ED2424" s="241"/>
      <c r="EE2424" s="241"/>
      <c r="EG2424" s="241"/>
    </row>
    <row r="2425" spans="1:137" s="121" customFormat="1" x14ac:dyDescent="0.3">
      <c r="A2425" s="124"/>
      <c r="O2425" s="235"/>
      <c r="X2425" s="117"/>
      <c r="Y2425" s="117"/>
      <c r="DT2425" s="240"/>
      <c r="DU2425" s="240"/>
      <c r="DV2425" s="240"/>
      <c r="DW2425" s="240"/>
      <c r="DX2425" s="240"/>
      <c r="DY2425" s="240"/>
      <c r="DZ2425" s="240"/>
      <c r="EA2425" s="240"/>
      <c r="EB2425" s="237"/>
      <c r="EC2425" s="241"/>
      <c r="ED2425" s="241"/>
      <c r="EE2425" s="241"/>
      <c r="EG2425" s="241"/>
    </row>
    <row r="2426" spans="1:137" s="121" customFormat="1" x14ac:dyDescent="0.3">
      <c r="A2426" s="124"/>
      <c r="O2426" s="235"/>
      <c r="X2426" s="117"/>
      <c r="Y2426" s="117"/>
      <c r="DT2426" s="240"/>
      <c r="DU2426" s="240"/>
      <c r="DV2426" s="240"/>
      <c r="DW2426" s="240"/>
      <c r="DX2426" s="240"/>
      <c r="DY2426" s="240"/>
      <c r="DZ2426" s="240"/>
      <c r="EA2426" s="240"/>
      <c r="EB2426" s="237"/>
      <c r="EC2426" s="241"/>
      <c r="ED2426" s="241"/>
      <c r="EE2426" s="241"/>
      <c r="EG2426" s="241"/>
    </row>
    <row r="2427" spans="1:137" s="121" customFormat="1" x14ac:dyDescent="0.3">
      <c r="A2427" s="124"/>
      <c r="O2427" s="235"/>
      <c r="X2427" s="117"/>
      <c r="Y2427" s="117"/>
      <c r="DT2427" s="240"/>
      <c r="DU2427" s="240"/>
      <c r="DV2427" s="240"/>
      <c r="DW2427" s="240"/>
      <c r="DX2427" s="240"/>
      <c r="DY2427" s="240"/>
      <c r="DZ2427" s="240"/>
      <c r="EA2427" s="240"/>
      <c r="EB2427" s="237"/>
      <c r="EC2427" s="241"/>
      <c r="ED2427" s="241"/>
      <c r="EE2427" s="241"/>
      <c r="EG2427" s="241"/>
    </row>
    <row r="2428" spans="1:137" s="121" customFormat="1" x14ac:dyDescent="0.3">
      <c r="A2428" s="124"/>
      <c r="O2428" s="235"/>
      <c r="X2428" s="117"/>
      <c r="Y2428" s="117"/>
      <c r="DT2428" s="240"/>
      <c r="DU2428" s="240"/>
      <c r="DV2428" s="240"/>
      <c r="DW2428" s="240"/>
      <c r="DX2428" s="240"/>
      <c r="DY2428" s="240"/>
      <c r="DZ2428" s="240"/>
      <c r="EA2428" s="240"/>
      <c r="EB2428" s="237"/>
      <c r="EC2428" s="241"/>
      <c r="ED2428" s="241"/>
      <c r="EE2428" s="241"/>
      <c r="EG2428" s="241"/>
    </row>
    <row r="2429" spans="1:137" s="121" customFormat="1" x14ac:dyDescent="0.3">
      <c r="A2429" s="124"/>
      <c r="O2429" s="235"/>
      <c r="X2429" s="117"/>
      <c r="Y2429" s="117"/>
      <c r="DT2429" s="240"/>
      <c r="DU2429" s="240"/>
      <c r="DV2429" s="240"/>
      <c r="DW2429" s="240"/>
      <c r="DX2429" s="240"/>
      <c r="DY2429" s="240"/>
      <c r="DZ2429" s="240"/>
      <c r="EA2429" s="240"/>
      <c r="EB2429" s="237"/>
      <c r="EC2429" s="241"/>
      <c r="ED2429" s="241"/>
      <c r="EE2429" s="241"/>
      <c r="EG2429" s="241"/>
    </row>
    <row r="2430" spans="1:137" s="121" customFormat="1" x14ac:dyDescent="0.3">
      <c r="A2430" s="124"/>
      <c r="O2430" s="235"/>
      <c r="X2430" s="117"/>
      <c r="Y2430" s="117"/>
      <c r="DT2430" s="240"/>
      <c r="DU2430" s="240"/>
      <c r="DV2430" s="240"/>
      <c r="DW2430" s="240"/>
      <c r="DX2430" s="240"/>
      <c r="DY2430" s="240"/>
      <c r="DZ2430" s="240"/>
      <c r="EA2430" s="240"/>
      <c r="EB2430" s="237"/>
      <c r="EC2430" s="241"/>
      <c r="ED2430" s="241"/>
      <c r="EE2430" s="241"/>
      <c r="EG2430" s="241"/>
    </row>
    <row r="2431" spans="1:137" s="121" customFormat="1" x14ac:dyDescent="0.3">
      <c r="A2431" s="124"/>
      <c r="O2431" s="235"/>
      <c r="X2431" s="117"/>
      <c r="Y2431" s="117"/>
      <c r="DT2431" s="240"/>
      <c r="DU2431" s="240"/>
      <c r="DV2431" s="240"/>
      <c r="DW2431" s="240"/>
      <c r="DX2431" s="240"/>
      <c r="DY2431" s="240"/>
      <c r="DZ2431" s="240"/>
      <c r="EA2431" s="240"/>
      <c r="EB2431" s="237"/>
      <c r="EC2431" s="241"/>
      <c r="ED2431" s="241"/>
      <c r="EE2431" s="241"/>
      <c r="EG2431" s="241"/>
    </row>
    <row r="2432" spans="1:137" s="121" customFormat="1" x14ac:dyDescent="0.3">
      <c r="A2432" s="124"/>
      <c r="O2432" s="235"/>
      <c r="X2432" s="117"/>
      <c r="Y2432" s="117"/>
      <c r="DT2432" s="240"/>
      <c r="DU2432" s="240"/>
      <c r="DV2432" s="240"/>
      <c r="DW2432" s="240"/>
      <c r="DX2432" s="240"/>
      <c r="DY2432" s="240"/>
      <c r="DZ2432" s="240"/>
      <c r="EA2432" s="240"/>
      <c r="EB2432" s="237"/>
      <c r="EC2432" s="241"/>
      <c r="ED2432" s="241"/>
      <c r="EE2432" s="241"/>
      <c r="EG2432" s="241"/>
    </row>
    <row r="2433" spans="1:137" s="121" customFormat="1" x14ac:dyDescent="0.3">
      <c r="A2433" s="124"/>
      <c r="O2433" s="235"/>
      <c r="X2433" s="117"/>
      <c r="Y2433" s="117"/>
      <c r="DT2433" s="240"/>
      <c r="DU2433" s="240"/>
      <c r="DV2433" s="240"/>
      <c r="DW2433" s="240"/>
      <c r="DX2433" s="240"/>
      <c r="DY2433" s="240"/>
      <c r="DZ2433" s="240"/>
      <c r="EA2433" s="240"/>
      <c r="EB2433" s="237"/>
      <c r="EC2433" s="241"/>
      <c r="ED2433" s="241"/>
      <c r="EE2433" s="241"/>
      <c r="EG2433" s="241"/>
    </row>
    <row r="2434" spans="1:137" s="121" customFormat="1" x14ac:dyDescent="0.3">
      <c r="A2434" s="124"/>
      <c r="O2434" s="235"/>
      <c r="X2434" s="117"/>
      <c r="Y2434" s="117"/>
      <c r="DT2434" s="240"/>
      <c r="DU2434" s="240"/>
      <c r="DV2434" s="240"/>
      <c r="DW2434" s="240"/>
      <c r="DX2434" s="240"/>
      <c r="DY2434" s="240"/>
      <c r="DZ2434" s="240"/>
      <c r="EA2434" s="240"/>
      <c r="EB2434" s="237"/>
      <c r="EC2434" s="241"/>
      <c r="ED2434" s="241"/>
      <c r="EE2434" s="241"/>
      <c r="EG2434" s="241"/>
    </row>
    <row r="2435" spans="1:137" s="121" customFormat="1" x14ac:dyDescent="0.3">
      <c r="A2435" s="124"/>
      <c r="O2435" s="235"/>
      <c r="X2435" s="117"/>
      <c r="Y2435" s="117"/>
      <c r="DT2435" s="240"/>
      <c r="DU2435" s="240"/>
      <c r="DV2435" s="240"/>
      <c r="DW2435" s="240"/>
      <c r="DX2435" s="240"/>
      <c r="DY2435" s="240"/>
      <c r="DZ2435" s="240"/>
      <c r="EA2435" s="240"/>
      <c r="EB2435" s="237"/>
      <c r="EC2435" s="241"/>
      <c r="ED2435" s="241"/>
      <c r="EE2435" s="241"/>
      <c r="EG2435" s="241"/>
    </row>
    <row r="2436" spans="1:137" s="121" customFormat="1" x14ac:dyDescent="0.3">
      <c r="A2436" s="124"/>
      <c r="O2436" s="235"/>
      <c r="X2436" s="117"/>
      <c r="Y2436" s="117"/>
      <c r="DT2436" s="240"/>
      <c r="DU2436" s="240"/>
      <c r="DV2436" s="240"/>
      <c r="DW2436" s="240"/>
      <c r="DX2436" s="240"/>
      <c r="DY2436" s="240"/>
      <c r="DZ2436" s="240"/>
      <c r="EA2436" s="240"/>
      <c r="EB2436" s="237"/>
      <c r="EC2436" s="241"/>
      <c r="ED2436" s="241"/>
      <c r="EE2436" s="241"/>
      <c r="EG2436" s="241"/>
    </row>
    <row r="2437" spans="1:137" s="121" customFormat="1" x14ac:dyDescent="0.3">
      <c r="A2437" s="124"/>
      <c r="O2437" s="235"/>
      <c r="X2437" s="117"/>
      <c r="Y2437" s="117"/>
      <c r="DT2437" s="240"/>
      <c r="DU2437" s="240"/>
      <c r="DV2437" s="240"/>
      <c r="DW2437" s="240"/>
      <c r="DX2437" s="240"/>
      <c r="DY2437" s="240"/>
      <c r="DZ2437" s="240"/>
      <c r="EA2437" s="240"/>
      <c r="EB2437" s="237"/>
      <c r="EC2437" s="241"/>
      <c r="ED2437" s="241"/>
      <c r="EE2437" s="241"/>
      <c r="EG2437" s="241"/>
    </row>
    <row r="2438" spans="1:137" s="121" customFormat="1" x14ac:dyDescent="0.3">
      <c r="A2438" s="124"/>
      <c r="O2438" s="235"/>
      <c r="X2438" s="117"/>
      <c r="Y2438" s="117"/>
      <c r="DT2438" s="240"/>
      <c r="DU2438" s="240"/>
      <c r="DV2438" s="240"/>
      <c r="DW2438" s="240"/>
      <c r="DX2438" s="240"/>
      <c r="DY2438" s="240"/>
      <c r="DZ2438" s="240"/>
      <c r="EA2438" s="240"/>
      <c r="EB2438" s="237"/>
      <c r="EC2438" s="241"/>
      <c r="ED2438" s="241"/>
      <c r="EE2438" s="241"/>
      <c r="EG2438" s="241"/>
    </row>
    <row r="2439" spans="1:137" s="121" customFormat="1" x14ac:dyDescent="0.3">
      <c r="A2439" s="124"/>
      <c r="O2439" s="235"/>
      <c r="X2439" s="117"/>
      <c r="Y2439" s="117"/>
      <c r="DT2439" s="240"/>
      <c r="DU2439" s="240"/>
      <c r="DV2439" s="240"/>
      <c r="DW2439" s="240"/>
      <c r="DX2439" s="240"/>
      <c r="DY2439" s="240"/>
      <c r="DZ2439" s="240"/>
      <c r="EA2439" s="240"/>
      <c r="EB2439" s="237"/>
      <c r="EC2439" s="241"/>
      <c r="ED2439" s="241"/>
      <c r="EE2439" s="241"/>
      <c r="EG2439" s="241"/>
    </row>
    <row r="2440" spans="1:137" s="121" customFormat="1" x14ac:dyDescent="0.3">
      <c r="A2440" s="124"/>
      <c r="O2440" s="235"/>
      <c r="X2440" s="117"/>
      <c r="Y2440" s="117"/>
      <c r="DT2440" s="240"/>
      <c r="DU2440" s="240"/>
      <c r="DV2440" s="240"/>
      <c r="DW2440" s="240"/>
      <c r="DX2440" s="240"/>
      <c r="DY2440" s="240"/>
      <c r="DZ2440" s="240"/>
      <c r="EA2440" s="240"/>
      <c r="EB2440" s="237"/>
      <c r="EC2440" s="241"/>
      <c r="ED2440" s="241"/>
      <c r="EE2440" s="241"/>
      <c r="EG2440" s="241"/>
    </row>
    <row r="2441" spans="1:137" s="121" customFormat="1" x14ac:dyDescent="0.3">
      <c r="A2441" s="124"/>
      <c r="O2441" s="235"/>
      <c r="X2441" s="117"/>
      <c r="Y2441" s="117"/>
      <c r="DT2441" s="240"/>
      <c r="DU2441" s="240"/>
      <c r="DV2441" s="240"/>
      <c r="DW2441" s="240"/>
      <c r="DX2441" s="240"/>
      <c r="DY2441" s="240"/>
      <c r="DZ2441" s="240"/>
      <c r="EA2441" s="240"/>
      <c r="EB2441" s="237"/>
      <c r="EC2441" s="241"/>
      <c r="ED2441" s="241"/>
      <c r="EE2441" s="241"/>
      <c r="EG2441" s="241"/>
    </row>
    <row r="2442" spans="1:137" s="121" customFormat="1" x14ac:dyDescent="0.3">
      <c r="A2442" s="124"/>
      <c r="O2442" s="235"/>
      <c r="X2442" s="117"/>
      <c r="Y2442" s="117"/>
      <c r="DT2442" s="240"/>
      <c r="DU2442" s="240"/>
      <c r="DV2442" s="240"/>
      <c r="DW2442" s="240"/>
      <c r="DX2442" s="240"/>
      <c r="DY2442" s="240"/>
      <c r="DZ2442" s="240"/>
      <c r="EA2442" s="240"/>
      <c r="EB2442" s="237"/>
      <c r="EC2442" s="241"/>
      <c r="ED2442" s="241"/>
      <c r="EE2442" s="241"/>
      <c r="EG2442" s="241"/>
    </row>
    <row r="2443" spans="1:137" s="121" customFormat="1" x14ac:dyDescent="0.3">
      <c r="A2443" s="124"/>
      <c r="O2443" s="235"/>
      <c r="X2443" s="117"/>
      <c r="Y2443" s="117"/>
      <c r="DT2443" s="240"/>
      <c r="DU2443" s="240"/>
      <c r="DV2443" s="240"/>
      <c r="DW2443" s="240"/>
      <c r="DX2443" s="240"/>
      <c r="DY2443" s="240"/>
      <c r="DZ2443" s="240"/>
      <c r="EA2443" s="240"/>
      <c r="EB2443" s="237"/>
      <c r="EC2443" s="241"/>
      <c r="ED2443" s="241"/>
      <c r="EE2443" s="241"/>
      <c r="EG2443" s="241"/>
    </row>
    <row r="2444" spans="1:137" s="121" customFormat="1" x14ac:dyDescent="0.3">
      <c r="A2444" s="124"/>
      <c r="O2444" s="235"/>
      <c r="X2444" s="117"/>
      <c r="Y2444" s="117"/>
      <c r="DT2444" s="240"/>
      <c r="DU2444" s="240"/>
      <c r="DV2444" s="240"/>
      <c r="DW2444" s="240"/>
      <c r="DX2444" s="240"/>
      <c r="DY2444" s="240"/>
      <c r="DZ2444" s="240"/>
      <c r="EA2444" s="240"/>
      <c r="EB2444" s="237"/>
      <c r="EC2444" s="241"/>
      <c r="ED2444" s="241"/>
      <c r="EE2444" s="241"/>
      <c r="EG2444" s="241"/>
    </row>
    <row r="2445" spans="1:137" s="121" customFormat="1" x14ac:dyDescent="0.3">
      <c r="A2445" s="124"/>
      <c r="O2445" s="235"/>
      <c r="X2445" s="117"/>
      <c r="Y2445" s="117"/>
      <c r="DT2445" s="240"/>
      <c r="DU2445" s="240"/>
      <c r="DV2445" s="240"/>
      <c r="DW2445" s="240"/>
      <c r="DX2445" s="240"/>
      <c r="DY2445" s="240"/>
      <c r="DZ2445" s="240"/>
      <c r="EA2445" s="240"/>
      <c r="EB2445" s="237"/>
      <c r="EC2445" s="241"/>
      <c r="ED2445" s="241"/>
      <c r="EE2445" s="241"/>
      <c r="EG2445" s="241"/>
    </row>
    <row r="2446" spans="1:137" s="121" customFormat="1" x14ac:dyDescent="0.3">
      <c r="A2446" s="124"/>
      <c r="O2446" s="235"/>
      <c r="X2446" s="117"/>
      <c r="Y2446" s="117"/>
      <c r="DT2446" s="240"/>
      <c r="DU2446" s="240"/>
      <c r="DV2446" s="240"/>
      <c r="DW2446" s="240"/>
      <c r="DX2446" s="240"/>
      <c r="DY2446" s="240"/>
      <c r="DZ2446" s="240"/>
      <c r="EA2446" s="240"/>
      <c r="EB2446" s="237"/>
      <c r="EC2446" s="241"/>
      <c r="ED2446" s="241"/>
      <c r="EE2446" s="241"/>
      <c r="EG2446" s="241"/>
    </row>
    <row r="2447" spans="1:137" s="121" customFormat="1" x14ac:dyDescent="0.3">
      <c r="A2447" s="124"/>
      <c r="O2447" s="235"/>
      <c r="X2447" s="117"/>
      <c r="Y2447" s="117"/>
      <c r="DT2447" s="240"/>
      <c r="DU2447" s="240"/>
      <c r="DV2447" s="240"/>
      <c r="DW2447" s="240"/>
      <c r="DX2447" s="240"/>
      <c r="DY2447" s="240"/>
      <c r="DZ2447" s="240"/>
      <c r="EA2447" s="240"/>
      <c r="EB2447" s="237"/>
      <c r="EC2447" s="241"/>
      <c r="ED2447" s="241"/>
      <c r="EE2447" s="241"/>
      <c r="EG2447" s="241"/>
    </row>
    <row r="2448" spans="1:137" s="121" customFormat="1" x14ac:dyDescent="0.3">
      <c r="A2448" s="124"/>
      <c r="O2448" s="235"/>
      <c r="X2448" s="117"/>
      <c r="Y2448" s="117"/>
      <c r="DT2448" s="240"/>
      <c r="DU2448" s="240"/>
      <c r="DV2448" s="240"/>
      <c r="DW2448" s="240"/>
      <c r="DX2448" s="240"/>
      <c r="DY2448" s="240"/>
      <c r="DZ2448" s="240"/>
      <c r="EA2448" s="240"/>
      <c r="EB2448" s="237"/>
      <c r="EC2448" s="241"/>
      <c r="ED2448" s="241"/>
      <c r="EE2448" s="241"/>
      <c r="EG2448" s="241"/>
    </row>
    <row r="2449" spans="1:137" s="121" customFormat="1" x14ac:dyDescent="0.3">
      <c r="A2449" s="124"/>
      <c r="O2449" s="235"/>
      <c r="X2449" s="117"/>
      <c r="Y2449" s="117"/>
      <c r="DT2449" s="240"/>
      <c r="DU2449" s="240"/>
      <c r="DV2449" s="240"/>
      <c r="DW2449" s="240"/>
      <c r="DX2449" s="240"/>
      <c r="DY2449" s="240"/>
      <c r="DZ2449" s="240"/>
      <c r="EA2449" s="240"/>
      <c r="EB2449" s="237"/>
      <c r="EC2449" s="241"/>
      <c r="ED2449" s="241"/>
      <c r="EE2449" s="241"/>
      <c r="EG2449" s="241"/>
    </row>
    <row r="2450" spans="1:137" s="121" customFormat="1" x14ac:dyDescent="0.3">
      <c r="A2450" s="124"/>
      <c r="O2450" s="235"/>
      <c r="X2450" s="117"/>
      <c r="Y2450" s="117"/>
      <c r="DT2450" s="240"/>
      <c r="DU2450" s="240"/>
      <c r="DV2450" s="240"/>
      <c r="DW2450" s="240"/>
      <c r="DX2450" s="240"/>
      <c r="DY2450" s="240"/>
      <c r="DZ2450" s="240"/>
      <c r="EA2450" s="240"/>
      <c r="EB2450" s="237"/>
      <c r="EC2450" s="241"/>
      <c r="ED2450" s="241"/>
      <c r="EE2450" s="241"/>
      <c r="EG2450" s="241"/>
    </row>
    <row r="2451" spans="1:137" s="121" customFormat="1" x14ac:dyDescent="0.3">
      <c r="A2451" s="124"/>
      <c r="O2451" s="235"/>
      <c r="X2451" s="117"/>
      <c r="Y2451" s="117"/>
      <c r="DT2451" s="240"/>
      <c r="DU2451" s="240"/>
      <c r="DV2451" s="240"/>
      <c r="DW2451" s="240"/>
      <c r="DX2451" s="240"/>
      <c r="DY2451" s="240"/>
      <c r="DZ2451" s="240"/>
      <c r="EA2451" s="240"/>
      <c r="EB2451" s="237"/>
      <c r="EC2451" s="241"/>
      <c r="ED2451" s="241"/>
      <c r="EE2451" s="241"/>
      <c r="EG2451" s="241"/>
    </row>
    <row r="2452" spans="1:137" s="121" customFormat="1" x14ac:dyDescent="0.3">
      <c r="A2452" s="124"/>
      <c r="O2452" s="235"/>
      <c r="X2452" s="117"/>
      <c r="Y2452" s="117"/>
      <c r="DT2452" s="240"/>
      <c r="DU2452" s="240"/>
      <c r="DV2452" s="240"/>
      <c r="DW2452" s="240"/>
      <c r="DX2452" s="240"/>
      <c r="DY2452" s="240"/>
      <c r="DZ2452" s="240"/>
      <c r="EA2452" s="240"/>
      <c r="EB2452" s="237"/>
      <c r="EC2452" s="241"/>
      <c r="ED2452" s="241"/>
      <c r="EE2452" s="241"/>
      <c r="EG2452" s="241"/>
    </row>
    <row r="2453" spans="1:137" s="121" customFormat="1" x14ac:dyDescent="0.3">
      <c r="A2453" s="124"/>
      <c r="O2453" s="235"/>
      <c r="X2453" s="117"/>
      <c r="Y2453" s="117"/>
      <c r="DT2453" s="240"/>
      <c r="DU2453" s="240"/>
      <c r="DV2453" s="240"/>
      <c r="DW2453" s="240"/>
      <c r="DX2453" s="240"/>
      <c r="DY2453" s="240"/>
      <c r="DZ2453" s="240"/>
      <c r="EA2453" s="240"/>
      <c r="EB2453" s="237"/>
      <c r="EC2453" s="241"/>
      <c r="ED2453" s="241"/>
      <c r="EE2453" s="241"/>
      <c r="EG2453" s="241"/>
    </row>
    <row r="2454" spans="1:137" s="121" customFormat="1" x14ac:dyDescent="0.3">
      <c r="A2454" s="124"/>
      <c r="O2454" s="235"/>
      <c r="X2454" s="117"/>
      <c r="Y2454" s="117"/>
      <c r="DT2454" s="240"/>
      <c r="DU2454" s="240"/>
      <c r="DV2454" s="240"/>
      <c r="DW2454" s="240"/>
      <c r="DX2454" s="240"/>
      <c r="DY2454" s="240"/>
      <c r="DZ2454" s="240"/>
      <c r="EA2454" s="240"/>
      <c r="EB2454" s="237"/>
      <c r="EC2454" s="241"/>
      <c r="ED2454" s="241"/>
      <c r="EE2454" s="241"/>
      <c r="EG2454" s="241"/>
    </row>
    <row r="2455" spans="1:137" s="121" customFormat="1" x14ac:dyDescent="0.3">
      <c r="A2455" s="124"/>
      <c r="O2455" s="235"/>
      <c r="X2455" s="117"/>
      <c r="Y2455" s="117"/>
      <c r="DT2455" s="240"/>
      <c r="DU2455" s="240"/>
      <c r="DV2455" s="240"/>
      <c r="DW2455" s="240"/>
      <c r="DX2455" s="240"/>
      <c r="DY2455" s="240"/>
      <c r="DZ2455" s="240"/>
      <c r="EA2455" s="240"/>
      <c r="EB2455" s="237"/>
      <c r="EC2455" s="241"/>
      <c r="ED2455" s="241"/>
      <c r="EE2455" s="241"/>
      <c r="EG2455" s="241"/>
    </row>
    <row r="2456" spans="1:137" s="121" customFormat="1" x14ac:dyDescent="0.3">
      <c r="A2456" s="124"/>
      <c r="O2456" s="235"/>
      <c r="X2456" s="117"/>
      <c r="Y2456" s="117"/>
      <c r="DT2456" s="240"/>
      <c r="DU2456" s="240"/>
      <c r="DV2456" s="240"/>
      <c r="DW2456" s="240"/>
      <c r="DX2456" s="240"/>
      <c r="DY2456" s="240"/>
      <c r="DZ2456" s="240"/>
      <c r="EA2456" s="240"/>
      <c r="EB2456" s="237"/>
      <c r="EC2456" s="241"/>
      <c r="ED2456" s="241"/>
      <c r="EE2456" s="241"/>
      <c r="EG2456" s="241"/>
    </row>
    <row r="2457" spans="1:137" s="121" customFormat="1" x14ac:dyDescent="0.3">
      <c r="A2457" s="124"/>
      <c r="O2457" s="235"/>
      <c r="X2457" s="117"/>
      <c r="Y2457" s="117"/>
      <c r="DT2457" s="240"/>
      <c r="DU2457" s="240"/>
      <c r="DV2457" s="240"/>
      <c r="DW2457" s="240"/>
      <c r="DX2457" s="240"/>
      <c r="DY2457" s="240"/>
      <c r="DZ2457" s="240"/>
      <c r="EA2457" s="240"/>
      <c r="EB2457" s="237"/>
      <c r="EC2457" s="241"/>
      <c r="ED2457" s="241"/>
      <c r="EE2457" s="241"/>
      <c r="EG2457" s="241"/>
    </row>
    <row r="2458" spans="1:137" s="121" customFormat="1" x14ac:dyDescent="0.3">
      <c r="A2458" s="124"/>
      <c r="O2458" s="235"/>
      <c r="X2458" s="117"/>
      <c r="Y2458" s="117"/>
      <c r="DT2458" s="240"/>
      <c r="DU2458" s="240"/>
      <c r="DV2458" s="240"/>
      <c r="DW2458" s="240"/>
      <c r="DX2458" s="240"/>
      <c r="DY2458" s="240"/>
      <c r="DZ2458" s="240"/>
      <c r="EA2458" s="240"/>
      <c r="EB2458" s="237"/>
      <c r="EC2458" s="241"/>
      <c r="ED2458" s="241"/>
      <c r="EE2458" s="241"/>
      <c r="EG2458" s="241"/>
    </row>
    <row r="2459" spans="1:137" s="121" customFormat="1" x14ac:dyDescent="0.3">
      <c r="A2459" s="124"/>
      <c r="O2459" s="235"/>
      <c r="X2459" s="117"/>
      <c r="Y2459" s="117"/>
      <c r="DT2459" s="240"/>
      <c r="DU2459" s="240"/>
      <c r="DV2459" s="240"/>
      <c r="DW2459" s="240"/>
      <c r="DX2459" s="240"/>
      <c r="DY2459" s="240"/>
      <c r="DZ2459" s="240"/>
      <c r="EA2459" s="240"/>
      <c r="EB2459" s="237"/>
      <c r="EC2459" s="241"/>
      <c r="ED2459" s="241"/>
      <c r="EE2459" s="241"/>
      <c r="EG2459" s="241"/>
    </row>
    <row r="2460" spans="1:137" s="121" customFormat="1" x14ac:dyDescent="0.3">
      <c r="A2460" s="124"/>
      <c r="O2460" s="235"/>
      <c r="X2460" s="117"/>
      <c r="Y2460" s="117"/>
      <c r="DT2460" s="240"/>
      <c r="DU2460" s="240"/>
      <c r="DV2460" s="240"/>
      <c r="DW2460" s="240"/>
      <c r="DX2460" s="240"/>
      <c r="DY2460" s="240"/>
      <c r="DZ2460" s="240"/>
      <c r="EA2460" s="240"/>
      <c r="EB2460" s="237"/>
      <c r="EC2460" s="241"/>
      <c r="ED2460" s="241"/>
      <c r="EE2460" s="241"/>
      <c r="EG2460" s="241"/>
    </row>
    <row r="2461" spans="1:137" s="121" customFormat="1" x14ac:dyDescent="0.3">
      <c r="A2461" s="124"/>
      <c r="O2461" s="235"/>
      <c r="X2461" s="117"/>
      <c r="Y2461" s="117"/>
      <c r="DT2461" s="240"/>
      <c r="DU2461" s="240"/>
      <c r="DV2461" s="240"/>
      <c r="DW2461" s="240"/>
      <c r="DX2461" s="240"/>
      <c r="DY2461" s="240"/>
      <c r="DZ2461" s="240"/>
      <c r="EA2461" s="240"/>
      <c r="EB2461" s="237"/>
      <c r="EC2461" s="241"/>
      <c r="ED2461" s="241"/>
      <c r="EE2461" s="241"/>
      <c r="EG2461" s="241"/>
    </row>
    <row r="2462" spans="1:137" s="121" customFormat="1" x14ac:dyDescent="0.3">
      <c r="A2462" s="124"/>
      <c r="O2462" s="235"/>
      <c r="X2462" s="117"/>
      <c r="Y2462" s="117"/>
      <c r="DT2462" s="240"/>
      <c r="DU2462" s="240"/>
      <c r="DV2462" s="240"/>
      <c r="DW2462" s="240"/>
      <c r="DX2462" s="240"/>
      <c r="DY2462" s="240"/>
      <c r="DZ2462" s="240"/>
      <c r="EA2462" s="240"/>
      <c r="EB2462" s="237"/>
      <c r="EC2462" s="241"/>
      <c r="ED2462" s="241"/>
      <c r="EE2462" s="241"/>
      <c r="EG2462" s="241"/>
    </row>
    <row r="2463" spans="1:137" s="121" customFormat="1" x14ac:dyDescent="0.3">
      <c r="A2463" s="124"/>
      <c r="O2463" s="235"/>
      <c r="X2463" s="117"/>
      <c r="Y2463" s="117"/>
      <c r="DT2463" s="240"/>
      <c r="DU2463" s="240"/>
      <c r="DV2463" s="240"/>
      <c r="DW2463" s="240"/>
      <c r="DX2463" s="240"/>
      <c r="DY2463" s="240"/>
      <c r="DZ2463" s="240"/>
      <c r="EA2463" s="240"/>
      <c r="EB2463" s="237"/>
      <c r="EC2463" s="241"/>
      <c r="ED2463" s="241"/>
      <c r="EE2463" s="241"/>
      <c r="EG2463" s="241"/>
    </row>
    <row r="2464" spans="1:137" s="121" customFormat="1" x14ac:dyDescent="0.3">
      <c r="A2464" s="124"/>
      <c r="O2464" s="235"/>
      <c r="X2464" s="117"/>
      <c r="Y2464" s="117"/>
      <c r="DT2464" s="240"/>
      <c r="DU2464" s="240"/>
      <c r="DV2464" s="240"/>
      <c r="DW2464" s="240"/>
      <c r="DX2464" s="240"/>
      <c r="DY2464" s="240"/>
      <c r="DZ2464" s="240"/>
      <c r="EA2464" s="240"/>
      <c r="EB2464" s="237"/>
      <c r="EC2464" s="241"/>
      <c r="ED2464" s="241"/>
      <c r="EE2464" s="241"/>
      <c r="EG2464" s="241"/>
    </row>
    <row r="2465" spans="1:137" s="121" customFormat="1" x14ac:dyDescent="0.3">
      <c r="A2465" s="124"/>
      <c r="O2465" s="235"/>
      <c r="X2465" s="117"/>
      <c r="Y2465" s="117"/>
      <c r="DT2465" s="240"/>
      <c r="DU2465" s="240"/>
      <c r="DV2465" s="240"/>
      <c r="DW2465" s="240"/>
      <c r="DX2465" s="240"/>
      <c r="DY2465" s="240"/>
      <c r="DZ2465" s="240"/>
      <c r="EA2465" s="240"/>
      <c r="EB2465" s="237"/>
      <c r="EC2465" s="241"/>
      <c r="ED2465" s="241"/>
      <c r="EE2465" s="241"/>
      <c r="EG2465" s="241"/>
    </row>
    <row r="2466" spans="1:137" s="121" customFormat="1" x14ac:dyDescent="0.3">
      <c r="A2466" s="124"/>
      <c r="O2466" s="235"/>
      <c r="X2466" s="117"/>
      <c r="Y2466" s="117"/>
      <c r="DT2466" s="240"/>
      <c r="DU2466" s="240"/>
      <c r="DV2466" s="240"/>
      <c r="DW2466" s="240"/>
      <c r="DX2466" s="240"/>
      <c r="DY2466" s="240"/>
      <c r="DZ2466" s="240"/>
      <c r="EA2466" s="240"/>
      <c r="EB2466" s="237"/>
      <c r="EC2466" s="241"/>
      <c r="ED2466" s="241"/>
      <c r="EE2466" s="241"/>
      <c r="EG2466" s="241"/>
    </row>
    <row r="2467" spans="1:137" s="121" customFormat="1" x14ac:dyDescent="0.3">
      <c r="A2467" s="124"/>
      <c r="O2467" s="235"/>
      <c r="X2467" s="117"/>
      <c r="Y2467" s="117"/>
      <c r="DT2467" s="240"/>
      <c r="DU2467" s="240"/>
      <c r="DV2467" s="240"/>
      <c r="DW2467" s="240"/>
      <c r="DX2467" s="240"/>
      <c r="DY2467" s="240"/>
      <c r="DZ2467" s="240"/>
      <c r="EA2467" s="240"/>
      <c r="EB2467" s="237"/>
      <c r="EC2467" s="241"/>
      <c r="ED2467" s="241"/>
      <c r="EE2467" s="241"/>
      <c r="EG2467" s="241"/>
    </row>
    <row r="2468" spans="1:137" s="121" customFormat="1" x14ac:dyDescent="0.3">
      <c r="A2468" s="124"/>
      <c r="O2468" s="235"/>
      <c r="X2468" s="117"/>
      <c r="Y2468" s="117"/>
      <c r="DT2468" s="240"/>
      <c r="DU2468" s="240"/>
      <c r="DV2468" s="240"/>
      <c r="DW2468" s="240"/>
      <c r="DX2468" s="240"/>
      <c r="DY2468" s="240"/>
      <c r="DZ2468" s="240"/>
      <c r="EA2468" s="240"/>
      <c r="EB2468" s="237"/>
      <c r="EC2468" s="241"/>
      <c r="ED2468" s="241"/>
      <c r="EE2468" s="241"/>
      <c r="EG2468" s="241"/>
    </row>
    <row r="2469" spans="1:137" s="121" customFormat="1" x14ac:dyDescent="0.3">
      <c r="A2469" s="124"/>
      <c r="O2469" s="235"/>
      <c r="X2469" s="117"/>
      <c r="Y2469" s="117"/>
      <c r="DT2469" s="240"/>
      <c r="DU2469" s="240"/>
      <c r="DV2469" s="240"/>
      <c r="DW2469" s="240"/>
      <c r="DX2469" s="240"/>
      <c r="DY2469" s="240"/>
      <c r="DZ2469" s="240"/>
      <c r="EA2469" s="240"/>
      <c r="EB2469" s="237"/>
      <c r="EC2469" s="241"/>
      <c r="ED2469" s="241"/>
      <c r="EE2469" s="241"/>
      <c r="EG2469" s="241"/>
    </row>
    <row r="2470" spans="1:137" s="121" customFormat="1" x14ac:dyDescent="0.3">
      <c r="A2470" s="124"/>
      <c r="O2470" s="235"/>
      <c r="X2470" s="117"/>
      <c r="Y2470" s="117"/>
      <c r="DT2470" s="240"/>
      <c r="DU2470" s="240"/>
      <c r="DV2470" s="240"/>
      <c r="DW2470" s="240"/>
      <c r="DX2470" s="240"/>
      <c r="DY2470" s="240"/>
      <c r="DZ2470" s="240"/>
      <c r="EA2470" s="240"/>
      <c r="EB2470" s="237"/>
      <c r="EC2470" s="241"/>
      <c r="ED2470" s="241"/>
      <c r="EE2470" s="241"/>
      <c r="EG2470" s="241"/>
    </row>
    <row r="2471" spans="1:137" s="121" customFormat="1" x14ac:dyDescent="0.3">
      <c r="A2471" s="124"/>
      <c r="O2471" s="235"/>
      <c r="X2471" s="117"/>
      <c r="Y2471" s="117"/>
      <c r="DT2471" s="240"/>
      <c r="DU2471" s="240"/>
      <c r="DV2471" s="240"/>
      <c r="DW2471" s="240"/>
      <c r="DX2471" s="240"/>
      <c r="DY2471" s="240"/>
      <c r="DZ2471" s="240"/>
      <c r="EA2471" s="240"/>
      <c r="EB2471" s="237"/>
      <c r="EC2471" s="241"/>
      <c r="ED2471" s="241"/>
      <c r="EE2471" s="241"/>
      <c r="EG2471" s="241"/>
    </row>
    <row r="2472" spans="1:137" s="121" customFormat="1" x14ac:dyDescent="0.3">
      <c r="A2472" s="124"/>
      <c r="O2472" s="235"/>
      <c r="X2472" s="117"/>
      <c r="Y2472" s="117"/>
      <c r="DT2472" s="240"/>
      <c r="DU2472" s="240"/>
      <c r="DV2472" s="240"/>
      <c r="DW2472" s="240"/>
      <c r="DX2472" s="240"/>
      <c r="DY2472" s="240"/>
      <c r="DZ2472" s="240"/>
      <c r="EA2472" s="240"/>
      <c r="EB2472" s="237"/>
      <c r="EC2472" s="241"/>
      <c r="ED2472" s="241"/>
      <c r="EE2472" s="241"/>
      <c r="EG2472" s="241"/>
    </row>
    <row r="2473" spans="1:137" s="121" customFormat="1" x14ac:dyDescent="0.3">
      <c r="A2473" s="124"/>
      <c r="O2473" s="235"/>
      <c r="X2473" s="117"/>
      <c r="Y2473" s="117"/>
      <c r="DT2473" s="240"/>
      <c r="DU2473" s="240"/>
      <c r="DV2473" s="240"/>
      <c r="DW2473" s="240"/>
      <c r="DX2473" s="240"/>
      <c r="DY2473" s="240"/>
      <c r="DZ2473" s="240"/>
      <c r="EA2473" s="240"/>
      <c r="EB2473" s="237"/>
      <c r="EC2473" s="241"/>
      <c r="ED2473" s="241"/>
      <c r="EE2473" s="241"/>
      <c r="EG2473" s="241"/>
    </row>
    <row r="2474" spans="1:137" s="121" customFormat="1" x14ac:dyDescent="0.3">
      <c r="A2474" s="124"/>
      <c r="O2474" s="235"/>
      <c r="X2474" s="117"/>
      <c r="Y2474" s="117"/>
      <c r="DT2474" s="240"/>
      <c r="DU2474" s="240"/>
      <c r="DV2474" s="240"/>
      <c r="DW2474" s="240"/>
      <c r="DX2474" s="240"/>
      <c r="DY2474" s="240"/>
      <c r="DZ2474" s="240"/>
      <c r="EA2474" s="240"/>
      <c r="EB2474" s="237"/>
      <c r="EC2474" s="241"/>
      <c r="ED2474" s="241"/>
      <c r="EE2474" s="241"/>
      <c r="EG2474" s="241"/>
    </row>
    <row r="2475" spans="1:137" s="121" customFormat="1" x14ac:dyDescent="0.3">
      <c r="A2475" s="124"/>
      <c r="O2475" s="235"/>
      <c r="X2475" s="117"/>
      <c r="Y2475" s="117"/>
      <c r="DT2475" s="240"/>
      <c r="DU2475" s="240"/>
      <c r="DV2475" s="240"/>
      <c r="DW2475" s="240"/>
      <c r="DX2475" s="240"/>
      <c r="DY2475" s="240"/>
      <c r="DZ2475" s="240"/>
      <c r="EA2475" s="240"/>
      <c r="EB2475" s="237"/>
      <c r="EC2475" s="241"/>
      <c r="ED2475" s="241"/>
      <c r="EE2475" s="241"/>
      <c r="EG2475" s="241"/>
    </row>
    <row r="2476" spans="1:137" s="121" customFormat="1" x14ac:dyDescent="0.3">
      <c r="A2476" s="124"/>
      <c r="O2476" s="235"/>
      <c r="X2476" s="117"/>
      <c r="Y2476" s="117"/>
      <c r="DT2476" s="240"/>
      <c r="DU2476" s="240"/>
      <c r="DV2476" s="240"/>
      <c r="DW2476" s="240"/>
      <c r="DX2476" s="240"/>
      <c r="DY2476" s="240"/>
      <c r="DZ2476" s="240"/>
      <c r="EA2476" s="240"/>
      <c r="EB2476" s="237"/>
      <c r="EC2476" s="241"/>
      <c r="ED2476" s="241"/>
      <c r="EE2476" s="241"/>
      <c r="EG2476" s="241"/>
    </row>
    <row r="2477" spans="1:137" s="121" customFormat="1" x14ac:dyDescent="0.3">
      <c r="A2477" s="124"/>
      <c r="O2477" s="235"/>
      <c r="X2477" s="117"/>
      <c r="Y2477" s="117"/>
      <c r="DT2477" s="240"/>
      <c r="DU2477" s="240"/>
      <c r="DV2477" s="240"/>
      <c r="DW2477" s="240"/>
      <c r="DX2477" s="240"/>
      <c r="DY2477" s="240"/>
      <c r="DZ2477" s="240"/>
      <c r="EA2477" s="240"/>
      <c r="EB2477" s="237"/>
      <c r="EC2477" s="241"/>
      <c r="ED2477" s="241"/>
      <c r="EE2477" s="241"/>
      <c r="EG2477" s="241"/>
    </row>
    <row r="2478" spans="1:137" s="121" customFormat="1" x14ac:dyDescent="0.3">
      <c r="A2478" s="124"/>
      <c r="O2478" s="235"/>
      <c r="X2478" s="117"/>
      <c r="Y2478" s="117"/>
      <c r="DT2478" s="240"/>
      <c r="DU2478" s="240"/>
      <c r="DV2478" s="240"/>
      <c r="DW2478" s="240"/>
      <c r="DX2478" s="240"/>
      <c r="DY2478" s="240"/>
      <c r="DZ2478" s="240"/>
      <c r="EA2478" s="240"/>
      <c r="EB2478" s="237"/>
      <c r="EC2478" s="241"/>
      <c r="ED2478" s="241"/>
      <c r="EE2478" s="241"/>
      <c r="EG2478" s="241"/>
    </row>
    <row r="2479" spans="1:137" s="121" customFormat="1" x14ac:dyDescent="0.3">
      <c r="A2479" s="124"/>
      <c r="O2479" s="235"/>
      <c r="X2479" s="117"/>
      <c r="Y2479" s="117"/>
      <c r="DT2479" s="240"/>
      <c r="DU2479" s="240"/>
      <c r="DV2479" s="240"/>
      <c r="DW2479" s="240"/>
      <c r="DX2479" s="240"/>
      <c r="DY2479" s="240"/>
      <c r="DZ2479" s="240"/>
      <c r="EA2479" s="240"/>
      <c r="EB2479" s="237"/>
      <c r="EC2479" s="241"/>
      <c r="ED2479" s="241"/>
      <c r="EE2479" s="241"/>
      <c r="EG2479" s="241"/>
    </row>
    <row r="2480" spans="1:137" s="121" customFormat="1" x14ac:dyDescent="0.3">
      <c r="A2480" s="124"/>
      <c r="O2480" s="235"/>
      <c r="X2480" s="117"/>
      <c r="Y2480" s="117"/>
      <c r="DT2480" s="240"/>
      <c r="DU2480" s="240"/>
      <c r="DV2480" s="240"/>
      <c r="DW2480" s="240"/>
      <c r="DX2480" s="240"/>
      <c r="DY2480" s="240"/>
      <c r="DZ2480" s="240"/>
      <c r="EA2480" s="240"/>
      <c r="EB2480" s="237"/>
      <c r="EC2480" s="241"/>
      <c r="ED2480" s="241"/>
      <c r="EE2480" s="241"/>
      <c r="EG2480" s="241"/>
    </row>
    <row r="2481" spans="1:137" s="121" customFormat="1" x14ac:dyDescent="0.3">
      <c r="A2481" s="124"/>
      <c r="O2481" s="235"/>
      <c r="X2481" s="117"/>
      <c r="Y2481" s="117"/>
      <c r="DT2481" s="240"/>
      <c r="DU2481" s="240"/>
      <c r="DV2481" s="240"/>
      <c r="DW2481" s="240"/>
      <c r="DX2481" s="240"/>
      <c r="DY2481" s="240"/>
      <c r="DZ2481" s="240"/>
      <c r="EA2481" s="240"/>
      <c r="EB2481" s="237"/>
      <c r="EC2481" s="241"/>
      <c r="ED2481" s="241"/>
      <c r="EE2481" s="241"/>
      <c r="EG2481" s="241"/>
    </row>
    <row r="2482" spans="1:137" s="121" customFormat="1" x14ac:dyDescent="0.3">
      <c r="A2482" s="124"/>
      <c r="O2482" s="235"/>
      <c r="X2482" s="117"/>
      <c r="Y2482" s="117"/>
      <c r="DT2482" s="240"/>
      <c r="DU2482" s="240"/>
      <c r="DV2482" s="240"/>
      <c r="DW2482" s="240"/>
      <c r="DX2482" s="240"/>
      <c r="DY2482" s="240"/>
      <c r="DZ2482" s="240"/>
      <c r="EA2482" s="240"/>
      <c r="EB2482" s="237"/>
      <c r="EC2482" s="241"/>
      <c r="ED2482" s="241"/>
      <c r="EE2482" s="241"/>
      <c r="EG2482" s="241"/>
    </row>
    <row r="2483" spans="1:137" s="121" customFormat="1" x14ac:dyDescent="0.3">
      <c r="A2483" s="124"/>
      <c r="O2483" s="235"/>
      <c r="X2483" s="117"/>
      <c r="Y2483" s="117"/>
      <c r="DT2483" s="240"/>
      <c r="DU2483" s="240"/>
      <c r="DV2483" s="240"/>
      <c r="DW2483" s="240"/>
      <c r="DX2483" s="240"/>
      <c r="DY2483" s="240"/>
      <c r="DZ2483" s="240"/>
      <c r="EA2483" s="240"/>
      <c r="EB2483" s="237"/>
      <c r="EC2483" s="241"/>
      <c r="ED2483" s="241"/>
      <c r="EE2483" s="241"/>
      <c r="EG2483" s="241"/>
    </row>
    <row r="2484" spans="1:137" s="121" customFormat="1" x14ac:dyDescent="0.3">
      <c r="A2484" s="124"/>
      <c r="O2484" s="235"/>
      <c r="X2484" s="117"/>
      <c r="Y2484" s="117"/>
      <c r="DT2484" s="240"/>
      <c r="DU2484" s="240"/>
      <c r="DV2484" s="240"/>
      <c r="DW2484" s="240"/>
      <c r="DX2484" s="240"/>
      <c r="DY2484" s="240"/>
      <c r="DZ2484" s="240"/>
      <c r="EA2484" s="240"/>
      <c r="EB2484" s="237"/>
      <c r="EC2484" s="241"/>
      <c r="ED2484" s="241"/>
      <c r="EE2484" s="241"/>
      <c r="EG2484" s="241"/>
    </row>
    <row r="2485" spans="1:137" s="121" customFormat="1" x14ac:dyDescent="0.3">
      <c r="A2485" s="124"/>
      <c r="O2485" s="235"/>
      <c r="X2485" s="117"/>
      <c r="Y2485" s="117"/>
      <c r="DT2485" s="240"/>
      <c r="DU2485" s="240"/>
      <c r="DV2485" s="240"/>
      <c r="DW2485" s="240"/>
      <c r="DX2485" s="240"/>
      <c r="DY2485" s="240"/>
      <c r="DZ2485" s="240"/>
      <c r="EA2485" s="240"/>
      <c r="EB2485" s="237"/>
      <c r="EC2485" s="241"/>
      <c r="ED2485" s="241"/>
      <c r="EE2485" s="241"/>
      <c r="EG2485" s="241"/>
    </row>
    <row r="2486" spans="1:137" s="121" customFormat="1" x14ac:dyDescent="0.3">
      <c r="A2486" s="124"/>
      <c r="O2486" s="235"/>
      <c r="X2486" s="117"/>
      <c r="Y2486" s="117"/>
      <c r="DT2486" s="240"/>
      <c r="DU2486" s="240"/>
      <c r="DV2486" s="240"/>
      <c r="DW2486" s="240"/>
      <c r="DX2486" s="240"/>
      <c r="DY2486" s="240"/>
      <c r="DZ2486" s="240"/>
      <c r="EA2486" s="240"/>
      <c r="EB2486" s="237"/>
      <c r="EC2486" s="241"/>
      <c r="ED2486" s="241"/>
      <c r="EE2486" s="241"/>
      <c r="EG2486" s="241"/>
    </row>
    <row r="2487" spans="1:137" s="121" customFormat="1" x14ac:dyDescent="0.3">
      <c r="A2487" s="124"/>
      <c r="O2487" s="235"/>
      <c r="X2487" s="117"/>
      <c r="Y2487" s="117"/>
      <c r="DT2487" s="240"/>
      <c r="DU2487" s="240"/>
      <c r="DV2487" s="240"/>
      <c r="DW2487" s="240"/>
      <c r="DX2487" s="240"/>
      <c r="DY2487" s="240"/>
      <c r="DZ2487" s="240"/>
      <c r="EA2487" s="240"/>
      <c r="EB2487" s="237"/>
      <c r="EC2487" s="241"/>
      <c r="ED2487" s="241"/>
      <c r="EE2487" s="241"/>
      <c r="EG2487" s="241"/>
    </row>
    <row r="2488" spans="1:137" s="121" customFormat="1" x14ac:dyDescent="0.3">
      <c r="A2488" s="124"/>
      <c r="O2488" s="235"/>
      <c r="X2488" s="117"/>
      <c r="Y2488" s="117"/>
      <c r="DT2488" s="240"/>
      <c r="DU2488" s="240"/>
      <c r="DV2488" s="240"/>
      <c r="DW2488" s="240"/>
      <c r="DX2488" s="240"/>
      <c r="DY2488" s="240"/>
      <c r="DZ2488" s="240"/>
      <c r="EA2488" s="240"/>
      <c r="EB2488" s="237"/>
      <c r="EC2488" s="241"/>
      <c r="ED2488" s="241"/>
      <c r="EE2488" s="241"/>
      <c r="EG2488" s="241"/>
    </row>
    <row r="2489" spans="1:137" s="121" customFormat="1" x14ac:dyDescent="0.3">
      <c r="A2489" s="124"/>
      <c r="O2489" s="235"/>
      <c r="X2489" s="117"/>
      <c r="Y2489" s="117"/>
      <c r="DT2489" s="240"/>
      <c r="DU2489" s="240"/>
      <c r="DV2489" s="240"/>
      <c r="DW2489" s="240"/>
      <c r="DX2489" s="240"/>
      <c r="DY2489" s="240"/>
      <c r="DZ2489" s="240"/>
      <c r="EA2489" s="240"/>
      <c r="EB2489" s="237"/>
      <c r="EC2489" s="241"/>
      <c r="ED2489" s="241"/>
      <c r="EE2489" s="241"/>
      <c r="EG2489" s="241"/>
    </row>
    <row r="2490" spans="1:137" s="121" customFormat="1" x14ac:dyDescent="0.3">
      <c r="A2490" s="124"/>
      <c r="O2490" s="235"/>
      <c r="X2490" s="117"/>
      <c r="Y2490" s="117"/>
      <c r="DT2490" s="240"/>
      <c r="DU2490" s="240"/>
      <c r="DV2490" s="240"/>
      <c r="DW2490" s="240"/>
      <c r="DX2490" s="240"/>
      <c r="DY2490" s="240"/>
      <c r="DZ2490" s="240"/>
      <c r="EA2490" s="240"/>
      <c r="EB2490" s="237"/>
      <c r="EC2490" s="241"/>
      <c r="ED2490" s="241"/>
      <c r="EE2490" s="241"/>
      <c r="EG2490" s="241"/>
    </row>
    <row r="2491" spans="1:137" s="121" customFormat="1" x14ac:dyDescent="0.3">
      <c r="A2491" s="124"/>
      <c r="O2491" s="235"/>
      <c r="X2491" s="117"/>
      <c r="Y2491" s="117"/>
      <c r="DT2491" s="240"/>
      <c r="DU2491" s="240"/>
      <c r="DV2491" s="240"/>
      <c r="DW2491" s="240"/>
      <c r="DX2491" s="240"/>
      <c r="DY2491" s="240"/>
      <c r="DZ2491" s="240"/>
      <c r="EA2491" s="240"/>
      <c r="EB2491" s="237"/>
      <c r="EC2491" s="241"/>
      <c r="ED2491" s="241"/>
      <c r="EE2491" s="241"/>
      <c r="EG2491" s="241"/>
    </row>
    <row r="2492" spans="1:137" s="121" customFormat="1" x14ac:dyDescent="0.3">
      <c r="A2492" s="124"/>
      <c r="O2492" s="235"/>
      <c r="X2492" s="117"/>
      <c r="Y2492" s="117"/>
      <c r="DT2492" s="240"/>
      <c r="DU2492" s="240"/>
      <c r="DV2492" s="240"/>
      <c r="DW2492" s="240"/>
      <c r="DX2492" s="240"/>
      <c r="DY2492" s="240"/>
      <c r="DZ2492" s="240"/>
      <c r="EA2492" s="240"/>
      <c r="EB2492" s="237"/>
      <c r="EC2492" s="241"/>
      <c r="ED2492" s="241"/>
      <c r="EE2492" s="241"/>
      <c r="EG2492" s="241"/>
    </row>
    <row r="2493" spans="1:137" s="121" customFormat="1" x14ac:dyDescent="0.3">
      <c r="A2493" s="124"/>
      <c r="O2493" s="235"/>
      <c r="X2493" s="117"/>
      <c r="Y2493" s="117"/>
      <c r="DT2493" s="240"/>
      <c r="DU2493" s="240"/>
      <c r="DV2493" s="240"/>
      <c r="DW2493" s="240"/>
      <c r="DX2493" s="240"/>
      <c r="DY2493" s="240"/>
      <c r="DZ2493" s="240"/>
      <c r="EA2493" s="240"/>
      <c r="EB2493" s="237"/>
      <c r="EC2493" s="241"/>
      <c r="ED2493" s="241"/>
      <c r="EE2493" s="241"/>
      <c r="EG2493" s="241"/>
    </row>
    <row r="2494" spans="1:137" s="121" customFormat="1" x14ac:dyDescent="0.3">
      <c r="A2494" s="124"/>
      <c r="O2494" s="235"/>
      <c r="X2494" s="117"/>
      <c r="Y2494" s="117"/>
      <c r="DT2494" s="240"/>
      <c r="DU2494" s="240"/>
      <c r="DV2494" s="240"/>
      <c r="DW2494" s="240"/>
      <c r="DX2494" s="240"/>
      <c r="DY2494" s="240"/>
      <c r="DZ2494" s="240"/>
      <c r="EA2494" s="240"/>
      <c r="EB2494" s="237"/>
      <c r="EC2494" s="241"/>
      <c r="ED2494" s="241"/>
      <c r="EE2494" s="241"/>
      <c r="EG2494" s="241"/>
    </row>
    <row r="2495" spans="1:137" s="121" customFormat="1" x14ac:dyDescent="0.3">
      <c r="A2495" s="124"/>
      <c r="O2495" s="235"/>
      <c r="X2495" s="117"/>
      <c r="Y2495" s="117"/>
      <c r="DT2495" s="240"/>
      <c r="DU2495" s="240"/>
      <c r="DV2495" s="240"/>
      <c r="DW2495" s="240"/>
      <c r="DX2495" s="240"/>
      <c r="DY2495" s="240"/>
      <c r="DZ2495" s="240"/>
      <c r="EA2495" s="240"/>
      <c r="EB2495" s="237"/>
      <c r="EC2495" s="241"/>
      <c r="ED2495" s="241"/>
      <c r="EE2495" s="241"/>
      <c r="EG2495" s="241"/>
    </row>
    <row r="2496" spans="1:137" s="121" customFormat="1" x14ac:dyDescent="0.3">
      <c r="A2496" s="124"/>
      <c r="O2496" s="235"/>
      <c r="X2496" s="117"/>
      <c r="Y2496" s="117"/>
      <c r="DT2496" s="240"/>
      <c r="DU2496" s="240"/>
      <c r="DV2496" s="240"/>
      <c r="DW2496" s="240"/>
      <c r="DX2496" s="240"/>
      <c r="DY2496" s="240"/>
      <c r="DZ2496" s="240"/>
      <c r="EA2496" s="240"/>
      <c r="EB2496" s="237"/>
      <c r="EC2496" s="241"/>
      <c r="ED2496" s="241"/>
      <c r="EE2496" s="241"/>
      <c r="EG2496" s="241"/>
    </row>
    <row r="2497" spans="1:137" s="121" customFormat="1" x14ac:dyDescent="0.3">
      <c r="A2497" s="124"/>
      <c r="O2497" s="235"/>
      <c r="X2497" s="117"/>
      <c r="Y2497" s="117"/>
      <c r="DT2497" s="240"/>
      <c r="DU2497" s="240"/>
      <c r="DV2497" s="240"/>
      <c r="DW2497" s="240"/>
      <c r="DX2497" s="240"/>
      <c r="DY2497" s="240"/>
      <c r="DZ2497" s="240"/>
      <c r="EA2497" s="240"/>
      <c r="EB2497" s="237"/>
      <c r="EC2497" s="241"/>
      <c r="ED2497" s="241"/>
      <c r="EE2497" s="241"/>
      <c r="EG2497" s="241"/>
    </row>
    <row r="2498" spans="1:137" s="121" customFormat="1" x14ac:dyDescent="0.3">
      <c r="A2498" s="124"/>
      <c r="O2498" s="235"/>
      <c r="X2498" s="117"/>
      <c r="Y2498" s="117"/>
      <c r="DT2498" s="240"/>
      <c r="DU2498" s="240"/>
      <c r="DV2498" s="240"/>
      <c r="DW2498" s="240"/>
      <c r="DX2498" s="240"/>
      <c r="DY2498" s="240"/>
      <c r="DZ2498" s="240"/>
      <c r="EA2498" s="240"/>
      <c r="EB2498" s="237"/>
      <c r="EC2498" s="241"/>
      <c r="ED2498" s="241"/>
      <c r="EE2498" s="241"/>
      <c r="EG2498" s="241"/>
    </row>
    <row r="2499" spans="1:137" s="121" customFormat="1" x14ac:dyDescent="0.3">
      <c r="A2499" s="124"/>
      <c r="O2499" s="235"/>
      <c r="X2499" s="117"/>
      <c r="Y2499" s="117"/>
      <c r="DT2499" s="240"/>
      <c r="DU2499" s="240"/>
      <c r="DV2499" s="240"/>
      <c r="DW2499" s="240"/>
      <c r="DX2499" s="240"/>
      <c r="DY2499" s="240"/>
      <c r="DZ2499" s="240"/>
      <c r="EA2499" s="240"/>
      <c r="EB2499" s="237"/>
      <c r="EC2499" s="241"/>
      <c r="ED2499" s="241"/>
      <c r="EE2499" s="241"/>
      <c r="EG2499" s="241"/>
    </row>
    <row r="2500" spans="1:137" s="121" customFormat="1" x14ac:dyDescent="0.3">
      <c r="A2500" s="124"/>
      <c r="O2500" s="235"/>
      <c r="X2500" s="117"/>
      <c r="Y2500" s="117"/>
      <c r="DT2500" s="240"/>
      <c r="DU2500" s="240"/>
      <c r="DV2500" s="240"/>
      <c r="DW2500" s="240"/>
      <c r="DX2500" s="240"/>
      <c r="DY2500" s="240"/>
      <c r="DZ2500" s="240"/>
      <c r="EA2500" s="240"/>
      <c r="EB2500" s="237"/>
      <c r="EC2500" s="241"/>
      <c r="ED2500" s="241"/>
      <c r="EE2500" s="241"/>
      <c r="EG2500" s="241"/>
    </row>
    <row r="2501" spans="1:137" s="121" customFormat="1" x14ac:dyDescent="0.3">
      <c r="A2501" s="124"/>
      <c r="O2501" s="235"/>
      <c r="X2501" s="117"/>
      <c r="Y2501" s="117"/>
      <c r="DT2501" s="240"/>
      <c r="DU2501" s="240"/>
      <c r="DV2501" s="240"/>
      <c r="DW2501" s="240"/>
      <c r="DX2501" s="240"/>
      <c r="DY2501" s="240"/>
      <c r="DZ2501" s="240"/>
      <c r="EA2501" s="240"/>
      <c r="EB2501" s="237"/>
      <c r="EC2501" s="241"/>
      <c r="ED2501" s="241"/>
      <c r="EE2501" s="241"/>
      <c r="EG2501" s="241"/>
    </row>
    <row r="2502" spans="1:137" s="121" customFormat="1" x14ac:dyDescent="0.3">
      <c r="A2502" s="124"/>
      <c r="O2502" s="235"/>
      <c r="X2502" s="117"/>
      <c r="Y2502" s="117"/>
      <c r="DT2502" s="240"/>
      <c r="DU2502" s="240"/>
      <c r="DV2502" s="240"/>
      <c r="DW2502" s="240"/>
      <c r="DX2502" s="240"/>
      <c r="DY2502" s="240"/>
      <c r="DZ2502" s="240"/>
      <c r="EA2502" s="240"/>
      <c r="EB2502" s="237"/>
      <c r="EC2502" s="241"/>
      <c r="ED2502" s="241"/>
      <c r="EE2502" s="241"/>
      <c r="EG2502" s="241"/>
    </row>
    <row r="2503" spans="1:137" s="121" customFormat="1" x14ac:dyDescent="0.3">
      <c r="A2503" s="124"/>
      <c r="O2503" s="235"/>
      <c r="X2503" s="117"/>
      <c r="Y2503" s="117"/>
      <c r="DT2503" s="240"/>
      <c r="DU2503" s="240"/>
      <c r="DV2503" s="240"/>
      <c r="DW2503" s="240"/>
      <c r="DX2503" s="240"/>
      <c r="DY2503" s="240"/>
      <c r="DZ2503" s="240"/>
      <c r="EA2503" s="240"/>
      <c r="EB2503" s="237"/>
      <c r="EC2503" s="241"/>
      <c r="ED2503" s="241"/>
      <c r="EE2503" s="241"/>
      <c r="EG2503" s="241"/>
    </row>
    <row r="2504" spans="1:137" s="121" customFormat="1" x14ac:dyDescent="0.3">
      <c r="A2504" s="124"/>
      <c r="O2504" s="235"/>
      <c r="X2504" s="117"/>
      <c r="Y2504" s="117"/>
      <c r="DT2504" s="240"/>
      <c r="DU2504" s="240"/>
      <c r="DV2504" s="240"/>
      <c r="DW2504" s="240"/>
      <c r="DX2504" s="240"/>
      <c r="DY2504" s="240"/>
      <c r="DZ2504" s="240"/>
      <c r="EA2504" s="240"/>
      <c r="EB2504" s="237"/>
      <c r="EC2504" s="241"/>
      <c r="ED2504" s="241"/>
      <c r="EE2504" s="241"/>
      <c r="EG2504" s="241"/>
    </row>
    <row r="2505" spans="1:137" s="121" customFormat="1" x14ac:dyDescent="0.3">
      <c r="A2505" s="124"/>
      <c r="O2505" s="235"/>
      <c r="X2505" s="117"/>
      <c r="Y2505" s="117"/>
      <c r="DT2505" s="240"/>
      <c r="DU2505" s="240"/>
      <c r="DV2505" s="240"/>
      <c r="DW2505" s="240"/>
      <c r="DX2505" s="240"/>
      <c r="DY2505" s="240"/>
      <c r="DZ2505" s="240"/>
      <c r="EA2505" s="240"/>
      <c r="EB2505" s="237"/>
      <c r="EC2505" s="241"/>
      <c r="ED2505" s="241"/>
      <c r="EE2505" s="241"/>
      <c r="EG2505" s="241"/>
    </row>
    <row r="2506" spans="1:137" s="121" customFormat="1" x14ac:dyDescent="0.3">
      <c r="A2506" s="124"/>
      <c r="O2506" s="235"/>
      <c r="X2506" s="117"/>
      <c r="Y2506" s="117"/>
      <c r="DT2506" s="240"/>
      <c r="DU2506" s="240"/>
      <c r="DV2506" s="240"/>
      <c r="DW2506" s="240"/>
      <c r="DX2506" s="240"/>
      <c r="DY2506" s="240"/>
      <c r="DZ2506" s="240"/>
      <c r="EA2506" s="240"/>
      <c r="EB2506" s="237"/>
      <c r="EC2506" s="241"/>
      <c r="ED2506" s="241"/>
      <c r="EE2506" s="241"/>
      <c r="EG2506" s="241"/>
    </row>
    <row r="2507" spans="1:137" s="121" customFormat="1" x14ac:dyDescent="0.3">
      <c r="A2507" s="124"/>
      <c r="O2507" s="235"/>
      <c r="X2507" s="117"/>
      <c r="Y2507" s="117"/>
      <c r="DT2507" s="240"/>
      <c r="DU2507" s="240"/>
      <c r="DV2507" s="240"/>
      <c r="DW2507" s="240"/>
      <c r="DX2507" s="240"/>
      <c r="DY2507" s="240"/>
      <c r="DZ2507" s="240"/>
      <c r="EA2507" s="240"/>
      <c r="EB2507" s="237"/>
      <c r="EC2507" s="241"/>
      <c r="ED2507" s="241"/>
      <c r="EE2507" s="241"/>
      <c r="EG2507" s="241"/>
    </row>
    <row r="2508" spans="1:137" s="121" customFormat="1" x14ac:dyDescent="0.3">
      <c r="A2508" s="124"/>
      <c r="O2508" s="235"/>
      <c r="X2508" s="117"/>
      <c r="Y2508" s="117"/>
      <c r="DT2508" s="240"/>
      <c r="DU2508" s="240"/>
      <c r="DV2508" s="240"/>
      <c r="DW2508" s="240"/>
      <c r="DX2508" s="240"/>
      <c r="DY2508" s="240"/>
      <c r="DZ2508" s="240"/>
      <c r="EA2508" s="240"/>
      <c r="EB2508" s="237"/>
      <c r="EC2508" s="241"/>
      <c r="ED2508" s="241"/>
      <c r="EE2508" s="241"/>
      <c r="EG2508" s="241"/>
    </row>
    <row r="2509" spans="1:137" s="121" customFormat="1" x14ac:dyDescent="0.3">
      <c r="A2509" s="124"/>
      <c r="O2509" s="235"/>
      <c r="X2509" s="117"/>
      <c r="Y2509" s="117"/>
      <c r="DT2509" s="240"/>
      <c r="DU2509" s="240"/>
      <c r="DV2509" s="240"/>
      <c r="DW2509" s="240"/>
      <c r="DX2509" s="240"/>
      <c r="DY2509" s="240"/>
      <c r="DZ2509" s="240"/>
      <c r="EA2509" s="240"/>
      <c r="EB2509" s="237"/>
      <c r="EC2509" s="241"/>
      <c r="ED2509" s="241"/>
      <c r="EE2509" s="241"/>
      <c r="EG2509" s="241"/>
    </row>
    <row r="2510" spans="1:137" s="121" customFormat="1" x14ac:dyDescent="0.3">
      <c r="A2510" s="124"/>
      <c r="O2510" s="235"/>
      <c r="X2510" s="117"/>
      <c r="Y2510" s="117"/>
      <c r="DT2510" s="240"/>
      <c r="DU2510" s="240"/>
      <c r="DV2510" s="240"/>
      <c r="DW2510" s="240"/>
      <c r="DX2510" s="240"/>
      <c r="DY2510" s="240"/>
      <c r="DZ2510" s="240"/>
      <c r="EA2510" s="240"/>
      <c r="EB2510" s="237"/>
      <c r="EC2510" s="241"/>
      <c r="ED2510" s="241"/>
      <c r="EE2510" s="241"/>
      <c r="EG2510" s="241"/>
    </row>
    <row r="2511" spans="1:137" s="121" customFormat="1" x14ac:dyDescent="0.3">
      <c r="A2511" s="124"/>
      <c r="O2511" s="235"/>
      <c r="X2511" s="117"/>
      <c r="Y2511" s="117"/>
      <c r="DT2511" s="240"/>
      <c r="DU2511" s="240"/>
      <c r="DV2511" s="240"/>
      <c r="DW2511" s="240"/>
      <c r="DX2511" s="240"/>
      <c r="DY2511" s="240"/>
      <c r="DZ2511" s="240"/>
      <c r="EA2511" s="240"/>
      <c r="EB2511" s="237"/>
      <c r="EC2511" s="241"/>
      <c r="ED2511" s="241"/>
      <c r="EE2511" s="241"/>
      <c r="EG2511" s="241"/>
    </row>
    <row r="2512" spans="1:137" s="121" customFormat="1" x14ac:dyDescent="0.3">
      <c r="A2512" s="124"/>
      <c r="O2512" s="235"/>
      <c r="X2512" s="117"/>
      <c r="Y2512" s="117"/>
      <c r="DT2512" s="240"/>
      <c r="DU2512" s="240"/>
      <c r="DV2512" s="240"/>
      <c r="DW2512" s="240"/>
      <c r="DX2512" s="240"/>
      <c r="DY2512" s="240"/>
      <c r="DZ2512" s="240"/>
      <c r="EA2512" s="240"/>
      <c r="EB2512" s="237"/>
      <c r="EC2512" s="241"/>
      <c r="ED2512" s="241"/>
      <c r="EE2512" s="241"/>
      <c r="EG2512" s="241"/>
    </row>
    <row r="2513" spans="1:137" s="121" customFormat="1" x14ac:dyDescent="0.3">
      <c r="A2513" s="124"/>
      <c r="O2513" s="235"/>
      <c r="X2513" s="117"/>
      <c r="Y2513" s="117"/>
      <c r="DT2513" s="240"/>
      <c r="DU2513" s="240"/>
      <c r="DV2513" s="240"/>
      <c r="DW2513" s="240"/>
      <c r="DX2513" s="240"/>
      <c r="DY2513" s="240"/>
      <c r="DZ2513" s="240"/>
      <c r="EA2513" s="240"/>
      <c r="EB2513" s="237"/>
      <c r="EC2513" s="241"/>
      <c r="ED2513" s="241"/>
      <c r="EE2513" s="241"/>
      <c r="EG2513" s="241"/>
    </row>
    <row r="2514" spans="1:137" s="121" customFormat="1" x14ac:dyDescent="0.3">
      <c r="A2514" s="124"/>
      <c r="O2514" s="235"/>
      <c r="X2514" s="117"/>
      <c r="Y2514" s="117"/>
      <c r="DT2514" s="240"/>
      <c r="DU2514" s="240"/>
      <c r="DV2514" s="240"/>
      <c r="DW2514" s="240"/>
      <c r="DX2514" s="240"/>
      <c r="DY2514" s="240"/>
      <c r="DZ2514" s="240"/>
      <c r="EA2514" s="240"/>
      <c r="EB2514" s="237"/>
      <c r="EC2514" s="241"/>
      <c r="ED2514" s="241"/>
      <c r="EE2514" s="241"/>
      <c r="EG2514" s="241"/>
    </row>
    <row r="2515" spans="1:137" s="121" customFormat="1" x14ac:dyDescent="0.3">
      <c r="A2515" s="124"/>
      <c r="O2515" s="235"/>
      <c r="X2515" s="117"/>
      <c r="Y2515" s="117"/>
      <c r="DT2515" s="240"/>
      <c r="DU2515" s="240"/>
      <c r="DV2515" s="240"/>
      <c r="DW2515" s="240"/>
      <c r="DX2515" s="240"/>
      <c r="DY2515" s="240"/>
      <c r="DZ2515" s="240"/>
      <c r="EA2515" s="240"/>
      <c r="EB2515" s="237"/>
      <c r="EC2515" s="241"/>
      <c r="ED2515" s="241"/>
      <c r="EE2515" s="241"/>
      <c r="EG2515" s="241"/>
    </row>
    <row r="2516" spans="1:137" s="121" customFormat="1" x14ac:dyDescent="0.3">
      <c r="A2516" s="124"/>
      <c r="O2516" s="235"/>
      <c r="X2516" s="117"/>
      <c r="Y2516" s="117"/>
      <c r="DT2516" s="240"/>
      <c r="DU2516" s="240"/>
      <c r="DV2516" s="240"/>
      <c r="DW2516" s="240"/>
      <c r="DX2516" s="240"/>
      <c r="DY2516" s="240"/>
      <c r="DZ2516" s="240"/>
      <c r="EA2516" s="240"/>
      <c r="EB2516" s="237"/>
      <c r="EC2516" s="241"/>
      <c r="ED2516" s="241"/>
      <c r="EE2516" s="241"/>
      <c r="EG2516" s="241"/>
    </row>
    <row r="2517" spans="1:137" s="121" customFormat="1" x14ac:dyDescent="0.3">
      <c r="A2517" s="124"/>
      <c r="O2517" s="235"/>
      <c r="X2517" s="117"/>
      <c r="Y2517" s="117"/>
      <c r="DT2517" s="240"/>
      <c r="DU2517" s="240"/>
      <c r="DV2517" s="240"/>
      <c r="DW2517" s="240"/>
      <c r="DX2517" s="240"/>
      <c r="DY2517" s="240"/>
      <c r="DZ2517" s="240"/>
      <c r="EA2517" s="240"/>
      <c r="EB2517" s="237"/>
      <c r="EC2517" s="241"/>
      <c r="ED2517" s="241"/>
      <c r="EE2517" s="241"/>
      <c r="EG2517" s="241"/>
    </row>
    <row r="2518" spans="1:137" s="121" customFormat="1" x14ac:dyDescent="0.3">
      <c r="A2518" s="124"/>
      <c r="O2518" s="235"/>
      <c r="X2518" s="117"/>
      <c r="Y2518" s="117"/>
      <c r="DT2518" s="240"/>
      <c r="DU2518" s="240"/>
      <c r="DV2518" s="240"/>
      <c r="DW2518" s="240"/>
      <c r="DX2518" s="240"/>
      <c r="DY2518" s="240"/>
      <c r="DZ2518" s="240"/>
      <c r="EA2518" s="240"/>
      <c r="EB2518" s="237"/>
      <c r="EC2518" s="241"/>
      <c r="ED2518" s="241"/>
      <c r="EE2518" s="241"/>
      <c r="EG2518" s="241"/>
    </row>
    <row r="2519" spans="1:137" s="121" customFormat="1" x14ac:dyDescent="0.3">
      <c r="A2519" s="124"/>
      <c r="O2519" s="235"/>
      <c r="X2519" s="117"/>
      <c r="Y2519" s="117"/>
      <c r="DT2519" s="240"/>
      <c r="DU2519" s="240"/>
      <c r="DV2519" s="240"/>
      <c r="DW2519" s="240"/>
      <c r="DX2519" s="240"/>
      <c r="DY2519" s="240"/>
      <c r="DZ2519" s="240"/>
      <c r="EA2519" s="240"/>
      <c r="EB2519" s="237"/>
      <c r="EC2519" s="241"/>
      <c r="ED2519" s="241"/>
      <c r="EE2519" s="241"/>
      <c r="EG2519" s="241"/>
    </row>
    <row r="2520" spans="1:137" s="121" customFormat="1" x14ac:dyDescent="0.3">
      <c r="A2520" s="124"/>
      <c r="O2520" s="235"/>
      <c r="X2520" s="117"/>
      <c r="Y2520" s="117"/>
      <c r="DT2520" s="240"/>
      <c r="DU2520" s="240"/>
      <c r="DV2520" s="240"/>
      <c r="DW2520" s="240"/>
      <c r="DX2520" s="240"/>
      <c r="DY2520" s="240"/>
      <c r="DZ2520" s="240"/>
      <c r="EA2520" s="240"/>
      <c r="EB2520" s="237"/>
      <c r="EC2520" s="241"/>
      <c r="ED2520" s="241"/>
      <c r="EE2520" s="241"/>
      <c r="EG2520" s="241"/>
    </row>
    <row r="2521" spans="1:137" s="121" customFormat="1" x14ac:dyDescent="0.3">
      <c r="A2521" s="124"/>
      <c r="O2521" s="235"/>
      <c r="X2521" s="117"/>
      <c r="Y2521" s="117"/>
      <c r="DT2521" s="240"/>
      <c r="DU2521" s="240"/>
      <c r="DV2521" s="240"/>
      <c r="DW2521" s="240"/>
      <c r="DX2521" s="240"/>
      <c r="DY2521" s="240"/>
      <c r="DZ2521" s="240"/>
      <c r="EA2521" s="240"/>
      <c r="EB2521" s="237"/>
      <c r="EC2521" s="241"/>
      <c r="ED2521" s="241"/>
      <c r="EE2521" s="241"/>
      <c r="EG2521" s="241"/>
    </row>
    <row r="2522" spans="1:137" s="121" customFormat="1" x14ac:dyDescent="0.3">
      <c r="A2522" s="124"/>
      <c r="O2522" s="235"/>
      <c r="X2522" s="117"/>
      <c r="Y2522" s="117"/>
      <c r="DT2522" s="240"/>
      <c r="DU2522" s="240"/>
      <c r="DV2522" s="240"/>
      <c r="DW2522" s="240"/>
      <c r="DX2522" s="240"/>
      <c r="DY2522" s="240"/>
      <c r="DZ2522" s="240"/>
      <c r="EA2522" s="240"/>
      <c r="EB2522" s="237"/>
      <c r="EC2522" s="241"/>
      <c r="ED2522" s="241"/>
      <c r="EE2522" s="241"/>
      <c r="EG2522" s="241"/>
    </row>
    <row r="2523" spans="1:137" s="121" customFormat="1" x14ac:dyDescent="0.3">
      <c r="A2523" s="124"/>
      <c r="O2523" s="235"/>
      <c r="X2523" s="117"/>
      <c r="Y2523" s="117"/>
      <c r="DT2523" s="240"/>
      <c r="DU2523" s="240"/>
      <c r="DV2523" s="240"/>
      <c r="DW2523" s="240"/>
      <c r="DX2523" s="240"/>
      <c r="DY2523" s="240"/>
      <c r="DZ2523" s="240"/>
      <c r="EA2523" s="240"/>
      <c r="EB2523" s="237"/>
      <c r="EC2523" s="241"/>
      <c r="ED2523" s="241"/>
      <c r="EE2523" s="241"/>
      <c r="EG2523" s="241"/>
    </row>
    <row r="2524" spans="1:137" s="121" customFormat="1" x14ac:dyDescent="0.3">
      <c r="A2524" s="124"/>
      <c r="O2524" s="235"/>
      <c r="X2524" s="117"/>
      <c r="Y2524" s="117"/>
      <c r="DT2524" s="240"/>
      <c r="DU2524" s="240"/>
      <c r="DV2524" s="240"/>
      <c r="DW2524" s="240"/>
      <c r="DX2524" s="240"/>
      <c r="DY2524" s="240"/>
      <c r="DZ2524" s="240"/>
      <c r="EA2524" s="240"/>
      <c r="EB2524" s="237"/>
      <c r="EC2524" s="241"/>
      <c r="ED2524" s="241"/>
      <c r="EE2524" s="241"/>
      <c r="EG2524" s="241"/>
    </row>
    <row r="2525" spans="1:137" s="121" customFormat="1" x14ac:dyDescent="0.3">
      <c r="A2525" s="124"/>
      <c r="O2525" s="235"/>
      <c r="X2525" s="117"/>
      <c r="Y2525" s="117"/>
      <c r="DT2525" s="240"/>
      <c r="DU2525" s="240"/>
      <c r="DV2525" s="240"/>
      <c r="DW2525" s="240"/>
      <c r="DX2525" s="240"/>
      <c r="DY2525" s="240"/>
      <c r="DZ2525" s="240"/>
      <c r="EA2525" s="240"/>
      <c r="EB2525" s="237"/>
      <c r="EC2525" s="241"/>
      <c r="ED2525" s="241"/>
      <c r="EE2525" s="241"/>
      <c r="EG2525" s="241"/>
    </row>
    <row r="2526" spans="1:137" s="121" customFormat="1" x14ac:dyDescent="0.3">
      <c r="A2526" s="124"/>
      <c r="O2526" s="235"/>
      <c r="X2526" s="117"/>
      <c r="Y2526" s="117"/>
      <c r="DT2526" s="240"/>
      <c r="DU2526" s="240"/>
      <c r="DV2526" s="240"/>
      <c r="DW2526" s="240"/>
      <c r="DX2526" s="240"/>
      <c r="DY2526" s="240"/>
      <c r="DZ2526" s="240"/>
      <c r="EA2526" s="240"/>
      <c r="EB2526" s="237"/>
      <c r="EC2526" s="241"/>
      <c r="ED2526" s="241"/>
      <c r="EE2526" s="241"/>
      <c r="EG2526" s="241"/>
    </row>
    <row r="2527" spans="1:137" s="121" customFormat="1" x14ac:dyDescent="0.3">
      <c r="A2527" s="124"/>
      <c r="O2527" s="235"/>
      <c r="X2527" s="117"/>
      <c r="Y2527" s="117"/>
      <c r="DT2527" s="240"/>
      <c r="DU2527" s="240"/>
      <c r="DV2527" s="240"/>
      <c r="DW2527" s="240"/>
      <c r="DX2527" s="240"/>
      <c r="DY2527" s="240"/>
      <c r="DZ2527" s="240"/>
      <c r="EA2527" s="240"/>
      <c r="EB2527" s="237"/>
      <c r="EC2527" s="241"/>
      <c r="ED2527" s="241"/>
      <c r="EE2527" s="241"/>
      <c r="EG2527" s="241"/>
    </row>
    <row r="2528" spans="1:137" s="121" customFormat="1" x14ac:dyDescent="0.3">
      <c r="A2528" s="124"/>
      <c r="O2528" s="235"/>
      <c r="X2528" s="117"/>
      <c r="Y2528" s="117"/>
      <c r="DT2528" s="240"/>
      <c r="DU2528" s="240"/>
      <c r="DV2528" s="240"/>
      <c r="DW2528" s="240"/>
      <c r="DX2528" s="240"/>
      <c r="DY2528" s="240"/>
      <c r="DZ2528" s="240"/>
      <c r="EA2528" s="240"/>
      <c r="EB2528" s="237"/>
      <c r="EC2528" s="241"/>
      <c r="ED2528" s="241"/>
      <c r="EE2528" s="241"/>
      <c r="EG2528" s="241"/>
    </row>
    <row r="2529" spans="1:137" s="121" customFormat="1" x14ac:dyDescent="0.3">
      <c r="A2529" s="124"/>
      <c r="O2529" s="235"/>
      <c r="X2529" s="117"/>
      <c r="Y2529" s="117"/>
      <c r="DT2529" s="240"/>
      <c r="DU2529" s="240"/>
      <c r="DV2529" s="240"/>
      <c r="DW2529" s="240"/>
      <c r="DX2529" s="240"/>
      <c r="DY2529" s="240"/>
      <c r="DZ2529" s="240"/>
      <c r="EA2529" s="240"/>
      <c r="EB2529" s="237"/>
      <c r="EC2529" s="241"/>
      <c r="ED2529" s="241"/>
      <c r="EE2529" s="241"/>
      <c r="EG2529" s="241"/>
    </row>
    <row r="2530" spans="1:137" s="121" customFormat="1" x14ac:dyDescent="0.3">
      <c r="A2530" s="124"/>
      <c r="O2530" s="235"/>
      <c r="X2530" s="117"/>
      <c r="Y2530" s="117"/>
      <c r="DT2530" s="240"/>
      <c r="DU2530" s="240"/>
      <c r="DV2530" s="240"/>
      <c r="DW2530" s="240"/>
      <c r="DX2530" s="240"/>
      <c r="DY2530" s="240"/>
      <c r="DZ2530" s="240"/>
      <c r="EA2530" s="240"/>
      <c r="EB2530" s="237"/>
      <c r="EC2530" s="241"/>
      <c r="ED2530" s="241"/>
      <c r="EE2530" s="241"/>
      <c r="EG2530" s="241"/>
    </row>
    <row r="2531" spans="1:137" s="121" customFormat="1" x14ac:dyDescent="0.3">
      <c r="A2531" s="124"/>
      <c r="O2531" s="235"/>
      <c r="X2531" s="117"/>
      <c r="Y2531" s="117"/>
      <c r="DT2531" s="240"/>
      <c r="DU2531" s="240"/>
      <c r="DV2531" s="240"/>
      <c r="DW2531" s="240"/>
      <c r="DX2531" s="240"/>
      <c r="DY2531" s="240"/>
      <c r="DZ2531" s="240"/>
      <c r="EA2531" s="240"/>
      <c r="EB2531" s="237"/>
      <c r="EC2531" s="241"/>
      <c r="ED2531" s="241"/>
      <c r="EE2531" s="241"/>
      <c r="EG2531" s="241"/>
    </row>
    <row r="2532" spans="1:137" s="121" customFormat="1" x14ac:dyDescent="0.3">
      <c r="A2532" s="124"/>
      <c r="O2532" s="235"/>
      <c r="X2532" s="117"/>
      <c r="Y2532" s="117"/>
      <c r="DT2532" s="240"/>
      <c r="DU2532" s="240"/>
      <c r="DV2532" s="240"/>
      <c r="DW2532" s="240"/>
      <c r="DX2532" s="240"/>
      <c r="DY2532" s="240"/>
      <c r="DZ2532" s="240"/>
      <c r="EA2532" s="240"/>
      <c r="EB2532" s="237"/>
      <c r="EC2532" s="241"/>
      <c r="ED2532" s="241"/>
      <c r="EE2532" s="241"/>
      <c r="EG2532" s="241"/>
    </row>
    <row r="2533" spans="1:137" s="121" customFormat="1" x14ac:dyDescent="0.3">
      <c r="A2533" s="124"/>
      <c r="O2533" s="235"/>
      <c r="X2533" s="117"/>
      <c r="Y2533" s="117"/>
      <c r="DT2533" s="240"/>
      <c r="DU2533" s="240"/>
      <c r="DV2533" s="240"/>
      <c r="DW2533" s="240"/>
      <c r="DX2533" s="240"/>
      <c r="DY2533" s="240"/>
      <c r="DZ2533" s="240"/>
      <c r="EA2533" s="240"/>
      <c r="EB2533" s="237"/>
      <c r="EC2533" s="241"/>
      <c r="ED2533" s="241"/>
      <c r="EE2533" s="241"/>
      <c r="EG2533" s="241"/>
    </row>
    <row r="2534" spans="1:137" s="121" customFormat="1" x14ac:dyDescent="0.3">
      <c r="A2534" s="124"/>
      <c r="O2534" s="235"/>
      <c r="X2534" s="117"/>
      <c r="Y2534" s="117"/>
      <c r="DT2534" s="240"/>
      <c r="DU2534" s="240"/>
      <c r="DV2534" s="240"/>
      <c r="DW2534" s="240"/>
      <c r="DX2534" s="240"/>
      <c r="DY2534" s="240"/>
      <c r="DZ2534" s="240"/>
      <c r="EA2534" s="240"/>
      <c r="EB2534" s="237"/>
      <c r="EC2534" s="241"/>
      <c r="ED2534" s="241"/>
      <c r="EE2534" s="241"/>
      <c r="EG2534" s="241"/>
    </row>
    <row r="2535" spans="1:137" s="121" customFormat="1" x14ac:dyDescent="0.3">
      <c r="A2535" s="124"/>
      <c r="O2535" s="235"/>
      <c r="X2535" s="117"/>
      <c r="Y2535" s="117"/>
      <c r="DT2535" s="240"/>
      <c r="DU2535" s="240"/>
      <c r="DV2535" s="240"/>
      <c r="DW2535" s="240"/>
      <c r="DX2535" s="240"/>
      <c r="DY2535" s="240"/>
      <c r="DZ2535" s="240"/>
      <c r="EA2535" s="240"/>
      <c r="EB2535" s="237"/>
      <c r="EC2535" s="241"/>
      <c r="ED2535" s="241"/>
      <c r="EE2535" s="241"/>
      <c r="EG2535" s="241"/>
    </row>
    <row r="2536" spans="1:137" s="121" customFormat="1" x14ac:dyDescent="0.3">
      <c r="A2536" s="124"/>
      <c r="O2536" s="235"/>
      <c r="X2536" s="117"/>
      <c r="Y2536" s="117"/>
      <c r="DT2536" s="240"/>
      <c r="DU2536" s="240"/>
      <c r="DV2536" s="240"/>
      <c r="DW2536" s="240"/>
      <c r="DX2536" s="240"/>
      <c r="DY2536" s="240"/>
      <c r="DZ2536" s="240"/>
      <c r="EA2536" s="240"/>
      <c r="EB2536" s="237"/>
      <c r="EC2536" s="241"/>
      <c r="ED2536" s="241"/>
      <c r="EE2536" s="241"/>
      <c r="EG2536" s="241"/>
    </row>
    <row r="2537" spans="1:137" s="121" customFormat="1" x14ac:dyDescent="0.3">
      <c r="A2537" s="124"/>
      <c r="O2537" s="235"/>
      <c r="X2537" s="117"/>
      <c r="Y2537" s="117"/>
      <c r="DT2537" s="240"/>
      <c r="DU2537" s="240"/>
      <c r="DV2537" s="240"/>
      <c r="DW2537" s="240"/>
      <c r="DX2537" s="240"/>
      <c r="DY2537" s="240"/>
      <c r="DZ2537" s="240"/>
      <c r="EA2537" s="240"/>
      <c r="EB2537" s="237"/>
      <c r="EC2537" s="241"/>
      <c r="ED2537" s="241"/>
      <c r="EE2537" s="241"/>
      <c r="EG2537" s="241"/>
    </row>
    <row r="2538" spans="1:137" s="121" customFormat="1" x14ac:dyDescent="0.3">
      <c r="A2538" s="124"/>
      <c r="O2538" s="235"/>
      <c r="X2538" s="117"/>
      <c r="Y2538" s="117"/>
      <c r="DT2538" s="240"/>
      <c r="DU2538" s="240"/>
      <c r="DV2538" s="240"/>
      <c r="DW2538" s="240"/>
      <c r="DX2538" s="240"/>
      <c r="DY2538" s="240"/>
      <c r="DZ2538" s="240"/>
      <c r="EA2538" s="240"/>
      <c r="EB2538" s="237"/>
      <c r="EC2538" s="241"/>
      <c r="ED2538" s="241"/>
      <c r="EE2538" s="241"/>
      <c r="EG2538" s="241"/>
    </row>
    <row r="2539" spans="1:137" s="121" customFormat="1" x14ac:dyDescent="0.3">
      <c r="A2539" s="124"/>
      <c r="O2539" s="235"/>
      <c r="X2539" s="117"/>
      <c r="Y2539" s="117"/>
      <c r="DT2539" s="240"/>
      <c r="DU2539" s="240"/>
      <c r="DV2539" s="240"/>
      <c r="DW2539" s="240"/>
      <c r="DX2539" s="240"/>
      <c r="DY2539" s="240"/>
      <c r="DZ2539" s="240"/>
      <c r="EA2539" s="240"/>
      <c r="EB2539" s="237"/>
      <c r="EC2539" s="241"/>
      <c r="ED2539" s="241"/>
      <c r="EE2539" s="241"/>
      <c r="EG2539" s="241"/>
    </row>
    <row r="2540" spans="1:137" s="121" customFormat="1" x14ac:dyDescent="0.3">
      <c r="A2540" s="124"/>
      <c r="O2540" s="235"/>
      <c r="X2540" s="117"/>
      <c r="Y2540" s="117"/>
      <c r="DT2540" s="240"/>
      <c r="DU2540" s="240"/>
      <c r="DV2540" s="240"/>
      <c r="DW2540" s="240"/>
      <c r="DX2540" s="240"/>
      <c r="DY2540" s="240"/>
      <c r="DZ2540" s="240"/>
      <c r="EA2540" s="240"/>
      <c r="EB2540" s="237"/>
      <c r="EC2540" s="241"/>
      <c r="ED2540" s="241"/>
      <c r="EE2540" s="241"/>
      <c r="EG2540" s="241"/>
    </row>
    <row r="2541" spans="1:137" s="121" customFormat="1" x14ac:dyDescent="0.3">
      <c r="A2541" s="124"/>
      <c r="O2541" s="235"/>
      <c r="X2541" s="117"/>
      <c r="Y2541" s="117"/>
      <c r="DT2541" s="240"/>
      <c r="DU2541" s="240"/>
      <c r="DV2541" s="240"/>
      <c r="DW2541" s="240"/>
      <c r="DX2541" s="240"/>
      <c r="DY2541" s="240"/>
      <c r="DZ2541" s="240"/>
      <c r="EA2541" s="240"/>
      <c r="EB2541" s="237"/>
      <c r="EC2541" s="241"/>
      <c r="ED2541" s="241"/>
      <c r="EE2541" s="241"/>
      <c r="EG2541" s="241"/>
    </row>
    <row r="2542" spans="1:137" s="121" customFormat="1" x14ac:dyDescent="0.3">
      <c r="A2542" s="124"/>
      <c r="O2542" s="235"/>
      <c r="X2542" s="117"/>
      <c r="Y2542" s="117"/>
      <c r="DT2542" s="240"/>
      <c r="DU2542" s="240"/>
      <c r="DV2542" s="240"/>
      <c r="DW2542" s="240"/>
      <c r="DX2542" s="240"/>
      <c r="DY2542" s="240"/>
      <c r="DZ2542" s="240"/>
      <c r="EA2542" s="240"/>
      <c r="EB2542" s="237"/>
      <c r="EC2542" s="241"/>
      <c r="ED2542" s="241"/>
      <c r="EE2542" s="241"/>
      <c r="EG2542" s="241"/>
    </row>
    <row r="2543" spans="1:137" s="121" customFormat="1" x14ac:dyDescent="0.3">
      <c r="A2543" s="124"/>
      <c r="O2543" s="235"/>
      <c r="X2543" s="117"/>
      <c r="Y2543" s="117"/>
      <c r="DT2543" s="240"/>
      <c r="DU2543" s="240"/>
      <c r="DV2543" s="240"/>
      <c r="DW2543" s="240"/>
      <c r="DX2543" s="240"/>
      <c r="DY2543" s="240"/>
      <c r="DZ2543" s="240"/>
      <c r="EA2543" s="240"/>
      <c r="EB2543" s="237"/>
      <c r="EC2543" s="241"/>
      <c r="ED2543" s="241"/>
      <c r="EE2543" s="241"/>
      <c r="EG2543" s="241"/>
    </row>
    <row r="2544" spans="1:137" s="121" customFormat="1" x14ac:dyDescent="0.3">
      <c r="A2544" s="124"/>
      <c r="O2544" s="235"/>
      <c r="X2544" s="117"/>
      <c r="Y2544" s="117"/>
      <c r="DT2544" s="240"/>
      <c r="DU2544" s="240"/>
      <c r="DV2544" s="240"/>
      <c r="DW2544" s="240"/>
      <c r="DX2544" s="240"/>
      <c r="DY2544" s="240"/>
      <c r="DZ2544" s="240"/>
      <c r="EA2544" s="240"/>
      <c r="EB2544" s="237"/>
      <c r="EC2544" s="241"/>
      <c r="ED2544" s="241"/>
      <c r="EE2544" s="241"/>
      <c r="EG2544" s="241"/>
    </row>
    <row r="2545" spans="1:137" s="121" customFormat="1" x14ac:dyDescent="0.3">
      <c r="A2545" s="124"/>
      <c r="O2545" s="235"/>
      <c r="X2545" s="117"/>
      <c r="Y2545" s="117"/>
      <c r="DT2545" s="240"/>
      <c r="DU2545" s="240"/>
      <c r="DV2545" s="240"/>
      <c r="DW2545" s="240"/>
      <c r="DX2545" s="240"/>
      <c r="DY2545" s="240"/>
      <c r="DZ2545" s="240"/>
      <c r="EA2545" s="240"/>
      <c r="EB2545" s="237"/>
      <c r="EC2545" s="241"/>
      <c r="ED2545" s="241"/>
      <c r="EE2545" s="241"/>
      <c r="EG2545" s="241"/>
    </row>
    <row r="2546" spans="1:137" s="121" customFormat="1" x14ac:dyDescent="0.3">
      <c r="A2546" s="124"/>
      <c r="O2546" s="235"/>
      <c r="X2546" s="117"/>
      <c r="Y2546" s="117"/>
      <c r="DT2546" s="240"/>
      <c r="DU2546" s="240"/>
      <c r="DV2546" s="240"/>
      <c r="DW2546" s="240"/>
      <c r="DX2546" s="240"/>
      <c r="DY2546" s="240"/>
      <c r="DZ2546" s="240"/>
      <c r="EA2546" s="240"/>
      <c r="EB2546" s="237"/>
      <c r="EC2546" s="241"/>
      <c r="ED2546" s="241"/>
      <c r="EE2546" s="241"/>
      <c r="EG2546" s="241"/>
    </row>
    <row r="2547" spans="1:137" s="121" customFormat="1" x14ac:dyDescent="0.3">
      <c r="A2547" s="124"/>
      <c r="O2547" s="235"/>
      <c r="X2547" s="117"/>
      <c r="Y2547" s="117"/>
      <c r="DT2547" s="240"/>
      <c r="DU2547" s="240"/>
      <c r="DV2547" s="240"/>
      <c r="DW2547" s="240"/>
      <c r="DX2547" s="240"/>
      <c r="DY2547" s="240"/>
      <c r="DZ2547" s="240"/>
      <c r="EA2547" s="240"/>
      <c r="EB2547" s="237"/>
      <c r="EC2547" s="241"/>
      <c r="ED2547" s="241"/>
      <c r="EE2547" s="241"/>
      <c r="EG2547" s="241"/>
    </row>
    <row r="2548" spans="1:137" s="121" customFormat="1" x14ac:dyDescent="0.3">
      <c r="A2548" s="124"/>
      <c r="O2548" s="235"/>
      <c r="X2548" s="117"/>
      <c r="Y2548" s="117"/>
      <c r="DT2548" s="240"/>
      <c r="DU2548" s="240"/>
      <c r="DV2548" s="240"/>
      <c r="DW2548" s="240"/>
      <c r="DX2548" s="240"/>
      <c r="DY2548" s="240"/>
      <c r="DZ2548" s="240"/>
      <c r="EA2548" s="240"/>
      <c r="EB2548" s="237"/>
      <c r="EC2548" s="241"/>
      <c r="ED2548" s="241"/>
      <c r="EE2548" s="241"/>
      <c r="EG2548" s="241"/>
    </row>
    <row r="2549" spans="1:137" s="121" customFormat="1" x14ac:dyDescent="0.3">
      <c r="A2549" s="124"/>
      <c r="O2549" s="235"/>
      <c r="X2549" s="117"/>
      <c r="Y2549" s="117"/>
      <c r="DT2549" s="240"/>
      <c r="DU2549" s="240"/>
      <c r="DV2549" s="240"/>
      <c r="DW2549" s="240"/>
      <c r="DX2549" s="240"/>
      <c r="DY2549" s="240"/>
      <c r="DZ2549" s="240"/>
      <c r="EA2549" s="240"/>
      <c r="EB2549" s="237"/>
      <c r="EC2549" s="241"/>
      <c r="ED2549" s="241"/>
      <c r="EE2549" s="241"/>
      <c r="EG2549" s="241"/>
    </row>
    <row r="2550" spans="1:137" s="121" customFormat="1" x14ac:dyDescent="0.3">
      <c r="A2550" s="124"/>
      <c r="O2550" s="235"/>
      <c r="X2550" s="117"/>
      <c r="Y2550" s="117"/>
      <c r="DT2550" s="240"/>
      <c r="DU2550" s="240"/>
      <c r="DV2550" s="240"/>
      <c r="DW2550" s="240"/>
      <c r="DX2550" s="240"/>
      <c r="DY2550" s="240"/>
      <c r="DZ2550" s="240"/>
      <c r="EA2550" s="240"/>
      <c r="EB2550" s="237"/>
      <c r="EC2550" s="241"/>
      <c r="ED2550" s="241"/>
      <c r="EE2550" s="241"/>
      <c r="EG2550" s="241"/>
    </row>
    <row r="2551" spans="1:137" s="121" customFormat="1" x14ac:dyDescent="0.3">
      <c r="A2551" s="124"/>
      <c r="O2551" s="235"/>
      <c r="X2551" s="117"/>
      <c r="Y2551" s="117"/>
      <c r="DT2551" s="240"/>
      <c r="DU2551" s="240"/>
      <c r="DV2551" s="240"/>
      <c r="DW2551" s="240"/>
      <c r="DX2551" s="240"/>
      <c r="DY2551" s="240"/>
      <c r="DZ2551" s="240"/>
      <c r="EA2551" s="240"/>
      <c r="EB2551" s="237"/>
      <c r="EC2551" s="241"/>
      <c r="ED2551" s="241"/>
      <c r="EE2551" s="241"/>
      <c r="EG2551" s="241"/>
    </row>
    <row r="2552" spans="1:137" s="121" customFormat="1" x14ac:dyDescent="0.3">
      <c r="A2552" s="124"/>
      <c r="O2552" s="235"/>
      <c r="X2552" s="117"/>
      <c r="Y2552" s="117"/>
      <c r="DT2552" s="240"/>
      <c r="DU2552" s="240"/>
      <c r="DV2552" s="240"/>
      <c r="DW2552" s="240"/>
      <c r="DX2552" s="240"/>
      <c r="DY2552" s="240"/>
      <c r="DZ2552" s="240"/>
      <c r="EA2552" s="240"/>
      <c r="EB2552" s="237"/>
      <c r="EC2552" s="241"/>
      <c r="ED2552" s="241"/>
      <c r="EE2552" s="241"/>
      <c r="EG2552" s="241"/>
    </row>
    <row r="2553" spans="1:137" s="121" customFormat="1" x14ac:dyDescent="0.3">
      <c r="A2553" s="124"/>
      <c r="O2553" s="235"/>
      <c r="X2553" s="117"/>
      <c r="Y2553" s="117"/>
      <c r="DT2553" s="240"/>
      <c r="DU2553" s="240"/>
      <c r="DV2553" s="240"/>
      <c r="DW2553" s="240"/>
      <c r="DX2553" s="240"/>
      <c r="DY2553" s="240"/>
      <c r="DZ2553" s="240"/>
      <c r="EA2553" s="240"/>
      <c r="EB2553" s="237"/>
      <c r="EC2553" s="241"/>
      <c r="ED2553" s="241"/>
      <c r="EE2553" s="241"/>
      <c r="EG2553" s="241"/>
    </row>
    <row r="2554" spans="1:137" s="121" customFormat="1" x14ac:dyDescent="0.3">
      <c r="A2554" s="124"/>
      <c r="O2554" s="235"/>
      <c r="X2554" s="117"/>
      <c r="Y2554" s="117"/>
      <c r="DT2554" s="240"/>
      <c r="DU2554" s="240"/>
      <c r="DV2554" s="240"/>
      <c r="DW2554" s="240"/>
      <c r="DX2554" s="240"/>
      <c r="DY2554" s="240"/>
      <c r="DZ2554" s="240"/>
      <c r="EA2554" s="240"/>
      <c r="EB2554" s="237"/>
      <c r="EC2554" s="241"/>
      <c r="ED2554" s="241"/>
      <c r="EE2554" s="241"/>
      <c r="EG2554" s="241"/>
    </row>
    <row r="2555" spans="1:137" s="121" customFormat="1" x14ac:dyDescent="0.3">
      <c r="A2555" s="124"/>
      <c r="O2555" s="235"/>
      <c r="X2555" s="117"/>
      <c r="Y2555" s="117"/>
      <c r="DT2555" s="240"/>
      <c r="DU2555" s="240"/>
      <c r="DV2555" s="240"/>
      <c r="DW2555" s="240"/>
      <c r="DX2555" s="240"/>
      <c r="DY2555" s="240"/>
      <c r="DZ2555" s="240"/>
      <c r="EA2555" s="240"/>
      <c r="EB2555" s="237"/>
      <c r="EC2555" s="241"/>
      <c r="ED2555" s="241"/>
      <c r="EE2555" s="241"/>
      <c r="EG2555" s="241"/>
    </row>
    <row r="2556" spans="1:137" s="121" customFormat="1" x14ac:dyDescent="0.3">
      <c r="A2556" s="124"/>
      <c r="O2556" s="235"/>
      <c r="X2556" s="117"/>
      <c r="Y2556" s="117"/>
      <c r="DT2556" s="240"/>
      <c r="DU2556" s="240"/>
      <c r="DV2556" s="240"/>
      <c r="DW2556" s="240"/>
      <c r="DX2556" s="240"/>
      <c r="DY2556" s="240"/>
      <c r="DZ2556" s="240"/>
      <c r="EA2556" s="240"/>
      <c r="EB2556" s="237"/>
      <c r="EC2556" s="241"/>
      <c r="ED2556" s="241"/>
      <c r="EE2556" s="241"/>
      <c r="EG2556" s="241"/>
    </row>
    <row r="2557" spans="1:137" s="121" customFormat="1" x14ac:dyDescent="0.3">
      <c r="A2557" s="124"/>
      <c r="O2557" s="235"/>
      <c r="X2557" s="117"/>
      <c r="Y2557" s="117"/>
      <c r="DT2557" s="240"/>
      <c r="DU2557" s="240"/>
      <c r="DV2557" s="240"/>
      <c r="DW2557" s="240"/>
      <c r="DX2557" s="240"/>
      <c r="DY2557" s="240"/>
      <c r="DZ2557" s="240"/>
      <c r="EA2557" s="240"/>
      <c r="EB2557" s="237"/>
      <c r="EC2557" s="241"/>
      <c r="ED2557" s="241"/>
      <c r="EE2557" s="241"/>
      <c r="EG2557" s="241"/>
    </row>
    <row r="2558" spans="1:137" s="121" customFormat="1" x14ac:dyDescent="0.3">
      <c r="A2558" s="124"/>
      <c r="O2558" s="235"/>
      <c r="X2558" s="117"/>
      <c r="Y2558" s="117"/>
      <c r="DT2558" s="240"/>
      <c r="DU2558" s="240"/>
      <c r="DV2558" s="240"/>
      <c r="DW2558" s="240"/>
      <c r="DX2558" s="240"/>
      <c r="DY2558" s="240"/>
      <c r="DZ2558" s="240"/>
      <c r="EA2558" s="240"/>
      <c r="EB2558" s="237"/>
      <c r="EC2558" s="241"/>
      <c r="ED2558" s="241"/>
      <c r="EE2558" s="241"/>
      <c r="EG2558" s="241"/>
    </row>
    <row r="2559" spans="1:137" s="121" customFormat="1" x14ac:dyDescent="0.3">
      <c r="A2559" s="124"/>
      <c r="O2559" s="235"/>
      <c r="X2559" s="117"/>
      <c r="Y2559" s="117"/>
      <c r="DT2559" s="240"/>
      <c r="DU2559" s="240"/>
      <c r="DV2559" s="240"/>
      <c r="DW2559" s="240"/>
      <c r="DX2559" s="240"/>
      <c r="DY2559" s="240"/>
      <c r="DZ2559" s="240"/>
      <c r="EA2559" s="240"/>
      <c r="EB2559" s="237"/>
      <c r="EC2559" s="241"/>
      <c r="ED2559" s="241"/>
      <c r="EE2559" s="241"/>
      <c r="EG2559" s="241"/>
    </row>
    <row r="2560" spans="1:137" s="121" customFormat="1" x14ac:dyDescent="0.3">
      <c r="A2560" s="124"/>
      <c r="O2560" s="235"/>
      <c r="X2560" s="117"/>
      <c r="Y2560" s="117"/>
      <c r="DT2560" s="240"/>
      <c r="DU2560" s="240"/>
      <c r="DV2560" s="240"/>
      <c r="DW2560" s="240"/>
      <c r="DX2560" s="240"/>
      <c r="DY2560" s="240"/>
      <c r="DZ2560" s="240"/>
      <c r="EA2560" s="240"/>
      <c r="EB2560" s="237"/>
      <c r="EC2560" s="241"/>
      <c r="ED2560" s="241"/>
      <c r="EE2560" s="241"/>
      <c r="EG2560" s="241"/>
    </row>
    <row r="2561" spans="1:137" s="121" customFormat="1" x14ac:dyDescent="0.3">
      <c r="A2561" s="124"/>
      <c r="O2561" s="235"/>
      <c r="X2561" s="117"/>
      <c r="Y2561" s="117"/>
      <c r="DT2561" s="240"/>
      <c r="DU2561" s="240"/>
      <c r="DV2561" s="240"/>
      <c r="DW2561" s="240"/>
      <c r="DX2561" s="240"/>
      <c r="DY2561" s="240"/>
      <c r="DZ2561" s="240"/>
      <c r="EA2561" s="240"/>
      <c r="EB2561" s="237"/>
      <c r="EC2561" s="241"/>
      <c r="ED2561" s="241"/>
      <c r="EE2561" s="241"/>
      <c r="EG2561" s="241"/>
    </row>
    <row r="2562" spans="1:137" s="121" customFormat="1" x14ac:dyDescent="0.3">
      <c r="A2562" s="124"/>
      <c r="O2562" s="235"/>
      <c r="X2562" s="117"/>
      <c r="Y2562" s="117"/>
      <c r="DT2562" s="240"/>
      <c r="DU2562" s="240"/>
      <c r="DV2562" s="240"/>
      <c r="DW2562" s="240"/>
      <c r="DX2562" s="240"/>
      <c r="DY2562" s="240"/>
      <c r="DZ2562" s="240"/>
      <c r="EA2562" s="240"/>
      <c r="EB2562" s="237"/>
      <c r="EC2562" s="241"/>
      <c r="ED2562" s="241"/>
      <c r="EE2562" s="241"/>
      <c r="EG2562" s="241"/>
    </row>
    <row r="2563" spans="1:137" s="121" customFormat="1" x14ac:dyDescent="0.3">
      <c r="A2563" s="124"/>
      <c r="O2563" s="235"/>
      <c r="X2563" s="117"/>
      <c r="Y2563" s="117"/>
      <c r="DT2563" s="240"/>
      <c r="DU2563" s="240"/>
      <c r="DV2563" s="240"/>
      <c r="DW2563" s="240"/>
      <c r="DX2563" s="240"/>
      <c r="DY2563" s="240"/>
      <c r="DZ2563" s="240"/>
      <c r="EA2563" s="240"/>
      <c r="EB2563" s="237"/>
      <c r="EC2563" s="241"/>
      <c r="ED2563" s="241"/>
      <c r="EE2563" s="241"/>
      <c r="EG2563" s="241"/>
    </row>
    <row r="2564" spans="1:137" s="121" customFormat="1" x14ac:dyDescent="0.3">
      <c r="A2564" s="124"/>
      <c r="O2564" s="235"/>
      <c r="X2564" s="117"/>
      <c r="Y2564" s="117"/>
      <c r="DT2564" s="240"/>
      <c r="DU2564" s="240"/>
      <c r="DV2564" s="240"/>
      <c r="DW2564" s="240"/>
      <c r="DX2564" s="240"/>
      <c r="DY2564" s="240"/>
      <c r="DZ2564" s="240"/>
      <c r="EA2564" s="240"/>
      <c r="EB2564" s="237"/>
      <c r="EC2564" s="241"/>
      <c r="ED2564" s="241"/>
      <c r="EE2564" s="241"/>
      <c r="EG2564" s="241"/>
    </row>
    <row r="2565" spans="1:137" s="121" customFormat="1" x14ac:dyDescent="0.3">
      <c r="A2565" s="124"/>
      <c r="O2565" s="235"/>
      <c r="X2565" s="117"/>
      <c r="Y2565" s="117"/>
      <c r="DT2565" s="240"/>
      <c r="DU2565" s="240"/>
      <c r="DV2565" s="240"/>
      <c r="DW2565" s="240"/>
      <c r="DX2565" s="240"/>
      <c r="DY2565" s="240"/>
      <c r="DZ2565" s="240"/>
      <c r="EA2565" s="240"/>
      <c r="EB2565" s="237"/>
      <c r="EC2565" s="241"/>
      <c r="ED2565" s="241"/>
      <c r="EE2565" s="241"/>
      <c r="EG2565" s="241"/>
    </row>
    <row r="2566" spans="1:137" s="121" customFormat="1" x14ac:dyDescent="0.3">
      <c r="A2566" s="124"/>
      <c r="O2566" s="235"/>
      <c r="X2566" s="117"/>
      <c r="Y2566" s="117"/>
      <c r="DT2566" s="240"/>
      <c r="DU2566" s="240"/>
      <c r="DV2566" s="240"/>
      <c r="DW2566" s="240"/>
      <c r="DX2566" s="240"/>
      <c r="DY2566" s="240"/>
      <c r="DZ2566" s="240"/>
      <c r="EA2566" s="240"/>
      <c r="EB2566" s="237"/>
      <c r="EC2566" s="241"/>
      <c r="ED2566" s="241"/>
      <c r="EE2566" s="241"/>
      <c r="EG2566" s="241"/>
    </row>
    <row r="2567" spans="1:137" s="121" customFormat="1" x14ac:dyDescent="0.3">
      <c r="A2567" s="124"/>
      <c r="O2567" s="235"/>
      <c r="X2567" s="117"/>
      <c r="Y2567" s="117"/>
      <c r="DT2567" s="240"/>
      <c r="DU2567" s="240"/>
      <c r="DV2567" s="240"/>
      <c r="DW2567" s="240"/>
      <c r="DX2567" s="240"/>
      <c r="DY2567" s="240"/>
      <c r="DZ2567" s="240"/>
      <c r="EA2567" s="240"/>
      <c r="EB2567" s="237"/>
      <c r="EC2567" s="241"/>
      <c r="ED2567" s="241"/>
      <c r="EE2567" s="241"/>
      <c r="EG2567" s="241"/>
    </row>
    <row r="2568" spans="1:137" s="121" customFormat="1" x14ac:dyDescent="0.3">
      <c r="A2568" s="124"/>
      <c r="O2568" s="235"/>
      <c r="X2568" s="117"/>
      <c r="Y2568" s="117"/>
      <c r="DT2568" s="240"/>
      <c r="DU2568" s="240"/>
      <c r="DV2568" s="240"/>
      <c r="DW2568" s="240"/>
      <c r="DX2568" s="240"/>
      <c r="DY2568" s="240"/>
      <c r="DZ2568" s="240"/>
      <c r="EA2568" s="240"/>
      <c r="EB2568" s="237"/>
      <c r="EC2568" s="241"/>
      <c r="ED2568" s="241"/>
      <c r="EE2568" s="241"/>
      <c r="EG2568" s="241"/>
    </row>
    <row r="2569" spans="1:137" s="121" customFormat="1" x14ac:dyDescent="0.3">
      <c r="A2569" s="124"/>
      <c r="O2569" s="235"/>
      <c r="X2569" s="117"/>
      <c r="Y2569" s="117"/>
      <c r="DT2569" s="240"/>
      <c r="DU2569" s="240"/>
      <c r="DV2569" s="240"/>
      <c r="DW2569" s="240"/>
      <c r="DX2569" s="240"/>
      <c r="DY2569" s="240"/>
      <c r="DZ2569" s="240"/>
      <c r="EA2569" s="240"/>
      <c r="EB2569" s="237"/>
      <c r="EC2569" s="241"/>
      <c r="ED2569" s="241"/>
      <c r="EE2569" s="241"/>
      <c r="EG2569" s="241"/>
    </row>
    <row r="2570" spans="1:137" s="121" customFormat="1" x14ac:dyDescent="0.3">
      <c r="A2570" s="124"/>
      <c r="O2570" s="235"/>
      <c r="X2570" s="117"/>
      <c r="Y2570" s="117"/>
      <c r="DT2570" s="240"/>
      <c r="DU2570" s="240"/>
      <c r="DV2570" s="240"/>
      <c r="DW2570" s="240"/>
      <c r="DX2570" s="240"/>
      <c r="DY2570" s="240"/>
      <c r="DZ2570" s="240"/>
      <c r="EA2570" s="240"/>
      <c r="EB2570" s="237"/>
      <c r="EC2570" s="241"/>
      <c r="ED2570" s="241"/>
      <c r="EE2570" s="241"/>
      <c r="EG2570" s="241"/>
    </row>
    <row r="2571" spans="1:137" s="121" customFormat="1" x14ac:dyDescent="0.3">
      <c r="A2571" s="124"/>
      <c r="O2571" s="235"/>
      <c r="X2571" s="117"/>
      <c r="Y2571" s="117"/>
      <c r="DT2571" s="240"/>
      <c r="DU2571" s="240"/>
      <c r="DV2571" s="240"/>
      <c r="DW2571" s="240"/>
      <c r="DX2571" s="240"/>
      <c r="DY2571" s="240"/>
      <c r="DZ2571" s="240"/>
      <c r="EA2571" s="240"/>
      <c r="EB2571" s="237"/>
      <c r="EC2571" s="241"/>
      <c r="ED2571" s="241"/>
      <c r="EE2571" s="241"/>
      <c r="EG2571" s="241"/>
    </row>
    <row r="2572" spans="1:137" s="121" customFormat="1" x14ac:dyDescent="0.3">
      <c r="A2572" s="124"/>
      <c r="O2572" s="235"/>
      <c r="X2572" s="117"/>
      <c r="Y2572" s="117"/>
      <c r="DT2572" s="240"/>
      <c r="DU2572" s="240"/>
      <c r="DV2572" s="240"/>
      <c r="DW2572" s="240"/>
      <c r="DX2572" s="240"/>
      <c r="DY2572" s="240"/>
      <c r="DZ2572" s="240"/>
      <c r="EA2572" s="240"/>
      <c r="EB2572" s="237"/>
      <c r="EC2572" s="241"/>
      <c r="ED2572" s="241"/>
      <c r="EE2572" s="241"/>
      <c r="EG2572" s="241"/>
    </row>
    <row r="2573" spans="1:137" s="121" customFormat="1" x14ac:dyDescent="0.3">
      <c r="A2573" s="124"/>
      <c r="O2573" s="235"/>
      <c r="X2573" s="117"/>
      <c r="Y2573" s="117"/>
      <c r="DT2573" s="240"/>
      <c r="DU2573" s="240"/>
      <c r="DV2573" s="240"/>
      <c r="DW2573" s="240"/>
      <c r="DX2573" s="240"/>
      <c r="DY2573" s="240"/>
      <c r="DZ2573" s="240"/>
      <c r="EA2573" s="240"/>
      <c r="EB2573" s="237"/>
      <c r="EC2573" s="241"/>
      <c r="ED2573" s="241"/>
      <c r="EE2573" s="241"/>
      <c r="EG2573" s="241"/>
    </row>
    <row r="2574" spans="1:137" s="121" customFormat="1" x14ac:dyDescent="0.3">
      <c r="A2574" s="124"/>
      <c r="O2574" s="235"/>
      <c r="X2574" s="117"/>
      <c r="Y2574" s="117"/>
      <c r="DT2574" s="240"/>
      <c r="DU2574" s="240"/>
      <c r="DV2574" s="240"/>
      <c r="DW2574" s="240"/>
      <c r="DX2574" s="240"/>
      <c r="DY2574" s="240"/>
      <c r="DZ2574" s="240"/>
      <c r="EA2574" s="240"/>
      <c r="EB2574" s="237"/>
      <c r="EC2574" s="241"/>
      <c r="ED2574" s="241"/>
      <c r="EE2574" s="241"/>
      <c r="EG2574" s="241"/>
    </row>
    <row r="2575" spans="1:137" s="121" customFormat="1" x14ac:dyDescent="0.3">
      <c r="A2575" s="124"/>
      <c r="O2575" s="235"/>
      <c r="X2575" s="117"/>
      <c r="Y2575" s="117"/>
      <c r="DT2575" s="240"/>
      <c r="DU2575" s="240"/>
      <c r="DV2575" s="240"/>
      <c r="DW2575" s="240"/>
      <c r="DX2575" s="240"/>
      <c r="DY2575" s="240"/>
      <c r="DZ2575" s="240"/>
      <c r="EA2575" s="240"/>
      <c r="EB2575" s="237"/>
      <c r="EC2575" s="241"/>
      <c r="ED2575" s="241"/>
      <c r="EE2575" s="241"/>
      <c r="EG2575" s="241"/>
    </row>
    <row r="2576" spans="1:137" s="121" customFormat="1" x14ac:dyDescent="0.3">
      <c r="A2576" s="124"/>
      <c r="O2576" s="235"/>
      <c r="X2576" s="117"/>
      <c r="Y2576" s="117"/>
      <c r="DT2576" s="240"/>
      <c r="DU2576" s="240"/>
      <c r="DV2576" s="240"/>
      <c r="DW2576" s="240"/>
      <c r="DX2576" s="240"/>
      <c r="DY2576" s="240"/>
      <c r="DZ2576" s="240"/>
      <c r="EA2576" s="240"/>
      <c r="EB2576" s="237"/>
      <c r="EC2576" s="241"/>
      <c r="ED2576" s="241"/>
      <c r="EE2576" s="241"/>
      <c r="EG2576" s="241"/>
    </row>
    <row r="2577" spans="1:137" s="121" customFormat="1" x14ac:dyDescent="0.3">
      <c r="A2577" s="124"/>
      <c r="O2577" s="235"/>
      <c r="X2577" s="117"/>
      <c r="Y2577" s="117"/>
      <c r="DT2577" s="240"/>
      <c r="DU2577" s="240"/>
      <c r="DV2577" s="240"/>
      <c r="DW2577" s="240"/>
      <c r="DX2577" s="240"/>
      <c r="DY2577" s="240"/>
      <c r="DZ2577" s="240"/>
      <c r="EA2577" s="240"/>
      <c r="EB2577" s="237"/>
      <c r="EC2577" s="241"/>
      <c r="ED2577" s="241"/>
      <c r="EE2577" s="241"/>
      <c r="EG2577" s="241"/>
    </row>
    <row r="2578" spans="1:137" s="121" customFormat="1" x14ac:dyDescent="0.3">
      <c r="A2578" s="124"/>
      <c r="O2578" s="235"/>
      <c r="X2578" s="117"/>
      <c r="Y2578" s="117"/>
      <c r="DT2578" s="240"/>
      <c r="DU2578" s="240"/>
      <c r="DV2578" s="240"/>
      <c r="DW2578" s="240"/>
      <c r="DX2578" s="240"/>
      <c r="DY2578" s="240"/>
      <c r="DZ2578" s="240"/>
      <c r="EA2578" s="240"/>
      <c r="EB2578" s="237"/>
      <c r="EC2578" s="241"/>
      <c r="ED2578" s="241"/>
      <c r="EE2578" s="241"/>
      <c r="EG2578" s="241"/>
    </row>
    <row r="2579" spans="1:137" s="121" customFormat="1" x14ac:dyDescent="0.3">
      <c r="A2579" s="124"/>
      <c r="O2579" s="235"/>
      <c r="X2579" s="117"/>
      <c r="Y2579" s="117"/>
      <c r="DT2579" s="240"/>
      <c r="DU2579" s="240"/>
      <c r="DV2579" s="240"/>
      <c r="DW2579" s="240"/>
      <c r="DX2579" s="240"/>
      <c r="DY2579" s="240"/>
      <c r="DZ2579" s="240"/>
      <c r="EA2579" s="240"/>
      <c r="EB2579" s="237"/>
      <c r="EC2579" s="241"/>
      <c r="ED2579" s="241"/>
      <c r="EE2579" s="241"/>
      <c r="EG2579" s="241"/>
    </row>
    <row r="2580" spans="1:137" s="121" customFormat="1" x14ac:dyDescent="0.3">
      <c r="A2580" s="124"/>
      <c r="O2580" s="235"/>
      <c r="X2580" s="117"/>
      <c r="Y2580" s="117"/>
      <c r="DT2580" s="240"/>
      <c r="DU2580" s="240"/>
      <c r="DV2580" s="240"/>
      <c r="DW2580" s="240"/>
      <c r="DX2580" s="240"/>
      <c r="DY2580" s="240"/>
      <c r="DZ2580" s="240"/>
      <c r="EA2580" s="240"/>
      <c r="EB2580" s="237"/>
      <c r="EC2580" s="241"/>
      <c r="ED2580" s="241"/>
      <c r="EE2580" s="241"/>
      <c r="EG2580" s="241"/>
    </row>
    <row r="2581" spans="1:137" s="121" customFormat="1" x14ac:dyDescent="0.3">
      <c r="A2581" s="124"/>
      <c r="O2581" s="235"/>
      <c r="X2581" s="117"/>
      <c r="Y2581" s="117"/>
      <c r="DT2581" s="240"/>
      <c r="DU2581" s="240"/>
      <c r="DV2581" s="240"/>
      <c r="DW2581" s="240"/>
      <c r="DX2581" s="240"/>
      <c r="DY2581" s="240"/>
      <c r="DZ2581" s="240"/>
      <c r="EA2581" s="240"/>
      <c r="EB2581" s="237"/>
      <c r="EC2581" s="241"/>
      <c r="ED2581" s="241"/>
      <c r="EE2581" s="241"/>
      <c r="EG2581" s="241"/>
    </row>
    <row r="2582" spans="1:137" s="121" customFormat="1" x14ac:dyDescent="0.3">
      <c r="A2582" s="124"/>
      <c r="O2582" s="235"/>
      <c r="X2582" s="117"/>
      <c r="Y2582" s="117"/>
      <c r="DT2582" s="240"/>
      <c r="DU2582" s="240"/>
      <c r="DV2582" s="240"/>
      <c r="DW2582" s="240"/>
      <c r="DX2582" s="240"/>
      <c r="DY2582" s="240"/>
      <c r="DZ2582" s="240"/>
      <c r="EA2582" s="240"/>
      <c r="EB2582" s="237"/>
      <c r="EC2582" s="241"/>
      <c r="ED2582" s="241"/>
      <c r="EE2582" s="241"/>
      <c r="EG2582" s="241"/>
    </row>
    <row r="2583" spans="1:137" s="121" customFormat="1" x14ac:dyDescent="0.3">
      <c r="A2583" s="124"/>
      <c r="O2583" s="235"/>
      <c r="X2583" s="117"/>
      <c r="Y2583" s="117"/>
      <c r="DT2583" s="240"/>
      <c r="DU2583" s="240"/>
      <c r="DV2583" s="240"/>
      <c r="DW2583" s="240"/>
      <c r="DX2583" s="240"/>
      <c r="DY2583" s="240"/>
      <c r="DZ2583" s="240"/>
      <c r="EA2583" s="240"/>
      <c r="EB2583" s="237"/>
      <c r="EC2583" s="241"/>
      <c r="ED2583" s="241"/>
      <c r="EE2583" s="241"/>
      <c r="EG2583" s="241"/>
    </row>
    <row r="2584" spans="1:137" s="121" customFormat="1" x14ac:dyDescent="0.3">
      <c r="A2584" s="124"/>
      <c r="O2584" s="235"/>
      <c r="X2584" s="117"/>
      <c r="Y2584" s="117"/>
      <c r="DT2584" s="240"/>
      <c r="DU2584" s="240"/>
      <c r="DV2584" s="240"/>
      <c r="DW2584" s="240"/>
      <c r="DX2584" s="240"/>
      <c r="DY2584" s="240"/>
      <c r="DZ2584" s="240"/>
      <c r="EA2584" s="240"/>
      <c r="EB2584" s="237"/>
      <c r="EC2584" s="241"/>
      <c r="ED2584" s="241"/>
      <c r="EE2584" s="241"/>
      <c r="EG2584" s="241"/>
    </row>
    <row r="2585" spans="1:137" s="121" customFormat="1" x14ac:dyDescent="0.3">
      <c r="A2585" s="124"/>
      <c r="O2585" s="235"/>
      <c r="X2585" s="117"/>
      <c r="Y2585" s="117"/>
      <c r="DT2585" s="240"/>
      <c r="DU2585" s="240"/>
      <c r="DV2585" s="240"/>
      <c r="DW2585" s="240"/>
      <c r="DX2585" s="240"/>
      <c r="DY2585" s="240"/>
      <c r="DZ2585" s="240"/>
      <c r="EA2585" s="240"/>
      <c r="EB2585" s="237"/>
      <c r="EC2585" s="241"/>
      <c r="ED2585" s="241"/>
      <c r="EE2585" s="241"/>
      <c r="EG2585" s="241"/>
    </row>
    <row r="2586" spans="1:137" s="121" customFormat="1" x14ac:dyDescent="0.3">
      <c r="A2586" s="124"/>
      <c r="O2586" s="235"/>
      <c r="X2586" s="117"/>
      <c r="Y2586" s="117"/>
      <c r="DT2586" s="240"/>
      <c r="DU2586" s="240"/>
      <c r="DV2586" s="240"/>
      <c r="DW2586" s="240"/>
      <c r="DX2586" s="240"/>
      <c r="DY2586" s="240"/>
      <c r="DZ2586" s="240"/>
      <c r="EA2586" s="240"/>
      <c r="EB2586" s="237"/>
      <c r="EC2586" s="241"/>
      <c r="ED2586" s="241"/>
      <c r="EE2586" s="241"/>
      <c r="EG2586" s="241"/>
    </row>
    <row r="2587" spans="1:137" s="121" customFormat="1" x14ac:dyDescent="0.3">
      <c r="A2587" s="124"/>
      <c r="O2587" s="235"/>
      <c r="X2587" s="117"/>
      <c r="Y2587" s="117"/>
      <c r="DT2587" s="240"/>
      <c r="DU2587" s="240"/>
      <c r="DV2587" s="240"/>
      <c r="DW2587" s="240"/>
      <c r="DX2587" s="240"/>
      <c r="DY2587" s="240"/>
      <c r="DZ2587" s="240"/>
      <c r="EA2587" s="240"/>
      <c r="EB2587" s="237"/>
      <c r="EC2587" s="241"/>
      <c r="ED2587" s="241"/>
      <c r="EE2587" s="241"/>
      <c r="EG2587" s="241"/>
    </row>
    <row r="2588" spans="1:137" s="121" customFormat="1" x14ac:dyDescent="0.3">
      <c r="A2588" s="124"/>
      <c r="O2588" s="235"/>
      <c r="X2588" s="117"/>
      <c r="Y2588" s="117"/>
      <c r="DT2588" s="240"/>
      <c r="DU2588" s="240"/>
      <c r="DV2588" s="240"/>
      <c r="DW2588" s="240"/>
      <c r="DX2588" s="240"/>
      <c r="DY2588" s="240"/>
      <c r="DZ2588" s="240"/>
      <c r="EA2588" s="240"/>
      <c r="EB2588" s="237"/>
      <c r="EC2588" s="241"/>
      <c r="ED2588" s="241"/>
      <c r="EE2588" s="241"/>
      <c r="EG2588" s="241"/>
    </row>
    <row r="2589" spans="1:137" s="121" customFormat="1" x14ac:dyDescent="0.3">
      <c r="A2589" s="124"/>
      <c r="O2589" s="235"/>
      <c r="X2589" s="117"/>
      <c r="Y2589" s="117"/>
      <c r="DT2589" s="240"/>
      <c r="DU2589" s="240"/>
      <c r="DV2589" s="240"/>
      <c r="DW2589" s="240"/>
      <c r="DX2589" s="240"/>
      <c r="DY2589" s="240"/>
      <c r="DZ2589" s="240"/>
      <c r="EA2589" s="240"/>
      <c r="EB2589" s="237"/>
      <c r="EC2589" s="241"/>
      <c r="ED2589" s="241"/>
      <c r="EE2589" s="241"/>
      <c r="EG2589" s="241"/>
    </row>
    <row r="2590" spans="1:137" s="121" customFormat="1" x14ac:dyDescent="0.3">
      <c r="A2590" s="124"/>
      <c r="O2590" s="235"/>
      <c r="X2590" s="117"/>
      <c r="Y2590" s="117"/>
      <c r="DT2590" s="240"/>
      <c r="DU2590" s="240"/>
      <c r="DV2590" s="240"/>
      <c r="DW2590" s="240"/>
      <c r="DX2590" s="240"/>
      <c r="DY2590" s="240"/>
      <c r="DZ2590" s="240"/>
      <c r="EA2590" s="240"/>
      <c r="EB2590" s="237"/>
      <c r="EC2590" s="241"/>
      <c r="ED2590" s="241"/>
      <c r="EE2590" s="241"/>
      <c r="EG2590" s="241"/>
    </row>
    <row r="2591" spans="1:137" s="121" customFormat="1" x14ac:dyDescent="0.3">
      <c r="A2591" s="124"/>
      <c r="O2591" s="235"/>
      <c r="X2591" s="117"/>
      <c r="Y2591" s="117"/>
      <c r="DT2591" s="240"/>
      <c r="DU2591" s="240"/>
      <c r="DV2591" s="240"/>
      <c r="DW2591" s="240"/>
      <c r="DX2591" s="240"/>
      <c r="DY2591" s="240"/>
      <c r="DZ2591" s="240"/>
      <c r="EA2591" s="240"/>
      <c r="EB2591" s="237"/>
      <c r="EC2591" s="241"/>
      <c r="ED2591" s="241"/>
      <c r="EE2591" s="241"/>
      <c r="EG2591" s="241"/>
    </row>
    <row r="2592" spans="1:137" s="121" customFormat="1" x14ac:dyDescent="0.3">
      <c r="A2592" s="124"/>
      <c r="O2592" s="235"/>
      <c r="X2592" s="117"/>
      <c r="Y2592" s="117"/>
      <c r="DT2592" s="240"/>
      <c r="DU2592" s="240"/>
      <c r="DV2592" s="240"/>
      <c r="DW2592" s="240"/>
      <c r="DX2592" s="240"/>
      <c r="DY2592" s="240"/>
      <c r="DZ2592" s="240"/>
      <c r="EA2592" s="240"/>
      <c r="EB2592" s="237"/>
      <c r="EC2592" s="241"/>
      <c r="ED2592" s="241"/>
      <c r="EE2592" s="241"/>
      <c r="EG2592" s="241"/>
    </row>
    <row r="2593" spans="1:137" s="121" customFormat="1" x14ac:dyDescent="0.3">
      <c r="A2593" s="124"/>
      <c r="O2593" s="235"/>
      <c r="X2593" s="117"/>
      <c r="Y2593" s="117"/>
      <c r="DT2593" s="240"/>
      <c r="DU2593" s="240"/>
      <c r="DV2593" s="240"/>
      <c r="DW2593" s="240"/>
      <c r="DX2593" s="240"/>
      <c r="DY2593" s="240"/>
      <c r="DZ2593" s="240"/>
      <c r="EA2593" s="240"/>
      <c r="EB2593" s="237"/>
      <c r="EC2593" s="241"/>
      <c r="ED2593" s="241"/>
      <c r="EE2593" s="241"/>
      <c r="EG2593" s="241"/>
    </row>
    <row r="2594" spans="1:137" s="121" customFormat="1" x14ac:dyDescent="0.3">
      <c r="A2594" s="124"/>
      <c r="O2594" s="235"/>
      <c r="X2594" s="117"/>
      <c r="Y2594" s="117"/>
      <c r="DT2594" s="240"/>
      <c r="DU2594" s="240"/>
      <c r="DV2594" s="240"/>
      <c r="DW2594" s="240"/>
      <c r="DX2594" s="240"/>
      <c r="DY2594" s="240"/>
      <c r="DZ2594" s="240"/>
      <c r="EA2594" s="240"/>
      <c r="EB2594" s="237"/>
      <c r="EC2594" s="241"/>
      <c r="ED2594" s="241"/>
      <c r="EE2594" s="241"/>
      <c r="EG2594" s="241"/>
    </row>
    <row r="2595" spans="1:137" s="121" customFormat="1" x14ac:dyDescent="0.3">
      <c r="A2595" s="124"/>
      <c r="O2595" s="235"/>
      <c r="X2595" s="117"/>
      <c r="Y2595" s="117"/>
      <c r="DT2595" s="240"/>
      <c r="DU2595" s="240"/>
      <c r="DV2595" s="240"/>
      <c r="DW2595" s="240"/>
      <c r="DX2595" s="240"/>
      <c r="DY2595" s="240"/>
      <c r="DZ2595" s="240"/>
      <c r="EA2595" s="240"/>
      <c r="EB2595" s="237"/>
      <c r="EC2595" s="241"/>
      <c r="ED2595" s="241"/>
      <c r="EE2595" s="241"/>
      <c r="EG2595" s="241"/>
    </row>
    <row r="2596" spans="1:137" s="121" customFormat="1" x14ac:dyDescent="0.3">
      <c r="A2596" s="124"/>
      <c r="O2596" s="235"/>
      <c r="X2596" s="117"/>
      <c r="Y2596" s="117"/>
      <c r="DT2596" s="240"/>
      <c r="DU2596" s="240"/>
      <c r="DV2596" s="240"/>
      <c r="DW2596" s="240"/>
      <c r="DX2596" s="240"/>
      <c r="DY2596" s="240"/>
      <c r="DZ2596" s="240"/>
      <c r="EA2596" s="240"/>
      <c r="EB2596" s="237"/>
      <c r="EC2596" s="241"/>
      <c r="ED2596" s="241"/>
      <c r="EE2596" s="241"/>
      <c r="EG2596" s="241"/>
    </row>
    <row r="2597" spans="1:137" s="121" customFormat="1" x14ac:dyDescent="0.3">
      <c r="A2597" s="124"/>
      <c r="O2597" s="235"/>
      <c r="X2597" s="117"/>
      <c r="Y2597" s="117"/>
      <c r="DT2597" s="240"/>
      <c r="DU2597" s="240"/>
      <c r="DV2597" s="240"/>
      <c r="DW2597" s="240"/>
      <c r="DX2597" s="240"/>
      <c r="DY2597" s="240"/>
      <c r="DZ2597" s="240"/>
      <c r="EA2597" s="240"/>
      <c r="EB2597" s="237"/>
      <c r="EC2597" s="241"/>
      <c r="ED2597" s="241"/>
      <c r="EE2597" s="241"/>
      <c r="EG2597" s="241"/>
    </row>
    <row r="2598" spans="1:137" s="121" customFormat="1" x14ac:dyDescent="0.3">
      <c r="A2598" s="124"/>
      <c r="O2598" s="235"/>
      <c r="X2598" s="117"/>
      <c r="Y2598" s="117"/>
      <c r="DT2598" s="240"/>
      <c r="DU2598" s="240"/>
      <c r="DV2598" s="240"/>
      <c r="DW2598" s="240"/>
      <c r="DX2598" s="240"/>
      <c r="DY2598" s="240"/>
      <c r="DZ2598" s="240"/>
      <c r="EA2598" s="240"/>
      <c r="EB2598" s="237"/>
      <c r="EC2598" s="241"/>
      <c r="ED2598" s="241"/>
      <c r="EE2598" s="241"/>
      <c r="EG2598" s="241"/>
    </row>
    <row r="2599" spans="1:137" s="121" customFormat="1" x14ac:dyDescent="0.3">
      <c r="A2599" s="124"/>
      <c r="O2599" s="235"/>
      <c r="X2599" s="117"/>
      <c r="Y2599" s="117"/>
      <c r="DT2599" s="240"/>
      <c r="DU2599" s="240"/>
      <c r="DV2599" s="240"/>
      <c r="DW2599" s="240"/>
      <c r="DX2599" s="240"/>
      <c r="DY2599" s="240"/>
      <c r="DZ2599" s="240"/>
      <c r="EA2599" s="240"/>
      <c r="EB2599" s="237"/>
      <c r="EC2599" s="241"/>
      <c r="ED2599" s="241"/>
      <c r="EE2599" s="241"/>
      <c r="EG2599" s="241"/>
    </row>
    <row r="2600" spans="1:137" s="121" customFormat="1" x14ac:dyDescent="0.3">
      <c r="A2600" s="124"/>
      <c r="O2600" s="235"/>
      <c r="X2600" s="117"/>
      <c r="Y2600" s="117"/>
      <c r="DT2600" s="240"/>
      <c r="DU2600" s="240"/>
      <c r="DV2600" s="240"/>
      <c r="DW2600" s="240"/>
      <c r="DX2600" s="240"/>
      <c r="DY2600" s="240"/>
      <c r="DZ2600" s="240"/>
      <c r="EA2600" s="240"/>
      <c r="EB2600" s="237"/>
      <c r="EC2600" s="241"/>
      <c r="ED2600" s="241"/>
      <c r="EE2600" s="241"/>
      <c r="EG2600" s="241"/>
    </row>
    <row r="2601" spans="1:137" s="121" customFormat="1" x14ac:dyDescent="0.3">
      <c r="A2601" s="124"/>
      <c r="O2601" s="235"/>
      <c r="X2601" s="117"/>
      <c r="Y2601" s="117"/>
      <c r="DT2601" s="240"/>
      <c r="DU2601" s="240"/>
      <c r="DV2601" s="240"/>
      <c r="DW2601" s="240"/>
      <c r="DX2601" s="240"/>
      <c r="DY2601" s="240"/>
      <c r="DZ2601" s="240"/>
      <c r="EA2601" s="240"/>
      <c r="EB2601" s="237"/>
      <c r="EC2601" s="241"/>
      <c r="ED2601" s="241"/>
      <c r="EE2601" s="241"/>
      <c r="EG2601" s="241"/>
    </row>
    <row r="2602" spans="1:137" s="121" customFormat="1" x14ac:dyDescent="0.3">
      <c r="A2602" s="124"/>
      <c r="O2602" s="235"/>
      <c r="X2602" s="117"/>
      <c r="Y2602" s="117"/>
      <c r="DT2602" s="240"/>
      <c r="DU2602" s="240"/>
      <c r="DV2602" s="240"/>
      <c r="DW2602" s="240"/>
      <c r="DX2602" s="240"/>
      <c r="DY2602" s="240"/>
      <c r="DZ2602" s="240"/>
      <c r="EA2602" s="240"/>
      <c r="EB2602" s="237"/>
      <c r="EC2602" s="241"/>
      <c r="ED2602" s="241"/>
      <c r="EE2602" s="241"/>
      <c r="EG2602" s="241"/>
    </row>
    <row r="2603" spans="1:137" s="121" customFormat="1" x14ac:dyDescent="0.3">
      <c r="A2603" s="124"/>
      <c r="O2603" s="235"/>
      <c r="X2603" s="117"/>
      <c r="Y2603" s="117"/>
      <c r="DT2603" s="240"/>
      <c r="DU2603" s="240"/>
      <c r="DV2603" s="240"/>
      <c r="DW2603" s="240"/>
      <c r="DX2603" s="240"/>
      <c r="DY2603" s="240"/>
      <c r="DZ2603" s="240"/>
      <c r="EA2603" s="240"/>
      <c r="EB2603" s="237"/>
      <c r="EC2603" s="241"/>
      <c r="ED2603" s="241"/>
      <c r="EE2603" s="241"/>
      <c r="EG2603" s="241"/>
    </row>
    <row r="2604" spans="1:137" s="121" customFormat="1" x14ac:dyDescent="0.3">
      <c r="A2604" s="124"/>
      <c r="O2604" s="235"/>
      <c r="X2604" s="117"/>
      <c r="Y2604" s="117"/>
      <c r="DT2604" s="240"/>
      <c r="DU2604" s="240"/>
      <c r="DV2604" s="240"/>
      <c r="DW2604" s="240"/>
      <c r="DX2604" s="240"/>
      <c r="DY2604" s="240"/>
      <c r="DZ2604" s="240"/>
      <c r="EA2604" s="240"/>
      <c r="EB2604" s="237"/>
      <c r="EC2604" s="241"/>
      <c r="ED2604" s="241"/>
      <c r="EE2604" s="241"/>
      <c r="EG2604" s="241"/>
    </row>
    <row r="2605" spans="1:137" s="121" customFormat="1" x14ac:dyDescent="0.3">
      <c r="A2605" s="124"/>
      <c r="O2605" s="235"/>
      <c r="X2605" s="117"/>
      <c r="Y2605" s="117"/>
      <c r="DT2605" s="240"/>
      <c r="DU2605" s="240"/>
      <c r="DV2605" s="240"/>
      <c r="DW2605" s="240"/>
      <c r="DX2605" s="240"/>
      <c r="DY2605" s="240"/>
      <c r="DZ2605" s="240"/>
      <c r="EA2605" s="240"/>
      <c r="EB2605" s="237"/>
      <c r="EC2605" s="241"/>
      <c r="ED2605" s="241"/>
      <c r="EE2605" s="241"/>
      <c r="EG2605" s="241"/>
    </row>
    <row r="2606" spans="1:137" s="121" customFormat="1" x14ac:dyDescent="0.3">
      <c r="A2606" s="124"/>
      <c r="O2606" s="235"/>
      <c r="X2606" s="117"/>
      <c r="Y2606" s="117"/>
      <c r="DT2606" s="240"/>
      <c r="DU2606" s="240"/>
      <c r="DV2606" s="240"/>
      <c r="DW2606" s="240"/>
      <c r="DX2606" s="240"/>
      <c r="DY2606" s="240"/>
      <c r="DZ2606" s="240"/>
      <c r="EA2606" s="240"/>
      <c r="EB2606" s="237"/>
      <c r="EC2606" s="241"/>
      <c r="ED2606" s="241"/>
      <c r="EE2606" s="241"/>
      <c r="EG2606" s="241"/>
    </row>
    <row r="2607" spans="1:137" s="121" customFormat="1" x14ac:dyDescent="0.3">
      <c r="A2607" s="124"/>
      <c r="O2607" s="235"/>
      <c r="X2607" s="117"/>
      <c r="Y2607" s="117"/>
      <c r="DT2607" s="240"/>
      <c r="DU2607" s="240"/>
      <c r="DV2607" s="240"/>
      <c r="DW2607" s="240"/>
      <c r="DX2607" s="240"/>
      <c r="DY2607" s="240"/>
      <c r="DZ2607" s="240"/>
      <c r="EA2607" s="240"/>
      <c r="EB2607" s="237"/>
      <c r="EC2607" s="241"/>
      <c r="ED2607" s="241"/>
      <c r="EE2607" s="241"/>
      <c r="EG2607" s="241"/>
    </row>
    <row r="2608" spans="1:137" s="121" customFormat="1" x14ac:dyDescent="0.3">
      <c r="A2608" s="124"/>
      <c r="O2608" s="235"/>
      <c r="X2608" s="117"/>
      <c r="Y2608" s="117"/>
      <c r="DT2608" s="240"/>
      <c r="DU2608" s="240"/>
      <c r="DV2608" s="240"/>
      <c r="DW2608" s="240"/>
      <c r="DX2608" s="240"/>
      <c r="DY2608" s="240"/>
      <c r="DZ2608" s="240"/>
      <c r="EA2608" s="240"/>
      <c r="EB2608" s="237"/>
      <c r="EC2608" s="241"/>
      <c r="ED2608" s="241"/>
      <c r="EE2608" s="241"/>
      <c r="EG2608" s="241"/>
    </row>
    <row r="2609" spans="1:137" s="121" customFormat="1" x14ac:dyDescent="0.3">
      <c r="A2609" s="124"/>
      <c r="O2609" s="235"/>
      <c r="X2609" s="117"/>
      <c r="Y2609" s="117"/>
      <c r="DT2609" s="240"/>
      <c r="DU2609" s="240"/>
      <c r="DV2609" s="240"/>
      <c r="DW2609" s="240"/>
      <c r="DX2609" s="240"/>
      <c r="DY2609" s="240"/>
      <c r="DZ2609" s="240"/>
      <c r="EA2609" s="240"/>
      <c r="EB2609" s="237"/>
      <c r="EC2609" s="241"/>
      <c r="ED2609" s="241"/>
      <c r="EE2609" s="241"/>
      <c r="EG2609" s="241"/>
    </row>
    <row r="2610" spans="1:137" s="121" customFormat="1" x14ac:dyDescent="0.3">
      <c r="A2610" s="124"/>
      <c r="O2610" s="235"/>
      <c r="X2610" s="117"/>
      <c r="Y2610" s="117"/>
      <c r="DT2610" s="240"/>
      <c r="DU2610" s="240"/>
      <c r="DV2610" s="240"/>
      <c r="DW2610" s="240"/>
      <c r="DX2610" s="240"/>
      <c r="DY2610" s="240"/>
      <c r="DZ2610" s="240"/>
      <c r="EA2610" s="240"/>
      <c r="EB2610" s="237"/>
      <c r="EC2610" s="241"/>
      <c r="ED2610" s="241"/>
      <c r="EE2610" s="241"/>
      <c r="EG2610" s="241"/>
    </row>
    <row r="2611" spans="1:137" s="121" customFormat="1" x14ac:dyDescent="0.3">
      <c r="A2611" s="124"/>
      <c r="O2611" s="235"/>
      <c r="X2611" s="117"/>
      <c r="Y2611" s="117"/>
      <c r="DT2611" s="240"/>
      <c r="DU2611" s="240"/>
      <c r="DV2611" s="240"/>
      <c r="DW2611" s="240"/>
      <c r="DX2611" s="240"/>
      <c r="DY2611" s="240"/>
      <c r="DZ2611" s="240"/>
      <c r="EA2611" s="240"/>
      <c r="EB2611" s="237"/>
      <c r="EC2611" s="241"/>
      <c r="ED2611" s="241"/>
      <c r="EE2611" s="241"/>
      <c r="EG2611" s="241"/>
    </row>
    <row r="2612" spans="1:137" s="121" customFormat="1" x14ac:dyDescent="0.3">
      <c r="A2612" s="124"/>
      <c r="O2612" s="235"/>
      <c r="X2612" s="117"/>
      <c r="Y2612" s="117"/>
      <c r="DT2612" s="240"/>
      <c r="DU2612" s="240"/>
      <c r="DV2612" s="240"/>
      <c r="DW2612" s="240"/>
      <c r="DX2612" s="240"/>
      <c r="DY2612" s="240"/>
      <c r="DZ2612" s="240"/>
      <c r="EA2612" s="240"/>
      <c r="EB2612" s="237"/>
      <c r="EC2612" s="241"/>
      <c r="ED2612" s="241"/>
      <c r="EE2612" s="241"/>
      <c r="EG2612" s="241"/>
    </row>
    <row r="2613" spans="1:137" s="121" customFormat="1" x14ac:dyDescent="0.3">
      <c r="A2613" s="124"/>
      <c r="O2613" s="235"/>
      <c r="X2613" s="117"/>
      <c r="Y2613" s="117"/>
      <c r="DT2613" s="240"/>
      <c r="DU2613" s="240"/>
      <c r="DV2613" s="240"/>
      <c r="DW2613" s="240"/>
      <c r="DX2613" s="240"/>
      <c r="DY2613" s="240"/>
      <c r="DZ2613" s="240"/>
      <c r="EA2613" s="240"/>
      <c r="EB2613" s="237"/>
      <c r="EC2613" s="241"/>
      <c r="ED2613" s="241"/>
      <c r="EE2613" s="241"/>
      <c r="EG2613" s="241"/>
    </row>
    <row r="2614" spans="1:137" s="121" customFormat="1" x14ac:dyDescent="0.3">
      <c r="A2614" s="124"/>
      <c r="O2614" s="235"/>
      <c r="X2614" s="117"/>
      <c r="Y2614" s="117"/>
      <c r="DT2614" s="240"/>
      <c r="DU2614" s="240"/>
      <c r="DV2614" s="240"/>
      <c r="DW2614" s="240"/>
      <c r="DX2614" s="240"/>
      <c r="DY2614" s="240"/>
      <c r="DZ2614" s="240"/>
      <c r="EA2614" s="240"/>
      <c r="EB2614" s="237"/>
      <c r="EC2614" s="241"/>
      <c r="ED2614" s="241"/>
      <c r="EE2614" s="241"/>
      <c r="EG2614" s="241"/>
    </row>
    <row r="2615" spans="1:137" s="121" customFormat="1" x14ac:dyDescent="0.3">
      <c r="A2615" s="124"/>
      <c r="O2615" s="235"/>
      <c r="X2615" s="117"/>
      <c r="Y2615" s="117"/>
      <c r="DT2615" s="240"/>
      <c r="DU2615" s="240"/>
      <c r="DV2615" s="240"/>
      <c r="DW2615" s="240"/>
      <c r="DX2615" s="240"/>
      <c r="DY2615" s="240"/>
      <c r="DZ2615" s="240"/>
      <c r="EA2615" s="240"/>
      <c r="EB2615" s="237"/>
      <c r="EC2615" s="241"/>
      <c r="ED2615" s="241"/>
      <c r="EE2615" s="241"/>
      <c r="EG2615" s="241"/>
    </row>
    <row r="2616" spans="1:137" s="121" customFormat="1" x14ac:dyDescent="0.3">
      <c r="A2616" s="124"/>
      <c r="O2616" s="235"/>
      <c r="X2616" s="117"/>
      <c r="Y2616" s="117"/>
      <c r="DT2616" s="240"/>
      <c r="DU2616" s="240"/>
      <c r="DV2616" s="240"/>
      <c r="DW2616" s="240"/>
      <c r="DX2616" s="240"/>
      <c r="DY2616" s="240"/>
      <c r="DZ2616" s="240"/>
      <c r="EA2616" s="240"/>
      <c r="EB2616" s="237"/>
      <c r="EC2616" s="241"/>
      <c r="ED2616" s="241"/>
      <c r="EE2616" s="241"/>
      <c r="EG2616" s="241"/>
    </row>
    <row r="2617" spans="1:137" s="121" customFormat="1" x14ac:dyDescent="0.3">
      <c r="A2617" s="124"/>
      <c r="O2617" s="235"/>
      <c r="X2617" s="117"/>
      <c r="Y2617" s="117"/>
      <c r="DT2617" s="240"/>
      <c r="DU2617" s="240"/>
      <c r="DV2617" s="240"/>
      <c r="DW2617" s="240"/>
      <c r="DX2617" s="240"/>
      <c r="DY2617" s="240"/>
      <c r="DZ2617" s="240"/>
      <c r="EA2617" s="240"/>
      <c r="EB2617" s="237"/>
      <c r="EC2617" s="241"/>
      <c r="ED2617" s="241"/>
      <c r="EE2617" s="241"/>
      <c r="EG2617" s="241"/>
    </row>
    <row r="2618" spans="1:137" s="121" customFormat="1" x14ac:dyDescent="0.3">
      <c r="A2618" s="124"/>
      <c r="O2618" s="235"/>
      <c r="X2618" s="117"/>
      <c r="Y2618" s="117"/>
      <c r="DT2618" s="240"/>
      <c r="DU2618" s="240"/>
      <c r="DV2618" s="240"/>
      <c r="DW2618" s="240"/>
      <c r="DX2618" s="240"/>
      <c r="DY2618" s="240"/>
      <c r="DZ2618" s="240"/>
      <c r="EA2618" s="240"/>
      <c r="EB2618" s="237"/>
      <c r="EC2618" s="241"/>
      <c r="ED2618" s="241"/>
      <c r="EE2618" s="241"/>
      <c r="EG2618" s="241"/>
    </row>
    <row r="2619" spans="1:137" s="121" customFormat="1" x14ac:dyDescent="0.3">
      <c r="A2619" s="124"/>
      <c r="O2619" s="235"/>
      <c r="X2619" s="117"/>
      <c r="Y2619" s="117"/>
      <c r="DT2619" s="240"/>
      <c r="DU2619" s="240"/>
      <c r="DV2619" s="240"/>
      <c r="DW2619" s="240"/>
      <c r="DX2619" s="240"/>
      <c r="DY2619" s="240"/>
      <c r="DZ2619" s="240"/>
      <c r="EA2619" s="240"/>
      <c r="EB2619" s="237"/>
      <c r="EC2619" s="241"/>
      <c r="ED2619" s="241"/>
      <c r="EE2619" s="241"/>
      <c r="EG2619" s="241"/>
    </row>
    <row r="2620" spans="1:137" s="121" customFormat="1" x14ac:dyDescent="0.3">
      <c r="A2620" s="124"/>
      <c r="O2620" s="235"/>
      <c r="X2620" s="117"/>
      <c r="Y2620" s="117"/>
      <c r="DT2620" s="240"/>
      <c r="DU2620" s="240"/>
      <c r="DV2620" s="240"/>
      <c r="DW2620" s="240"/>
      <c r="DX2620" s="240"/>
      <c r="DY2620" s="240"/>
      <c r="DZ2620" s="240"/>
      <c r="EA2620" s="240"/>
      <c r="EB2620" s="237"/>
      <c r="EC2620" s="241"/>
      <c r="ED2620" s="241"/>
      <c r="EE2620" s="241"/>
      <c r="EG2620" s="241"/>
    </row>
    <row r="2621" spans="1:137" s="121" customFormat="1" x14ac:dyDescent="0.3">
      <c r="A2621" s="124"/>
      <c r="O2621" s="235"/>
      <c r="X2621" s="117"/>
      <c r="Y2621" s="117"/>
      <c r="DT2621" s="240"/>
      <c r="DU2621" s="240"/>
      <c r="DV2621" s="240"/>
      <c r="DW2621" s="240"/>
      <c r="DX2621" s="240"/>
      <c r="DY2621" s="240"/>
      <c r="DZ2621" s="240"/>
      <c r="EA2621" s="240"/>
      <c r="EB2621" s="237"/>
      <c r="EC2621" s="241"/>
      <c r="ED2621" s="241"/>
      <c r="EE2621" s="241"/>
      <c r="EG2621" s="241"/>
    </row>
    <row r="2622" spans="1:137" s="121" customFormat="1" x14ac:dyDescent="0.3">
      <c r="A2622" s="124"/>
      <c r="O2622" s="235"/>
      <c r="X2622" s="117"/>
      <c r="Y2622" s="117"/>
      <c r="DT2622" s="240"/>
      <c r="DU2622" s="240"/>
      <c r="DV2622" s="240"/>
      <c r="DW2622" s="240"/>
      <c r="DX2622" s="240"/>
      <c r="DY2622" s="240"/>
      <c r="DZ2622" s="240"/>
      <c r="EA2622" s="240"/>
      <c r="EB2622" s="237"/>
      <c r="EC2622" s="241"/>
      <c r="ED2622" s="241"/>
      <c r="EE2622" s="241"/>
      <c r="EG2622" s="241"/>
    </row>
    <row r="2623" spans="1:137" s="121" customFormat="1" x14ac:dyDescent="0.3">
      <c r="A2623" s="124"/>
      <c r="O2623" s="235"/>
      <c r="X2623" s="117"/>
      <c r="Y2623" s="117"/>
      <c r="DT2623" s="240"/>
      <c r="DU2623" s="240"/>
      <c r="DV2623" s="240"/>
      <c r="DW2623" s="240"/>
      <c r="DX2623" s="240"/>
      <c r="DY2623" s="240"/>
      <c r="DZ2623" s="240"/>
      <c r="EA2623" s="240"/>
      <c r="EB2623" s="237"/>
      <c r="EC2623" s="241"/>
      <c r="ED2623" s="241"/>
      <c r="EE2623" s="241"/>
      <c r="EG2623" s="241"/>
    </row>
    <row r="2624" spans="1:137" s="121" customFormat="1" x14ac:dyDescent="0.3">
      <c r="A2624" s="124"/>
      <c r="O2624" s="235"/>
      <c r="X2624" s="117"/>
      <c r="Y2624" s="117"/>
      <c r="DT2624" s="240"/>
      <c r="DU2624" s="240"/>
      <c r="DV2624" s="240"/>
      <c r="DW2624" s="240"/>
      <c r="DX2624" s="240"/>
      <c r="DY2624" s="240"/>
      <c r="DZ2624" s="240"/>
      <c r="EA2624" s="240"/>
      <c r="EB2624" s="237"/>
      <c r="EC2624" s="241"/>
      <c r="ED2624" s="241"/>
      <c r="EE2624" s="241"/>
      <c r="EG2624" s="241"/>
    </row>
    <row r="2625" spans="1:137" s="121" customFormat="1" x14ac:dyDescent="0.3">
      <c r="A2625" s="124"/>
      <c r="O2625" s="235"/>
      <c r="X2625" s="117"/>
      <c r="Y2625" s="117"/>
      <c r="DT2625" s="240"/>
      <c r="DU2625" s="240"/>
      <c r="DV2625" s="240"/>
      <c r="DW2625" s="240"/>
      <c r="DX2625" s="240"/>
      <c r="DY2625" s="240"/>
      <c r="DZ2625" s="240"/>
      <c r="EA2625" s="240"/>
      <c r="EB2625" s="237"/>
      <c r="EC2625" s="241"/>
      <c r="ED2625" s="241"/>
      <c r="EE2625" s="241"/>
      <c r="EG2625" s="241"/>
    </row>
    <row r="2626" spans="1:137" s="121" customFormat="1" x14ac:dyDescent="0.3">
      <c r="A2626" s="124"/>
      <c r="O2626" s="235"/>
      <c r="X2626" s="117"/>
      <c r="Y2626" s="117"/>
      <c r="DT2626" s="240"/>
      <c r="DU2626" s="240"/>
      <c r="DV2626" s="240"/>
      <c r="DW2626" s="240"/>
      <c r="DX2626" s="240"/>
      <c r="DY2626" s="240"/>
      <c r="DZ2626" s="240"/>
      <c r="EA2626" s="240"/>
      <c r="EB2626" s="237"/>
      <c r="EC2626" s="241"/>
      <c r="ED2626" s="241"/>
      <c r="EE2626" s="241"/>
      <c r="EG2626" s="241"/>
    </row>
    <row r="2627" spans="1:137" s="121" customFormat="1" x14ac:dyDescent="0.3">
      <c r="A2627" s="124"/>
      <c r="O2627" s="235"/>
      <c r="X2627" s="117"/>
      <c r="Y2627" s="117"/>
      <c r="DT2627" s="240"/>
      <c r="DU2627" s="240"/>
      <c r="DV2627" s="240"/>
      <c r="DW2627" s="240"/>
      <c r="DX2627" s="240"/>
      <c r="DY2627" s="240"/>
      <c r="DZ2627" s="240"/>
      <c r="EA2627" s="240"/>
      <c r="EB2627" s="237"/>
      <c r="EC2627" s="241"/>
      <c r="ED2627" s="241"/>
      <c r="EE2627" s="241"/>
      <c r="EG2627" s="241"/>
    </row>
    <row r="2628" spans="1:137" s="121" customFormat="1" x14ac:dyDescent="0.3">
      <c r="A2628" s="124"/>
      <c r="O2628" s="235"/>
      <c r="X2628" s="117"/>
      <c r="Y2628" s="117"/>
      <c r="DT2628" s="240"/>
      <c r="DU2628" s="240"/>
      <c r="DV2628" s="240"/>
      <c r="DW2628" s="240"/>
      <c r="DX2628" s="240"/>
      <c r="DY2628" s="240"/>
      <c r="DZ2628" s="240"/>
      <c r="EA2628" s="240"/>
      <c r="EB2628" s="237"/>
      <c r="EC2628" s="241"/>
      <c r="ED2628" s="241"/>
      <c r="EE2628" s="241"/>
      <c r="EG2628" s="241"/>
    </row>
    <row r="2629" spans="1:137" s="121" customFormat="1" x14ac:dyDescent="0.3">
      <c r="A2629" s="124"/>
      <c r="O2629" s="235"/>
      <c r="X2629" s="117"/>
      <c r="Y2629" s="117"/>
      <c r="DT2629" s="240"/>
      <c r="DU2629" s="240"/>
      <c r="DV2629" s="240"/>
      <c r="DW2629" s="240"/>
      <c r="DX2629" s="240"/>
      <c r="DY2629" s="240"/>
      <c r="DZ2629" s="240"/>
      <c r="EA2629" s="240"/>
      <c r="EB2629" s="237"/>
      <c r="EC2629" s="241"/>
      <c r="ED2629" s="241"/>
      <c r="EE2629" s="241"/>
      <c r="EG2629" s="241"/>
    </row>
    <row r="2630" spans="1:137" s="121" customFormat="1" x14ac:dyDescent="0.3">
      <c r="A2630" s="124"/>
      <c r="O2630" s="235"/>
      <c r="X2630" s="117"/>
      <c r="Y2630" s="117"/>
      <c r="DT2630" s="240"/>
      <c r="DU2630" s="240"/>
      <c r="DV2630" s="240"/>
      <c r="DW2630" s="240"/>
      <c r="DX2630" s="240"/>
      <c r="DY2630" s="240"/>
      <c r="DZ2630" s="240"/>
      <c r="EA2630" s="240"/>
      <c r="EB2630" s="237"/>
      <c r="EC2630" s="241"/>
      <c r="ED2630" s="241"/>
      <c r="EE2630" s="241"/>
      <c r="EG2630" s="241"/>
    </row>
    <row r="2631" spans="1:137" s="121" customFormat="1" x14ac:dyDescent="0.3">
      <c r="A2631" s="124"/>
      <c r="O2631" s="235"/>
      <c r="X2631" s="117"/>
      <c r="Y2631" s="117"/>
      <c r="DT2631" s="240"/>
      <c r="DU2631" s="240"/>
      <c r="DV2631" s="240"/>
      <c r="DW2631" s="240"/>
      <c r="DX2631" s="240"/>
      <c r="DY2631" s="240"/>
      <c r="DZ2631" s="240"/>
      <c r="EA2631" s="240"/>
      <c r="EB2631" s="237"/>
      <c r="EC2631" s="241"/>
      <c r="ED2631" s="241"/>
      <c r="EE2631" s="241"/>
      <c r="EG2631" s="241"/>
    </row>
    <row r="2632" spans="1:137" s="121" customFormat="1" x14ac:dyDescent="0.3">
      <c r="A2632" s="124"/>
      <c r="O2632" s="235"/>
      <c r="X2632" s="117"/>
      <c r="Y2632" s="117"/>
      <c r="DT2632" s="240"/>
      <c r="DU2632" s="240"/>
      <c r="DV2632" s="240"/>
      <c r="DW2632" s="240"/>
      <c r="DX2632" s="240"/>
      <c r="DY2632" s="240"/>
      <c r="DZ2632" s="240"/>
      <c r="EA2632" s="240"/>
      <c r="EB2632" s="237"/>
      <c r="EC2632" s="241"/>
      <c r="ED2632" s="241"/>
      <c r="EE2632" s="241"/>
      <c r="EG2632" s="241"/>
    </row>
    <row r="2633" spans="1:137" s="121" customFormat="1" x14ac:dyDescent="0.3">
      <c r="A2633" s="124"/>
      <c r="O2633" s="235"/>
      <c r="X2633" s="117"/>
      <c r="Y2633" s="117"/>
      <c r="DT2633" s="240"/>
      <c r="DU2633" s="240"/>
      <c r="DV2633" s="240"/>
      <c r="DW2633" s="240"/>
      <c r="DX2633" s="240"/>
      <c r="DY2633" s="240"/>
      <c r="DZ2633" s="240"/>
      <c r="EA2633" s="240"/>
      <c r="EB2633" s="237"/>
      <c r="EC2633" s="241"/>
      <c r="ED2633" s="241"/>
      <c r="EE2633" s="241"/>
      <c r="EG2633" s="241"/>
    </row>
    <row r="2634" spans="1:137" s="121" customFormat="1" x14ac:dyDescent="0.3">
      <c r="A2634" s="124"/>
      <c r="O2634" s="235"/>
      <c r="X2634" s="117"/>
      <c r="Y2634" s="117"/>
      <c r="DT2634" s="240"/>
      <c r="DU2634" s="240"/>
      <c r="DV2634" s="240"/>
      <c r="DW2634" s="240"/>
      <c r="DX2634" s="240"/>
      <c r="DY2634" s="240"/>
      <c r="DZ2634" s="240"/>
      <c r="EA2634" s="240"/>
      <c r="EB2634" s="237"/>
      <c r="EC2634" s="241"/>
      <c r="ED2634" s="241"/>
      <c r="EE2634" s="241"/>
      <c r="EG2634" s="241"/>
    </row>
    <row r="2635" spans="1:137" s="121" customFormat="1" x14ac:dyDescent="0.3">
      <c r="A2635" s="124"/>
      <c r="O2635" s="235"/>
      <c r="X2635" s="117"/>
      <c r="Y2635" s="117"/>
      <c r="DT2635" s="240"/>
      <c r="DU2635" s="240"/>
      <c r="DV2635" s="240"/>
      <c r="DW2635" s="240"/>
      <c r="DX2635" s="240"/>
      <c r="DY2635" s="240"/>
      <c r="DZ2635" s="240"/>
      <c r="EA2635" s="240"/>
      <c r="EB2635" s="237"/>
      <c r="EC2635" s="241"/>
      <c r="ED2635" s="241"/>
      <c r="EE2635" s="241"/>
      <c r="EG2635" s="241"/>
    </row>
    <row r="2636" spans="1:137" s="121" customFormat="1" x14ac:dyDescent="0.3">
      <c r="A2636" s="124"/>
      <c r="O2636" s="235"/>
      <c r="X2636" s="117"/>
      <c r="Y2636" s="117"/>
      <c r="DT2636" s="240"/>
      <c r="DU2636" s="240"/>
      <c r="DV2636" s="240"/>
      <c r="DW2636" s="240"/>
      <c r="DX2636" s="240"/>
      <c r="DY2636" s="240"/>
      <c r="DZ2636" s="240"/>
      <c r="EA2636" s="240"/>
      <c r="EB2636" s="237"/>
      <c r="EC2636" s="241"/>
      <c r="ED2636" s="241"/>
      <c r="EE2636" s="241"/>
      <c r="EG2636" s="241"/>
    </row>
    <row r="2637" spans="1:137" s="121" customFormat="1" x14ac:dyDescent="0.3">
      <c r="A2637" s="124"/>
      <c r="O2637" s="235"/>
      <c r="X2637" s="117"/>
      <c r="Y2637" s="117"/>
      <c r="DT2637" s="240"/>
      <c r="DU2637" s="240"/>
      <c r="DV2637" s="240"/>
      <c r="DW2637" s="240"/>
      <c r="DX2637" s="240"/>
      <c r="DY2637" s="240"/>
      <c r="DZ2637" s="240"/>
      <c r="EA2637" s="240"/>
      <c r="EB2637" s="237"/>
      <c r="EC2637" s="241"/>
      <c r="ED2637" s="241"/>
      <c r="EE2637" s="241"/>
      <c r="EG2637" s="241"/>
    </row>
    <row r="2638" spans="1:137" s="121" customFormat="1" x14ac:dyDescent="0.3">
      <c r="A2638" s="124"/>
      <c r="O2638" s="235"/>
      <c r="X2638" s="117"/>
      <c r="Y2638" s="117"/>
      <c r="DT2638" s="240"/>
      <c r="DU2638" s="240"/>
      <c r="DV2638" s="240"/>
      <c r="DW2638" s="240"/>
      <c r="DX2638" s="240"/>
      <c r="DY2638" s="240"/>
      <c r="DZ2638" s="240"/>
      <c r="EA2638" s="240"/>
      <c r="EB2638" s="237"/>
      <c r="EC2638" s="241"/>
      <c r="ED2638" s="241"/>
      <c r="EE2638" s="241"/>
      <c r="EG2638" s="241"/>
    </row>
    <row r="2639" spans="1:137" s="121" customFormat="1" x14ac:dyDescent="0.3">
      <c r="A2639" s="124"/>
      <c r="O2639" s="235"/>
      <c r="X2639" s="117"/>
      <c r="Y2639" s="117"/>
      <c r="DT2639" s="240"/>
      <c r="DU2639" s="240"/>
      <c r="DV2639" s="240"/>
      <c r="DW2639" s="240"/>
      <c r="DX2639" s="240"/>
      <c r="DY2639" s="240"/>
      <c r="DZ2639" s="240"/>
      <c r="EA2639" s="240"/>
      <c r="EB2639" s="237"/>
      <c r="EC2639" s="241"/>
      <c r="ED2639" s="241"/>
      <c r="EE2639" s="241"/>
      <c r="EG2639" s="241"/>
    </row>
    <row r="2640" spans="1:137" s="121" customFormat="1" x14ac:dyDescent="0.3">
      <c r="A2640" s="124"/>
      <c r="O2640" s="235"/>
      <c r="X2640" s="117"/>
      <c r="Y2640" s="117"/>
      <c r="DT2640" s="240"/>
      <c r="DU2640" s="240"/>
      <c r="DV2640" s="240"/>
      <c r="DW2640" s="240"/>
      <c r="DX2640" s="240"/>
      <c r="DY2640" s="240"/>
      <c r="DZ2640" s="240"/>
      <c r="EA2640" s="240"/>
      <c r="EB2640" s="237"/>
      <c r="EC2640" s="241"/>
      <c r="ED2640" s="241"/>
      <c r="EE2640" s="241"/>
      <c r="EG2640" s="241"/>
    </row>
    <row r="2641" spans="1:137" s="121" customFormat="1" x14ac:dyDescent="0.3">
      <c r="A2641" s="124"/>
      <c r="O2641" s="235"/>
      <c r="X2641" s="117"/>
      <c r="Y2641" s="117"/>
      <c r="DT2641" s="240"/>
      <c r="DU2641" s="240"/>
      <c r="DV2641" s="240"/>
      <c r="DW2641" s="240"/>
      <c r="DX2641" s="240"/>
      <c r="DY2641" s="240"/>
      <c r="DZ2641" s="240"/>
      <c r="EA2641" s="240"/>
      <c r="EB2641" s="237"/>
      <c r="EC2641" s="241"/>
      <c r="ED2641" s="241"/>
      <c r="EE2641" s="241"/>
      <c r="EG2641" s="241"/>
    </row>
    <row r="2642" spans="1:137" s="121" customFormat="1" x14ac:dyDescent="0.3">
      <c r="A2642" s="124"/>
      <c r="O2642" s="235"/>
      <c r="X2642" s="117"/>
      <c r="Y2642" s="117"/>
      <c r="DT2642" s="240"/>
      <c r="DU2642" s="240"/>
      <c r="DV2642" s="240"/>
      <c r="DW2642" s="240"/>
      <c r="DX2642" s="240"/>
      <c r="DY2642" s="240"/>
      <c r="DZ2642" s="240"/>
      <c r="EA2642" s="240"/>
      <c r="EB2642" s="237"/>
      <c r="EC2642" s="241"/>
      <c r="ED2642" s="241"/>
      <c r="EE2642" s="241"/>
      <c r="EG2642" s="241"/>
    </row>
    <row r="2643" spans="1:137" s="121" customFormat="1" x14ac:dyDescent="0.3">
      <c r="A2643" s="124"/>
      <c r="O2643" s="235"/>
      <c r="X2643" s="117"/>
      <c r="Y2643" s="117"/>
      <c r="DT2643" s="240"/>
      <c r="DU2643" s="240"/>
      <c r="DV2643" s="240"/>
      <c r="DW2643" s="240"/>
      <c r="DX2643" s="240"/>
      <c r="DY2643" s="240"/>
      <c r="DZ2643" s="240"/>
      <c r="EA2643" s="240"/>
      <c r="EB2643" s="237"/>
      <c r="EC2643" s="241"/>
      <c r="ED2643" s="241"/>
      <c r="EE2643" s="241"/>
      <c r="EG2643" s="241"/>
    </row>
    <row r="2644" spans="1:137" s="121" customFormat="1" x14ac:dyDescent="0.3">
      <c r="A2644" s="124"/>
      <c r="O2644" s="235"/>
      <c r="X2644" s="117"/>
      <c r="Y2644" s="117"/>
      <c r="DT2644" s="240"/>
      <c r="DU2644" s="240"/>
      <c r="DV2644" s="240"/>
      <c r="DW2644" s="240"/>
      <c r="DX2644" s="240"/>
      <c r="DY2644" s="240"/>
      <c r="DZ2644" s="240"/>
      <c r="EA2644" s="240"/>
      <c r="EB2644" s="237"/>
      <c r="EC2644" s="241"/>
      <c r="ED2644" s="241"/>
      <c r="EE2644" s="241"/>
      <c r="EG2644" s="241"/>
    </row>
    <row r="2645" spans="1:137" s="121" customFormat="1" x14ac:dyDescent="0.3">
      <c r="A2645" s="124"/>
      <c r="O2645" s="235"/>
      <c r="X2645" s="117"/>
      <c r="Y2645" s="117"/>
      <c r="DT2645" s="240"/>
      <c r="DU2645" s="240"/>
      <c r="DV2645" s="240"/>
      <c r="DW2645" s="240"/>
      <c r="DX2645" s="240"/>
      <c r="DY2645" s="240"/>
      <c r="DZ2645" s="240"/>
      <c r="EA2645" s="240"/>
      <c r="EB2645" s="237"/>
      <c r="EC2645" s="241"/>
      <c r="ED2645" s="241"/>
      <c r="EE2645" s="241"/>
      <c r="EG2645" s="241"/>
    </row>
    <row r="2646" spans="1:137" s="121" customFormat="1" x14ac:dyDescent="0.3">
      <c r="A2646" s="124"/>
      <c r="O2646" s="235"/>
      <c r="X2646" s="117"/>
      <c r="Y2646" s="117"/>
      <c r="DT2646" s="240"/>
      <c r="DU2646" s="240"/>
      <c r="DV2646" s="240"/>
      <c r="DW2646" s="240"/>
      <c r="DX2646" s="240"/>
      <c r="DY2646" s="240"/>
      <c r="DZ2646" s="240"/>
      <c r="EA2646" s="240"/>
      <c r="EB2646" s="237"/>
      <c r="EC2646" s="241"/>
      <c r="ED2646" s="241"/>
      <c r="EE2646" s="241"/>
      <c r="EG2646" s="241"/>
    </row>
    <row r="2647" spans="1:137" s="121" customFormat="1" x14ac:dyDescent="0.3">
      <c r="A2647" s="124"/>
      <c r="O2647" s="235"/>
      <c r="X2647" s="117"/>
      <c r="Y2647" s="117"/>
      <c r="DT2647" s="240"/>
      <c r="DU2647" s="240"/>
      <c r="DV2647" s="240"/>
      <c r="DW2647" s="240"/>
      <c r="DX2647" s="240"/>
      <c r="DY2647" s="240"/>
      <c r="DZ2647" s="240"/>
      <c r="EA2647" s="240"/>
      <c r="EB2647" s="237"/>
      <c r="EC2647" s="241"/>
      <c r="ED2647" s="241"/>
      <c r="EE2647" s="241"/>
      <c r="EG2647" s="241"/>
    </row>
    <row r="2648" spans="1:137" s="121" customFormat="1" x14ac:dyDescent="0.3">
      <c r="A2648" s="124"/>
      <c r="O2648" s="235"/>
      <c r="X2648" s="117"/>
      <c r="Y2648" s="117"/>
      <c r="DT2648" s="240"/>
      <c r="DU2648" s="240"/>
      <c r="DV2648" s="240"/>
      <c r="DW2648" s="240"/>
      <c r="DX2648" s="240"/>
      <c r="DY2648" s="240"/>
      <c r="DZ2648" s="240"/>
      <c r="EA2648" s="240"/>
      <c r="EB2648" s="237"/>
      <c r="EC2648" s="241"/>
      <c r="ED2648" s="241"/>
      <c r="EE2648" s="241"/>
      <c r="EG2648" s="241"/>
    </row>
    <row r="2649" spans="1:137" s="121" customFormat="1" x14ac:dyDescent="0.3">
      <c r="A2649" s="124"/>
      <c r="O2649" s="235"/>
      <c r="X2649" s="117"/>
      <c r="Y2649" s="117"/>
      <c r="DT2649" s="240"/>
      <c r="DU2649" s="240"/>
      <c r="DV2649" s="240"/>
      <c r="DW2649" s="240"/>
      <c r="DX2649" s="240"/>
      <c r="DY2649" s="240"/>
      <c r="DZ2649" s="240"/>
      <c r="EA2649" s="240"/>
      <c r="EB2649" s="237"/>
      <c r="EC2649" s="241"/>
      <c r="ED2649" s="241"/>
      <c r="EE2649" s="241"/>
      <c r="EG2649" s="241"/>
    </row>
    <row r="2650" spans="1:137" s="121" customFormat="1" x14ac:dyDescent="0.3">
      <c r="A2650" s="124"/>
      <c r="O2650" s="235"/>
      <c r="X2650" s="117"/>
      <c r="Y2650" s="117"/>
      <c r="DT2650" s="240"/>
      <c r="DU2650" s="240"/>
      <c r="DV2650" s="240"/>
      <c r="DW2650" s="240"/>
      <c r="DX2650" s="240"/>
      <c r="DY2650" s="240"/>
      <c r="DZ2650" s="240"/>
      <c r="EA2650" s="240"/>
      <c r="EB2650" s="237"/>
      <c r="EC2650" s="241"/>
      <c r="ED2650" s="241"/>
      <c r="EE2650" s="241"/>
      <c r="EG2650" s="241"/>
    </row>
    <row r="2651" spans="1:137" s="121" customFormat="1" x14ac:dyDescent="0.3">
      <c r="A2651" s="124"/>
      <c r="O2651" s="235"/>
      <c r="X2651" s="117"/>
      <c r="Y2651" s="117"/>
      <c r="DT2651" s="240"/>
      <c r="DU2651" s="240"/>
      <c r="DV2651" s="240"/>
      <c r="DW2651" s="240"/>
      <c r="DX2651" s="240"/>
      <c r="DY2651" s="240"/>
      <c r="DZ2651" s="240"/>
      <c r="EA2651" s="240"/>
      <c r="EB2651" s="237"/>
      <c r="EC2651" s="241"/>
      <c r="ED2651" s="241"/>
      <c r="EE2651" s="241"/>
      <c r="EG2651" s="241"/>
    </row>
    <row r="2652" spans="1:137" s="121" customFormat="1" x14ac:dyDescent="0.3">
      <c r="A2652" s="124"/>
      <c r="O2652" s="235"/>
      <c r="X2652" s="117"/>
      <c r="Y2652" s="117"/>
      <c r="DT2652" s="240"/>
      <c r="DU2652" s="240"/>
      <c r="DV2652" s="240"/>
      <c r="DW2652" s="240"/>
      <c r="DX2652" s="240"/>
      <c r="DY2652" s="240"/>
      <c r="DZ2652" s="240"/>
      <c r="EA2652" s="240"/>
      <c r="EB2652" s="237"/>
      <c r="EC2652" s="241"/>
      <c r="ED2652" s="241"/>
      <c r="EE2652" s="241"/>
      <c r="EG2652" s="241"/>
    </row>
    <row r="2653" spans="1:137" s="121" customFormat="1" x14ac:dyDescent="0.3">
      <c r="A2653" s="124"/>
      <c r="O2653" s="235"/>
      <c r="X2653" s="117"/>
      <c r="Y2653" s="117"/>
      <c r="DT2653" s="240"/>
      <c r="DU2653" s="240"/>
      <c r="DV2653" s="240"/>
      <c r="DW2653" s="240"/>
      <c r="DX2653" s="240"/>
      <c r="DY2653" s="240"/>
      <c r="DZ2653" s="240"/>
      <c r="EA2653" s="240"/>
      <c r="EB2653" s="237"/>
      <c r="EC2653" s="241"/>
      <c r="ED2653" s="241"/>
      <c r="EE2653" s="241"/>
      <c r="EG2653" s="241"/>
    </row>
    <row r="2654" spans="1:137" s="121" customFormat="1" x14ac:dyDescent="0.3">
      <c r="A2654" s="124"/>
      <c r="O2654" s="235"/>
      <c r="X2654" s="117"/>
      <c r="Y2654" s="117"/>
      <c r="DT2654" s="240"/>
      <c r="DU2654" s="240"/>
      <c r="DV2654" s="240"/>
      <c r="DW2654" s="240"/>
      <c r="DX2654" s="240"/>
      <c r="DY2654" s="240"/>
      <c r="DZ2654" s="240"/>
      <c r="EA2654" s="240"/>
      <c r="EB2654" s="237"/>
      <c r="EC2654" s="241"/>
      <c r="ED2654" s="241"/>
      <c r="EE2654" s="241"/>
      <c r="EG2654" s="241"/>
    </row>
    <row r="2655" spans="1:137" s="121" customFormat="1" x14ac:dyDescent="0.3">
      <c r="A2655" s="124"/>
      <c r="O2655" s="235"/>
      <c r="X2655" s="117"/>
      <c r="Y2655" s="117"/>
      <c r="DT2655" s="240"/>
      <c r="DU2655" s="240"/>
      <c r="DV2655" s="240"/>
      <c r="DW2655" s="240"/>
      <c r="DX2655" s="240"/>
      <c r="DY2655" s="240"/>
      <c r="DZ2655" s="240"/>
      <c r="EA2655" s="240"/>
      <c r="EB2655" s="237"/>
      <c r="EC2655" s="241"/>
      <c r="ED2655" s="241"/>
      <c r="EE2655" s="241"/>
      <c r="EG2655" s="241"/>
    </row>
    <row r="2656" spans="1:137" s="121" customFormat="1" x14ac:dyDescent="0.3">
      <c r="A2656" s="124"/>
      <c r="O2656" s="235"/>
      <c r="X2656" s="117"/>
      <c r="Y2656" s="117"/>
      <c r="DT2656" s="240"/>
      <c r="DU2656" s="240"/>
      <c r="DV2656" s="240"/>
      <c r="DW2656" s="240"/>
      <c r="DX2656" s="240"/>
      <c r="DY2656" s="240"/>
      <c r="DZ2656" s="240"/>
      <c r="EA2656" s="240"/>
      <c r="EB2656" s="237"/>
      <c r="EC2656" s="241"/>
      <c r="ED2656" s="241"/>
      <c r="EE2656" s="241"/>
      <c r="EG2656" s="241"/>
    </row>
    <row r="2657" spans="1:137" s="121" customFormat="1" x14ac:dyDescent="0.3">
      <c r="A2657" s="124"/>
      <c r="O2657" s="235"/>
      <c r="X2657" s="117"/>
      <c r="Y2657" s="117"/>
      <c r="DT2657" s="240"/>
      <c r="DU2657" s="240"/>
      <c r="DV2657" s="240"/>
      <c r="DW2657" s="240"/>
      <c r="DX2657" s="240"/>
      <c r="DY2657" s="240"/>
      <c r="DZ2657" s="240"/>
      <c r="EA2657" s="240"/>
      <c r="EB2657" s="237"/>
      <c r="EC2657" s="241"/>
      <c r="ED2657" s="241"/>
      <c r="EE2657" s="241"/>
      <c r="EG2657" s="241"/>
    </row>
    <row r="2658" spans="1:137" s="121" customFormat="1" x14ac:dyDescent="0.3">
      <c r="A2658" s="124"/>
      <c r="O2658" s="235"/>
      <c r="X2658" s="117"/>
      <c r="Y2658" s="117"/>
      <c r="DT2658" s="240"/>
      <c r="DU2658" s="240"/>
      <c r="DV2658" s="240"/>
      <c r="DW2658" s="240"/>
      <c r="DX2658" s="240"/>
      <c r="DY2658" s="240"/>
      <c r="DZ2658" s="240"/>
      <c r="EA2658" s="240"/>
      <c r="EB2658" s="237"/>
      <c r="EC2658" s="241"/>
      <c r="ED2658" s="241"/>
      <c r="EE2658" s="241"/>
      <c r="EG2658" s="241"/>
    </row>
    <row r="2659" spans="1:137" s="121" customFormat="1" x14ac:dyDescent="0.3">
      <c r="A2659" s="124"/>
      <c r="O2659" s="235"/>
      <c r="X2659" s="117"/>
      <c r="Y2659" s="117"/>
      <c r="DT2659" s="240"/>
      <c r="DU2659" s="240"/>
      <c r="DV2659" s="240"/>
      <c r="DW2659" s="240"/>
      <c r="DX2659" s="240"/>
      <c r="DY2659" s="240"/>
      <c r="DZ2659" s="240"/>
      <c r="EA2659" s="240"/>
      <c r="EB2659" s="237"/>
      <c r="EC2659" s="241"/>
      <c r="ED2659" s="241"/>
      <c r="EE2659" s="241"/>
      <c r="EG2659" s="241"/>
    </row>
    <row r="2660" spans="1:137" s="121" customFormat="1" x14ac:dyDescent="0.3">
      <c r="A2660" s="124"/>
      <c r="O2660" s="235"/>
      <c r="X2660" s="117"/>
      <c r="Y2660" s="117"/>
      <c r="DT2660" s="240"/>
      <c r="DU2660" s="240"/>
      <c r="DV2660" s="240"/>
      <c r="DW2660" s="240"/>
      <c r="DX2660" s="240"/>
      <c r="DY2660" s="240"/>
      <c r="DZ2660" s="240"/>
      <c r="EA2660" s="240"/>
      <c r="EB2660" s="237"/>
      <c r="EC2660" s="241"/>
      <c r="ED2660" s="241"/>
      <c r="EE2660" s="241"/>
      <c r="EG2660" s="241"/>
    </row>
    <row r="2661" spans="1:137" s="121" customFormat="1" x14ac:dyDescent="0.3">
      <c r="A2661" s="124"/>
      <c r="O2661" s="235"/>
      <c r="X2661" s="117"/>
      <c r="Y2661" s="117"/>
      <c r="DT2661" s="240"/>
      <c r="DU2661" s="240"/>
      <c r="DV2661" s="240"/>
      <c r="DW2661" s="240"/>
      <c r="DX2661" s="240"/>
      <c r="DY2661" s="240"/>
      <c r="DZ2661" s="240"/>
      <c r="EA2661" s="240"/>
      <c r="EB2661" s="237"/>
      <c r="EC2661" s="241"/>
      <c r="ED2661" s="241"/>
      <c r="EE2661" s="241"/>
      <c r="EG2661" s="241"/>
    </row>
    <row r="2662" spans="1:137" s="121" customFormat="1" x14ac:dyDescent="0.3">
      <c r="A2662" s="124"/>
      <c r="O2662" s="235"/>
      <c r="X2662" s="117"/>
      <c r="Y2662" s="117"/>
      <c r="DT2662" s="240"/>
      <c r="DU2662" s="240"/>
      <c r="DV2662" s="240"/>
      <c r="DW2662" s="240"/>
      <c r="DX2662" s="240"/>
      <c r="DY2662" s="240"/>
      <c r="DZ2662" s="240"/>
      <c r="EA2662" s="240"/>
      <c r="EB2662" s="237"/>
      <c r="EC2662" s="241"/>
      <c r="ED2662" s="241"/>
      <c r="EE2662" s="241"/>
      <c r="EG2662" s="241"/>
    </row>
    <row r="2663" spans="1:137" s="121" customFormat="1" x14ac:dyDescent="0.3">
      <c r="A2663" s="124"/>
      <c r="O2663" s="235"/>
      <c r="X2663" s="117"/>
      <c r="Y2663" s="117"/>
      <c r="DT2663" s="240"/>
      <c r="DU2663" s="240"/>
      <c r="DV2663" s="240"/>
      <c r="DW2663" s="240"/>
      <c r="DX2663" s="240"/>
      <c r="DY2663" s="240"/>
      <c r="DZ2663" s="240"/>
      <c r="EA2663" s="240"/>
      <c r="EB2663" s="237"/>
      <c r="EC2663" s="241"/>
      <c r="ED2663" s="241"/>
      <c r="EE2663" s="241"/>
      <c r="EG2663" s="241"/>
    </row>
    <row r="2664" spans="1:137" s="121" customFormat="1" x14ac:dyDescent="0.3">
      <c r="A2664" s="124"/>
      <c r="O2664" s="235"/>
      <c r="X2664" s="117"/>
      <c r="Y2664" s="117"/>
      <c r="DT2664" s="240"/>
      <c r="DU2664" s="240"/>
      <c r="DV2664" s="240"/>
      <c r="DW2664" s="240"/>
      <c r="DX2664" s="240"/>
      <c r="DY2664" s="240"/>
      <c r="DZ2664" s="240"/>
      <c r="EA2664" s="240"/>
      <c r="EB2664" s="237"/>
      <c r="EC2664" s="241"/>
      <c r="ED2664" s="241"/>
      <c r="EE2664" s="241"/>
      <c r="EG2664" s="241"/>
    </row>
    <row r="2665" spans="1:137" s="121" customFormat="1" x14ac:dyDescent="0.3">
      <c r="A2665" s="124"/>
      <c r="O2665" s="235"/>
      <c r="X2665" s="117"/>
      <c r="Y2665" s="117"/>
      <c r="DT2665" s="240"/>
      <c r="DU2665" s="240"/>
      <c r="DV2665" s="240"/>
      <c r="DW2665" s="240"/>
      <c r="DX2665" s="240"/>
      <c r="DY2665" s="240"/>
      <c r="DZ2665" s="240"/>
      <c r="EA2665" s="240"/>
      <c r="EB2665" s="237"/>
      <c r="EC2665" s="241"/>
      <c r="ED2665" s="241"/>
      <c r="EE2665" s="241"/>
      <c r="EG2665" s="241"/>
    </row>
    <row r="2666" spans="1:137" s="121" customFormat="1" x14ac:dyDescent="0.3">
      <c r="A2666" s="124"/>
      <c r="O2666" s="235"/>
      <c r="X2666" s="117"/>
      <c r="Y2666" s="117"/>
      <c r="DT2666" s="240"/>
      <c r="DU2666" s="240"/>
      <c r="DV2666" s="240"/>
      <c r="DW2666" s="240"/>
      <c r="DX2666" s="240"/>
      <c r="DY2666" s="240"/>
      <c r="DZ2666" s="240"/>
      <c r="EA2666" s="240"/>
      <c r="EB2666" s="237"/>
      <c r="EC2666" s="241"/>
      <c r="ED2666" s="241"/>
      <c r="EE2666" s="241"/>
      <c r="EG2666" s="241"/>
    </row>
    <row r="2667" spans="1:137" s="121" customFormat="1" x14ac:dyDescent="0.3">
      <c r="A2667" s="124"/>
      <c r="O2667" s="235"/>
      <c r="X2667" s="117"/>
      <c r="Y2667" s="117"/>
      <c r="DT2667" s="240"/>
      <c r="DU2667" s="240"/>
      <c r="DV2667" s="240"/>
      <c r="DW2667" s="240"/>
      <c r="DX2667" s="240"/>
      <c r="DY2667" s="240"/>
      <c r="DZ2667" s="240"/>
      <c r="EA2667" s="240"/>
      <c r="EB2667" s="237"/>
      <c r="EC2667" s="241"/>
      <c r="ED2667" s="241"/>
      <c r="EE2667" s="241"/>
      <c r="EG2667" s="241"/>
    </row>
    <row r="2668" spans="1:137" s="121" customFormat="1" x14ac:dyDescent="0.3">
      <c r="A2668" s="124"/>
      <c r="O2668" s="235"/>
      <c r="X2668" s="117"/>
      <c r="Y2668" s="117"/>
      <c r="DT2668" s="240"/>
      <c r="DU2668" s="240"/>
      <c r="DV2668" s="240"/>
      <c r="DW2668" s="240"/>
      <c r="DX2668" s="240"/>
      <c r="DY2668" s="240"/>
      <c r="DZ2668" s="240"/>
      <c r="EA2668" s="240"/>
      <c r="EB2668" s="237"/>
      <c r="EC2668" s="241"/>
      <c r="ED2668" s="241"/>
      <c r="EE2668" s="241"/>
      <c r="EG2668" s="241"/>
    </row>
    <row r="2669" spans="1:137" s="121" customFormat="1" x14ac:dyDescent="0.3">
      <c r="A2669" s="124"/>
      <c r="O2669" s="235"/>
      <c r="X2669" s="117"/>
      <c r="Y2669" s="117"/>
      <c r="DT2669" s="240"/>
      <c r="DU2669" s="240"/>
      <c r="DV2669" s="240"/>
      <c r="DW2669" s="240"/>
      <c r="DX2669" s="240"/>
      <c r="DY2669" s="240"/>
      <c r="DZ2669" s="240"/>
      <c r="EA2669" s="240"/>
      <c r="EB2669" s="237"/>
      <c r="EC2669" s="241"/>
      <c r="ED2669" s="241"/>
      <c r="EE2669" s="241"/>
      <c r="EG2669" s="241"/>
    </row>
    <row r="2670" spans="1:137" s="121" customFormat="1" x14ac:dyDescent="0.3">
      <c r="A2670" s="124"/>
      <c r="O2670" s="235"/>
      <c r="X2670" s="117"/>
      <c r="Y2670" s="117"/>
      <c r="DT2670" s="240"/>
      <c r="DU2670" s="240"/>
      <c r="DV2670" s="240"/>
      <c r="DW2670" s="240"/>
      <c r="DX2670" s="240"/>
      <c r="DY2670" s="240"/>
      <c r="DZ2670" s="240"/>
      <c r="EA2670" s="240"/>
      <c r="EB2670" s="237"/>
      <c r="EC2670" s="241"/>
      <c r="ED2670" s="241"/>
      <c r="EE2670" s="241"/>
      <c r="EG2670" s="241"/>
    </row>
    <row r="2671" spans="1:137" s="121" customFormat="1" x14ac:dyDescent="0.3">
      <c r="A2671" s="124"/>
      <c r="O2671" s="235"/>
      <c r="X2671" s="117"/>
      <c r="Y2671" s="117"/>
      <c r="DT2671" s="240"/>
      <c r="DU2671" s="240"/>
      <c r="DV2671" s="240"/>
      <c r="DW2671" s="240"/>
      <c r="DX2671" s="240"/>
      <c r="DY2671" s="240"/>
      <c r="DZ2671" s="240"/>
      <c r="EA2671" s="240"/>
      <c r="EB2671" s="237"/>
      <c r="EC2671" s="241"/>
      <c r="ED2671" s="241"/>
      <c r="EE2671" s="241"/>
      <c r="EG2671" s="241"/>
    </row>
    <row r="2672" spans="1:137" s="121" customFormat="1" x14ac:dyDescent="0.3">
      <c r="A2672" s="124"/>
      <c r="O2672" s="235"/>
      <c r="X2672" s="117"/>
      <c r="Y2672" s="117"/>
      <c r="DT2672" s="240"/>
      <c r="DU2672" s="240"/>
      <c r="DV2672" s="240"/>
      <c r="DW2672" s="240"/>
      <c r="DX2672" s="240"/>
      <c r="DY2672" s="240"/>
      <c r="DZ2672" s="240"/>
      <c r="EA2672" s="240"/>
      <c r="EB2672" s="237"/>
      <c r="EC2672" s="241"/>
      <c r="ED2672" s="241"/>
      <c r="EE2672" s="241"/>
      <c r="EG2672" s="241"/>
    </row>
    <row r="2673" spans="1:137" s="121" customFormat="1" x14ac:dyDescent="0.3">
      <c r="A2673" s="124"/>
      <c r="O2673" s="235"/>
      <c r="X2673" s="117"/>
      <c r="Y2673" s="117"/>
      <c r="DT2673" s="240"/>
      <c r="DU2673" s="240"/>
      <c r="DV2673" s="240"/>
      <c r="DW2673" s="240"/>
      <c r="DX2673" s="240"/>
      <c r="DY2673" s="240"/>
      <c r="DZ2673" s="240"/>
      <c r="EA2673" s="240"/>
      <c r="EB2673" s="237"/>
      <c r="EC2673" s="241"/>
      <c r="ED2673" s="241"/>
      <c r="EE2673" s="241"/>
      <c r="EG2673" s="241"/>
    </row>
    <row r="2674" spans="1:137" s="121" customFormat="1" x14ac:dyDescent="0.3">
      <c r="A2674" s="124"/>
      <c r="O2674" s="235"/>
      <c r="X2674" s="117"/>
      <c r="Y2674" s="117"/>
      <c r="DT2674" s="240"/>
      <c r="DU2674" s="240"/>
      <c r="DV2674" s="240"/>
      <c r="DW2674" s="240"/>
      <c r="DX2674" s="240"/>
      <c r="DY2674" s="240"/>
      <c r="DZ2674" s="240"/>
      <c r="EA2674" s="240"/>
      <c r="EB2674" s="237"/>
      <c r="EC2674" s="241"/>
      <c r="ED2674" s="241"/>
      <c r="EE2674" s="241"/>
      <c r="EG2674" s="241"/>
    </row>
    <row r="2675" spans="1:137" s="121" customFormat="1" x14ac:dyDescent="0.3">
      <c r="A2675" s="124"/>
      <c r="O2675" s="235"/>
      <c r="X2675" s="117"/>
      <c r="Y2675" s="117"/>
      <c r="DT2675" s="240"/>
      <c r="DU2675" s="240"/>
      <c r="DV2675" s="240"/>
      <c r="DW2675" s="240"/>
      <c r="DX2675" s="240"/>
      <c r="DY2675" s="240"/>
      <c r="DZ2675" s="240"/>
      <c r="EA2675" s="240"/>
      <c r="EB2675" s="237"/>
      <c r="EC2675" s="241"/>
      <c r="ED2675" s="241"/>
      <c r="EE2675" s="241"/>
      <c r="EG2675" s="241"/>
    </row>
    <row r="2676" spans="1:137" s="121" customFormat="1" x14ac:dyDescent="0.3">
      <c r="A2676" s="124"/>
      <c r="O2676" s="235"/>
      <c r="X2676" s="117"/>
      <c r="Y2676" s="117"/>
      <c r="DT2676" s="240"/>
      <c r="DU2676" s="240"/>
      <c r="DV2676" s="240"/>
      <c r="DW2676" s="240"/>
      <c r="DX2676" s="240"/>
      <c r="DY2676" s="240"/>
      <c r="DZ2676" s="240"/>
      <c r="EA2676" s="240"/>
      <c r="EB2676" s="237"/>
      <c r="EC2676" s="241"/>
      <c r="ED2676" s="241"/>
      <c r="EE2676" s="241"/>
      <c r="EG2676" s="241"/>
    </row>
    <row r="2677" spans="1:137" s="121" customFormat="1" x14ac:dyDescent="0.3">
      <c r="A2677" s="124"/>
      <c r="O2677" s="235"/>
      <c r="X2677" s="117"/>
      <c r="Y2677" s="117"/>
      <c r="DT2677" s="240"/>
      <c r="DU2677" s="240"/>
      <c r="DV2677" s="240"/>
      <c r="DW2677" s="240"/>
      <c r="DX2677" s="240"/>
      <c r="DY2677" s="240"/>
      <c r="DZ2677" s="240"/>
      <c r="EA2677" s="240"/>
      <c r="EB2677" s="237"/>
      <c r="EC2677" s="241"/>
      <c r="ED2677" s="241"/>
      <c r="EE2677" s="241"/>
      <c r="EG2677" s="241"/>
    </row>
    <row r="2678" spans="1:137" s="121" customFormat="1" x14ac:dyDescent="0.3">
      <c r="A2678" s="124"/>
      <c r="O2678" s="235"/>
      <c r="X2678" s="117"/>
      <c r="Y2678" s="117"/>
      <c r="DT2678" s="240"/>
      <c r="DU2678" s="240"/>
      <c r="DV2678" s="240"/>
      <c r="DW2678" s="240"/>
      <c r="DX2678" s="240"/>
      <c r="DY2678" s="240"/>
      <c r="DZ2678" s="240"/>
      <c r="EA2678" s="240"/>
      <c r="EB2678" s="237"/>
      <c r="EC2678" s="241"/>
      <c r="ED2678" s="241"/>
      <c r="EE2678" s="241"/>
      <c r="EG2678" s="241"/>
    </row>
    <row r="2679" spans="1:137" s="121" customFormat="1" x14ac:dyDescent="0.3">
      <c r="A2679" s="124"/>
      <c r="O2679" s="235"/>
      <c r="X2679" s="117"/>
      <c r="Y2679" s="117"/>
      <c r="DT2679" s="240"/>
      <c r="DU2679" s="240"/>
      <c r="DV2679" s="240"/>
      <c r="DW2679" s="240"/>
      <c r="DX2679" s="240"/>
      <c r="DY2679" s="240"/>
      <c r="DZ2679" s="240"/>
      <c r="EA2679" s="240"/>
      <c r="EB2679" s="237"/>
      <c r="EC2679" s="241"/>
      <c r="ED2679" s="241"/>
      <c r="EE2679" s="241"/>
      <c r="EG2679" s="241"/>
    </row>
    <row r="2680" spans="1:137" s="121" customFormat="1" x14ac:dyDescent="0.3">
      <c r="A2680" s="124"/>
      <c r="O2680" s="235"/>
      <c r="X2680" s="117"/>
      <c r="Y2680" s="117"/>
      <c r="DT2680" s="240"/>
      <c r="DU2680" s="240"/>
      <c r="DV2680" s="240"/>
      <c r="DW2680" s="240"/>
      <c r="DX2680" s="240"/>
      <c r="DY2680" s="240"/>
      <c r="DZ2680" s="240"/>
      <c r="EA2680" s="240"/>
      <c r="EB2680" s="237"/>
      <c r="EC2680" s="241"/>
      <c r="ED2680" s="241"/>
      <c r="EE2680" s="241"/>
      <c r="EG2680" s="241"/>
    </row>
    <row r="2681" spans="1:137" s="121" customFormat="1" x14ac:dyDescent="0.3">
      <c r="A2681" s="124"/>
      <c r="O2681" s="235"/>
      <c r="X2681" s="117"/>
      <c r="Y2681" s="117"/>
      <c r="DT2681" s="240"/>
      <c r="DU2681" s="240"/>
      <c r="DV2681" s="240"/>
      <c r="DW2681" s="240"/>
      <c r="DX2681" s="240"/>
      <c r="DY2681" s="240"/>
      <c r="DZ2681" s="240"/>
      <c r="EA2681" s="240"/>
      <c r="EB2681" s="237"/>
      <c r="EC2681" s="241"/>
      <c r="ED2681" s="241"/>
      <c r="EE2681" s="241"/>
      <c r="EG2681" s="241"/>
    </row>
    <row r="2682" spans="1:137" s="121" customFormat="1" x14ac:dyDescent="0.3">
      <c r="A2682" s="124"/>
      <c r="O2682" s="235"/>
      <c r="X2682" s="117"/>
      <c r="Y2682" s="117"/>
      <c r="DT2682" s="240"/>
      <c r="DU2682" s="240"/>
      <c r="DV2682" s="240"/>
      <c r="DW2682" s="240"/>
      <c r="DX2682" s="240"/>
      <c r="DY2682" s="240"/>
      <c r="DZ2682" s="240"/>
      <c r="EA2682" s="240"/>
      <c r="EB2682" s="237"/>
      <c r="EC2682" s="241"/>
      <c r="ED2682" s="241"/>
      <c r="EE2682" s="241"/>
      <c r="EG2682" s="241"/>
    </row>
    <row r="2683" spans="1:137" s="121" customFormat="1" x14ac:dyDescent="0.3">
      <c r="A2683" s="124"/>
      <c r="O2683" s="235"/>
      <c r="X2683" s="117"/>
      <c r="Y2683" s="117"/>
      <c r="DT2683" s="240"/>
      <c r="DU2683" s="240"/>
      <c r="DV2683" s="240"/>
      <c r="DW2683" s="240"/>
      <c r="DX2683" s="240"/>
      <c r="DY2683" s="240"/>
      <c r="DZ2683" s="240"/>
      <c r="EA2683" s="240"/>
      <c r="EB2683" s="237"/>
      <c r="EC2683" s="241"/>
      <c r="ED2683" s="241"/>
      <c r="EE2683" s="241"/>
      <c r="EG2683" s="241"/>
    </row>
    <row r="2684" spans="1:137" s="121" customFormat="1" x14ac:dyDescent="0.3">
      <c r="A2684" s="124"/>
      <c r="O2684" s="235"/>
      <c r="X2684" s="117"/>
      <c r="Y2684" s="117"/>
      <c r="DT2684" s="240"/>
      <c r="DU2684" s="240"/>
      <c r="DV2684" s="240"/>
      <c r="DW2684" s="240"/>
      <c r="DX2684" s="240"/>
      <c r="DY2684" s="240"/>
      <c r="DZ2684" s="240"/>
      <c r="EA2684" s="240"/>
      <c r="EB2684" s="237"/>
      <c r="EC2684" s="241"/>
      <c r="ED2684" s="241"/>
      <c r="EE2684" s="241"/>
      <c r="EG2684" s="241"/>
    </row>
    <row r="2685" spans="1:137" s="121" customFormat="1" x14ac:dyDescent="0.3">
      <c r="A2685" s="124"/>
      <c r="O2685" s="235"/>
      <c r="X2685" s="117"/>
      <c r="Y2685" s="117"/>
      <c r="DT2685" s="240"/>
      <c r="DU2685" s="240"/>
      <c r="DV2685" s="240"/>
      <c r="DW2685" s="240"/>
      <c r="DX2685" s="240"/>
      <c r="DY2685" s="240"/>
      <c r="DZ2685" s="240"/>
      <c r="EA2685" s="240"/>
      <c r="EB2685" s="237"/>
      <c r="EC2685" s="241"/>
      <c r="ED2685" s="241"/>
      <c r="EE2685" s="241"/>
      <c r="EG2685" s="241"/>
    </row>
    <row r="2686" spans="1:137" s="121" customFormat="1" x14ac:dyDescent="0.3">
      <c r="A2686" s="124"/>
      <c r="O2686" s="235"/>
      <c r="X2686" s="117"/>
      <c r="Y2686" s="117"/>
      <c r="DT2686" s="240"/>
      <c r="DU2686" s="240"/>
      <c r="DV2686" s="240"/>
      <c r="DW2686" s="240"/>
      <c r="DX2686" s="240"/>
      <c r="DY2686" s="240"/>
      <c r="DZ2686" s="240"/>
      <c r="EA2686" s="240"/>
      <c r="EB2686" s="237"/>
      <c r="EC2686" s="241"/>
      <c r="ED2686" s="241"/>
      <c r="EE2686" s="241"/>
      <c r="EG2686" s="241"/>
    </row>
    <row r="2687" spans="1:137" s="121" customFormat="1" x14ac:dyDescent="0.3">
      <c r="A2687" s="124"/>
      <c r="O2687" s="235"/>
      <c r="X2687" s="117"/>
      <c r="Y2687" s="117"/>
      <c r="DT2687" s="240"/>
      <c r="DU2687" s="240"/>
      <c r="DV2687" s="240"/>
      <c r="DW2687" s="240"/>
      <c r="DX2687" s="240"/>
      <c r="DY2687" s="240"/>
      <c r="DZ2687" s="240"/>
      <c r="EA2687" s="240"/>
      <c r="EB2687" s="237"/>
      <c r="EC2687" s="241"/>
      <c r="ED2687" s="241"/>
      <c r="EE2687" s="241"/>
      <c r="EG2687" s="241"/>
    </row>
    <row r="2688" spans="1:137" s="121" customFormat="1" x14ac:dyDescent="0.3">
      <c r="A2688" s="124"/>
      <c r="O2688" s="235"/>
      <c r="X2688" s="117"/>
      <c r="Y2688" s="117"/>
      <c r="DT2688" s="240"/>
      <c r="DU2688" s="240"/>
      <c r="DV2688" s="240"/>
      <c r="DW2688" s="240"/>
      <c r="DX2688" s="240"/>
      <c r="DY2688" s="240"/>
      <c r="DZ2688" s="240"/>
      <c r="EA2688" s="240"/>
      <c r="EB2688" s="237"/>
      <c r="EC2688" s="241"/>
      <c r="ED2688" s="241"/>
      <c r="EE2688" s="241"/>
      <c r="EG2688" s="241"/>
    </row>
    <row r="2689" spans="1:137" s="121" customFormat="1" x14ac:dyDescent="0.3">
      <c r="A2689" s="124"/>
      <c r="O2689" s="235"/>
      <c r="X2689" s="117"/>
      <c r="Y2689" s="117"/>
      <c r="DT2689" s="240"/>
      <c r="DU2689" s="240"/>
      <c r="DV2689" s="240"/>
      <c r="DW2689" s="240"/>
      <c r="DX2689" s="240"/>
      <c r="DY2689" s="240"/>
      <c r="DZ2689" s="240"/>
      <c r="EA2689" s="240"/>
      <c r="EB2689" s="237"/>
      <c r="EC2689" s="241"/>
      <c r="ED2689" s="241"/>
      <c r="EE2689" s="241"/>
      <c r="EG2689" s="241"/>
    </row>
    <row r="2690" spans="1:137" s="121" customFormat="1" x14ac:dyDescent="0.3">
      <c r="A2690" s="124"/>
      <c r="O2690" s="235"/>
      <c r="X2690" s="117"/>
      <c r="Y2690" s="117"/>
      <c r="DT2690" s="240"/>
      <c r="DU2690" s="240"/>
      <c r="DV2690" s="240"/>
      <c r="DW2690" s="240"/>
      <c r="DX2690" s="240"/>
      <c r="DY2690" s="240"/>
      <c r="DZ2690" s="240"/>
      <c r="EA2690" s="240"/>
      <c r="EB2690" s="237"/>
      <c r="EC2690" s="241"/>
      <c r="ED2690" s="241"/>
      <c r="EE2690" s="241"/>
      <c r="EG2690" s="241"/>
    </row>
    <row r="2691" spans="1:137" s="121" customFormat="1" x14ac:dyDescent="0.3">
      <c r="A2691" s="124"/>
      <c r="O2691" s="235"/>
      <c r="X2691" s="117"/>
      <c r="Y2691" s="117"/>
      <c r="DT2691" s="240"/>
      <c r="DU2691" s="240"/>
      <c r="DV2691" s="240"/>
      <c r="DW2691" s="240"/>
      <c r="DX2691" s="240"/>
      <c r="DY2691" s="240"/>
      <c r="DZ2691" s="240"/>
      <c r="EA2691" s="240"/>
      <c r="EB2691" s="237"/>
      <c r="EC2691" s="241"/>
      <c r="ED2691" s="241"/>
      <c r="EE2691" s="241"/>
      <c r="EG2691" s="241"/>
    </row>
    <row r="2692" spans="1:137" s="121" customFormat="1" x14ac:dyDescent="0.3">
      <c r="A2692" s="124"/>
      <c r="O2692" s="235"/>
      <c r="X2692" s="117"/>
      <c r="Y2692" s="117"/>
      <c r="DT2692" s="240"/>
      <c r="DU2692" s="240"/>
      <c r="DV2692" s="240"/>
      <c r="DW2692" s="240"/>
      <c r="DX2692" s="240"/>
      <c r="DY2692" s="240"/>
      <c r="DZ2692" s="240"/>
      <c r="EA2692" s="240"/>
      <c r="EB2692" s="237"/>
      <c r="EC2692" s="241"/>
      <c r="ED2692" s="241"/>
      <c r="EE2692" s="241"/>
      <c r="EG2692" s="241"/>
    </row>
    <row r="2693" spans="1:137" s="121" customFormat="1" x14ac:dyDescent="0.3">
      <c r="A2693" s="124"/>
      <c r="O2693" s="235"/>
      <c r="X2693" s="117"/>
      <c r="Y2693" s="117"/>
      <c r="DT2693" s="240"/>
      <c r="DU2693" s="240"/>
      <c r="DV2693" s="240"/>
      <c r="DW2693" s="240"/>
      <c r="DX2693" s="240"/>
      <c r="DY2693" s="240"/>
      <c r="DZ2693" s="240"/>
      <c r="EA2693" s="240"/>
      <c r="EB2693" s="237"/>
      <c r="EC2693" s="241"/>
      <c r="ED2693" s="241"/>
      <c r="EE2693" s="241"/>
      <c r="EG2693" s="241"/>
    </row>
    <row r="2694" spans="1:137" s="121" customFormat="1" x14ac:dyDescent="0.3">
      <c r="A2694" s="124"/>
      <c r="O2694" s="235"/>
      <c r="X2694" s="117"/>
      <c r="Y2694" s="117"/>
      <c r="DT2694" s="240"/>
      <c r="DU2694" s="240"/>
      <c r="DV2694" s="240"/>
      <c r="DW2694" s="240"/>
      <c r="DX2694" s="240"/>
      <c r="DY2694" s="240"/>
      <c r="DZ2694" s="240"/>
      <c r="EA2694" s="240"/>
      <c r="EB2694" s="237"/>
      <c r="EC2694" s="241"/>
      <c r="ED2694" s="241"/>
      <c r="EE2694" s="241"/>
      <c r="EG2694" s="241"/>
    </row>
    <row r="2695" spans="1:137" s="121" customFormat="1" x14ac:dyDescent="0.3">
      <c r="A2695" s="124"/>
      <c r="O2695" s="235"/>
      <c r="X2695" s="117"/>
      <c r="Y2695" s="117"/>
      <c r="DT2695" s="240"/>
      <c r="DU2695" s="240"/>
      <c r="DV2695" s="240"/>
      <c r="DW2695" s="240"/>
      <c r="DX2695" s="240"/>
      <c r="DY2695" s="240"/>
      <c r="DZ2695" s="240"/>
      <c r="EA2695" s="240"/>
      <c r="EB2695" s="237"/>
      <c r="EC2695" s="241"/>
      <c r="ED2695" s="241"/>
      <c r="EE2695" s="241"/>
      <c r="EG2695" s="241"/>
    </row>
    <row r="2696" spans="1:137" s="121" customFormat="1" x14ac:dyDescent="0.3">
      <c r="A2696" s="124"/>
      <c r="O2696" s="235"/>
      <c r="X2696" s="117"/>
      <c r="Y2696" s="117"/>
      <c r="DT2696" s="240"/>
      <c r="DU2696" s="240"/>
      <c r="DV2696" s="240"/>
      <c r="DW2696" s="240"/>
      <c r="DX2696" s="240"/>
      <c r="DY2696" s="240"/>
      <c r="DZ2696" s="240"/>
      <c r="EA2696" s="240"/>
      <c r="EB2696" s="237"/>
      <c r="EC2696" s="241"/>
      <c r="ED2696" s="241"/>
      <c r="EE2696" s="241"/>
      <c r="EG2696" s="241"/>
    </row>
    <row r="2697" spans="1:137" s="121" customFormat="1" x14ac:dyDescent="0.3">
      <c r="A2697" s="124"/>
      <c r="O2697" s="235"/>
      <c r="X2697" s="117"/>
      <c r="Y2697" s="117"/>
      <c r="DT2697" s="240"/>
      <c r="DU2697" s="240"/>
      <c r="DV2697" s="240"/>
      <c r="DW2697" s="240"/>
      <c r="DX2697" s="240"/>
      <c r="DY2697" s="240"/>
      <c r="DZ2697" s="240"/>
      <c r="EA2697" s="240"/>
      <c r="EB2697" s="237"/>
      <c r="EC2697" s="241"/>
      <c r="ED2697" s="241"/>
      <c r="EE2697" s="241"/>
      <c r="EG2697" s="241"/>
    </row>
    <row r="2698" spans="1:137" s="121" customFormat="1" x14ac:dyDescent="0.3">
      <c r="A2698" s="124"/>
      <c r="O2698" s="235"/>
      <c r="X2698" s="117"/>
      <c r="Y2698" s="117"/>
      <c r="DT2698" s="240"/>
      <c r="DU2698" s="240"/>
      <c r="DV2698" s="240"/>
      <c r="DW2698" s="240"/>
      <c r="DX2698" s="240"/>
      <c r="DY2698" s="240"/>
      <c r="DZ2698" s="240"/>
      <c r="EA2698" s="240"/>
      <c r="EB2698" s="237"/>
      <c r="EC2698" s="241"/>
      <c r="ED2698" s="241"/>
      <c r="EE2698" s="241"/>
      <c r="EG2698" s="241"/>
    </row>
    <row r="2699" spans="1:137" s="121" customFormat="1" x14ac:dyDescent="0.3">
      <c r="A2699" s="124"/>
      <c r="O2699" s="235"/>
      <c r="X2699" s="117"/>
      <c r="Y2699" s="117"/>
      <c r="DT2699" s="240"/>
      <c r="DU2699" s="240"/>
      <c r="DV2699" s="240"/>
      <c r="DW2699" s="240"/>
      <c r="DX2699" s="240"/>
      <c r="DY2699" s="240"/>
      <c r="DZ2699" s="240"/>
      <c r="EA2699" s="240"/>
      <c r="EB2699" s="237"/>
      <c r="EC2699" s="241"/>
      <c r="ED2699" s="241"/>
      <c r="EE2699" s="241"/>
      <c r="EG2699" s="241"/>
    </row>
    <row r="2700" spans="1:137" s="121" customFormat="1" x14ac:dyDescent="0.3">
      <c r="A2700" s="124"/>
      <c r="O2700" s="235"/>
      <c r="X2700" s="117"/>
      <c r="Y2700" s="117"/>
      <c r="DT2700" s="240"/>
      <c r="DU2700" s="240"/>
      <c r="DV2700" s="240"/>
      <c r="DW2700" s="240"/>
      <c r="DX2700" s="240"/>
      <c r="DY2700" s="240"/>
      <c r="DZ2700" s="240"/>
      <c r="EA2700" s="240"/>
      <c r="EB2700" s="237"/>
      <c r="EC2700" s="241"/>
      <c r="ED2700" s="241"/>
      <c r="EE2700" s="241"/>
      <c r="EG2700" s="241"/>
    </row>
    <row r="2701" spans="1:137" s="121" customFormat="1" x14ac:dyDescent="0.3">
      <c r="A2701" s="124"/>
      <c r="O2701" s="235"/>
      <c r="X2701" s="117"/>
      <c r="Y2701" s="117"/>
      <c r="DT2701" s="240"/>
      <c r="DU2701" s="240"/>
      <c r="DV2701" s="240"/>
      <c r="DW2701" s="240"/>
      <c r="DX2701" s="240"/>
      <c r="DY2701" s="240"/>
      <c r="DZ2701" s="240"/>
      <c r="EA2701" s="240"/>
      <c r="EB2701" s="237"/>
      <c r="EC2701" s="241"/>
      <c r="ED2701" s="241"/>
      <c r="EE2701" s="241"/>
      <c r="EG2701" s="241"/>
    </row>
    <row r="2702" spans="1:137" s="121" customFormat="1" x14ac:dyDescent="0.3">
      <c r="A2702" s="124"/>
      <c r="O2702" s="235"/>
      <c r="X2702" s="117"/>
      <c r="Y2702" s="117"/>
      <c r="DT2702" s="240"/>
      <c r="DU2702" s="240"/>
      <c r="DV2702" s="240"/>
      <c r="DW2702" s="240"/>
      <c r="DX2702" s="240"/>
      <c r="DY2702" s="240"/>
      <c r="DZ2702" s="240"/>
      <c r="EA2702" s="240"/>
      <c r="EB2702" s="237"/>
      <c r="EC2702" s="241"/>
      <c r="ED2702" s="241"/>
      <c r="EE2702" s="241"/>
      <c r="EG2702" s="241"/>
    </row>
    <row r="2703" spans="1:137" s="121" customFormat="1" x14ac:dyDescent="0.3">
      <c r="A2703" s="124"/>
      <c r="O2703" s="235"/>
      <c r="X2703" s="117"/>
      <c r="Y2703" s="117"/>
      <c r="DT2703" s="240"/>
      <c r="DU2703" s="240"/>
      <c r="DV2703" s="240"/>
      <c r="DW2703" s="240"/>
      <c r="DX2703" s="240"/>
      <c r="DY2703" s="240"/>
      <c r="DZ2703" s="240"/>
      <c r="EA2703" s="240"/>
      <c r="EB2703" s="237"/>
      <c r="EC2703" s="241"/>
      <c r="ED2703" s="241"/>
      <c r="EE2703" s="241"/>
      <c r="EG2703" s="241"/>
    </row>
    <row r="2704" spans="1:137" s="121" customFormat="1" x14ac:dyDescent="0.3">
      <c r="A2704" s="124"/>
      <c r="O2704" s="235"/>
      <c r="X2704" s="117"/>
      <c r="Y2704" s="117"/>
      <c r="DT2704" s="240"/>
      <c r="DU2704" s="240"/>
      <c r="DV2704" s="240"/>
      <c r="DW2704" s="240"/>
      <c r="DX2704" s="240"/>
      <c r="DY2704" s="240"/>
      <c r="DZ2704" s="240"/>
      <c r="EA2704" s="240"/>
      <c r="EB2704" s="237"/>
      <c r="EC2704" s="241"/>
      <c r="ED2704" s="241"/>
      <c r="EE2704" s="241"/>
      <c r="EG2704" s="241"/>
    </row>
    <row r="2705" spans="1:137" s="121" customFormat="1" x14ac:dyDescent="0.3">
      <c r="A2705" s="124"/>
      <c r="O2705" s="235"/>
      <c r="X2705" s="117"/>
      <c r="Y2705" s="117"/>
      <c r="DT2705" s="240"/>
      <c r="DU2705" s="240"/>
      <c r="DV2705" s="240"/>
      <c r="DW2705" s="240"/>
      <c r="DX2705" s="240"/>
      <c r="DY2705" s="240"/>
      <c r="DZ2705" s="240"/>
      <c r="EA2705" s="240"/>
      <c r="EB2705" s="237"/>
      <c r="EC2705" s="241"/>
      <c r="ED2705" s="241"/>
      <c r="EE2705" s="241"/>
      <c r="EG2705" s="241"/>
    </row>
    <row r="2706" spans="1:137" s="121" customFormat="1" x14ac:dyDescent="0.3">
      <c r="A2706" s="124"/>
      <c r="O2706" s="235"/>
      <c r="X2706" s="117"/>
      <c r="Y2706" s="117"/>
      <c r="DT2706" s="240"/>
      <c r="DU2706" s="240"/>
      <c r="DV2706" s="240"/>
      <c r="DW2706" s="240"/>
      <c r="DX2706" s="240"/>
      <c r="DY2706" s="240"/>
      <c r="DZ2706" s="240"/>
      <c r="EA2706" s="240"/>
      <c r="EB2706" s="237"/>
      <c r="EC2706" s="241"/>
      <c r="ED2706" s="241"/>
      <c r="EE2706" s="241"/>
      <c r="EG2706" s="241"/>
    </row>
    <row r="2707" spans="1:137" s="121" customFormat="1" x14ac:dyDescent="0.3">
      <c r="A2707" s="124"/>
      <c r="O2707" s="235"/>
      <c r="X2707" s="117"/>
      <c r="Y2707" s="117"/>
      <c r="DT2707" s="240"/>
      <c r="DU2707" s="240"/>
      <c r="DV2707" s="240"/>
      <c r="DW2707" s="240"/>
      <c r="DX2707" s="240"/>
      <c r="DY2707" s="240"/>
      <c r="DZ2707" s="240"/>
      <c r="EA2707" s="240"/>
      <c r="EB2707" s="237"/>
      <c r="EC2707" s="241"/>
      <c r="ED2707" s="241"/>
      <c r="EE2707" s="241"/>
      <c r="EG2707" s="241"/>
    </row>
    <row r="2708" spans="1:137" s="121" customFormat="1" x14ac:dyDescent="0.3">
      <c r="A2708" s="124"/>
      <c r="O2708" s="235"/>
      <c r="X2708" s="117"/>
      <c r="Y2708" s="117"/>
      <c r="DT2708" s="240"/>
      <c r="DU2708" s="240"/>
      <c r="DV2708" s="240"/>
      <c r="DW2708" s="240"/>
      <c r="DX2708" s="240"/>
      <c r="DY2708" s="240"/>
      <c r="DZ2708" s="240"/>
      <c r="EA2708" s="240"/>
      <c r="EB2708" s="237"/>
      <c r="EC2708" s="241"/>
      <c r="ED2708" s="241"/>
      <c r="EE2708" s="241"/>
      <c r="EG2708" s="241"/>
    </row>
    <row r="2709" spans="1:137" s="121" customFormat="1" x14ac:dyDescent="0.3">
      <c r="A2709" s="124"/>
      <c r="O2709" s="235"/>
      <c r="X2709" s="117"/>
      <c r="Y2709" s="117"/>
      <c r="DT2709" s="240"/>
      <c r="DU2709" s="240"/>
      <c r="DV2709" s="240"/>
      <c r="DW2709" s="240"/>
      <c r="DX2709" s="240"/>
      <c r="DY2709" s="240"/>
      <c r="DZ2709" s="240"/>
      <c r="EA2709" s="240"/>
      <c r="EB2709" s="237"/>
      <c r="EC2709" s="241"/>
      <c r="ED2709" s="241"/>
      <c r="EE2709" s="241"/>
      <c r="EG2709" s="241"/>
    </row>
    <row r="2710" spans="1:137" s="121" customFormat="1" x14ac:dyDescent="0.3">
      <c r="A2710" s="124"/>
      <c r="O2710" s="235"/>
      <c r="X2710" s="117"/>
      <c r="Y2710" s="117"/>
      <c r="DT2710" s="240"/>
      <c r="DU2710" s="240"/>
      <c r="DV2710" s="240"/>
      <c r="DW2710" s="240"/>
      <c r="DX2710" s="240"/>
      <c r="DY2710" s="240"/>
      <c r="DZ2710" s="240"/>
      <c r="EA2710" s="240"/>
      <c r="EB2710" s="237"/>
      <c r="EC2710" s="241"/>
      <c r="ED2710" s="241"/>
      <c r="EE2710" s="241"/>
      <c r="EG2710" s="241"/>
    </row>
    <row r="2711" spans="1:137" s="121" customFormat="1" x14ac:dyDescent="0.3">
      <c r="A2711" s="124"/>
      <c r="O2711" s="235"/>
      <c r="X2711" s="117"/>
      <c r="Y2711" s="117"/>
      <c r="DT2711" s="240"/>
      <c r="DU2711" s="240"/>
      <c r="DV2711" s="240"/>
      <c r="DW2711" s="240"/>
      <c r="DX2711" s="240"/>
      <c r="DY2711" s="240"/>
      <c r="DZ2711" s="240"/>
      <c r="EA2711" s="240"/>
      <c r="EB2711" s="237"/>
      <c r="EC2711" s="241"/>
      <c r="ED2711" s="241"/>
      <c r="EE2711" s="241"/>
      <c r="EG2711" s="241"/>
    </row>
    <row r="2712" spans="1:137" s="121" customFormat="1" x14ac:dyDescent="0.3">
      <c r="A2712" s="124"/>
      <c r="O2712" s="235"/>
      <c r="X2712" s="117"/>
      <c r="Y2712" s="117"/>
      <c r="DT2712" s="240"/>
      <c r="DU2712" s="240"/>
      <c r="DV2712" s="240"/>
      <c r="DW2712" s="240"/>
      <c r="DX2712" s="240"/>
      <c r="DY2712" s="240"/>
      <c r="DZ2712" s="240"/>
      <c r="EA2712" s="240"/>
      <c r="EB2712" s="237"/>
      <c r="EC2712" s="241"/>
      <c r="ED2712" s="241"/>
      <c r="EE2712" s="241"/>
      <c r="EG2712" s="241"/>
    </row>
    <row r="2713" spans="1:137" s="121" customFormat="1" x14ac:dyDescent="0.3">
      <c r="A2713" s="124"/>
      <c r="O2713" s="235"/>
      <c r="X2713" s="117"/>
      <c r="Y2713" s="117"/>
      <c r="DT2713" s="240"/>
      <c r="DU2713" s="240"/>
      <c r="DV2713" s="240"/>
      <c r="DW2713" s="240"/>
      <c r="DX2713" s="240"/>
      <c r="DY2713" s="240"/>
      <c r="DZ2713" s="240"/>
      <c r="EA2713" s="240"/>
      <c r="EB2713" s="237"/>
      <c r="EC2713" s="241"/>
      <c r="ED2713" s="241"/>
      <c r="EE2713" s="241"/>
      <c r="EG2713" s="241"/>
    </row>
    <row r="2714" spans="1:137" s="121" customFormat="1" x14ac:dyDescent="0.3">
      <c r="A2714" s="124"/>
      <c r="O2714" s="235"/>
      <c r="X2714" s="117"/>
      <c r="Y2714" s="117"/>
      <c r="DT2714" s="240"/>
      <c r="DU2714" s="240"/>
      <c r="DV2714" s="240"/>
      <c r="DW2714" s="240"/>
      <c r="DX2714" s="240"/>
      <c r="DY2714" s="240"/>
      <c r="DZ2714" s="240"/>
      <c r="EA2714" s="240"/>
      <c r="EB2714" s="237"/>
      <c r="EC2714" s="241"/>
      <c r="ED2714" s="241"/>
      <c r="EE2714" s="241"/>
      <c r="EG2714" s="241"/>
    </row>
    <row r="2715" spans="1:137" s="121" customFormat="1" x14ac:dyDescent="0.3">
      <c r="A2715" s="124"/>
      <c r="O2715" s="235"/>
      <c r="X2715" s="117"/>
      <c r="Y2715" s="117"/>
      <c r="DT2715" s="240"/>
      <c r="DU2715" s="240"/>
      <c r="DV2715" s="240"/>
      <c r="DW2715" s="240"/>
      <c r="DX2715" s="240"/>
      <c r="DY2715" s="240"/>
      <c r="DZ2715" s="240"/>
      <c r="EA2715" s="240"/>
      <c r="EB2715" s="237"/>
      <c r="EC2715" s="241"/>
      <c r="ED2715" s="241"/>
      <c r="EE2715" s="241"/>
      <c r="EG2715" s="241"/>
    </row>
    <row r="2716" spans="1:137" s="121" customFormat="1" x14ac:dyDescent="0.3">
      <c r="A2716" s="124"/>
      <c r="O2716" s="235"/>
      <c r="X2716" s="117"/>
      <c r="Y2716" s="117"/>
      <c r="DT2716" s="240"/>
      <c r="DU2716" s="240"/>
      <c r="DV2716" s="240"/>
      <c r="DW2716" s="240"/>
      <c r="DX2716" s="240"/>
      <c r="DY2716" s="240"/>
      <c r="DZ2716" s="240"/>
      <c r="EA2716" s="240"/>
      <c r="EB2716" s="237"/>
      <c r="EC2716" s="241"/>
      <c r="ED2716" s="241"/>
      <c r="EE2716" s="241"/>
      <c r="EG2716" s="241"/>
    </row>
    <row r="2717" spans="1:137" s="121" customFormat="1" x14ac:dyDescent="0.3">
      <c r="A2717" s="124"/>
      <c r="O2717" s="235"/>
      <c r="X2717" s="117"/>
      <c r="Y2717" s="117"/>
      <c r="DT2717" s="240"/>
      <c r="DU2717" s="240"/>
      <c r="DV2717" s="240"/>
      <c r="DW2717" s="240"/>
      <c r="DX2717" s="240"/>
      <c r="DY2717" s="240"/>
      <c r="DZ2717" s="240"/>
      <c r="EA2717" s="240"/>
      <c r="EB2717" s="237"/>
      <c r="EC2717" s="241"/>
      <c r="ED2717" s="241"/>
      <c r="EE2717" s="241"/>
      <c r="EG2717" s="241"/>
    </row>
    <row r="2718" spans="1:137" s="121" customFormat="1" x14ac:dyDescent="0.3">
      <c r="A2718" s="124"/>
      <c r="O2718" s="235"/>
      <c r="X2718" s="117"/>
      <c r="Y2718" s="117"/>
      <c r="DT2718" s="240"/>
      <c r="DU2718" s="240"/>
      <c r="DV2718" s="240"/>
      <c r="DW2718" s="240"/>
      <c r="DX2718" s="240"/>
      <c r="DY2718" s="240"/>
      <c r="DZ2718" s="240"/>
      <c r="EA2718" s="240"/>
      <c r="EB2718" s="237"/>
      <c r="EC2718" s="241"/>
      <c r="ED2718" s="241"/>
      <c r="EE2718" s="241"/>
      <c r="EG2718" s="241"/>
    </row>
    <row r="2719" spans="1:137" s="121" customFormat="1" x14ac:dyDescent="0.3">
      <c r="A2719" s="124"/>
      <c r="O2719" s="235"/>
      <c r="X2719" s="117"/>
      <c r="Y2719" s="117"/>
      <c r="DT2719" s="240"/>
      <c r="DU2719" s="240"/>
      <c r="DV2719" s="240"/>
      <c r="DW2719" s="240"/>
      <c r="DX2719" s="240"/>
      <c r="DY2719" s="240"/>
      <c r="DZ2719" s="240"/>
      <c r="EA2719" s="240"/>
      <c r="EB2719" s="237"/>
      <c r="EC2719" s="241"/>
      <c r="ED2719" s="241"/>
      <c r="EE2719" s="241"/>
      <c r="EG2719" s="241"/>
    </row>
    <row r="2720" spans="1:137" s="121" customFormat="1" x14ac:dyDescent="0.3">
      <c r="A2720" s="124"/>
      <c r="O2720" s="235"/>
      <c r="X2720" s="117"/>
      <c r="Y2720" s="117"/>
      <c r="DT2720" s="240"/>
      <c r="DU2720" s="240"/>
      <c r="DV2720" s="240"/>
      <c r="DW2720" s="240"/>
      <c r="DX2720" s="240"/>
      <c r="DY2720" s="240"/>
      <c r="DZ2720" s="240"/>
      <c r="EA2720" s="240"/>
      <c r="EB2720" s="237"/>
      <c r="EC2720" s="241"/>
      <c r="ED2720" s="241"/>
      <c r="EE2720" s="241"/>
      <c r="EG2720" s="241"/>
    </row>
    <row r="2721" spans="1:137" s="121" customFormat="1" x14ac:dyDescent="0.3">
      <c r="A2721" s="124"/>
      <c r="O2721" s="235"/>
      <c r="X2721" s="117"/>
      <c r="Y2721" s="117"/>
      <c r="DT2721" s="240"/>
      <c r="DU2721" s="240"/>
      <c r="DV2721" s="240"/>
      <c r="DW2721" s="240"/>
      <c r="DX2721" s="240"/>
      <c r="DY2721" s="240"/>
      <c r="DZ2721" s="240"/>
      <c r="EA2721" s="240"/>
      <c r="EB2721" s="237"/>
      <c r="EC2721" s="241"/>
      <c r="ED2721" s="241"/>
      <c r="EE2721" s="241"/>
      <c r="EG2721" s="241"/>
    </row>
    <row r="2722" spans="1:137" s="121" customFormat="1" x14ac:dyDescent="0.3">
      <c r="A2722" s="124"/>
      <c r="O2722" s="235"/>
      <c r="X2722" s="117"/>
      <c r="Y2722" s="117"/>
      <c r="DT2722" s="240"/>
      <c r="DU2722" s="240"/>
      <c r="DV2722" s="240"/>
      <c r="DW2722" s="240"/>
      <c r="DX2722" s="240"/>
      <c r="DY2722" s="240"/>
      <c r="DZ2722" s="240"/>
      <c r="EA2722" s="240"/>
      <c r="EB2722" s="237"/>
      <c r="EC2722" s="241"/>
      <c r="ED2722" s="241"/>
      <c r="EE2722" s="241"/>
      <c r="EG2722" s="241"/>
    </row>
    <row r="2723" spans="1:137" s="121" customFormat="1" x14ac:dyDescent="0.3">
      <c r="A2723" s="124"/>
      <c r="O2723" s="235"/>
      <c r="X2723" s="117"/>
      <c r="Y2723" s="117"/>
      <c r="DT2723" s="240"/>
      <c r="DU2723" s="240"/>
      <c r="DV2723" s="240"/>
      <c r="DW2723" s="240"/>
      <c r="DX2723" s="240"/>
      <c r="DY2723" s="240"/>
      <c r="DZ2723" s="240"/>
      <c r="EA2723" s="240"/>
      <c r="EB2723" s="237"/>
      <c r="EC2723" s="241"/>
      <c r="ED2723" s="241"/>
      <c r="EE2723" s="241"/>
      <c r="EG2723" s="241"/>
    </row>
    <row r="2724" spans="1:137" s="121" customFormat="1" x14ac:dyDescent="0.3">
      <c r="A2724" s="124"/>
      <c r="O2724" s="235"/>
      <c r="X2724" s="117"/>
      <c r="Y2724" s="117"/>
      <c r="DT2724" s="240"/>
      <c r="DU2724" s="240"/>
      <c r="DV2724" s="240"/>
      <c r="DW2724" s="240"/>
      <c r="DX2724" s="240"/>
      <c r="DY2724" s="240"/>
      <c r="DZ2724" s="240"/>
      <c r="EA2724" s="240"/>
      <c r="EB2724" s="237"/>
      <c r="EC2724" s="241"/>
      <c r="ED2724" s="241"/>
      <c r="EE2724" s="241"/>
      <c r="EG2724" s="241"/>
    </row>
    <row r="2725" spans="1:137" s="121" customFormat="1" x14ac:dyDescent="0.3">
      <c r="A2725" s="124"/>
      <c r="O2725" s="235"/>
      <c r="X2725" s="117"/>
      <c r="Y2725" s="117"/>
      <c r="DT2725" s="240"/>
      <c r="DU2725" s="240"/>
      <c r="DV2725" s="240"/>
      <c r="DW2725" s="240"/>
      <c r="DX2725" s="240"/>
      <c r="DY2725" s="240"/>
      <c r="DZ2725" s="240"/>
      <c r="EA2725" s="240"/>
      <c r="EB2725" s="237"/>
      <c r="EC2725" s="241"/>
      <c r="ED2725" s="241"/>
      <c r="EE2725" s="241"/>
      <c r="EG2725" s="241"/>
    </row>
    <row r="2726" spans="1:137" s="121" customFormat="1" x14ac:dyDescent="0.3">
      <c r="A2726" s="124"/>
      <c r="O2726" s="235"/>
      <c r="X2726" s="117"/>
      <c r="Y2726" s="117"/>
      <c r="DT2726" s="240"/>
      <c r="DU2726" s="240"/>
      <c r="DV2726" s="240"/>
      <c r="DW2726" s="240"/>
      <c r="DX2726" s="240"/>
      <c r="DY2726" s="240"/>
      <c r="DZ2726" s="240"/>
      <c r="EA2726" s="240"/>
      <c r="EB2726" s="237"/>
      <c r="EC2726" s="241"/>
      <c r="ED2726" s="241"/>
      <c r="EE2726" s="241"/>
      <c r="EG2726" s="241"/>
    </row>
    <row r="2727" spans="1:137" s="121" customFormat="1" x14ac:dyDescent="0.3">
      <c r="A2727" s="124"/>
      <c r="O2727" s="235"/>
      <c r="X2727" s="117"/>
      <c r="Y2727" s="117"/>
      <c r="DT2727" s="240"/>
      <c r="DU2727" s="240"/>
      <c r="DV2727" s="240"/>
      <c r="DW2727" s="240"/>
      <c r="DX2727" s="240"/>
      <c r="DY2727" s="240"/>
      <c r="DZ2727" s="240"/>
      <c r="EA2727" s="240"/>
      <c r="EB2727" s="237"/>
      <c r="EC2727" s="241"/>
      <c r="ED2727" s="241"/>
      <c r="EE2727" s="241"/>
      <c r="EG2727" s="241"/>
    </row>
    <row r="2728" spans="1:137" s="121" customFormat="1" x14ac:dyDescent="0.3">
      <c r="A2728" s="124"/>
      <c r="O2728" s="235"/>
      <c r="X2728" s="117"/>
      <c r="Y2728" s="117"/>
      <c r="DT2728" s="240"/>
      <c r="DU2728" s="240"/>
      <c r="DV2728" s="240"/>
      <c r="DW2728" s="240"/>
      <c r="DX2728" s="240"/>
      <c r="DY2728" s="240"/>
      <c r="DZ2728" s="240"/>
      <c r="EA2728" s="240"/>
      <c r="EB2728" s="237"/>
      <c r="EC2728" s="241"/>
      <c r="ED2728" s="241"/>
      <c r="EE2728" s="241"/>
      <c r="EG2728" s="241"/>
    </row>
    <row r="2729" spans="1:137" s="121" customFormat="1" x14ac:dyDescent="0.3">
      <c r="A2729" s="124"/>
      <c r="O2729" s="235"/>
      <c r="X2729" s="117"/>
      <c r="Y2729" s="117"/>
      <c r="DT2729" s="240"/>
      <c r="DU2729" s="240"/>
      <c r="DV2729" s="240"/>
      <c r="DW2729" s="240"/>
      <c r="DX2729" s="240"/>
      <c r="DY2729" s="240"/>
      <c r="DZ2729" s="240"/>
      <c r="EA2729" s="240"/>
      <c r="EB2729" s="237"/>
      <c r="EC2729" s="241"/>
      <c r="ED2729" s="241"/>
      <c r="EE2729" s="241"/>
      <c r="EG2729" s="241"/>
    </row>
    <row r="2730" spans="1:137" s="121" customFormat="1" x14ac:dyDescent="0.3">
      <c r="A2730" s="124"/>
      <c r="O2730" s="235"/>
      <c r="X2730" s="117"/>
      <c r="Y2730" s="117"/>
      <c r="DT2730" s="240"/>
      <c r="DU2730" s="240"/>
      <c r="DV2730" s="240"/>
      <c r="DW2730" s="240"/>
      <c r="DX2730" s="240"/>
      <c r="DY2730" s="240"/>
      <c r="DZ2730" s="240"/>
      <c r="EA2730" s="240"/>
      <c r="EB2730" s="237"/>
      <c r="EC2730" s="241"/>
      <c r="ED2730" s="241"/>
      <c r="EE2730" s="241"/>
      <c r="EG2730" s="241"/>
    </row>
    <row r="2731" spans="1:137" s="121" customFormat="1" x14ac:dyDescent="0.3">
      <c r="A2731" s="124"/>
      <c r="O2731" s="235"/>
      <c r="X2731" s="117"/>
      <c r="Y2731" s="117"/>
      <c r="DT2731" s="240"/>
      <c r="DU2731" s="240"/>
      <c r="DV2731" s="240"/>
      <c r="DW2731" s="240"/>
      <c r="DX2731" s="240"/>
      <c r="DY2731" s="240"/>
      <c r="DZ2731" s="240"/>
      <c r="EA2731" s="240"/>
      <c r="EB2731" s="237"/>
      <c r="EC2731" s="241"/>
      <c r="ED2731" s="241"/>
      <c r="EE2731" s="241"/>
      <c r="EG2731" s="241"/>
    </row>
    <row r="2732" spans="1:137" s="121" customFormat="1" x14ac:dyDescent="0.3">
      <c r="A2732" s="124"/>
      <c r="O2732" s="235"/>
      <c r="X2732" s="117"/>
      <c r="Y2732" s="117"/>
      <c r="DT2732" s="240"/>
      <c r="DU2732" s="240"/>
      <c r="DV2732" s="240"/>
      <c r="DW2732" s="240"/>
      <c r="DX2732" s="240"/>
      <c r="DY2732" s="240"/>
      <c r="DZ2732" s="240"/>
      <c r="EA2732" s="240"/>
      <c r="EB2732" s="237"/>
      <c r="EC2732" s="241"/>
      <c r="ED2732" s="241"/>
      <c r="EE2732" s="241"/>
      <c r="EG2732" s="241"/>
    </row>
    <row r="2733" spans="1:137" s="121" customFormat="1" x14ac:dyDescent="0.3">
      <c r="A2733" s="124"/>
      <c r="O2733" s="235"/>
      <c r="X2733" s="117"/>
      <c r="Y2733" s="117"/>
      <c r="DT2733" s="240"/>
      <c r="DU2733" s="240"/>
      <c r="DV2733" s="240"/>
      <c r="DW2733" s="240"/>
      <c r="DX2733" s="240"/>
      <c r="DY2733" s="240"/>
      <c r="DZ2733" s="240"/>
      <c r="EA2733" s="240"/>
      <c r="EB2733" s="237"/>
      <c r="EC2733" s="241"/>
      <c r="ED2733" s="241"/>
      <c r="EE2733" s="241"/>
      <c r="EG2733" s="241"/>
    </row>
    <row r="2734" spans="1:137" s="121" customFormat="1" x14ac:dyDescent="0.3">
      <c r="A2734" s="124"/>
      <c r="O2734" s="235"/>
      <c r="X2734" s="117"/>
      <c r="Y2734" s="117"/>
      <c r="DT2734" s="240"/>
      <c r="DU2734" s="240"/>
      <c r="DV2734" s="240"/>
      <c r="DW2734" s="240"/>
      <c r="DX2734" s="240"/>
      <c r="DY2734" s="240"/>
      <c r="DZ2734" s="240"/>
      <c r="EA2734" s="240"/>
      <c r="EB2734" s="237"/>
      <c r="EC2734" s="241"/>
      <c r="ED2734" s="241"/>
      <c r="EE2734" s="241"/>
      <c r="EG2734" s="241"/>
    </row>
    <row r="2735" spans="1:137" s="121" customFormat="1" x14ac:dyDescent="0.3">
      <c r="A2735" s="124"/>
      <c r="O2735" s="235"/>
      <c r="X2735" s="117"/>
      <c r="Y2735" s="117"/>
      <c r="DT2735" s="240"/>
      <c r="DU2735" s="240"/>
      <c r="DV2735" s="240"/>
      <c r="DW2735" s="240"/>
      <c r="DX2735" s="240"/>
      <c r="DY2735" s="240"/>
      <c r="DZ2735" s="240"/>
      <c r="EA2735" s="240"/>
      <c r="EB2735" s="237"/>
      <c r="EC2735" s="241"/>
      <c r="ED2735" s="241"/>
      <c r="EE2735" s="241"/>
      <c r="EG2735" s="241"/>
    </row>
    <row r="2736" spans="1:137" s="121" customFormat="1" x14ac:dyDescent="0.3">
      <c r="A2736" s="124"/>
      <c r="O2736" s="235"/>
      <c r="X2736" s="117"/>
      <c r="Y2736" s="117"/>
      <c r="DT2736" s="240"/>
      <c r="DU2736" s="240"/>
      <c r="DV2736" s="240"/>
      <c r="DW2736" s="240"/>
      <c r="DX2736" s="240"/>
      <c r="DY2736" s="240"/>
      <c r="DZ2736" s="240"/>
      <c r="EA2736" s="240"/>
      <c r="EB2736" s="237"/>
      <c r="EC2736" s="241"/>
      <c r="ED2736" s="241"/>
      <c r="EE2736" s="241"/>
      <c r="EG2736" s="241"/>
    </row>
    <row r="2737" spans="1:137" s="121" customFormat="1" x14ac:dyDescent="0.3">
      <c r="A2737" s="124"/>
      <c r="O2737" s="235"/>
      <c r="X2737" s="117"/>
      <c r="Y2737" s="117"/>
      <c r="DT2737" s="240"/>
      <c r="DU2737" s="240"/>
      <c r="DV2737" s="240"/>
      <c r="DW2737" s="240"/>
      <c r="DX2737" s="240"/>
      <c r="DY2737" s="240"/>
      <c r="DZ2737" s="240"/>
      <c r="EA2737" s="240"/>
      <c r="EB2737" s="237"/>
      <c r="EC2737" s="241"/>
      <c r="ED2737" s="241"/>
      <c r="EE2737" s="241"/>
      <c r="EG2737" s="241"/>
    </row>
    <row r="2738" spans="1:137" s="121" customFormat="1" x14ac:dyDescent="0.3">
      <c r="A2738" s="124"/>
      <c r="O2738" s="235"/>
      <c r="X2738" s="117"/>
      <c r="Y2738" s="117"/>
      <c r="DT2738" s="240"/>
      <c r="DU2738" s="240"/>
      <c r="DV2738" s="240"/>
      <c r="DW2738" s="240"/>
      <c r="DX2738" s="240"/>
      <c r="DY2738" s="240"/>
      <c r="DZ2738" s="240"/>
      <c r="EA2738" s="240"/>
      <c r="EB2738" s="237"/>
      <c r="EC2738" s="241"/>
      <c r="ED2738" s="241"/>
      <c r="EE2738" s="241"/>
      <c r="EG2738" s="241"/>
    </row>
    <row r="2739" spans="1:137" s="121" customFormat="1" x14ac:dyDescent="0.3">
      <c r="A2739" s="124"/>
      <c r="O2739" s="235"/>
      <c r="X2739" s="117"/>
      <c r="Y2739" s="117"/>
      <c r="DT2739" s="240"/>
      <c r="DU2739" s="240"/>
      <c r="DV2739" s="240"/>
      <c r="DW2739" s="240"/>
      <c r="DX2739" s="240"/>
      <c r="DY2739" s="240"/>
      <c r="DZ2739" s="240"/>
      <c r="EA2739" s="240"/>
      <c r="EB2739" s="237"/>
      <c r="EC2739" s="241"/>
      <c r="ED2739" s="241"/>
      <c r="EE2739" s="241"/>
      <c r="EG2739" s="241"/>
    </row>
    <row r="2740" spans="1:137" s="121" customFormat="1" x14ac:dyDescent="0.3">
      <c r="A2740" s="124"/>
      <c r="O2740" s="235"/>
      <c r="X2740" s="117"/>
      <c r="Y2740" s="117"/>
      <c r="DT2740" s="240"/>
      <c r="DU2740" s="240"/>
      <c r="DV2740" s="240"/>
      <c r="DW2740" s="240"/>
      <c r="DX2740" s="240"/>
      <c r="DY2740" s="240"/>
      <c r="DZ2740" s="240"/>
      <c r="EA2740" s="240"/>
      <c r="EB2740" s="237"/>
      <c r="EC2740" s="241"/>
      <c r="ED2740" s="241"/>
      <c r="EE2740" s="241"/>
      <c r="EG2740" s="241"/>
    </row>
    <row r="2741" spans="1:137" s="121" customFormat="1" x14ac:dyDescent="0.3">
      <c r="A2741" s="124"/>
      <c r="O2741" s="235"/>
      <c r="X2741" s="117"/>
      <c r="Y2741" s="117"/>
      <c r="DT2741" s="240"/>
      <c r="DU2741" s="240"/>
      <c r="DV2741" s="240"/>
      <c r="DW2741" s="240"/>
      <c r="DX2741" s="240"/>
      <c r="DY2741" s="240"/>
      <c r="DZ2741" s="240"/>
      <c r="EA2741" s="240"/>
      <c r="EB2741" s="237"/>
      <c r="EC2741" s="241"/>
      <c r="ED2741" s="241"/>
      <c r="EE2741" s="241"/>
      <c r="EG2741" s="241"/>
    </row>
    <row r="2742" spans="1:137" s="121" customFormat="1" x14ac:dyDescent="0.3">
      <c r="A2742" s="124"/>
      <c r="O2742" s="235"/>
      <c r="X2742" s="117"/>
      <c r="Y2742" s="117"/>
      <c r="DT2742" s="240"/>
      <c r="DU2742" s="240"/>
      <c r="DV2742" s="240"/>
      <c r="DW2742" s="240"/>
      <c r="DX2742" s="240"/>
      <c r="DY2742" s="240"/>
      <c r="DZ2742" s="240"/>
      <c r="EA2742" s="240"/>
      <c r="EB2742" s="237"/>
      <c r="EC2742" s="241"/>
      <c r="ED2742" s="241"/>
      <c r="EE2742" s="241"/>
      <c r="EG2742" s="241"/>
    </row>
    <row r="2743" spans="1:137" s="121" customFormat="1" x14ac:dyDescent="0.3">
      <c r="A2743" s="124"/>
      <c r="O2743" s="235"/>
      <c r="X2743" s="117"/>
      <c r="Y2743" s="117"/>
      <c r="DT2743" s="240"/>
      <c r="DU2743" s="240"/>
      <c r="DV2743" s="240"/>
      <c r="DW2743" s="240"/>
      <c r="DX2743" s="240"/>
      <c r="DY2743" s="240"/>
      <c r="DZ2743" s="240"/>
      <c r="EA2743" s="240"/>
      <c r="EB2743" s="237"/>
      <c r="EC2743" s="241"/>
      <c r="ED2743" s="241"/>
      <c r="EE2743" s="241"/>
      <c r="EG2743" s="241"/>
    </row>
    <row r="2744" spans="1:137" s="121" customFormat="1" x14ac:dyDescent="0.3">
      <c r="A2744" s="124"/>
      <c r="O2744" s="235"/>
      <c r="X2744" s="117"/>
      <c r="Y2744" s="117"/>
      <c r="DT2744" s="240"/>
      <c r="DU2744" s="240"/>
      <c r="DV2744" s="240"/>
      <c r="DW2744" s="240"/>
      <c r="DX2744" s="240"/>
      <c r="DY2744" s="240"/>
      <c r="DZ2744" s="240"/>
      <c r="EA2744" s="240"/>
      <c r="EB2744" s="237"/>
      <c r="EC2744" s="241"/>
      <c r="ED2744" s="241"/>
      <c r="EE2744" s="241"/>
      <c r="EG2744" s="241"/>
    </row>
    <row r="2745" spans="1:137" s="121" customFormat="1" x14ac:dyDescent="0.3">
      <c r="A2745" s="124"/>
      <c r="O2745" s="235"/>
      <c r="X2745" s="117"/>
      <c r="Y2745" s="117"/>
      <c r="DT2745" s="240"/>
      <c r="DU2745" s="240"/>
      <c r="DV2745" s="240"/>
      <c r="DW2745" s="240"/>
      <c r="DX2745" s="240"/>
      <c r="DY2745" s="240"/>
      <c r="DZ2745" s="240"/>
      <c r="EA2745" s="240"/>
      <c r="EB2745" s="237"/>
      <c r="EC2745" s="241"/>
      <c r="ED2745" s="241"/>
      <c r="EE2745" s="241"/>
      <c r="EG2745" s="241"/>
    </row>
    <row r="2746" spans="1:137" s="121" customFormat="1" x14ac:dyDescent="0.3">
      <c r="A2746" s="124"/>
      <c r="O2746" s="235"/>
      <c r="X2746" s="117"/>
      <c r="Y2746" s="117"/>
      <c r="DT2746" s="240"/>
      <c r="DU2746" s="240"/>
      <c r="DV2746" s="240"/>
      <c r="DW2746" s="240"/>
      <c r="DX2746" s="240"/>
      <c r="DY2746" s="240"/>
      <c r="DZ2746" s="240"/>
      <c r="EA2746" s="240"/>
      <c r="EB2746" s="237"/>
      <c r="EC2746" s="241"/>
      <c r="ED2746" s="241"/>
      <c r="EE2746" s="241"/>
      <c r="EG2746" s="241"/>
    </row>
    <row r="2747" spans="1:137" s="121" customFormat="1" x14ac:dyDescent="0.3">
      <c r="A2747" s="124"/>
      <c r="O2747" s="235"/>
      <c r="X2747" s="117"/>
      <c r="Y2747" s="117"/>
      <c r="DT2747" s="240"/>
      <c r="DU2747" s="240"/>
      <c r="DV2747" s="240"/>
      <c r="DW2747" s="240"/>
      <c r="DX2747" s="240"/>
      <c r="DY2747" s="240"/>
      <c r="DZ2747" s="240"/>
      <c r="EA2747" s="240"/>
      <c r="EB2747" s="237"/>
      <c r="EC2747" s="241"/>
      <c r="ED2747" s="241"/>
      <c r="EE2747" s="241"/>
      <c r="EG2747" s="241"/>
    </row>
    <row r="2748" spans="1:137" s="121" customFormat="1" x14ac:dyDescent="0.3">
      <c r="A2748" s="124"/>
      <c r="O2748" s="235"/>
      <c r="X2748" s="117"/>
      <c r="Y2748" s="117"/>
      <c r="DT2748" s="240"/>
      <c r="DU2748" s="240"/>
      <c r="DV2748" s="240"/>
      <c r="DW2748" s="240"/>
      <c r="DX2748" s="240"/>
      <c r="DY2748" s="240"/>
      <c r="DZ2748" s="240"/>
      <c r="EA2748" s="240"/>
      <c r="EB2748" s="237"/>
      <c r="EC2748" s="241"/>
      <c r="ED2748" s="241"/>
      <c r="EE2748" s="241"/>
      <c r="EG2748" s="241"/>
    </row>
    <row r="2749" spans="1:137" s="121" customFormat="1" x14ac:dyDescent="0.3">
      <c r="A2749" s="124"/>
      <c r="O2749" s="235"/>
      <c r="X2749" s="117"/>
      <c r="Y2749" s="117"/>
      <c r="DT2749" s="240"/>
      <c r="DU2749" s="240"/>
      <c r="DV2749" s="240"/>
      <c r="DW2749" s="240"/>
      <c r="DX2749" s="240"/>
      <c r="DY2749" s="240"/>
      <c r="DZ2749" s="240"/>
      <c r="EA2749" s="240"/>
      <c r="EB2749" s="237"/>
      <c r="EC2749" s="241"/>
      <c r="ED2749" s="241"/>
      <c r="EE2749" s="241"/>
      <c r="EG2749" s="241"/>
    </row>
    <row r="2750" spans="1:137" s="121" customFormat="1" x14ac:dyDescent="0.3">
      <c r="A2750" s="124"/>
      <c r="O2750" s="235"/>
      <c r="X2750" s="117"/>
      <c r="Y2750" s="117"/>
      <c r="DT2750" s="240"/>
      <c r="DU2750" s="240"/>
      <c r="DV2750" s="240"/>
      <c r="DW2750" s="240"/>
      <c r="DX2750" s="240"/>
      <c r="DY2750" s="240"/>
      <c r="DZ2750" s="240"/>
      <c r="EA2750" s="240"/>
      <c r="EB2750" s="237"/>
      <c r="EC2750" s="241"/>
      <c r="ED2750" s="241"/>
      <c r="EE2750" s="241"/>
      <c r="EG2750" s="241"/>
    </row>
    <row r="2751" spans="1:137" s="121" customFormat="1" x14ac:dyDescent="0.3">
      <c r="A2751" s="124"/>
      <c r="O2751" s="235"/>
      <c r="X2751" s="117"/>
      <c r="Y2751" s="117"/>
      <c r="DT2751" s="240"/>
      <c r="DU2751" s="240"/>
      <c r="DV2751" s="240"/>
      <c r="DW2751" s="240"/>
      <c r="DX2751" s="240"/>
      <c r="DY2751" s="240"/>
      <c r="DZ2751" s="240"/>
      <c r="EA2751" s="240"/>
      <c r="EB2751" s="237"/>
      <c r="EC2751" s="241"/>
      <c r="ED2751" s="241"/>
      <c r="EE2751" s="241"/>
      <c r="EG2751" s="241"/>
    </row>
    <row r="2752" spans="1:137" s="121" customFormat="1" x14ac:dyDescent="0.3">
      <c r="A2752" s="124"/>
      <c r="O2752" s="235"/>
      <c r="X2752" s="117"/>
      <c r="Y2752" s="117"/>
      <c r="DT2752" s="240"/>
      <c r="DU2752" s="240"/>
      <c r="DV2752" s="240"/>
      <c r="DW2752" s="240"/>
      <c r="DX2752" s="240"/>
      <c r="DY2752" s="240"/>
      <c r="DZ2752" s="240"/>
      <c r="EA2752" s="240"/>
      <c r="EB2752" s="237"/>
      <c r="EC2752" s="241"/>
      <c r="ED2752" s="241"/>
      <c r="EE2752" s="241"/>
      <c r="EG2752" s="241"/>
    </row>
    <row r="2753" spans="1:137" s="121" customFormat="1" x14ac:dyDescent="0.3">
      <c r="A2753" s="124"/>
      <c r="O2753" s="235"/>
      <c r="X2753" s="117"/>
      <c r="Y2753" s="117"/>
      <c r="DT2753" s="240"/>
      <c r="DU2753" s="240"/>
      <c r="DV2753" s="240"/>
      <c r="DW2753" s="240"/>
      <c r="DX2753" s="240"/>
      <c r="DY2753" s="240"/>
      <c r="DZ2753" s="240"/>
      <c r="EA2753" s="240"/>
      <c r="EB2753" s="237"/>
      <c r="EC2753" s="241"/>
      <c r="ED2753" s="241"/>
      <c r="EE2753" s="241"/>
      <c r="EG2753" s="241"/>
    </row>
    <row r="2754" spans="1:137" s="121" customFormat="1" x14ac:dyDescent="0.3">
      <c r="A2754" s="124"/>
      <c r="O2754" s="235"/>
      <c r="X2754" s="117"/>
      <c r="Y2754" s="117"/>
      <c r="DT2754" s="240"/>
      <c r="DU2754" s="240"/>
      <c r="DV2754" s="240"/>
      <c r="DW2754" s="240"/>
      <c r="DX2754" s="240"/>
      <c r="DY2754" s="240"/>
      <c r="DZ2754" s="240"/>
      <c r="EA2754" s="240"/>
      <c r="EB2754" s="237"/>
      <c r="EC2754" s="241"/>
      <c r="ED2754" s="241"/>
      <c r="EE2754" s="241"/>
      <c r="EG2754" s="241"/>
    </row>
    <row r="2755" spans="1:137" s="121" customFormat="1" x14ac:dyDescent="0.3">
      <c r="A2755" s="124"/>
      <c r="O2755" s="235"/>
      <c r="X2755" s="117"/>
      <c r="Y2755" s="117"/>
      <c r="DT2755" s="240"/>
      <c r="DU2755" s="240"/>
      <c r="DV2755" s="240"/>
      <c r="DW2755" s="240"/>
      <c r="DX2755" s="240"/>
      <c r="DY2755" s="240"/>
      <c r="DZ2755" s="240"/>
      <c r="EA2755" s="240"/>
      <c r="EB2755" s="237"/>
      <c r="EC2755" s="241"/>
      <c r="ED2755" s="241"/>
      <c r="EE2755" s="241"/>
      <c r="EG2755" s="241"/>
    </row>
    <row r="2756" spans="1:137" s="121" customFormat="1" x14ac:dyDescent="0.3">
      <c r="A2756" s="124"/>
      <c r="O2756" s="235"/>
      <c r="X2756" s="117"/>
      <c r="Y2756" s="117"/>
      <c r="DT2756" s="240"/>
      <c r="DU2756" s="240"/>
      <c r="DV2756" s="240"/>
      <c r="DW2756" s="240"/>
      <c r="DX2756" s="240"/>
      <c r="DY2756" s="240"/>
      <c r="DZ2756" s="240"/>
      <c r="EA2756" s="240"/>
      <c r="EB2756" s="237"/>
      <c r="EC2756" s="241"/>
      <c r="ED2756" s="241"/>
      <c r="EE2756" s="241"/>
      <c r="EG2756" s="241"/>
    </row>
    <row r="2757" spans="1:137" s="121" customFormat="1" x14ac:dyDescent="0.3">
      <c r="A2757" s="124"/>
      <c r="O2757" s="235"/>
      <c r="X2757" s="117"/>
      <c r="Y2757" s="117"/>
      <c r="DT2757" s="240"/>
      <c r="DU2757" s="240"/>
      <c r="DV2757" s="240"/>
      <c r="DW2757" s="240"/>
      <c r="DX2757" s="240"/>
      <c r="DY2757" s="240"/>
      <c r="DZ2757" s="240"/>
      <c r="EA2757" s="240"/>
      <c r="EB2757" s="237"/>
      <c r="EC2757" s="241"/>
      <c r="ED2757" s="241"/>
      <c r="EE2757" s="241"/>
      <c r="EG2757" s="241"/>
    </row>
    <row r="2758" spans="1:137" s="121" customFormat="1" x14ac:dyDescent="0.3">
      <c r="A2758" s="124"/>
      <c r="O2758" s="235"/>
      <c r="X2758" s="117"/>
      <c r="Y2758" s="117"/>
      <c r="DT2758" s="240"/>
      <c r="DU2758" s="240"/>
      <c r="DV2758" s="240"/>
      <c r="DW2758" s="240"/>
      <c r="DX2758" s="240"/>
      <c r="DY2758" s="240"/>
      <c r="DZ2758" s="240"/>
      <c r="EA2758" s="240"/>
      <c r="EB2758" s="237"/>
      <c r="EC2758" s="241"/>
      <c r="ED2758" s="241"/>
      <c r="EE2758" s="241"/>
      <c r="EG2758" s="241"/>
    </row>
    <row r="2759" spans="1:137" s="121" customFormat="1" x14ac:dyDescent="0.3">
      <c r="A2759" s="124"/>
      <c r="O2759" s="235"/>
      <c r="X2759" s="117"/>
      <c r="Y2759" s="117"/>
      <c r="DT2759" s="240"/>
      <c r="DU2759" s="240"/>
      <c r="DV2759" s="240"/>
      <c r="DW2759" s="240"/>
      <c r="DX2759" s="240"/>
      <c r="DY2759" s="240"/>
      <c r="DZ2759" s="240"/>
      <c r="EA2759" s="240"/>
      <c r="EB2759" s="237"/>
      <c r="EC2759" s="241"/>
      <c r="ED2759" s="241"/>
      <c r="EE2759" s="241"/>
      <c r="EG2759" s="241"/>
    </row>
    <row r="2760" spans="1:137" s="121" customFormat="1" x14ac:dyDescent="0.3">
      <c r="A2760" s="124"/>
      <c r="O2760" s="235"/>
      <c r="X2760" s="117"/>
      <c r="Y2760" s="117"/>
      <c r="DT2760" s="240"/>
      <c r="DU2760" s="240"/>
      <c r="DV2760" s="240"/>
      <c r="DW2760" s="240"/>
      <c r="DX2760" s="240"/>
      <c r="DY2760" s="240"/>
      <c r="DZ2760" s="240"/>
      <c r="EA2760" s="240"/>
      <c r="EB2760" s="237"/>
      <c r="EC2760" s="241"/>
      <c r="ED2760" s="241"/>
      <c r="EE2760" s="241"/>
      <c r="EG2760" s="241"/>
    </row>
    <row r="2761" spans="1:137" s="121" customFormat="1" x14ac:dyDescent="0.3">
      <c r="A2761" s="124"/>
      <c r="O2761" s="235"/>
      <c r="X2761" s="117"/>
      <c r="Y2761" s="117"/>
      <c r="DT2761" s="240"/>
      <c r="DU2761" s="240"/>
      <c r="DV2761" s="240"/>
      <c r="DW2761" s="240"/>
      <c r="DX2761" s="240"/>
      <c r="DY2761" s="240"/>
      <c r="DZ2761" s="240"/>
      <c r="EA2761" s="240"/>
      <c r="EB2761" s="237"/>
      <c r="EC2761" s="241"/>
      <c r="ED2761" s="241"/>
      <c r="EE2761" s="241"/>
      <c r="EG2761" s="241"/>
    </row>
    <row r="2762" spans="1:137" s="121" customFormat="1" x14ac:dyDescent="0.3">
      <c r="A2762" s="124"/>
      <c r="O2762" s="235"/>
      <c r="X2762" s="117"/>
      <c r="Y2762" s="117"/>
      <c r="DT2762" s="240"/>
      <c r="DU2762" s="240"/>
      <c r="DV2762" s="240"/>
      <c r="DW2762" s="240"/>
      <c r="DX2762" s="240"/>
      <c r="DY2762" s="240"/>
      <c r="DZ2762" s="240"/>
      <c r="EA2762" s="240"/>
      <c r="EB2762" s="237"/>
      <c r="EC2762" s="241"/>
      <c r="ED2762" s="241"/>
      <c r="EE2762" s="241"/>
      <c r="EG2762" s="241"/>
    </row>
    <row r="2763" spans="1:137" s="121" customFormat="1" x14ac:dyDescent="0.3">
      <c r="A2763" s="124"/>
      <c r="O2763" s="235"/>
      <c r="X2763" s="117"/>
      <c r="Y2763" s="117"/>
      <c r="DT2763" s="240"/>
      <c r="DU2763" s="240"/>
      <c r="DV2763" s="240"/>
      <c r="DW2763" s="240"/>
      <c r="DX2763" s="240"/>
      <c r="DY2763" s="240"/>
      <c r="DZ2763" s="240"/>
      <c r="EA2763" s="240"/>
      <c r="EB2763" s="237"/>
      <c r="EC2763" s="241"/>
      <c r="ED2763" s="241"/>
      <c r="EE2763" s="241"/>
      <c r="EG2763" s="241"/>
    </row>
    <row r="2764" spans="1:137" s="121" customFormat="1" x14ac:dyDescent="0.3">
      <c r="A2764" s="124"/>
      <c r="O2764" s="235"/>
      <c r="X2764" s="117"/>
      <c r="Y2764" s="117"/>
      <c r="DT2764" s="240"/>
      <c r="DU2764" s="240"/>
      <c r="DV2764" s="240"/>
      <c r="DW2764" s="240"/>
      <c r="DX2764" s="240"/>
      <c r="DY2764" s="240"/>
      <c r="DZ2764" s="240"/>
      <c r="EA2764" s="240"/>
      <c r="EB2764" s="237"/>
      <c r="EC2764" s="241"/>
      <c r="ED2764" s="241"/>
      <c r="EE2764" s="241"/>
      <c r="EG2764" s="241"/>
    </row>
    <row r="2765" spans="1:137" s="121" customFormat="1" x14ac:dyDescent="0.3">
      <c r="A2765" s="124"/>
      <c r="O2765" s="235"/>
      <c r="X2765" s="117"/>
      <c r="Y2765" s="117"/>
      <c r="DT2765" s="240"/>
      <c r="DU2765" s="240"/>
      <c r="DV2765" s="240"/>
      <c r="DW2765" s="240"/>
      <c r="DX2765" s="240"/>
      <c r="DY2765" s="240"/>
      <c r="DZ2765" s="240"/>
      <c r="EA2765" s="240"/>
      <c r="EB2765" s="237"/>
      <c r="EC2765" s="241"/>
      <c r="ED2765" s="241"/>
      <c r="EE2765" s="241"/>
      <c r="EG2765" s="241"/>
    </row>
    <row r="2766" spans="1:137" s="121" customFormat="1" x14ac:dyDescent="0.3">
      <c r="A2766" s="124"/>
      <c r="O2766" s="235"/>
      <c r="X2766" s="117"/>
      <c r="Y2766" s="117"/>
      <c r="DT2766" s="240"/>
      <c r="DU2766" s="240"/>
      <c r="DV2766" s="240"/>
      <c r="DW2766" s="240"/>
      <c r="DX2766" s="240"/>
      <c r="DY2766" s="240"/>
      <c r="DZ2766" s="240"/>
      <c r="EA2766" s="240"/>
      <c r="EB2766" s="237"/>
      <c r="EC2766" s="241"/>
      <c r="ED2766" s="241"/>
      <c r="EE2766" s="241"/>
      <c r="EG2766" s="241"/>
    </row>
    <row r="2767" spans="1:137" s="121" customFormat="1" x14ac:dyDescent="0.3">
      <c r="A2767" s="124"/>
      <c r="O2767" s="235"/>
      <c r="X2767" s="117"/>
      <c r="Y2767" s="117"/>
      <c r="DT2767" s="240"/>
      <c r="DU2767" s="240"/>
      <c r="DV2767" s="240"/>
      <c r="DW2767" s="240"/>
      <c r="DX2767" s="240"/>
      <c r="DY2767" s="240"/>
      <c r="DZ2767" s="240"/>
      <c r="EA2767" s="240"/>
      <c r="EB2767" s="237"/>
      <c r="EC2767" s="241"/>
      <c r="ED2767" s="241"/>
      <c r="EE2767" s="241"/>
      <c r="EG2767" s="241"/>
    </row>
    <row r="2768" spans="1:137" s="121" customFormat="1" x14ac:dyDescent="0.3">
      <c r="A2768" s="124"/>
      <c r="O2768" s="235"/>
      <c r="X2768" s="117"/>
      <c r="Y2768" s="117"/>
      <c r="DT2768" s="240"/>
      <c r="DU2768" s="240"/>
      <c r="DV2768" s="240"/>
      <c r="DW2768" s="240"/>
      <c r="DX2768" s="240"/>
      <c r="DY2768" s="240"/>
      <c r="DZ2768" s="240"/>
      <c r="EA2768" s="240"/>
      <c r="EB2768" s="237"/>
      <c r="EC2768" s="241"/>
      <c r="ED2768" s="241"/>
      <c r="EE2768" s="241"/>
      <c r="EG2768" s="241"/>
    </row>
    <row r="2769" spans="1:137" s="121" customFormat="1" x14ac:dyDescent="0.3">
      <c r="A2769" s="124"/>
      <c r="O2769" s="235"/>
      <c r="X2769" s="117"/>
      <c r="Y2769" s="117"/>
      <c r="DT2769" s="240"/>
      <c r="DU2769" s="240"/>
      <c r="DV2769" s="240"/>
      <c r="DW2769" s="240"/>
      <c r="DX2769" s="240"/>
      <c r="DY2769" s="240"/>
      <c r="DZ2769" s="240"/>
      <c r="EA2769" s="240"/>
      <c r="EB2769" s="237"/>
      <c r="EC2769" s="241"/>
      <c r="ED2769" s="241"/>
      <c r="EE2769" s="241"/>
      <c r="EG2769" s="241"/>
    </row>
    <row r="2770" spans="1:137" s="121" customFormat="1" x14ac:dyDescent="0.3">
      <c r="A2770" s="124"/>
      <c r="O2770" s="235"/>
      <c r="X2770" s="117"/>
      <c r="Y2770" s="117"/>
      <c r="DT2770" s="240"/>
      <c r="DU2770" s="240"/>
      <c r="DV2770" s="240"/>
      <c r="DW2770" s="240"/>
      <c r="DX2770" s="240"/>
      <c r="DY2770" s="240"/>
      <c r="DZ2770" s="240"/>
      <c r="EA2770" s="240"/>
      <c r="EB2770" s="237"/>
      <c r="EC2770" s="241"/>
      <c r="ED2770" s="241"/>
      <c r="EE2770" s="241"/>
      <c r="EG2770" s="241"/>
    </row>
    <row r="2771" spans="1:137" s="121" customFormat="1" x14ac:dyDescent="0.3">
      <c r="A2771" s="124"/>
      <c r="O2771" s="235"/>
      <c r="X2771" s="117"/>
      <c r="Y2771" s="117"/>
      <c r="DT2771" s="240"/>
      <c r="DU2771" s="240"/>
      <c r="DV2771" s="240"/>
      <c r="DW2771" s="240"/>
      <c r="DX2771" s="240"/>
      <c r="DY2771" s="240"/>
      <c r="DZ2771" s="240"/>
      <c r="EA2771" s="240"/>
      <c r="EB2771" s="237"/>
      <c r="EC2771" s="241"/>
      <c r="ED2771" s="241"/>
      <c r="EE2771" s="241"/>
      <c r="EG2771" s="241"/>
    </row>
    <row r="2772" spans="1:137" s="121" customFormat="1" x14ac:dyDescent="0.3">
      <c r="A2772" s="124"/>
      <c r="O2772" s="235"/>
      <c r="X2772" s="117"/>
      <c r="Y2772" s="117"/>
      <c r="DT2772" s="240"/>
      <c r="DU2772" s="240"/>
      <c r="DV2772" s="240"/>
      <c r="DW2772" s="240"/>
      <c r="DX2772" s="240"/>
      <c r="DY2772" s="240"/>
      <c r="DZ2772" s="240"/>
      <c r="EA2772" s="240"/>
      <c r="EB2772" s="237"/>
      <c r="EC2772" s="241"/>
      <c r="ED2772" s="241"/>
      <c r="EE2772" s="241"/>
      <c r="EG2772" s="241"/>
    </row>
    <row r="2773" spans="1:137" s="121" customFormat="1" x14ac:dyDescent="0.3">
      <c r="A2773" s="124"/>
      <c r="O2773" s="235"/>
      <c r="X2773" s="117"/>
      <c r="Y2773" s="117"/>
      <c r="DT2773" s="240"/>
      <c r="DU2773" s="240"/>
      <c r="DV2773" s="240"/>
      <c r="DW2773" s="240"/>
      <c r="DX2773" s="240"/>
      <c r="DY2773" s="240"/>
      <c r="DZ2773" s="240"/>
      <c r="EA2773" s="240"/>
      <c r="EB2773" s="237"/>
      <c r="EC2773" s="241"/>
      <c r="ED2773" s="241"/>
      <c r="EE2773" s="241"/>
      <c r="EG2773" s="241"/>
    </row>
    <row r="2774" spans="1:137" s="121" customFormat="1" x14ac:dyDescent="0.3">
      <c r="A2774" s="124"/>
      <c r="O2774" s="235"/>
      <c r="X2774" s="117"/>
      <c r="Y2774" s="117"/>
      <c r="DT2774" s="240"/>
      <c r="DU2774" s="240"/>
      <c r="DV2774" s="240"/>
      <c r="DW2774" s="240"/>
      <c r="DX2774" s="240"/>
      <c r="DY2774" s="240"/>
      <c r="DZ2774" s="240"/>
      <c r="EA2774" s="240"/>
      <c r="EB2774" s="237"/>
      <c r="EC2774" s="241"/>
      <c r="ED2774" s="241"/>
      <c r="EE2774" s="241"/>
      <c r="EG2774" s="241"/>
    </row>
    <row r="2775" spans="1:137" s="121" customFormat="1" x14ac:dyDescent="0.3">
      <c r="A2775" s="124"/>
      <c r="O2775" s="235"/>
      <c r="X2775" s="117"/>
      <c r="Y2775" s="117"/>
      <c r="DT2775" s="240"/>
      <c r="DU2775" s="240"/>
      <c r="DV2775" s="240"/>
      <c r="DW2775" s="240"/>
      <c r="DX2775" s="240"/>
      <c r="DY2775" s="240"/>
      <c r="DZ2775" s="240"/>
      <c r="EA2775" s="240"/>
      <c r="EB2775" s="237"/>
      <c r="EC2775" s="241"/>
      <c r="ED2775" s="241"/>
      <c r="EE2775" s="241"/>
      <c r="EG2775" s="241"/>
    </row>
    <row r="2776" spans="1:137" s="121" customFormat="1" x14ac:dyDescent="0.3">
      <c r="A2776" s="124"/>
      <c r="O2776" s="235"/>
      <c r="X2776" s="117"/>
      <c r="Y2776" s="117"/>
      <c r="DT2776" s="240"/>
      <c r="DU2776" s="240"/>
      <c r="DV2776" s="240"/>
      <c r="DW2776" s="240"/>
      <c r="DX2776" s="240"/>
      <c r="DY2776" s="240"/>
      <c r="DZ2776" s="240"/>
      <c r="EA2776" s="240"/>
      <c r="EB2776" s="237"/>
      <c r="EC2776" s="241"/>
      <c r="ED2776" s="241"/>
      <c r="EE2776" s="241"/>
      <c r="EG2776" s="241"/>
    </row>
    <row r="2777" spans="1:137" s="121" customFormat="1" x14ac:dyDescent="0.3">
      <c r="A2777" s="124"/>
      <c r="O2777" s="235"/>
      <c r="X2777" s="117"/>
      <c r="Y2777" s="117"/>
      <c r="DT2777" s="240"/>
      <c r="DU2777" s="240"/>
      <c r="DV2777" s="240"/>
      <c r="DW2777" s="240"/>
      <c r="DX2777" s="240"/>
      <c r="DY2777" s="240"/>
      <c r="DZ2777" s="240"/>
      <c r="EA2777" s="240"/>
      <c r="EB2777" s="237"/>
      <c r="EC2777" s="241"/>
      <c r="ED2777" s="241"/>
      <c r="EE2777" s="241"/>
      <c r="EG2777" s="241"/>
    </row>
    <row r="2778" spans="1:137" s="121" customFormat="1" x14ac:dyDescent="0.3">
      <c r="A2778" s="124"/>
      <c r="O2778" s="235"/>
      <c r="X2778" s="117"/>
      <c r="Y2778" s="117"/>
      <c r="DT2778" s="240"/>
      <c r="DU2778" s="240"/>
      <c r="DV2778" s="240"/>
      <c r="DW2778" s="240"/>
      <c r="DX2778" s="240"/>
      <c r="DY2778" s="240"/>
      <c r="DZ2778" s="240"/>
      <c r="EA2778" s="240"/>
      <c r="EB2778" s="237"/>
      <c r="EC2778" s="241"/>
      <c r="ED2778" s="241"/>
      <c r="EE2778" s="241"/>
      <c r="EG2778" s="241"/>
    </row>
    <row r="2779" spans="1:137" s="121" customFormat="1" x14ac:dyDescent="0.3">
      <c r="A2779" s="124"/>
      <c r="O2779" s="235"/>
      <c r="X2779" s="117"/>
      <c r="Y2779" s="117"/>
      <c r="DT2779" s="240"/>
      <c r="DU2779" s="240"/>
      <c r="DV2779" s="240"/>
      <c r="DW2779" s="240"/>
      <c r="DX2779" s="240"/>
      <c r="DY2779" s="240"/>
      <c r="DZ2779" s="240"/>
      <c r="EA2779" s="240"/>
      <c r="EB2779" s="237"/>
      <c r="EC2779" s="241"/>
      <c r="ED2779" s="241"/>
      <c r="EE2779" s="241"/>
      <c r="EG2779" s="241"/>
    </row>
    <row r="2780" spans="1:137" s="121" customFormat="1" x14ac:dyDescent="0.3">
      <c r="A2780" s="124"/>
      <c r="O2780" s="235"/>
      <c r="X2780" s="117"/>
      <c r="Y2780" s="117"/>
      <c r="DT2780" s="240"/>
      <c r="DU2780" s="240"/>
      <c r="DV2780" s="240"/>
      <c r="DW2780" s="240"/>
      <c r="DX2780" s="240"/>
      <c r="DY2780" s="240"/>
      <c r="DZ2780" s="240"/>
      <c r="EA2780" s="240"/>
      <c r="EB2780" s="237"/>
      <c r="EC2780" s="241"/>
      <c r="ED2780" s="241"/>
      <c r="EE2780" s="241"/>
      <c r="EG2780" s="241"/>
    </row>
    <row r="2781" spans="1:137" s="121" customFormat="1" x14ac:dyDescent="0.3">
      <c r="A2781" s="124"/>
      <c r="O2781" s="235"/>
      <c r="X2781" s="117"/>
      <c r="Y2781" s="117"/>
      <c r="DT2781" s="240"/>
      <c r="DU2781" s="240"/>
      <c r="DV2781" s="240"/>
      <c r="DW2781" s="240"/>
      <c r="DX2781" s="240"/>
      <c r="DY2781" s="240"/>
      <c r="DZ2781" s="240"/>
      <c r="EA2781" s="240"/>
      <c r="EB2781" s="237"/>
      <c r="EC2781" s="241"/>
      <c r="ED2781" s="241"/>
      <c r="EE2781" s="241"/>
      <c r="EG2781" s="241"/>
    </row>
    <row r="2782" spans="1:137" s="121" customFormat="1" x14ac:dyDescent="0.3">
      <c r="A2782" s="124"/>
      <c r="O2782" s="235"/>
      <c r="X2782" s="117"/>
      <c r="Y2782" s="117"/>
      <c r="DT2782" s="240"/>
      <c r="DU2782" s="240"/>
      <c r="DV2782" s="240"/>
      <c r="DW2782" s="240"/>
      <c r="DX2782" s="240"/>
      <c r="DY2782" s="240"/>
      <c r="DZ2782" s="240"/>
      <c r="EA2782" s="240"/>
      <c r="EB2782" s="237"/>
      <c r="EC2782" s="241"/>
      <c r="ED2782" s="241"/>
      <c r="EE2782" s="241"/>
      <c r="EG2782" s="241"/>
    </row>
    <row r="2783" spans="1:137" s="121" customFormat="1" x14ac:dyDescent="0.3">
      <c r="A2783" s="124"/>
      <c r="O2783" s="235"/>
      <c r="X2783" s="117"/>
      <c r="Y2783" s="117"/>
      <c r="DT2783" s="240"/>
      <c r="DU2783" s="240"/>
      <c r="DV2783" s="240"/>
      <c r="DW2783" s="240"/>
      <c r="DX2783" s="240"/>
      <c r="DY2783" s="240"/>
      <c r="DZ2783" s="240"/>
      <c r="EA2783" s="240"/>
      <c r="EB2783" s="237"/>
      <c r="EC2783" s="241"/>
      <c r="ED2783" s="241"/>
      <c r="EE2783" s="241"/>
      <c r="EG2783" s="241"/>
    </row>
    <row r="2784" spans="1:137" s="121" customFormat="1" x14ac:dyDescent="0.3">
      <c r="A2784" s="124"/>
      <c r="O2784" s="235"/>
      <c r="X2784" s="117"/>
      <c r="Y2784" s="117"/>
      <c r="DT2784" s="240"/>
      <c r="DU2784" s="240"/>
      <c r="DV2784" s="240"/>
      <c r="DW2784" s="240"/>
      <c r="DX2784" s="240"/>
      <c r="DY2784" s="240"/>
      <c r="DZ2784" s="240"/>
      <c r="EA2784" s="240"/>
      <c r="EB2784" s="237"/>
      <c r="EC2784" s="241"/>
      <c r="ED2784" s="241"/>
      <c r="EE2784" s="241"/>
      <c r="EG2784" s="241"/>
    </row>
    <row r="2785" spans="1:137" s="121" customFormat="1" x14ac:dyDescent="0.3">
      <c r="A2785" s="124"/>
      <c r="O2785" s="235"/>
      <c r="X2785" s="117"/>
      <c r="Y2785" s="117"/>
      <c r="DT2785" s="240"/>
      <c r="DU2785" s="240"/>
      <c r="DV2785" s="240"/>
      <c r="DW2785" s="240"/>
      <c r="DX2785" s="240"/>
      <c r="DY2785" s="240"/>
      <c r="DZ2785" s="240"/>
      <c r="EA2785" s="240"/>
      <c r="EB2785" s="237"/>
      <c r="EC2785" s="241"/>
      <c r="ED2785" s="241"/>
      <c r="EE2785" s="241"/>
      <c r="EG2785" s="241"/>
    </row>
    <row r="2786" spans="1:137" s="121" customFormat="1" x14ac:dyDescent="0.3">
      <c r="A2786" s="124"/>
      <c r="O2786" s="235"/>
      <c r="X2786" s="117"/>
      <c r="Y2786" s="117"/>
      <c r="DT2786" s="240"/>
      <c r="DU2786" s="240"/>
      <c r="DV2786" s="240"/>
      <c r="DW2786" s="240"/>
      <c r="DX2786" s="240"/>
      <c r="DY2786" s="240"/>
      <c r="DZ2786" s="240"/>
      <c r="EA2786" s="240"/>
      <c r="EB2786" s="237"/>
      <c r="EC2786" s="241"/>
      <c r="ED2786" s="241"/>
      <c r="EE2786" s="241"/>
      <c r="EG2786" s="241"/>
    </row>
    <row r="2787" spans="1:137" s="121" customFormat="1" x14ac:dyDescent="0.3">
      <c r="A2787" s="124"/>
      <c r="O2787" s="235"/>
      <c r="X2787" s="117"/>
      <c r="Y2787" s="117"/>
      <c r="DT2787" s="240"/>
      <c r="DU2787" s="240"/>
      <c r="DV2787" s="240"/>
      <c r="DW2787" s="240"/>
      <c r="DX2787" s="240"/>
      <c r="DY2787" s="240"/>
      <c r="DZ2787" s="240"/>
      <c r="EA2787" s="240"/>
      <c r="EB2787" s="237"/>
      <c r="EC2787" s="241"/>
      <c r="ED2787" s="241"/>
      <c r="EE2787" s="241"/>
      <c r="EG2787" s="241"/>
    </row>
    <row r="2788" spans="1:137" s="121" customFormat="1" x14ac:dyDescent="0.3">
      <c r="A2788" s="124"/>
      <c r="O2788" s="235"/>
      <c r="X2788" s="117"/>
      <c r="Y2788" s="117"/>
      <c r="DT2788" s="240"/>
      <c r="DU2788" s="240"/>
      <c r="DV2788" s="240"/>
      <c r="DW2788" s="240"/>
      <c r="DX2788" s="240"/>
      <c r="DY2788" s="240"/>
      <c r="DZ2788" s="240"/>
      <c r="EA2788" s="240"/>
      <c r="EB2788" s="237"/>
      <c r="EC2788" s="241"/>
      <c r="ED2788" s="241"/>
      <c r="EE2788" s="241"/>
      <c r="EG2788" s="241"/>
    </row>
    <row r="2789" spans="1:137" s="121" customFormat="1" x14ac:dyDescent="0.3">
      <c r="A2789" s="124"/>
      <c r="O2789" s="235"/>
      <c r="X2789" s="117"/>
      <c r="Y2789" s="117"/>
      <c r="DT2789" s="240"/>
      <c r="DU2789" s="240"/>
      <c r="DV2789" s="240"/>
      <c r="DW2789" s="240"/>
      <c r="DX2789" s="240"/>
      <c r="DY2789" s="240"/>
      <c r="DZ2789" s="240"/>
      <c r="EA2789" s="240"/>
      <c r="EB2789" s="237"/>
      <c r="EC2789" s="241"/>
      <c r="ED2789" s="241"/>
      <c r="EE2789" s="241"/>
      <c r="EG2789" s="241"/>
    </row>
    <row r="2790" spans="1:137" s="121" customFormat="1" x14ac:dyDescent="0.3">
      <c r="A2790" s="124"/>
      <c r="O2790" s="235"/>
      <c r="X2790" s="117"/>
      <c r="Y2790" s="117"/>
      <c r="DT2790" s="240"/>
      <c r="DU2790" s="240"/>
      <c r="DV2790" s="240"/>
      <c r="DW2790" s="240"/>
      <c r="DX2790" s="240"/>
      <c r="DY2790" s="240"/>
      <c r="DZ2790" s="240"/>
      <c r="EA2790" s="240"/>
      <c r="EB2790" s="237"/>
      <c r="EC2790" s="241"/>
      <c r="ED2790" s="241"/>
      <c r="EE2790" s="241"/>
      <c r="EG2790" s="241"/>
    </row>
    <row r="2791" spans="1:137" s="121" customFormat="1" x14ac:dyDescent="0.3">
      <c r="A2791" s="124"/>
      <c r="O2791" s="235"/>
      <c r="X2791" s="117"/>
      <c r="Y2791" s="117"/>
      <c r="DT2791" s="240"/>
      <c r="DU2791" s="240"/>
      <c r="DV2791" s="240"/>
      <c r="DW2791" s="240"/>
      <c r="DX2791" s="240"/>
      <c r="DY2791" s="240"/>
      <c r="DZ2791" s="240"/>
      <c r="EA2791" s="240"/>
      <c r="EB2791" s="237"/>
      <c r="EC2791" s="241"/>
      <c r="ED2791" s="241"/>
      <c r="EE2791" s="241"/>
      <c r="EG2791" s="241"/>
    </row>
    <row r="2792" spans="1:137" s="121" customFormat="1" x14ac:dyDescent="0.3">
      <c r="A2792" s="124"/>
      <c r="O2792" s="235"/>
      <c r="X2792" s="117"/>
      <c r="Y2792" s="117"/>
      <c r="DT2792" s="240"/>
      <c r="DU2792" s="240"/>
      <c r="DV2792" s="240"/>
      <c r="DW2792" s="240"/>
      <c r="DX2792" s="240"/>
      <c r="DY2792" s="240"/>
      <c r="DZ2792" s="240"/>
      <c r="EA2792" s="240"/>
      <c r="EB2792" s="237"/>
      <c r="EC2792" s="241"/>
      <c r="ED2792" s="241"/>
      <c r="EE2792" s="241"/>
      <c r="EG2792" s="241"/>
    </row>
    <row r="2793" spans="1:137" s="121" customFormat="1" x14ac:dyDescent="0.3">
      <c r="A2793" s="124"/>
      <c r="O2793" s="235"/>
      <c r="X2793" s="117"/>
      <c r="Y2793" s="117"/>
      <c r="DT2793" s="240"/>
      <c r="DU2793" s="240"/>
      <c r="DV2793" s="240"/>
      <c r="DW2793" s="240"/>
      <c r="DX2793" s="240"/>
      <c r="DY2793" s="240"/>
      <c r="DZ2793" s="240"/>
      <c r="EA2793" s="240"/>
      <c r="EB2793" s="237"/>
      <c r="EC2793" s="241"/>
      <c r="ED2793" s="241"/>
      <c r="EE2793" s="241"/>
      <c r="EG2793" s="241"/>
    </row>
    <row r="2794" spans="1:137" s="121" customFormat="1" x14ac:dyDescent="0.3">
      <c r="A2794" s="124"/>
      <c r="O2794" s="235"/>
      <c r="X2794" s="117"/>
      <c r="Y2794" s="117"/>
      <c r="DT2794" s="240"/>
      <c r="DU2794" s="240"/>
      <c r="DV2794" s="240"/>
      <c r="DW2794" s="240"/>
      <c r="DX2794" s="240"/>
      <c r="DY2794" s="240"/>
      <c r="DZ2794" s="240"/>
      <c r="EA2794" s="240"/>
      <c r="EB2794" s="237"/>
      <c r="EC2794" s="241"/>
      <c r="ED2794" s="241"/>
      <c r="EE2794" s="241"/>
      <c r="EG2794" s="241"/>
    </row>
    <row r="2795" spans="1:137" s="121" customFormat="1" x14ac:dyDescent="0.3">
      <c r="A2795" s="124"/>
      <c r="O2795" s="235"/>
      <c r="X2795" s="117"/>
      <c r="Y2795" s="117"/>
      <c r="DT2795" s="240"/>
      <c r="DU2795" s="240"/>
      <c r="DV2795" s="240"/>
      <c r="DW2795" s="240"/>
      <c r="DX2795" s="240"/>
      <c r="DY2795" s="240"/>
      <c r="DZ2795" s="240"/>
      <c r="EA2795" s="240"/>
      <c r="EB2795" s="237"/>
      <c r="EC2795" s="241"/>
      <c r="ED2795" s="241"/>
      <c r="EE2795" s="241"/>
      <c r="EG2795" s="241"/>
    </row>
    <row r="2796" spans="1:137" s="121" customFormat="1" x14ac:dyDescent="0.3">
      <c r="A2796" s="124"/>
      <c r="O2796" s="235"/>
      <c r="X2796" s="117"/>
      <c r="Y2796" s="117"/>
      <c r="DT2796" s="240"/>
      <c r="DU2796" s="240"/>
      <c r="DV2796" s="240"/>
      <c r="DW2796" s="240"/>
      <c r="DX2796" s="240"/>
      <c r="DY2796" s="240"/>
      <c r="DZ2796" s="240"/>
      <c r="EA2796" s="240"/>
      <c r="EB2796" s="237"/>
      <c r="EC2796" s="241"/>
      <c r="ED2796" s="241"/>
      <c r="EE2796" s="241"/>
      <c r="EG2796" s="241"/>
    </row>
    <row r="2797" spans="1:137" s="121" customFormat="1" x14ac:dyDescent="0.3">
      <c r="A2797" s="124"/>
      <c r="O2797" s="235"/>
      <c r="X2797" s="117"/>
      <c r="Y2797" s="117"/>
      <c r="DT2797" s="240"/>
      <c r="DU2797" s="240"/>
      <c r="DV2797" s="240"/>
      <c r="DW2797" s="240"/>
      <c r="DX2797" s="240"/>
      <c r="DY2797" s="240"/>
      <c r="DZ2797" s="240"/>
      <c r="EA2797" s="240"/>
      <c r="EB2797" s="237"/>
      <c r="EC2797" s="241"/>
      <c r="ED2797" s="241"/>
      <c r="EE2797" s="241"/>
      <c r="EG2797" s="241"/>
    </row>
    <row r="2798" spans="1:137" s="121" customFormat="1" x14ac:dyDescent="0.3">
      <c r="A2798" s="124"/>
      <c r="O2798" s="235"/>
      <c r="X2798" s="117"/>
      <c r="Y2798" s="117"/>
      <c r="DT2798" s="240"/>
      <c r="DU2798" s="240"/>
      <c r="DV2798" s="240"/>
      <c r="DW2798" s="240"/>
      <c r="DX2798" s="240"/>
      <c r="DY2798" s="240"/>
      <c r="DZ2798" s="240"/>
      <c r="EA2798" s="240"/>
      <c r="EB2798" s="237"/>
      <c r="EC2798" s="241"/>
      <c r="ED2798" s="241"/>
      <c r="EE2798" s="241"/>
      <c r="EG2798" s="241"/>
    </row>
    <row r="2799" spans="1:137" s="121" customFormat="1" x14ac:dyDescent="0.3">
      <c r="A2799" s="124"/>
      <c r="O2799" s="235"/>
      <c r="X2799" s="117"/>
      <c r="Y2799" s="117"/>
      <c r="DT2799" s="240"/>
      <c r="DU2799" s="240"/>
      <c r="DV2799" s="240"/>
      <c r="DW2799" s="240"/>
      <c r="DX2799" s="240"/>
      <c r="DY2799" s="240"/>
      <c r="DZ2799" s="240"/>
      <c r="EA2799" s="240"/>
      <c r="EB2799" s="237"/>
      <c r="EC2799" s="241"/>
      <c r="ED2799" s="241"/>
      <c r="EE2799" s="241"/>
      <c r="EG2799" s="241"/>
    </row>
    <row r="2800" spans="1:137" s="121" customFormat="1" x14ac:dyDescent="0.3">
      <c r="A2800" s="124"/>
      <c r="O2800" s="235"/>
      <c r="X2800" s="117"/>
      <c r="Y2800" s="117"/>
      <c r="DT2800" s="240"/>
      <c r="DU2800" s="240"/>
      <c r="DV2800" s="240"/>
      <c r="DW2800" s="240"/>
      <c r="DX2800" s="240"/>
      <c r="DY2800" s="240"/>
      <c r="DZ2800" s="240"/>
      <c r="EA2800" s="240"/>
      <c r="EB2800" s="237"/>
      <c r="EC2800" s="241"/>
      <c r="ED2800" s="241"/>
      <c r="EE2800" s="241"/>
      <c r="EG2800" s="241"/>
    </row>
    <row r="2801" spans="1:137" s="121" customFormat="1" x14ac:dyDescent="0.3">
      <c r="A2801" s="124"/>
      <c r="O2801" s="235"/>
      <c r="X2801" s="117"/>
      <c r="Y2801" s="117"/>
      <c r="DT2801" s="240"/>
      <c r="DU2801" s="240"/>
      <c r="DV2801" s="240"/>
      <c r="DW2801" s="240"/>
      <c r="DX2801" s="240"/>
      <c r="DY2801" s="240"/>
      <c r="DZ2801" s="240"/>
      <c r="EA2801" s="240"/>
      <c r="EB2801" s="237"/>
      <c r="EC2801" s="241"/>
      <c r="ED2801" s="241"/>
      <c r="EE2801" s="241"/>
      <c r="EG2801" s="241"/>
    </row>
    <row r="2802" spans="1:137" s="121" customFormat="1" x14ac:dyDescent="0.3">
      <c r="A2802" s="124"/>
      <c r="O2802" s="235"/>
      <c r="X2802" s="117"/>
      <c r="Y2802" s="117"/>
      <c r="DT2802" s="240"/>
      <c r="DU2802" s="240"/>
      <c r="DV2802" s="240"/>
      <c r="DW2802" s="240"/>
      <c r="DX2802" s="240"/>
      <c r="DY2802" s="240"/>
      <c r="DZ2802" s="240"/>
      <c r="EA2802" s="240"/>
      <c r="EB2802" s="237"/>
      <c r="EC2802" s="241"/>
      <c r="ED2802" s="241"/>
      <c r="EE2802" s="241"/>
      <c r="EG2802" s="241"/>
    </row>
    <row r="2803" spans="1:137" s="121" customFormat="1" x14ac:dyDescent="0.3">
      <c r="A2803" s="124"/>
      <c r="O2803" s="235"/>
      <c r="X2803" s="117"/>
      <c r="Y2803" s="117"/>
      <c r="DT2803" s="240"/>
      <c r="DU2803" s="240"/>
      <c r="DV2803" s="240"/>
      <c r="DW2803" s="240"/>
      <c r="DX2803" s="240"/>
      <c r="DY2803" s="240"/>
      <c r="DZ2803" s="240"/>
      <c r="EA2803" s="240"/>
      <c r="EB2803" s="237"/>
      <c r="EC2803" s="241"/>
      <c r="ED2803" s="241"/>
      <c r="EE2803" s="241"/>
      <c r="EG2803" s="241"/>
    </row>
    <row r="2804" spans="1:137" s="121" customFormat="1" x14ac:dyDescent="0.3">
      <c r="A2804" s="124"/>
      <c r="O2804" s="235"/>
      <c r="X2804" s="117"/>
      <c r="Y2804" s="117"/>
      <c r="DT2804" s="240"/>
      <c r="DU2804" s="240"/>
      <c r="DV2804" s="240"/>
      <c r="DW2804" s="240"/>
      <c r="DX2804" s="240"/>
      <c r="DY2804" s="240"/>
      <c r="DZ2804" s="240"/>
      <c r="EA2804" s="240"/>
      <c r="EB2804" s="237"/>
      <c r="EC2804" s="241"/>
      <c r="ED2804" s="241"/>
      <c r="EE2804" s="241"/>
      <c r="EG2804" s="241"/>
    </row>
    <row r="2805" spans="1:137" s="121" customFormat="1" x14ac:dyDescent="0.3">
      <c r="A2805" s="124"/>
      <c r="O2805" s="235"/>
      <c r="X2805" s="117"/>
      <c r="Y2805" s="117"/>
      <c r="DT2805" s="240"/>
      <c r="DU2805" s="240"/>
      <c r="DV2805" s="240"/>
      <c r="DW2805" s="240"/>
      <c r="DX2805" s="240"/>
      <c r="DY2805" s="240"/>
      <c r="DZ2805" s="240"/>
      <c r="EA2805" s="240"/>
      <c r="EB2805" s="237"/>
      <c r="EC2805" s="241"/>
      <c r="ED2805" s="241"/>
      <c r="EE2805" s="241"/>
      <c r="EG2805" s="241"/>
    </row>
    <row r="2806" spans="1:137" s="121" customFormat="1" x14ac:dyDescent="0.3">
      <c r="A2806" s="124"/>
      <c r="O2806" s="235"/>
      <c r="X2806" s="117"/>
      <c r="Y2806" s="117"/>
      <c r="DT2806" s="240"/>
      <c r="DU2806" s="240"/>
      <c r="DV2806" s="240"/>
      <c r="DW2806" s="240"/>
      <c r="DX2806" s="240"/>
      <c r="DY2806" s="240"/>
      <c r="DZ2806" s="240"/>
      <c r="EA2806" s="240"/>
      <c r="EB2806" s="237"/>
      <c r="EC2806" s="241"/>
      <c r="ED2806" s="241"/>
      <c r="EE2806" s="241"/>
      <c r="EG2806" s="241"/>
    </row>
    <row r="2807" spans="1:137" s="121" customFormat="1" x14ac:dyDescent="0.3">
      <c r="A2807" s="124"/>
      <c r="O2807" s="235"/>
      <c r="X2807" s="117"/>
      <c r="Y2807" s="117"/>
      <c r="DT2807" s="240"/>
      <c r="DU2807" s="240"/>
      <c r="DV2807" s="240"/>
      <c r="DW2807" s="240"/>
      <c r="DX2807" s="240"/>
      <c r="DY2807" s="240"/>
      <c r="DZ2807" s="240"/>
      <c r="EA2807" s="240"/>
      <c r="EB2807" s="237"/>
      <c r="EC2807" s="241"/>
      <c r="ED2807" s="241"/>
      <c r="EE2807" s="241"/>
      <c r="EG2807" s="241"/>
    </row>
    <row r="2808" spans="1:137" s="121" customFormat="1" x14ac:dyDescent="0.3">
      <c r="A2808" s="124"/>
      <c r="O2808" s="235"/>
      <c r="X2808" s="117"/>
      <c r="Y2808" s="117"/>
      <c r="DT2808" s="240"/>
      <c r="DU2808" s="240"/>
      <c r="DV2808" s="240"/>
      <c r="DW2808" s="240"/>
      <c r="DX2808" s="240"/>
      <c r="DY2808" s="240"/>
      <c r="DZ2808" s="240"/>
      <c r="EA2808" s="240"/>
      <c r="EB2808" s="237"/>
      <c r="EC2808" s="241"/>
      <c r="ED2808" s="241"/>
      <c r="EE2808" s="241"/>
      <c r="EG2808" s="241"/>
    </row>
    <row r="2809" spans="1:137" s="121" customFormat="1" x14ac:dyDescent="0.3">
      <c r="A2809" s="124"/>
      <c r="O2809" s="235"/>
      <c r="X2809" s="117"/>
      <c r="Y2809" s="117"/>
      <c r="DT2809" s="240"/>
      <c r="DU2809" s="240"/>
      <c r="DV2809" s="240"/>
      <c r="DW2809" s="240"/>
      <c r="DX2809" s="240"/>
      <c r="DY2809" s="240"/>
      <c r="DZ2809" s="240"/>
      <c r="EA2809" s="240"/>
      <c r="EB2809" s="237"/>
      <c r="EC2809" s="241"/>
      <c r="ED2809" s="241"/>
      <c r="EE2809" s="241"/>
      <c r="EG2809" s="241"/>
    </row>
    <row r="2810" spans="1:137" s="121" customFormat="1" x14ac:dyDescent="0.3">
      <c r="A2810" s="124"/>
      <c r="O2810" s="235"/>
      <c r="X2810" s="117"/>
      <c r="Y2810" s="117"/>
      <c r="DT2810" s="240"/>
      <c r="DU2810" s="240"/>
      <c r="DV2810" s="240"/>
      <c r="DW2810" s="240"/>
      <c r="DX2810" s="240"/>
      <c r="DY2810" s="240"/>
      <c r="DZ2810" s="240"/>
      <c r="EA2810" s="240"/>
      <c r="EB2810" s="237"/>
      <c r="EC2810" s="241"/>
      <c r="ED2810" s="241"/>
      <c r="EE2810" s="241"/>
      <c r="EG2810" s="241"/>
    </row>
    <row r="2811" spans="1:137" s="121" customFormat="1" x14ac:dyDescent="0.3">
      <c r="A2811" s="124"/>
      <c r="O2811" s="235"/>
      <c r="X2811" s="117"/>
      <c r="Y2811" s="117"/>
      <c r="DT2811" s="240"/>
      <c r="DU2811" s="240"/>
      <c r="DV2811" s="240"/>
      <c r="DW2811" s="240"/>
      <c r="DX2811" s="240"/>
      <c r="DY2811" s="240"/>
      <c r="DZ2811" s="240"/>
      <c r="EA2811" s="240"/>
      <c r="EB2811" s="237"/>
      <c r="EC2811" s="241"/>
      <c r="ED2811" s="241"/>
      <c r="EE2811" s="241"/>
      <c r="EG2811" s="241"/>
    </row>
    <row r="2812" spans="1:137" s="121" customFormat="1" x14ac:dyDescent="0.3">
      <c r="A2812" s="124"/>
      <c r="O2812" s="235"/>
      <c r="X2812" s="117"/>
      <c r="Y2812" s="117"/>
      <c r="DT2812" s="240"/>
      <c r="DU2812" s="240"/>
      <c r="DV2812" s="240"/>
      <c r="DW2812" s="240"/>
      <c r="DX2812" s="240"/>
      <c r="DY2812" s="240"/>
      <c r="DZ2812" s="240"/>
      <c r="EA2812" s="240"/>
      <c r="EB2812" s="237"/>
      <c r="EC2812" s="241"/>
      <c r="ED2812" s="241"/>
      <c r="EE2812" s="241"/>
      <c r="EG2812" s="241"/>
    </row>
    <row r="2813" spans="1:137" s="121" customFormat="1" x14ac:dyDescent="0.3">
      <c r="A2813" s="124"/>
      <c r="O2813" s="235"/>
      <c r="X2813" s="117"/>
      <c r="Y2813" s="117"/>
      <c r="DT2813" s="240"/>
      <c r="DU2813" s="240"/>
      <c r="DV2813" s="240"/>
      <c r="DW2813" s="240"/>
      <c r="DX2813" s="240"/>
      <c r="DY2813" s="240"/>
      <c r="DZ2813" s="240"/>
      <c r="EA2813" s="240"/>
      <c r="EB2813" s="237"/>
      <c r="EC2813" s="241"/>
      <c r="ED2813" s="241"/>
      <c r="EE2813" s="241"/>
      <c r="EG2813" s="241"/>
    </row>
    <row r="2814" spans="1:137" s="121" customFormat="1" x14ac:dyDescent="0.3">
      <c r="A2814" s="124"/>
      <c r="O2814" s="235"/>
      <c r="X2814" s="117"/>
      <c r="Y2814" s="117"/>
      <c r="DT2814" s="240"/>
      <c r="DU2814" s="240"/>
      <c r="DV2814" s="240"/>
      <c r="DW2814" s="240"/>
      <c r="DX2814" s="240"/>
      <c r="DY2814" s="240"/>
      <c r="DZ2814" s="240"/>
      <c r="EA2814" s="240"/>
      <c r="EB2814" s="237"/>
      <c r="EC2814" s="241"/>
      <c r="ED2814" s="241"/>
      <c r="EE2814" s="241"/>
      <c r="EG2814" s="241"/>
    </row>
    <row r="2815" spans="1:137" s="121" customFormat="1" x14ac:dyDescent="0.3">
      <c r="A2815" s="124"/>
      <c r="O2815" s="235"/>
      <c r="X2815" s="117"/>
      <c r="Y2815" s="117"/>
      <c r="DT2815" s="240"/>
      <c r="DU2815" s="240"/>
      <c r="DV2815" s="240"/>
      <c r="DW2815" s="240"/>
      <c r="DX2815" s="240"/>
      <c r="DY2815" s="240"/>
      <c r="DZ2815" s="240"/>
      <c r="EA2815" s="240"/>
      <c r="EB2815" s="237"/>
      <c r="EC2815" s="241"/>
      <c r="ED2815" s="241"/>
      <c r="EE2815" s="241"/>
      <c r="EG2815" s="241"/>
    </row>
    <row r="2816" spans="1:137" s="121" customFormat="1" x14ac:dyDescent="0.3">
      <c r="A2816" s="124"/>
      <c r="O2816" s="235"/>
      <c r="X2816" s="117"/>
      <c r="Y2816" s="117"/>
      <c r="DT2816" s="240"/>
      <c r="DU2816" s="240"/>
      <c r="DV2816" s="240"/>
      <c r="DW2816" s="240"/>
      <c r="DX2816" s="240"/>
      <c r="DY2816" s="240"/>
      <c r="DZ2816" s="240"/>
      <c r="EA2816" s="240"/>
      <c r="EB2816" s="237"/>
      <c r="EC2816" s="241"/>
      <c r="ED2816" s="241"/>
      <c r="EE2816" s="241"/>
      <c r="EG2816" s="241"/>
    </row>
    <row r="2817" spans="1:137" s="121" customFormat="1" x14ac:dyDescent="0.3">
      <c r="A2817" s="124"/>
      <c r="O2817" s="235"/>
      <c r="X2817" s="117"/>
      <c r="Y2817" s="117"/>
      <c r="DT2817" s="240"/>
      <c r="DU2817" s="240"/>
      <c r="DV2817" s="240"/>
      <c r="DW2817" s="240"/>
      <c r="DX2817" s="240"/>
      <c r="DY2817" s="240"/>
      <c r="DZ2817" s="240"/>
      <c r="EA2817" s="240"/>
      <c r="EB2817" s="237"/>
      <c r="EC2817" s="241"/>
      <c r="ED2817" s="241"/>
      <c r="EE2817" s="241"/>
      <c r="EG2817" s="241"/>
    </row>
    <row r="2818" spans="1:137" s="121" customFormat="1" x14ac:dyDescent="0.3">
      <c r="A2818" s="124"/>
      <c r="O2818" s="235"/>
      <c r="X2818" s="117"/>
      <c r="Y2818" s="117"/>
      <c r="DT2818" s="240"/>
      <c r="DU2818" s="240"/>
      <c r="DV2818" s="240"/>
      <c r="DW2818" s="240"/>
      <c r="DX2818" s="240"/>
      <c r="DY2818" s="240"/>
      <c r="DZ2818" s="240"/>
      <c r="EA2818" s="240"/>
      <c r="EB2818" s="237"/>
      <c r="EC2818" s="241"/>
      <c r="ED2818" s="241"/>
      <c r="EE2818" s="241"/>
      <c r="EG2818" s="241"/>
    </row>
    <row r="2819" spans="1:137" s="121" customFormat="1" x14ac:dyDescent="0.3">
      <c r="A2819" s="124"/>
      <c r="O2819" s="235"/>
      <c r="X2819" s="117"/>
      <c r="Y2819" s="117"/>
      <c r="DT2819" s="240"/>
      <c r="DU2819" s="240"/>
      <c r="DV2819" s="240"/>
      <c r="DW2819" s="240"/>
      <c r="DX2819" s="240"/>
      <c r="DY2819" s="240"/>
      <c r="DZ2819" s="240"/>
      <c r="EA2819" s="240"/>
      <c r="EB2819" s="237"/>
      <c r="EC2819" s="241"/>
      <c r="ED2819" s="241"/>
      <c r="EE2819" s="241"/>
      <c r="EG2819" s="241"/>
    </row>
    <row r="2820" spans="1:137" s="121" customFormat="1" x14ac:dyDescent="0.3">
      <c r="A2820" s="124"/>
      <c r="O2820" s="235"/>
      <c r="X2820" s="117"/>
      <c r="Y2820" s="117"/>
      <c r="DT2820" s="240"/>
      <c r="DU2820" s="240"/>
      <c r="DV2820" s="240"/>
      <c r="DW2820" s="240"/>
      <c r="DX2820" s="240"/>
      <c r="DY2820" s="240"/>
      <c r="DZ2820" s="240"/>
      <c r="EA2820" s="240"/>
      <c r="EB2820" s="237"/>
      <c r="EC2820" s="241"/>
      <c r="ED2820" s="241"/>
      <c r="EE2820" s="241"/>
      <c r="EG2820" s="241"/>
    </row>
    <row r="2821" spans="1:137" s="121" customFormat="1" x14ac:dyDescent="0.3">
      <c r="A2821" s="124"/>
      <c r="O2821" s="235"/>
      <c r="X2821" s="117"/>
      <c r="Y2821" s="117"/>
      <c r="DT2821" s="240"/>
      <c r="DU2821" s="240"/>
      <c r="DV2821" s="240"/>
      <c r="DW2821" s="240"/>
      <c r="DX2821" s="240"/>
      <c r="DY2821" s="240"/>
      <c r="DZ2821" s="240"/>
      <c r="EA2821" s="240"/>
      <c r="EB2821" s="237"/>
      <c r="EC2821" s="241"/>
      <c r="ED2821" s="241"/>
      <c r="EE2821" s="241"/>
      <c r="EG2821" s="241"/>
    </row>
    <row r="2822" spans="1:137" s="121" customFormat="1" x14ac:dyDescent="0.3">
      <c r="A2822" s="124"/>
      <c r="O2822" s="235"/>
      <c r="X2822" s="117"/>
      <c r="Y2822" s="117"/>
      <c r="DT2822" s="240"/>
      <c r="DU2822" s="240"/>
      <c r="DV2822" s="240"/>
      <c r="DW2822" s="240"/>
      <c r="DX2822" s="240"/>
      <c r="DY2822" s="240"/>
      <c r="DZ2822" s="240"/>
      <c r="EA2822" s="240"/>
      <c r="EB2822" s="237"/>
      <c r="EC2822" s="241"/>
      <c r="ED2822" s="241"/>
      <c r="EE2822" s="241"/>
      <c r="EG2822" s="241"/>
    </row>
    <row r="2823" spans="1:137" s="121" customFormat="1" x14ac:dyDescent="0.3">
      <c r="A2823" s="124"/>
      <c r="O2823" s="235"/>
      <c r="X2823" s="117"/>
      <c r="Y2823" s="117"/>
      <c r="DT2823" s="240"/>
      <c r="DU2823" s="240"/>
      <c r="DV2823" s="240"/>
      <c r="DW2823" s="240"/>
      <c r="DX2823" s="240"/>
      <c r="DY2823" s="240"/>
      <c r="DZ2823" s="240"/>
      <c r="EA2823" s="240"/>
      <c r="EB2823" s="237"/>
      <c r="EC2823" s="241"/>
      <c r="ED2823" s="241"/>
      <c r="EE2823" s="241"/>
      <c r="EG2823" s="241"/>
    </row>
    <row r="2824" spans="1:137" s="121" customFormat="1" x14ac:dyDescent="0.3">
      <c r="A2824" s="124"/>
      <c r="O2824" s="235"/>
      <c r="X2824" s="117"/>
      <c r="Y2824" s="117"/>
      <c r="DT2824" s="240"/>
      <c r="DU2824" s="240"/>
      <c r="DV2824" s="240"/>
      <c r="DW2824" s="240"/>
      <c r="DX2824" s="240"/>
      <c r="DY2824" s="240"/>
      <c r="DZ2824" s="240"/>
      <c r="EA2824" s="240"/>
      <c r="EB2824" s="237"/>
      <c r="EC2824" s="241"/>
      <c r="ED2824" s="241"/>
      <c r="EE2824" s="241"/>
      <c r="EG2824" s="241"/>
    </row>
    <row r="2825" spans="1:137" s="121" customFormat="1" x14ac:dyDescent="0.3">
      <c r="A2825" s="124"/>
      <c r="O2825" s="235"/>
      <c r="X2825" s="117"/>
      <c r="Y2825" s="117"/>
      <c r="DT2825" s="240"/>
      <c r="DU2825" s="240"/>
      <c r="DV2825" s="240"/>
      <c r="DW2825" s="240"/>
      <c r="DX2825" s="240"/>
      <c r="DY2825" s="240"/>
      <c r="DZ2825" s="240"/>
      <c r="EA2825" s="240"/>
      <c r="EB2825" s="237"/>
      <c r="EC2825" s="241"/>
      <c r="ED2825" s="241"/>
      <c r="EE2825" s="241"/>
      <c r="EG2825" s="241"/>
    </row>
    <row r="2826" spans="1:137" s="121" customFormat="1" x14ac:dyDescent="0.3">
      <c r="A2826" s="124"/>
      <c r="O2826" s="235"/>
      <c r="X2826" s="117"/>
      <c r="Y2826" s="117"/>
      <c r="DT2826" s="240"/>
      <c r="DU2826" s="240"/>
      <c r="DV2826" s="240"/>
      <c r="DW2826" s="240"/>
      <c r="DX2826" s="240"/>
      <c r="DY2826" s="240"/>
      <c r="DZ2826" s="240"/>
      <c r="EA2826" s="240"/>
      <c r="EB2826" s="237"/>
      <c r="EC2826" s="241"/>
      <c r="ED2826" s="241"/>
      <c r="EE2826" s="241"/>
      <c r="EG2826" s="241"/>
    </row>
    <row r="2827" spans="1:137" s="121" customFormat="1" x14ac:dyDescent="0.3">
      <c r="A2827" s="124"/>
      <c r="O2827" s="235"/>
      <c r="X2827" s="117"/>
      <c r="Y2827" s="117"/>
      <c r="DT2827" s="240"/>
      <c r="DU2827" s="240"/>
      <c r="DV2827" s="240"/>
      <c r="DW2827" s="240"/>
      <c r="DX2827" s="240"/>
      <c r="DY2827" s="240"/>
      <c r="DZ2827" s="240"/>
      <c r="EA2827" s="240"/>
      <c r="EB2827" s="237"/>
      <c r="EC2827" s="241"/>
      <c r="ED2827" s="241"/>
      <c r="EE2827" s="241"/>
      <c r="EG2827" s="241"/>
    </row>
    <row r="2828" spans="1:137" s="121" customFormat="1" x14ac:dyDescent="0.3">
      <c r="A2828" s="124"/>
      <c r="O2828" s="235"/>
      <c r="X2828" s="117"/>
      <c r="Y2828" s="117"/>
      <c r="DT2828" s="240"/>
      <c r="DU2828" s="240"/>
      <c r="DV2828" s="240"/>
      <c r="DW2828" s="240"/>
      <c r="DX2828" s="240"/>
      <c r="DY2828" s="240"/>
      <c r="DZ2828" s="240"/>
      <c r="EA2828" s="240"/>
      <c r="EB2828" s="237"/>
      <c r="EC2828" s="241"/>
      <c r="ED2828" s="241"/>
      <c r="EE2828" s="241"/>
      <c r="EG2828" s="241"/>
    </row>
    <row r="2829" spans="1:137" s="121" customFormat="1" x14ac:dyDescent="0.3">
      <c r="A2829" s="124"/>
      <c r="O2829" s="235"/>
      <c r="X2829" s="117"/>
      <c r="Y2829" s="117"/>
      <c r="DT2829" s="240"/>
      <c r="DU2829" s="240"/>
      <c r="DV2829" s="240"/>
      <c r="DW2829" s="240"/>
      <c r="DX2829" s="240"/>
      <c r="DY2829" s="240"/>
      <c r="DZ2829" s="240"/>
      <c r="EA2829" s="240"/>
      <c r="EB2829" s="237"/>
      <c r="EC2829" s="241"/>
      <c r="ED2829" s="241"/>
      <c r="EE2829" s="241"/>
      <c r="EG2829" s="241"/>
    </row>
    <row r="2830" spans="1:137" s="121" customFormat="1" x14ac:dyDescent="0.3">
      <c r="A2830" s="124"/>
      <c r="O2830" s="235"/>
      <c r="X2830" s="117"/>
      <c r="Y2830" s="117"/>
      <c r="DT2830" s="240"/>
      <c r="DU2830" s="240"/>
      <c r="DV2830" s="240"/>
      <c r="DW2830" s="240"/>
      <c r="DX2830" s="240"/>
      <c r="DY2830" s="240"/>
      <c r="DZ2830" s="240"/>
      <c r="EA2830" s="240"/>
      <c r="EB2830" s="237"/>
      <c r="EC2830" s="241"/>
      <c r="ED2830" s="241"/>
      <c r="EE2830" s="241"/>
      <c r="EG2830" s="241"/>
    </row>
    <row r="2831" spans="1:137" s="121" customFormat="1" x14ac:dyDescent="0.3">
      <c r="A2831" s="124"/>
      <c r="O2831" s="235"/>
      <c r="X2831" s="117"/>
      <c r="Y2831" s="117"/>
      <c r="DT2831" s="240"/>
      <c r="DU2831" s="240"/>
      <c r="DV2831" s="240"/>
      <c r="DW2831" s="240"/>
      <c r="DX2831" s="240"/>
      <c r="DY2831" s="240"/>
      <c r="DZ2831" s="240"/>
      <c r="EA2831" s="240"/>
      <c r="EB2831" s="237"/>
      <c r="EC2831" s="241"/>
      <c r="ED2831" s="241"/>
      <c r="EE2831" s="241"/>
      <c r="EG2831" s="241"/>
    </row>
    <row r="2832" spans="1:137" s="121" customFormat="1" x14ac:dyDescent="0.3">
      <c r="A2832" s="124"/>
      <c r="O2832" s="235"/>
      <c r="X2832" s="117"/>
      <c r="Y2832" s="117"/>
      <c r="DT2832" s="240"/>
      <c r="DU2832" s="240"/>
      <c r="DV2832" s="240"/>
      <c r="DW2832" s="240"/>
      <c r="DX2832" s="240"/>
      <c r="DY2832" s="240"/>
      <c r="DZ2832" s="240"/>
      <c r="EA2832" s="240"/>
      <c r="EB2832" s="237"/>
      <c r="EC2832" s="241"/>
      <c r="ED2832" s="241"/>
      <c r="EE2832" s="241"/>
      <c r="EG2832" s="241"/>
    </row>
    <row r="2833" spans="1:137" s="121" customFormat="1" x14ac:dyDescent="0.3">
      <c r="A2833" s="124"/>
      <c r="O2833" s="235"/>
      <c r="X2833" s="117"/>
      <c r="Y2833" s="117"/>
      <c r="DT2833" s="240"/>
      <c r="DU2833" s="240"/>
      <c r="DV2833" s="240"/>
      <c r="DW2833" s="240"/>
      <c r="DX2833" s="240"/>
      <c r="DY2833" s="240"/>
      <c r="DZ2833" s="240"/>
      <c r="EA2833" s="240"/>
      <c r="EB2833" s="237"/>
      <c r="EC2833" s="241"/>
      <c r="ED2833" s="241"/>
      <c r="EE2833" s="241"/>
      <c r="EG2833" s="241"/>
    </row>
    <row r="2834" spans="1:137" s="121" customFormat="1" x14ac:dyDescent="0.3">
      <c r="A2834" s="124"/>
      <c r="O2834" s="235"/>
      <c r="X2834" s="117"/>
      <c r="Y2834" s="117"/>
      <c r="DT2834" s="240"/>
      <c r="DU2834" s="240"/>
      <c r="DV2834" s="240"/>
      <c r="DW2834" s="240"/>
      <c r="DX2834" s="240"/>
      <c r="DY2834" s="240"/>
      <c r="DZ2834" s="240"/>
      <c r="EA2834" s="240"/>
      <c r="EB2834" s="237"/>
      <c r="EC2834" s="241"/>
      <c r="ED2834" s="241"/>
      <c r="EE2834" s="241"/>
      <c r="EG2834" s="241"/>
    </row>
    <row r="2835" spans="1:137" s="121" customFormat="1" x14ac:dyDescent="0.3">
      <c r="A2835" s="124"/>
      <c r="O2835" s="235"/>
      <c r="X2835" s="117"/>
      <c r="Y2835" s="117"/>
      <c r="DT2835" s="240"/>
      <c r="DU2835" s="240"/>
      <c r="DV2835" s="240"/>
      <c r="DW2835" s="240"/>
      <c r="DX2835" s="240"/>
      <c r="DY2835" s="240"/>
      <c r="DZ2835" s="240"/>
      <c r="EA2835" s="240"/>
      <c r="EB2835" s="237"/>
      <c r="EC2835" s="241"/>
      <c r="ED2835" s="241"/>
      <c r="EE2835" s="241"/>
      <c r="EG2835" s="241"/>
    </row>
    <row r="2836" spans="1:137" s="121" customFormat="1" x14ac:dyDescent="0.3">
      <c r="A2836" s="124"/>
      <c r="O2836" s="235"/>
      <c r="X2836" s="117"/>
      <c r="Y2836" s="117"/>
      <c r="DT2836" s="240"/>
      <c r="DU2836" s="240"/>
      <c r="DV2836" s="240"/>
      <c r="DW2836" s="240"/>
      <c r="DX2836" s="240"/>
      <c r="DY2836" s="240"/>
      <c r="DZ2836" s="240"/>
      <c r="EA2836" s="240"/>
      <c r="EB2836" s="237"/>
      <c r="EC2836" s="241"/>
      <c r="ED2836" s="241"/>
      <c r="EE2836" s="241"/>
      <c r="EG2836" s="241"/>
    </row>
    <row r="2837" spans="1:137" s="121" customFormat="1" x14ac:dyDescent="0.3">
      <c r="A2837" s="124"/>
      <c r="O2837" s="235"/>
      <c r="X2837" s="117"/>
      <c r="Y2837" s="117"/>
      <c r="DT2837" s="240"/>
      <c r="DU2837" s="240"/>
      <c r="DV2837" s="240"/>
      <c r="DW2837" s="240"/>
      <c r="DX2837" s="240"/>
      <c r="DY2837" s="240"/>
      <c r="DZ2837" s="240"/>
      <c r="EA2837" s="240"/>
      <c r="EB2837" s="237"/>
      <c r="EC2837" s="241"/>
      <c r="ED2837" s="241"/>
      <c r="EE2837" s="241"/>
      <c r="EG2837" s="241"/>
    </row>
    <row r="2838" spans="1:137" s="121" customFormat="1" x14ac:dyDescent="0.3">
      <c r="A2838" s="124"/>
      <c r="O2838" s="235"/>
      <c r="X2838" s="117"/>
      <c r="Y2838" s="117"/>
      <c r="DT2838" s="240"/>
      <c r="DU2838" s="240"/>
      <c r="DV2838" s="240"/>
      <c r="DW2838" s="240"/>
      <c r="DX2838" s="240"/>
      <c r="DY2838" s="240"/>
      <c r="DZ2838" s="240"/>
      <c r="EA2838" s="240"/>
      <c r="EB2838" s="237"/>
      <c r="EC2838" s="241"/>
      <c r="ED2838" s="241"/>
      <c r="EE2838" s="241"/>
      <c r="EG2838" s="241"/>
    </row>
    <row r="2839" spans="1:137" s="121" customFormat="1" x14ac:dyDescent="0.3">
      <c r="A2839" s="124"/>
      <c r="O2839" s="235"/>
      <c r="X2839" s="117"/>
      <c r="Y2839" s="117"/>
      <c r="DT2839" s="240"/>
      <c r="DU2839" s="240"/>
      <c r="DV2839" s="240"/>
      <c r="DW2839" s="240"/>
      <c r="DX2839" s="240"/>
      <c r="DY2839" s="240"/>
      <c r="DZ2839" s="240"/>
      <c r="EA2839" s="240"/>
      <c r="EB2839" s="237"/>
      <c r="EC2839" s="241"/>
      <c r="ED2839" s="241"/>
      <c r="EE2839" s="241"/>
      <c r="EG2839" s="241"/>
    </row>
    <row r="2840" spans="1:137" s="121" customFormat="1" x14ac:dyDescent="0.3">
      <c r="A2840" s="124"/>
      <c r="O2840" s="235"/>
      <c r="X2840" s="117"/>
      <c r="Y2840" s="117"/>
      <c r="DT2840" s="240"/>
      <c r="DU2840" s="240"/>
      <c r="DV2840" s="240"/>
      <c r="DW2840" s="240"/>
      <c r="DX2840" s="240"/>
      <c r="DY2840" s="240"/>
      <c r="DZ2840" s="240"/>
      <c r="EA2840" s="240"/>
      <c r="EB2840" s="237"/>
      <c r="EC2840" s="241"/>
      <c r="ED2840" s="241"/>
      <c r="EE2840" s="241"/>
      <c r="EG2840" s="241"/>
    </row>
    <row r="2841" spans="1:137" s="121" customFormat="1" x14ac:dyDescent="0.3">
      <c r="A2841" s="124"/>
      <c r="O2841" s="235"/>
      <c r="X2841" s="117"/>
      <c r="Y2841" s="117"/>
      <c r="DT2841" s="240"/>
      <c r="DU2841" s="240"/>
      <c r="DV2841" s="240"/>
      <c r="DW2841" s="240"/>
      <c r="DX2841" s="240"/>
      <c r="DY2841" s="240"/>
      <c r="DZ2841" s="240"/>
      <c r="EA2841" s="240"/>
      <c r="EB2841" s="237"/>
      <c r="EC2841" s="241"/>
      <c r="ED2841" s="241"/>
      <c r="EE2841" s="241"/>
      <c r="EG2841" s="241"/>
    </row>
    <row r="2842" spans="1:137" s="121" customFormat="1" x14ac:dyDescent="0.3">
      <c r="A2842" s="124"/>
      <c r="O2842" s="235"/>
      <c r="X2842" s="117"/>
      <c r="Y2842" s="117"/>
      <c r="DT2842" s="240"/>
      <c r="DU2842" s="240"/>
      <c r="DV2842" s="240"/>
      <c r="DW2842" s="240"/>
      <c r="DX2842" s="240"/>
      <c r="DY2842" s="240"/>
      <c r="DZ2842" s="240"/>
      <c r="EA2842" s="240"/>
      <c r="EB2842" s="237"/>
      <c r="EC2842" s="241"/>
      <c r="ED2842" s="241"/>
      <c r="EE2842" s="241"/>
      <c r="EG2842" s="241"/>
    </row>
    <row r="2843" spans="1:137" s="121" customFormat="1" x14ac:dyDescent="0.3">
      <c r="A2843" s="124"/>
      <c r="O2843" s="235"/>
      <c r="X2843" s="117"/>
      <c r="Y2843" s="117"/>
      <c r="DT2843" s="240"/>
      <c r="DU2843" s="240"/>
      <c r="DV2843" s="240"/>
      <c r="DW2843" s="240"/>
      <c r="DX2843" s="240"/>
      <c r="DY2843" s="240"/>
      <c r="DZ2843" s="240"/>
      <c r="EA2843" s="240"/>
      <c r="EB2843" s="237"/>
      <c r="EC2843" s="241"/>
      <c r="ED2843" s="241"/>
      <c r="EE2843" s="241"/>
      <c r="EG2843" s="241"/>
    </row>
    <row r="2844" spans="1:137" s="121" customFormat="1" x14ac:dyDescent="0.3">
      <c r="A2844" s="124"/>
      <c r="O2844" s="235"/>
      <c r="X2844" s="117"/>
      <c r="Y2844" s="117"/>
      <c r="DT2844" s="240"/>
      <c r="DU2844" s="240"/>
      <c r="DV2844" s="240"/>
      <c r="DW2844" s="240"/>
      <c r="DX2844" s="240"/>
      <c r="DY2844" s="240"/>
      <c r="DZ2844" s="240"/>
      <c r="EA2844" s="240"/>
      <c r="EB2844" s="237"/>
      <c r="EC2844" s="241"/>
      <c r="ED2844" s="241"/>
      <c r="EE2844" s="241"/>
      <c r="EG2844" s="241"/>
    </row>
    <row r="2845" spans="1:137" s="121" customFormat="1" x14ac:dyDescent="0.3">
      <c r="A2845" s="124"/>
      <c r="O2845" s="235"/>
      <c r="X2845" s="117"/>
      <c r="Y2845" s="117"/>
      <c r="DT2845" s="240"/>
      <c r="DU2845" s="240"/>
      <c r="DV2845" s="240"/>
      <c r="DW2845" s="240"/>
      <c r="DX2845" s="240"/>
      <c r="DY2845" s="240"/>
      <c r="DZ2845" s="240"/>
      <c r="EA2845" s="240"/>
      <c r="EB2845" s="237"/>
      <c r="EC2845" s="241"/>
      <c r="ED2845" s="241"/>
      <c r="EE2845" s="241"/>
      <c r="EG2845" s="241"/>
    </row>
    <row r="2846" spans="1:137" s="121" customFormat="1" x14ac:dyDescent="0.3">
      <c r="A2846" s="124"/>
      <c r="O2846" s="235"/>
      <c r="X2846" s="117"/>
      <c r="Y2846" s="117"/>
      <c r="DT2846" s="240"/>
      <c r="DU2846" s="240"/>
      <c r="DV2846" s="240"/>
      <c r="DW2846" s="240"/>
      <c r="DX2846" s="240"/>
      <c r="DY2846" s="240"/>
      <c r="DZ2846" s="240"/>
      <c r="EA2846" s="240"/>
      <c r="EB2846" s="237"/>
      <c r="EC2846" s="241"/>
      <c r="ED2846" s="241"/>
      <c r="EE2846" s="241"/>
      <c r="EG2846" s="241"/>
    </row>
    <row r="2847" spans="1:137" s="121" customFormat="1" x14ac:dyDescent="0.3">
      <c r="A2847" s="124"/>
      <c r="O2847" s="235"/>
      <c r="X2847" s="117"/>
      <c r="Y2847" s="117"/>
      <c r="DT2847" s="240"/>
      <c r="DU2847" s="240"/>
      <c r="DV2847" s="240"/>
      <c r="DW2847" s="240"/>
      <c r="DX2847" s="240"/>
      <c r="DY2847" s="240"/>
      <c r="DZ2847" s="240"/>
      <c r="EA2847" s="240"/>
      <c r="EB2847" s="237"/>
      <c r="EC2847" s="241"/>
      <c r="ED2847" s="241"/>
      <c r="EE2847" s="241"/>
      <c r="EG2847" s="241"/>
    </row>
    <row r="2848" spans="1:137" s="121" customFormat="1" x14ac:dyDescent="0.3">
      <c r="A2848" s="124"/>
      <c r="O2848" s="235"/>
      <c r="X2848" s="117"/>
      <c r="Y2848" s="117"/>
      <c r="DT2848" s="240"/>
      <c r="DU2848" s="240"/>
      <c r="DV2848" s="240"/>
      <c r="DW2848" s="240"/>
      <c r="DX2848" s="240"/>
      <c r="DY2848" s="240"/>
      <c r="DZ2848" s="240"/>
      <c r="EA2848" s="240"/>
      <c r="EB2848" s="237"/>
      <c r="EC2848" s="241"/>
      <c r="ED2848" s="241"/>
      <c r="EE2848" s="241"/>
      <c r="EG2848" s="241"/>
    </row>
    <row r="2849" spans="1:137" s="121" customFormat="1" x14ac:dyDescent="0.3">
      <c r="A2849" s="124"/>
      <c r="O2849" s="235"/>
      <c r="X2849" s="117"/>
      <c r="Y2849" s="117"/>
      <c r="DT2849" s="240"/>
      <c r="DU2849" s="240"/>
      <c r="DV2849" s="240"/>
      <c r="DW2849" s="240"/>
      <c r="DX2849" s="240"/>
      <c r="DY2849" s="240"/>
      <c r="DZ2849" s="240"/>
      <c r="EA2849" s="240"/>
      <c r="EB2849" s="237"/>
      <c r="EC2849" s="241"/>
      <c r="ED2849" s="241"/>
      <c r="EE2849" s="241"/>
      <c r="EG2849" s="241"/>
    </row>
    <row r="2850" spans="1:137" s="121" customFormat="1" x14ac:dyDescent="0.3">
      <c r="A2850" s="124"/>
      <c r="O2850" s="235"/>
      <c r="X2850" s="117"/>
      <c r="Y2850" s="117"/>
      <c r="DT2850" s="240"/>
      <c r="DU2850" s="240"/>
      <c r="DV2850" s="240"/>
      <c r="DW2850" s="240"/>
      <c r="DX2850" s="240"/>
      <c r="DY2850" s="240"/>
      <c r="DZ2850" s="240"/>
      <c r="EA2850" s="240"/>
      <c r="EB2850" s="237"/>
      <c r="EC2850" s="241"/>
      <c r="ED2850" s="241"/>
      <c r="EE2850" s="241"/>
      <c r="EG2850" s="241"/>
    </row>
    <row r="2851" spans="1:137" s="121" customFormat="1" x14ac:dyDescent="0.3">
      <c r="A2851" s="124"/>
      <c r="O2851" s="235"/>
      <c r="X2851" s="117"/>
      <c r="Y2851" s="117"/>
      <c r="DT2851" s="240"/>
      <c r="DU2851" s="240"/>
      <c r="DV2851" s="240"/>
      <c r="DW2851" s="240"/>
      <c r="DX2851" s="240"/>
      <c r="DY2851" s="240"/>
      <c r="DZ2851" s="240"/>
      <c r="EA2851" s="240"/>
      <c r="EB2851" s="237"/>
      <c r="EC2851" s="241"/>
      <c r="ED2851" s="241"/>
      <c r="EE2851" s="241"/>
      <c r="EG2851" s="241"/>
    </row>
    <row r="2852" spans="1:137" s="121" customFormat="1" x14ac:dyDescent="0.3">
      <c r="A2852" s="124"/>
      <c r="O2852" s="235"/>
      <c r="X2852" s="117"/>
      <c r="Y2852" s="117"/>
      <c r="DT2852" s="240"/>
      <c r="DU2852" s="240"/>
      <c r="DV2852" s="240"/>
      <c r="DW2852" s="240"/>
      <c r="DX2852" s="240"/>
      <c r="DY2852" s="240"/>
      <c r="DZ2852" s="240"/>
      <c r="EA2852" s="240"/>
      <c r="EB2852" s="237"/>
      <c r="EC2852" s="241"/>
      <c r="ED2852" s="241"/>
      <c r="EE2852" s="241"/>
      <c r="EG2852" s="241"/>
    </row>
    <row r="2853" spans="1:137" s="121" customFormat="1" x14ac:dyDescent="0.3">
      <c r="A2853" s="124"/>
      <c r="O2853" s="235"/>
      <c r="X2853" s="117"/>
      <c r="Y2853" s="117"/>
      <c r="DT2853" s="240"/>
      <c r="DU2853" s="240"/>
      <c r="DV2853" s="240"/>
      <c r="DW2853" s="240"/>
      <c r="DX2853" s="240"/>
      <c r="DY2853" s="240"/>
      <c r="DZ2853" s="240"/>
      <c r="EA2853" s="240"/>
      <c r="EB2853" s="237"/>
      <c r="EC2853" s="241"/>
      <c r="ED2853" s="241"/>
      <c r="EE2853" s="241"/>
      <c r="EG2853" s="241"/>
    </row>
    <row r="2854" spans="1:137" s="121" customFormat="1" x14ac:dyDescent="0.3">
      <c r="A2854" s="124"/>
      <c r="O2854" s="235"/>
      <c r="X2854" s="117"/>
      <c r="Y2854" s="117"/>
      <c r="DT2854" s="240"/>
      <c r="DU2854" s="240"/>
      <c r="DV2854" s="240"/>
      <c r="DW2854" s="240"/>
      <c r="DX2854" s="240"/>
      <c r="DY2854" s="240"/>
      <c r="DZ2854" s="240"/>
      <c r="EA2854" s="240"/>
      <c r="EB2854" s="237"/>
      <c r="EC2854" s="241"/>
      <c r="ED2854" s="241"/>
      <c r="EE2854" s="241"/>
      <c r="EG2854" s="241"/>
    </row>
    <row r="2855" spans="1:137" s="121" customFormat="1" x14ac:dyDescent="0.3">
      <c r="A2855" s="124"/>
      <c r="O2855" s="235"/>
      <c r="X2855" s="117"/>
      <c r="Y2855" s="117"/>
      <c r="DT2855" s="240"/>
      <c r="DU2855" s="240"/>
      <c r="DV2855" s="240"/>
      <c r="DW2855" s="240"/>
      <c r="DX2855" s="240"/>
      <c r="DY2855" s="240"/>
      <c r="DZ2855" s="240"/>
      <c r="EA2855" s="240"/>
      <c r="EB2855" s="237"/>
      <c r="EC2855" s="241"/>
      <c r="ED2855" s="241"/>
      <c r="EE2855" s="241"/>
      <c r="EG2855" s="241"/>
    </row>
    <row r="2856" spans="1:137" s="121" customFormat="1" x14ac:dyDescent="0.3">
      <c r="A2856" s="124"/>
      <c r="O2856" s="235"/>
      <c r="X2856" s="117"/>
      <c r="Y2856" s="117"/>
      <c r="DT2856" s="240"/>
      <c r="DU2856" s="240"/>
      <c r="DV2856" s="240"/>
      <c r="DW2856" s="240"/>
      <c r="DX2856" s="240"/>
      <c r="DY2856" s="240"/>
      <c r="DZ2856" s="240"/>
      <c r="EA2856" s="240"/>
      <c r="EB2856" s="237"/>
      <c r="EC2856" s="241"/>
      <c r="ED2856" s="241"/>
      <c r="EE2856" s="241"/>
      <c r="EG2856" s="241"/>
    </row>
    <row r="2857" spans="1:137" s="121" customFormat="1" x14ac:dyDescent="0.3">
      <c r="A2857" s="124"/>
      <c r="O2857" s="235"/>
      <c r="X2857" s="117"/>
      <c r="Y2857" s="117"/>
      <c r="DT2857" s="240"/>
      <c r="DU2857" s="240"/>
      <c r="DV2857" s="240"/>
      <c r="DW2857" s="240"/>
      <c r="DX2857" s="240"/>
      <c r="DY2857" s="240"/>
      <c r="DZ2857" s="240"/>
      <c r="EA2857" s="240"/>
      <c r="EB2857" s="237"/>
      <c r="EC2857" s="241"/>
      <c r="ED2857" s="241"/>
      <c r="EE2857" s="241"/>
      <c r="EG2857" s="241"/>
    </row>
    <row r="2858" spans="1:137" s="121" customFormat="1" x14ac:dyDescent="0.3">
      <c r="A2858" s="124"/>
      <c r="O2858" s="235"/>
      <c r="X2858" s="117"/>
      <c r="Y2858" s="117"/>
      <c r="DT2858" s="240"/>
      <c r="DU2858" s="240"/>
      <c r="DV2858" s="240"/>
      <c r="DW2858" s="240"/>
      <c r="DX2858" s="240"/>
      <c r="DY2858" s="240"/>
      <c r="DZ2858" s="240"/>
      <c r="EA2858" s="240"/>
      <c r="EB2858" s="237"/>
      <c r="EC2858" s="241"/>
      <c r="ED2858" s="241"/>
      <c r="EE2858" s="241"/>
      <c r="EG2858" s="241"/>
    </row>
    <row r="2859" spans="1:137" s="121" customFormat="1" x14ac:dyDescent="0.3">
      <c r="A2859" s="124"/>
      <c r="O2859" s="235"/>
      <c r="X2859" s="117"/>
      <c r="Y2859" s="117"/>
      <c r="DT2859" s="240"/>
      <c r="DU2859" s="240"/>
      <c r="DV2859" s="240"/>
      <c r="DW2859" s="240"/>
      <c r="DX2859" s="240"/>
      <c r="DY2859" s="240"/>
      <c r="DZ2859" s="240"/>
      <c r="EA2859" s="240"/>
      <c r="EB2859" s="237"/>
      <c r="EC2859" s="241"/>
      <c r="ED2859" s="241"/>
      <c r="EE2859" s="241"/>
      <c r="EG2859" s="241"/>
    </row>
    <row r="2860" spans="1:137" s="121" customFormat="1" x14ac:dyDescent="0.3">
      <c r="A2860" s="124"/>
      <c r="O2860" s="235"/>
      <c r="X2860" s="117"/>
      <c r="Y2860" s="117"/>
      <c r="DT2860" s="240"/>
      <c r="DU2860" s="240"/>
      <c r="DV2860" s="240"/>
      <c r="DW2860" s="240"/>
      <c r="DX2860" s="240"/>
      <c r="DY2860" s="240"/>
      <c r="DZ2860" s="240"/>
      <c r="EA2860" s="240"/>
      <c r="EB2860" s="237"/>
      <c r="EC2860" s="241"/>
      <c r="ED2860" s="241"/>
      <c r="EE2860" s="241"/>
      <c r="EG2860" s="241"/>
    </row>
    <row r="2861" spans="1:137" s="121" customFormat="1" x14ac:dyDescent="0.3">
      <c r="A2861" s="124"/>
      <c r="O2861" s="235"/>
      <c r="X2861" s="117"/>
      <c r="Y2861" s="117"/>
      <c r="DT2861" s="240"/>
      <c r="DU2861" s="240"/>
      <c r="DV2861" s="240"/>
      <c r="DW2861" s="240"/>
      <c r="DX2861" s="240"/>
      <c r="DY2861" s="240"/>
      <c r="DZ2861" s="240"/>
      <c r="EA2861" s="240"/>
      <c r="EB2861" s="237"/>
      <c r="EC2861" s="241"/>
      <c r="ED2861" s="241"/>
      <c r="EE2861" s="241"/>
      <c r="EG2861" s="241"/>
    </row>
    <row r="2862" spans="1:137" s="121" customFormat="1" x14ac:dyDescent="0.3">
      <c r="A2862" s="124"/>
      <c r="O2862" s="235"/>
      <c r="X2862" s="117"/>
      <c r="Y2862" s="117"/>
      <c r="DT2862" s="240"/>
      <c r="DU2862" s="240"/>
      <c r="DV2862" s="240"/>
      <c r="DW2862" s="240"/>
      <c r="DX2862" s="240"/>
      <c r="DY2862" s="240"/>
      <c r="DZ2862" s="240"/>
      <c r="EA2862" s="240"/>
      <c r="EB2862" s="237"/>
      <c r="EC2862" s="241"/>
      <c r="ED2862" s="241"/>
      <c r="EE2862" s="241"/>
      <c r="EG2862" s="241"/>
    </row>
    <row r="2863" spans="1:137" s="121" customFormat="1" x14ac:dyDescent="0.3">
      <c r="A2863" s="124"/>
      <c r="O2863" s="235"/>
      <c r="X2863" s="117"/>
      <c r="Y2863" s="117"/>
      <c r="DT2863" s="240"/>
      <c r="DU2863" s="240"/>
      <c r="DV2863" s="240"/>
      <c r="DW2863" s="240"/>
      <c r="DX2863" s="240"/>
      <c r="DY2863" s="240"/>
      <c r="DZ2863" s="240"/>
      <c r="EA2863" s="240"/>
      <c r="EB2863" s="237"/>
      <c r="EC2863" s="241"/>
      <c r="ED2863" s="241"/>
      <c r="EE2863" s="241"/>
      <c r="EG2863" s="241"/>
    </row>
    <row r="2864" spans="1:137" s="121" customFormat="1" x14ac:dyDescent="0.3">
      <c r="A2864" s="124"/>
      <c r="O2864" s="235"/>
      <c r="X2864" s="117"/>
      <c r="Y2864" s="117"/>
      <c r="DT2864" s="240"/>
      <c r="DU2864" s="240"/>
      <c r="DV2864" s="240"/>
      <c r="DW2864" s="240"/>
      <c r="DX2864" s="240"/>
      <c r="DY2864" s="240"/>
      <c r="DZ2864" s="240"/>
      <c r="EA2864" s="240"/>
      <c r="EB2864" s="237"/>
      <c r="EC2864" s="241"/>
      <c r="ED2864" s="241"/>
      <c r="EE2864" s="241"/>
      <c r="EG2864" s="241"/>
    </row>
    <row r="2865" spans="1:137" s="121" customFormat="1" x14ac:dyDescent="0.3">
      <c r="A2865" s="124"/>
      <c r="O2865" s="235"/>
      <c r="X2865" s="117"/>
      <c r="Y2865" s="117"/>
      <c r="DT2865" s="240"/>
      <c r="DU2865" s="240"/>
      <c r="DV2865" s="240"/>
      <c r="DW2865" s="240"/>
      <c r="DX2865" s="240"/>
      <c r="DY2865" s="240"/>
      <c r="DZ2865" s="240"/>
      <c r="EA2865" s="240"/>
      <c r="EB2865" s="237"/>
      <c r="EC2865" s="241"/>
      <c r="ED2865" s="241"/>
      <c r="EE2865" s="241"/>
      <c r="EG2865" s="241"/>
    </row>
    <row r="2866" spans="1:137" s="121" customFormat="1" x14ac:dyDescent="0.3">
      <c r="A2866" s="124"/>
      <c r="O2866" s="235"/>
      <c r="X2866" s="117"/>
      <c r="Y2866" s="117"/>
      <c r="DT2866" s="240"/>
      <c r="DU2866" s="240"/>
      <c r="DV2866" s="240"/>
      <c r="DW2866" s="240"/>
      <c r="DX2866" s="240"/>
      <c r="DY2866" s="240"/>
      <c r="DZ2866" s="240"/>
      <c r="EA2866" s="240"/>
      <c r="EB2866" s="237"/>
      <c r="EC2866" s="241"/>
      <c r="ED2866" s="241"/>
      <c r="EE2866" s="241"/>
      <c r="EG2866" s="241"/>
    </row>
    <row r="2867" spans="1:137" s="121" customFormat="1" x14ac:dyDescent="0.3">
      <c r="A2867" s="124"/>
      <c r="O2867" s="235"/>
      <c r="X2867" s="117"/>
      <c r="Y2867" s="117"/>
      <c r="DT2867" s="240"/>
      <c r="DU2867" s="240"/>
      <c r="DV2867" s="240"/>
      <c r="DW2867" s="240"/>
      <c r="DX2867" s="240"/>
      <c r="DY2867" s="240"/>
      <c r="DZ2867" s="240"/>
      <c r="EA2867" s="240"/>
      <c r="EB2867" s="237"/>
      <c r="EC2867" s="241"/>
      <c r="ED2867" s="241"/>
      <c r="EE2867" s="241"/>
      <c r="EG2867" s="241"/>
    </row>
    <row r="2868" spans="1:137" s="121" customFormat="1" x14ac:dyDescent="0.3">
      <c r="A2868" s="124"/>
      <c r="O2868" s="235"/>
      <c r="X2868" s="117"/>
      <c r="Y2868" s="117"/>
      <c r="DT2868" s="240"/>
      <c r="DU2868" s="240"/>
      <c r="DV2868" s="240"/>
      <c r="DW2868" s="240"/>
      <c r="DX2868" s="240"/>
      <c r="DY2868" s="240"/>
      <c r="DZ2868" s="240"/>
      <c r="EA2868" s="240"/>
      <c r="EB2868" s="237"/>
      <c r="EC2868" s="241"/>
      <c r="ED2868" s="241"/>
      <c r="EE2868" s="241"/>
      <c r="EG2868" s="241"/>
    </row>
    <row r="2869" spans="1:137" s="121" customFormat="1" x14ac:dyDescent="0.3">
      <c r="A2869" s="124"/>
      <c r="O2869" s="235"/>
      <c r="X2869" s="117"/>
      <c r="Y2869" s="117"/>
      <c r="DT2869" s="240"/>
      <c r="DU2869" s="240"/>
      <c r="DV2869" s="240"/>
      <c r="DW2869" s="240"/>
      <c r="DX2869" s="240"/>
      <c r="DY2869" s="240"/>
      <c r="DZ2869" s="240"/>
      <c r="EA2869" s="240"/>
      <c r="EB2869" s="237"/>
      <c r="EC2869" s="241"/>
      <c r="ED2869" s="241"/>
      <c r="EE2869" s="241"/>
      <c r="EG2869" s="241"/>
    </row>
    <row r="2870" spans="1:137" s="121" customFormat="1" x14ac:dyDescent="0.3">
      <c r="A2870" s="124"/>
      <c r="O2870" s="235"/>
      <c r="X2870" s="117"/>
      <c r="Y2870" s="117"/>
      <c r="DT2870" s="240"/>
      <c r="DU2870" s="240"/>
      <c r="DV2870" s="240"/>
      <c r="DW2870" s="240"/>
      <c r="DX2870" s="240"/>
      <c r="DY2870" s="240"/>
      <c r="DZ2870" s="240"/>
      <c r="EA2870" s="240"/>
      <c r="EB2870" s="237"/>
      <c r="EC2870" s="241"/>
      <c r="ED2870" s="241"/>
      <c r="EE2870" s="241"/>
      <c r="EG2870" s="241"/>
    </row>
    <row r="2871" spans="1:137" s="121" customFormat="1" x14ac:dyDescent="0.3">
      <c r="A2871" s="124"/>
      <c r="O2871" s="235"/>
      <c r="X2871" s="117"/>
      <c r="Y2871" s="117"/>
      <c r="DT2871" s="240"/>
      <c r="DU2871" s="240"/>
      <c r="DV2871" s="240"/>
      <c r="DW2871" s="240"/>
      <c r="DX2871" s="240"/>
      <c r="DY2871" s="240"/>
      <c r="DZ2871" s="240"/>
      <c r="EA2871" s="240"/>
      <c r="EB2871" s="237"/>
      <c r="EC2871" s="241"/>
      <c r="ED2871" s="241"/>
      <c r="EE2871" s="241"/>
      <c r="EG2871" s="241"/>
    </row>
    <row r="2872" spans="1:137" s="121" customFormat="1" x14ac:dyDescent="0.3">
      <c r="A2872" s="124"/>
      <c r="O2872" s="235"/>
      <c r="X2872" s="117"/>
      <c r="Y2872" s="117"/>
      <c r="DT2872" s="240"/>
      <c r="DU2872" s="240"/>
      <c r="DV2872" s="240"/>
      <c r="DW2872" s="240"/>
      <c r="DX2872" s="240"/>
      <c r="DY2872" s="240"/>
      <c r="DZ2872" s="240"/>
      <c r="EA2872" s="240"/>
      <c r="EB2872" s="237"/>
      <c r="EC2872" s="241"/>
      <c r="ED2872" s="241"/>
      <c r="EE2872" s="241"/>
      <c r="EG2872" s="241"/>
    </row>
    <row r="2873" spans="1:137" s="121" customFormat="1" x14ac:dyDescent="0.3">
      <c r="A2873" s="124"/>
      <c r="O2873" s="235"/>
      <c r="X2873" s="117"/>
      <c r="Y2873" s="117"/>
      <c r="DT2873" s="240"/>
      <c r="DU2873" s="240"/>
      <c r="DV2873" s="240"/>
      <c r="DW2873" s="240"/>
      <c r="DX2873" s="240"/>
      <c r="DY2873" s="240"/>
      <c r="DZ2873" s="240"/>
      <c r="EA2873" s="240"/>
      <c r="EB2873" s="237"/>
      <c r="EC2873" s="241"/>
      <c r="ED2873" s="241"/>
      <c r="EE2873" s="241"/>
      <c r="EG2873" s="241"/>
    </row>
    <row r="2874" spans="1:137" s="121" customFormat="1" x14ac:dyDescent="0.3">
      <c r="A2874" s="124"/>
      <c r="O2874" s="235"/>
      <c r="X2874" s="117"/>
      <c r="Y2874" s="117"/>
      <c r="DT2874" s="240"/>
      <c r="DU2874" s="240"/>
      <c r="DV2874" s="240"/>
      <c r="DW2874" s="240"/>
      <c r="DX2874" s="240"/>
      <c r="DY2874" s="240"/>
      <c r="DZ2874" s="240"/>
      <c r="EA2874" s="240"/>
      <c r="EB2874" s="237"/>
      <c r="EC2874" s="241"/>
      <c r="ED2874" s="241"/>
      <c r="EE2874" s="241"/>
      <c r="EG2874" s="241"/>
    </row>
    <row r="2875" spans="1:137" s="121" customFormat="1" x14ac:dyDescent="0.3">
      <c r="A2875" s="124"/>
      <c r="O2875" s="235"/>
      <c r="X2875" s="117"/>
      <c r="Y2875" s="117"/>
      <c r="DT2875" s="240"/>
      <c r="DU2875" s="240"/>
      <c r="DV2875" s="240"/>
      <c r="DW2875" s="240"/>
      <c r="DX2875" s="240"/>
      <c r="DY2875" s="240"/>
      <c r="DZ2875" s="240"/>
      <c r="EA2875" s="240"/>
      <c r="EB2875" s="237"/>
      <c r="EC2875" s="241"/>
      <c r="ED2875" s="241"/>
      <c r="EE2875" s="241"/>
      <c r="EG2875" s="241"/>
    </row>
    <row r="2876" spans="1:137" s="121" customFormat="1" x14ac:dyDescent="0.3">
      <c r="A2876" s="124"/>
      <c r="O2876" s="235"/>
      <c r="X2876" s="117"/>
      <c r="Y2876" s="117"/>
      <c r="DT2876" s="240"/>
      <c r="DU2876" s="240"/>
      <c r="DV2876" s="240"/>
      <c r="DW2876" s="240"/>
      <c r="DX2876" s="240"/>
      <c r="DY2876" s="240"/>
      <c r="DZ2876" s="240"/>
      <c r="EA2876" s="240"/>
      <c r="EB2876" s="237"/>
      <c r="EC2876" s="241"/>
      <c r="ED2876" s="241"/>
      <c r="EE2876" s="241"/>
      <c r="EG2876" s="241"/>
    </row>
    <row r="2877" spans="1:137" s="121" customFormat="1" x14ac:dyDescent="0.3">
      <c r="A2877" s="124"/>
      <c r="O2877" s="235"/>
      <c r="X2877" s="117"/>
      <c r="Y2877" s="117"/>
      <c r="DT2877" s="240"/>
      <c r="DU2877" s="240"/>
      <c r="DV2877" s="240"/>
      <c r="DW2877" s="240"/>
      <c r="DX2877" s="240"/>
      <c r="DY2877" s="240"/>
      <c r="DZ2877" s="240"/>
      <c r="EA2877" s="240"/>
      <c r="EB2877" s="237"/>
      <c r="EC2877" s="241"/>
      <c r="ED2877" s="241"/>
      <c r="EE2877" s="241"/>
      <c r="EG2877" s="241"/>
    </row>
    <row r="2878" spans="1:137" s="121" customFormat="1" x14ac:dyDescent="0.3">
      <c r="A2878" s="124"/>
      <c r="O2878" s="235"/>
      <c r="X2878" s="117"/>
      <c r="Y2878" s="117"/>
      <c r="DT2878" s="240"/>
      <c r="DU2878" s="240"/>
      <c r="DV2878" s="240"/>
      <c r="DW2878" s="240"/>
      <c r="DX2878" s="240"/>
      <c r="DY2878" s="240"/>
      <c r="DZ2878" s="240"/>
      <c r="EA2878" s="240"/>
      <c r="EB2878" s="237"/>
      <c r="EC2878" s="241"/>
      <c r="ED2878" s="241"/>
      <c r="EE2878" s="241"/>
      <c r="EG2878" s="241"/>
    </row>
    <row r="2879" spans="1:137" s="121" customFormat="1" x14ac:dyDescent="0.3">
      <c r="A2879" s="124"/>
      <c r="O2879" s="235"/>
      <c r="X2879" s="117"/>
      <c r="Y2879" s="117"/>
      <c r="DT2879" s="240"/>
      <c r="DU2879" s="240"/>
      <c r="DV2879" s="240"/>
      <c r="DW2879" s="240"/>
      <c r="DX2879" s="240"/>
      <c r="DY2879" s="240"/>
      <c r="DZ2879" s="240"/>
      <c r="EA2879" s="240"/>
      <c r="EB2879" s="237"/>
      <c r="EC2879" s="241"/>
      <c r="ED2879" s="241"/>
      <c r="EE2879" s="241"/>
      <c r="EG2879" s="241"/>
    </row>
    <row r="2880" spans="1:137" s="121" customFormat="1" x14ac:dyDescent="0.3">
      <c r="A2880" s="124"/>
      <c r="O2880" s="235"/>
      <c r="X2880" s="117"/>
      <c r="Y2880" s="117"/>
      <c r="DT2880" s="240"/>
      <c r="DU2880" s="240"/>
      <c r="DV2880" s="240"/>
      <c r="DW2880" s="240"/>
      <c r="DX2880" s="240"/>
      <c r="DY2880" s="240"/>
      <c r="DZ2880" s="240"/>
      <c r="EA2880" s="240"/>
      <c r="EB2880" s="237"/>
      <c r="EC2880" s="241"/>
      <c r="ED2880" s="241"/>
      <c r="EE2880" s="241"/>
      <c r="EG2880" s="241"/>
    </row>
    <row r="2881" spans="1:137" s="121" customFormat="1" x14ac:dyDescent="0.3">
      <c r="A2881" s="124"/>
      <c r="O2881" s="235"/>
      <c r="X2881" s="117"/>
      <c r="Y2881" s="117"/>
      <c r="DT2881" s="240"/>
      <c r="DU2881" s="240"/>
      <c r="DV2881" s="240"/>
      <c r="DW2881" s="240"/>
      <c r="DX2881" s="240"/>
      <c r="DY2881" s="240"/>
      <c r="DZ2881" s="240"/>
      <c r="EA2881" s="240"/>
      <c r="EB2881" s="237"/>
      <c r="EC2881" s="241"/>
      <c r="ED2881" s="241"/>
      <c r="EE2881" s="241"/>
      <c r="EG2881" s="241"/>
    </row>
    <row r="2882" spans="1:137" s="121" customFormat="1" x14ac:dyDescent="0.3">
      <c r="A2882" s="124"/>
      <c r="O2882" s="235"/>
      <c r="X2882" s="117"/>
      <c r="Y2882" s="117"/>
      <c r="DT2882" s="240"/>
      <c r="DU2882" s="240"/>
      <c r="DV2882" s="240"/>
      <c r="DW2882" s="240"/>
      <c r="DX2882" s="240"/>
      <c r="DY2882" s="240"/>
      <c r="DZ2882" s="240"/>
      <c r="EA2882" s="240"/>
      <c r="EB2882" s="237"/>
      <c r="EC2882" s="241"/>
      <c r="ED2882" s="241"/>
      <c r="EE2882" s="241"/>
      <c r="EG2882" s="241"/>
    </row>
    <row r="2883" spans="1:137" s="121" customFormat="1" x14ac:dyDescent="0.3">
      <c r="A2883" s="124"/>
      <c r="O2883" s="235"/>
      <c r="X2883" s="117"/>
      <c r="Y2883" s="117"/>
      <c r="DT2883" s="240"/>
      <c r="DU2883" s="240"/>
      <c r="DV2883" s="240"/>
      <c r="DW2883" s="240"/>
      <c r="DX2883" s="240"/>
      <c r="DY2883" s="240"/>
      <c r="DZ2883" s="240"/>
      <c r="EA2883" s="240"/>
      <c r="EB2883" s="237"/>
      <c r="EC2883" s="241"/>
      <c r="ED2883" s="241"/>
      <c r="EE2883" s="241"/>
      <c r="EG2883" s="241"/>
    </row>
    <row r="2884" spans="1:137" s="121" customFormat="1" x14ac:dyDescent="0.3">
      <c r="A2884" s="124"/>
      <c r="O2884" s="235"/>
      <c r="X2884" s="117"/>
      <c r="Y2884" s="117"/>
      <c r="DT2884" s="240"/>
      <c r="DU2884" s="240"/>
      <c r="DV2884" s="240"/>
      <c r="DW2884" s="240"/>
      <c r="DX2884" s="240"/>
      <c r="DY2884" s="240"/>
      <c r="DZ2884" s="240"/>
      <c r="EA2884" s="240"/>
      <c r="EB2884" s="237"/>
      <c r="EC2884" s="241"/>
      <c r="ED2884" s="241"/>
      <c r="EE2884" s="241"/>
      <c r="EG2884" s="241"/>
    </row>
    <row r="2885" spans="1:137" s="121" customFormat="1" x14ac:dyDescent="0.3">
      <c r="A2885" s="124"/>
      <c r="O2885" s="235"/>
      <c r="X2885" s="117"/>
      <c r="Y2885" s="117"/>
      <c r="DT2885" s="240"/>
      <c r="DU2885" s="240"/>
      <c r="DV2885" s="240"/>
      <c r="DW2885" s="240"/>
      <c r="DX2885" s="240"/>
      <c r="DY2885" s="240"/>
      <c r="DZ2885" s="240"/>
      <c r="EA2885" s="240"/>
      <c r="EB2885" s="237"/>
      <c r="EC2885" s="241"/>
      <c r="ED2885" s="241"/>
      <c r="EE2885" s="241"/>
      <c r="EG2885" s="241"/>
    </row>
    <row r="2886" spans="1:137" s="121" customFormat="1" x14ac:dyDescent="0.3">
      <c r="A2886" s="124"/>
      <c r="O2886" s="235"/>
      <c r="X2886" s="117"/>
      <c r="Y2886" s="117"/>
      <c r="DT2886" s="240"/>
      <c r="DU2886" s="240"/>
      <c r="DV2886" s="240"/>
      <c r="DW2886" s="240"/>
      <c r="DX2886" s="240"/>
      <c r="DY2886" s="240"/>
      <c r="DZ2886" s="240"/>
      <c r="EA2886" s="240"/>
      <c r="EB2886" s="237"/>
      <c r="EC2886" s="241"/>
      <c r="ED2886" s="241"/>
      <c r="EE2886" s="241"/>
      <c r="EG2886" s="241"/>
    </row>
    <row r="2887" spans="1:137" s="121" customFormat="1" x14ac:dyDescent="0.3">
      <c r="A2887" s="124"/>
      <c r="O2887" s="235"/>
      <c r="X2887" s="117"/>
      <c r="Y2887" s="117"/>
      <c r="DT2887" s="240"/>
      <c r="DU2887" s="240"/>
      <c r="DV2887" s="240"/>
      <c r="DW2887" s="240"/>
      <c r="DX2887" s="240"/>
      <c r="DY2887" s="240"/>
      <c r="DZ2887" s="240"/>
      <c r="EA2887" s="240"/>
      <c r="EB2887" s="237"/>
      <c r="EC2887" s="241"/>
      <c r="ED2887" s="241"/>
      <c r="EE2887" s="241"/>
      <c r="EG2887" s="241"/>
    </row>
    <row r="2888" spans="1:137" s="121" customFormat="1" x14ac:dyDescent="0.3">
      <c r="A2888" s="124"/>
      <c r="O2888" s="235"/>
      <c r="X2888" s="117"/>
      <c r="Y2888" s="117"/>
      <c r="DT2888" s="240"/>
      <c r="DU2888" s="240"/>
      <c r="DV2888" s="240"/>
      <c r="DW2888" s="240"/>
      <c r="DX2888" s="240"/>
      <c r="DY2888" s="240"/>
      <c r="DZ2888" s="240"/>
      <c r="EA2888" s="240"/>
      <c r="EB2888" s="237"/>
      <c r="EC2888" s="241"/>
      <c r="ED2888" s="241"/>
      <c r="EE2888" s="241"/>
      <c r="EG2888" s="241"/>
    </row>
    <row r="2889" spans="1:137" s="121" customFormat="1" x14ac:dyDescent="0.3">
      <c r="A2889" s="124"/>
      <c r="O2889" s="235"/>
      <c r="X2889" s="117"/>
      <c r="Y2889" s="117"/>
      <c r="DT2889" s="240"/>
      <c r="DU2889" s="240"/>
      <c r="DV2889" s="240"/>
      <c r="DW2889" s="240"/>
      <c r="DX2889" s="240"/>
      <c r="DY2889" s="240"/>
      <c r="DZ2889" s="240"/>
      <c r="EA2889" s="240"/>
      <c r="EB2889" s="237"/>
      <c r="EC2889" s="241"/>
      <c r="ED2889" s="241"/>
      <c r="EE2889" s="241"/>
      <c r="EG2889" s="241"/>
    </row>
    <row r="2890" spans="1:137" s="121" customFormat="1" x14ac:dyDescent="0.3">
      <c r="A2890" s="124"/>
      <c r="O2890" s="235"/>
      <c r="X2890" s="117"/>
      <c r="Y2890" s="117"/>
      <c r="DT2890" s="240"/>
      <c r="DU2890" s="240"/>
      <c r="DV2890" s="240"/>
      <c r="DW2890" s="240"/>
      <c r="DX2890" s="240"/>
      <c r="DY2890" s="240"/>
      <c r="DZ2890" s="240"/>
      <c r="EA2890" s="240"/>
      <c r="EB2890" s="237"/>
      <c r="EC2890" s="241"/>
      <c r="ED2890" s="241"/>
      <c r="EE2890" s="241"/>
      <c r="EG2890" s="241"/>
    </row>
    <row r="2891" spans="1:137" s="121" customFormat="1" x14ac:dyDescent="0.3">
      <c r="A2891" s="124"/>
      <c r="O2891" s="235"/>
      <c r="X2891" s="117"/>
      <c r="Y2891" s="117"/>
      <c r="DT2891" s="240"/>
      <c r="DU2891" s="240"/>
      <c r="DV2891" s="240"/>
      <c r="DW2891" s="240"/>
      <c r="DX2891" s="240"/>
      <c r="DY2891" s="240"/>
      <c r="DZ2891" s="240"/>
      <c r="EA2891" s="240"/>
      <c r="EB2891" s="237"/>
      <c r="EC2891" s="241"/>
      <c r="ED2891" s="241"/>
      <c r="EE2891" s="241"/>
      <c r="EG2891" s="241"/>
    </row>
    <row r="2892" spans="1:137" s="121" customFormat="1" x14ac:dyDescent="0.3">
      <c r="A2892" s="124"/>
      <c r="O2892" s="235"/>
      <c r="X2892" s="117"/>
      <c r="Y2892" s="117"/>
      <c r="DT2892" s="240"/>
      <c r="DU2892" s="240"/>
      <c r="DV2892" s="240"/>
      <c r="DW2892" s="240"/>
      <c r="DX2892" s="240"/>
      <c r="DY2892" s="240"/>
      <c r="DZ2892" s="240"/>
      <c r="EA2892" s="240"/>
      <c r="EB2892" s="237"/>
      <c r="EC2892" s="241"/>
      <c r="ED2892" s="241"/>
      <c r="EE2892" s="241"/>
      <c r="EG2892" s="241"/>
    </row>
    <row r="2893" spans="1:137" s="121" customFormat="1" x14ac:dyDescent="0.3">
      <c r="A2893" s="124"/>
      <c r="O2893" s="235"/>
      <c r="X2893" s="117"/>
      <c r="Y2893" s="117"/>
      <c r="DT2893" s="240"/>
      <c r="DU2893" s="240"/>
      <c r="DV2893" s="240"/>
      <c r="DW2893" s="240"/>
      <c r="DX2893" s="240"/>
      <c r="DY2893" s="240"/>
      <c r="DZ2893" s="240"/>
      <c r="EA2893" s="240"/>
      <c r="EB2893" s="237"/>
      <c r="EC2893" s="241"/>
      <c r="ED2893" s="241"/>
      <c r="EE2893" s="241"/>
      <c r="EG2893" s="241"/>
    </row>
    <row r="2894" spans="1:137" s="121" customFormat="1" x14ac:dyDescent="0.3">
      <c r="A2894" s="124"/>
      <c r="O2894" s="235"/>
      <c r="X2894" s="117"/>
      <c r="Y2894" s="117"/>
      <c r="DT2894" s="240"/>
      <c r="DU2894" s="240"/>
      <c r="DV2894" s="240"/>
      <c r="DW2894" s="240"/>
      <c r="DX2894" s="240"/>
      <c r="DY2894" s="240"/>
      <c r="DZ2894" s="240"/>
      <c r="EA2894" s="240"/>
      <c r="EB2894" s="237"/>
      <c r="EC2894" s="241"/>
      <c r="ED2894" s="241"/>
      <c r="EE2894" s="241"/>
      <c r="EG2894" s="241"/>
    </row>
    <row r="2895" spans="1:137" s="121" customFormat="1" x14ac:dyDescent="0.3">
      <c r="A2895" s="124"/>
      <c r="O2895" s="235"/>
      <c r="X2895" s="117"/>
      <c r="Y2895" s="117"/>
      <c r="DT2895" s="240"/>
      <c r="DU2895" s="240"/>
      <c r="DV2895" s="240"/>
      <c r="DW2895" s="240"/>
      <c r="DX2895" s="240"/>
      <c r="DY2895" s="240"/>
      <c r="DZ2895" s="240"/>
      <c r="EA2895" s="240"/>
      <c r="EB2895" s="237"/>
      <c r="EC2895" s="241"/>
      <c r="ED2895" s="241"/>
      <c r="EE2895" s="241"/>
      <c r="EG2895" s="241"/>
    </row>
    <row r="2896" spans="1:137" s="121" customFormat="1" x14ac:dyDescent="0.3">
      <c r="A2896" s="124"/>
      <c r="O2896" s="235"/>
      <c r="X2896" s="117"/>
      <c r="Y2896" s="117"/>
      <c r="DT2896" s="240"/>
      <c r="DU2896" s="240"/>
      <c r="DV2896" s="240"/>
      <c r="DW2896" s="240"/>
      <c r="DX2896" s="240"/>
      <c r="DY2896" s="240"/>
      <c r="DZ2896" s="240"/>
      <c r="EA2896" s="240"/>
      <c r="EB2896" s="237"/>
      <c r="EC2896" s="241"/>
      <c r="ED2896" s="241"/>
      <c r="EE2896" s="241"/>
      <c r="EG2896" s="241"/>
    </row>
    <row r="2897" spans="1:137" s="121" customFormat="1" x14ac:dyDescent="0.3">
      <c r="A2897" s="124"/>
      <c r="O2897" s="235"/>
      <c r="X2897" s="117"/>
      <c r="Y2897" s="117"/>
      <c r="DT2897" s="240"/>
      <c r="DU2897" s="240"/>
      <c r="DV2897" s="240"/>
      <c r="DW2897" s="240"/>
      <c r="DX2897" s="240"/>
      <c r="DY2897" s="240"/>
      <c r="DZ2897" s="240"/>
      <c r="EA2897" s="240"/>
      <c r="EB2897" s="237"/>
      <c r="EC2897" s="241"/>
      <c r="ED2897" s="241"/>
      <c r="EE2897" s="241"/>
      <c r="EG2897" s="241"/>
    </row>
    <row r="2898" spans="1:137" s="121" customFormat="1" x14ac:dyDescent="0.3">
      <c r="A2898" s="124"/>
      <c r="O2898" s="235"/>
      <c r="X2898" s="117"/>
      <c r="Y2898" s="117"/>
      <c r="DT2898" s="240"/>
      <c r="DU2898" s="240"/>
      <c r="DV2898" s="240"/>
      <c r="DW2898" s="240"/>
      <c r="DX2898" s="240"/>
      <c r="DY2898" s="240"/>
      <c r="DZ2898" s="240"/>
      <c r="EA2898" s="240"/>
      <c r="EB2898" s="237"/>
      <c r="EC2898" s="241"/>
      <c r="ED2898" s="241"/>
      <c r="EE2898" s="241"/>
      <c r="EG2898" s="241"/>
    </row>
    <row r="2899" spans="1:137" s="121" customFormat="1" x14ac:dyDescent="0.3">
      <c r="A2899" s="124"/>
      <c r="O2899" s="235"/>
      <c r="X2899" s="117"/>
      <c r="Y2899" s="117"/>
      <c r="DT2899" s="240"/>
      <c r="DU2899" s="240"/>
      <c r="DV2899" s="240"/>
      <c r="DW2899" s="240"/>
      <c r="DX2899" s="240"/>
      <c r="DY2899" s="240"/>
      <c r="DZ2899" s="240"/>
      <c r="EA2899" s="240"/>
      <c r="EB2899" s="237"/>
      <c r="EC2899" s="241"/>
      <c r="ED2899" s="241"/>
      <c r="EE2899" s="241"/>
      <c r="EG2899" s="241"/>
    </row>
    <row r="2900" spans="1:137" s="121" customFormat="1" x14ac:dyDescent="0.3">
      <c r="A2900" s="124"/>
      <c r="O2900" s="235"/>
      <c r="X2900" s="117"/>
      <c r="Y2900" s="117"/>
      <c r="DT2900" s="240"/>
      <c r="DU2900" s="240"/>
      <c r="DV2900" s="240"/>
      <c r="DW2900" s="240"/>
      <c r="DX2900" s="240"/>
      <c r="DY2900" s="240"/>
      <c r="DZ2900" s="240"/>
      <c r="EA2900" s="240"/>
      <c r="EB2900" s="237"/>
      <c r="EC2900" s="241"/>
      <c r="ED2900" s="241"/>
      <c r="EE2900" s="241"/>
      <c r="EG2900" s="241"/>
    </row>
    <row r="2901" spans="1:137" s="121" customFormat="1" x14ac:dyDescent="0.3">
      <c r="A2901" s="124"/>
      <c r="O2901" s="235"/>
      <c r="X2901" s="117"/>
      <c r="Y2901" s="117"/>
      <c r="DT2901" s="240"/>
      <c r="DU2901" s="240"/>
      <c r="DV2901" s="240"/>
      <c r="DW2901" s="240"/>
      <c r="DX2901" s="240"/>
      <c r="DY2901" s="240"/>
      <c r="DZ2901" s="240"/>
      <c r="EA2901" s="240"/>
      <c r="EB2901" s="237"/>
      <c r="EC2901" s="241"/>
      <c r="ED2901" s="241"/>
      <c r="EE2901" s="241"/>
      <c r="EG2901" s="241"/>
    </row>
    <row r="2902" spans="1:137" s="121" customFormat="1" x14ac:dyDescent="0.3">
      <c r="A2902" s="124"/>
      <c r="O2902" s="235"/>
      <c r="X2902" s="117"/>
      <c r="Y2902" s="117"/>
      <c r="DT2902" s="240"/>
      <c r="DU2902" s="240"/>
      <c r="DV2902" s="240"/>
      <c r="DW2902" s="240"/>
      <c r="DX2902" s="240"/>
      <c r="DY2902" s="240"/>
      <c r="DZ2902" s="240"/>
      <c r="EA2902" s="240"/>
      <c r="EB2902" s="237"/>
      <c r="EC2902" s="241"/>
      <c r="ED2902" s="241"/>
      <c r="EE2902" s="241"/>
      <c r="EG2902" s="241"/>
    </row>
    <row r="2903" spans="1:137" s="121" customFormat="1" x14ac:dyDescent="0.3">
      <c r="A2903" s="124"/>
      <c r="O2903" s="235"/>
      <c r="X2903" s="117"/>
      <c r="Y2903" s="117"/>
      <c r="DT2903" s="240"/>
      <c r="DU2903" s="240"/>
      <c r="DV2903" s="240"/>
      <c r="DW2903" s="240"/>
      <c r="DX2903" s="240"/>
      <c r="DY2903" s="240"/>
      <c r="DZ2903" s="240"/>
      <c r="EA2903" s="240"/>
      <c r="EB2903" s="237"/>
      <c r="EC2903" s="241"/>
      <c r="ED2903" s="241"/>
      <c r="EE2903" s="241"/>
      <c r="EG2903" s="241"/>
    </row>
    <row r="2904" spans="1:137" s="121" customFormat="1" x14ac:dyDescent="0.3">
      <c r="A2904" s="124"/>
      <c r="O2904" s="235"/>
      <c r="X2904" s="117"/>
      <c r="Y2904" s="117"/>
      <c r="DT2904" s="240"/>
      <c r="DU2904" s="240"/>
      <c r="DV2904" s="240"/>
      <c r="DW2904" s="240"/>
      <c r="DX2904" s="240"/>
      <c r="DY2904" s="240"/>
      <c r="DZ2904" s="240"/>
      <c r="EA2904" s="240"/>
      <c r="EB2904" s="237"/>
      <c r="EC2904" s="241"/>
      <c r="ED2904" s="241"/>
      <c r="EE2904" s="241"/>
      <c r="EG2904" s="241"/>
    </row>
    <row r="2905" spans="1:137" s="121" customFormat="1" x14ac:dyDescent="0.3">
      <c r="A2905" s="124"/>
      <c r="O2905" s="235"/>
      <c r="X2905" s="117"/>
      <c r="Y2905" s="117"/>
      <c r="DT2905" s="240"/>
      <c r="DU2905" s="240"/>
      <c r="DV2905" s="240"/>
      <c r="DW2905" s="240"/>
      <c r="DX2905" s="240"/>
      <c r="DY2905" s="240"/>
      <c r="DZ2905" s="240"/>
      <c r="EA2905" s="240"/>
      <c r="EB2905" s="237"/>
      <c r="EC2905" s="241"/>
      <c r="ED2905" s="241"/>
      <c r="EE2905" s="241"/>
      <c r="EG2905" s="241"/>
    </row>
    <row r="2906" spans="1:137" s="121" customFormat="1" x14ac:dyDescent="0.3">
      <c r="A2906" s="124"/>
      <c r="O2906" s="235"/>
      <c r="X2906" s="117"/>
      <c r="Y2906" s="117"/>
      <c r="DT2906" s="240"/>
      <c r="DU2906" s="240"/>
      <c r="DV2906" s="240"/>
      <c r="DW2906" s="240"/>
      <c r="DX2906" s="240"/>
      <c r="DY2906" s="240"/>
      <c r="DZ2906" s="240"/>
      <c r="EA2906" s="240"/>
      <c r="EB2906" s="237"/>
      <c r="EC2906" s="241"/>
      <c r="ED2906" s="241"/>
      <c r="EE2906" s="241"/>
      <c r="EG2906" s="241"/>
    </row>
    <row r="2907" spans="1:137" s="121" customFormat="1" x14ac:dyDescent="0.3">
      <c r="A2907" s="124"/>
      <c r="O2907" s="235"/>
      <c r="X2907" s="117"/>
      <c r="Y2907" s="117"/>
      <c r="DT2907" s="240"/>
      <c r="DU2907" s="240"/>
      <c r="DV2907" s="240"/>
      <c r="DW2907" s="240"/>
      <c r="DX2907" s="240"/>
      <c r="DY2907" s="240"/>
      <c r="DZ2907" s="240"/>
      <c r="EA2907" s="240"/>
      <c r="EB2907" s="237"/>
      <c r="EC2907" s="241"/>
      <c r="ED2907" s="241"/>
      <c r="EE2907" s="241"/>
      <c r="EG2907" s="241"/>
    </row>
    <row r="2908" spans="1:137" s="121" customFormat="1" x14ac:dyDescent="0.3">
      <c r="A2908" s="124"/>
      <c r="O2908" s="235"/>
      <c r="X2908" s="117"/>
      <c r="Y2908" s="117"/>
      <c r="DT2908" s="240"/>
      <c r="DU2908" s="240"/>
      <c r="DV2908" s="240"/>
      <c r="DW2908" s="240"/>
      <c r="DX2908" s="240"/>
      <c r="DY2908" s="240"/>
      <c r="DZ2908" s="240"/>
      <c r="EA2908" s="240"/>
      <c r="EB2908" s="237"/>
      <c r="EC2908" s="241"/>
      <c r="ED2908" s="241"/>
      <c r="EE2908" s="241"/>
      <c r="EG2908" s="241"/>
    </row>
    <row r="2909" spans="1:137" s="121" customFormat="1" x14ac:dyDescent="0.3">
      <c r="A2909" s="124"/>
      <c r="O2909" s="235"/>
      <c r="X2909" s="117"/>
      <c r="Y2909" s="117"/>
      <c r="DT2909" s="240"/>
      <c r="DU2909" s="240"/>
      <c r="DV2909" s="240"/>
      <c r="DW2909" s="240"/>
      <c r="DX2909" s="240"/>
      <c r="DY2909" s="240"/>
      <c r="DZ2909" s="240"/>
      <c r="EA2909" s="240"/>
      <c r="EB2909" s="237"/>
      <c r="EC2909" s="241"/>
      <c r="ED2909" s="241"/>
      <c r="EE2909" s="241"/>
      <c r="EG2909" s="241"/>
    </row>
    <row r="2910" spans="1:137" s="121" customFormat="1" x14ac:dyDescent="0.3">
      <c r="A2910" s="124"/>
      <c r="O2910" s="235"/>
      <c r="X2910" s="117"/>
      <c r="Y2910" s="117"/>
      <c r="DT2910" s="240"/>
      <c r="DU2910" s="240"/>
      <c r="DV2910" s="240"/>
      <c r="DW2910" s="240"/>
      <c r="DX2910" s="240"/>
      <c r="DY2910" s="240"/>
      <c r="DZ2910" s="240"/>
      <c r="EA2910" s="240"/>
      <c r="EB2910" s="237"/>
      <c r="EC2910" s="241"/>
      <c r="ED2910" s="241"/>
      <c r="EE2910" s="241"/>
      <c r="EG2910" s="241"/>
    </row>
    <row r="2911" spans="1:137" s="121" customFormat="1" ht="13.8" x14ac:dyDescent="0.3">
      <c r="A2911" s="124"/>
      <c r="O2911" s="235"/>
      <c r="T2911" s="242" t="s">
        <v>95</v>
      </c>
      <c r="X2911" s="117"/>
      <c r="Y2911" s="117"/>
      <c r="DT2911" s="240"/>
      <c r="DU2911" s="240"/>
      <c r="DV2911" s="240"/>
      <c r="DW2911" s="240"/>
      <c r="DX2911" s="240"/>
      <c r="DY2911" s="240"/>
      <c r="DZ2911" s="240"/>
      <c r="EA2911" s="240"/>
      <c r="EB2911" s="237"/>
      <c r="EC2911" s="241"/>
      <c r="ED2911" s="241"/>
      <c r="EE2911" s="241"/>
      <c r="EG2911" s="241"/>
    </row>
    <row r="2912" spans="1:137" s="121" customFormat="1" x14ac:dyDescent="0.3">
      <c r="A2912" s="124"/>
      <c r="O2912" s="235"/>
      <c r="X2912" s="117"/>
      <c r="Y2912" s="117"/>
      <c r="DT2912" s="240"/>
      <c r="DU2912" s="240"/>
      <c r="DV2912" s="240"/>
      <c r="DW2912" s="240"/>
      <c r="DX2912" s="240"/>
      <c r="DY2912" s="240"/>
      <c r="DZ2912" s="240"/>
      <c r="EA2912" s="240"/>
      <c r="EB2912" s="237"/>
      <c r="EC2912" s="241"/>
      <c r="ED2912" s="241"/>
      <c r="EE2912" s="241"/>
      <c r="EG2912" s="241"/>
    </row>
    <row r="2913" spans="1:137" s="121" customFormat="1" x14ac:dyDescent="0.3">
      <c r="A2913" s="124"/>
      <c r="O2913" s="235"/>
      <c r="X2913" s="117"/>
      <c r="Y2913" s="117"/>
      <c r="DT2913" s="240"/>
      <c r="DU2913" s="240"/>
      <c r="DV2913" s="240"/>
      <c r="DW2913" s="240"/>
      <c r="DX2913" s="240"/>
      <c r="DY2913" s="240"/>
      <c r="DZ2913" s="240"/>
      <c r="EA2913" s="240"/>
      <c r="EB2913" s="237"/>
      <c r="EC2913" s="241"/>
      <c r="ED2913" s="241"/>
      <c r="EE2913" s="241"/>
      <c r="EG2913" s="241"/>
    </row>
    <row r="2914" spans="1:137" s="121" customFormat="1" x14ac:dyDescent="0.3">
      <c r="A2914" s="124"/>
      <c r="O2914" s="235"/>
      <c r="X2914" s="117"/>
      <c r="Y2914" s="117"/>
      <c r="DT2914" s="240"/>
      <c r="DU2914" s="240"/>
      <c r="DV2914" s="240"/>
      <c r="DW2914" s="240"/>
      <c r="DX2914" s="240"/>
      <c r="DY2914" s="240"/>
      <c r="DZ2914" s="240"/>
      <c r="EA2914" s="240"/>
      <c r="EB2914" s="237"/>
      <c r="EC2914" s="241"/>
      <c r="ED2914" s="241"/>
      <c r="EE2914" s="241"/>
      <c r="EG2914" s="241"/>
    </row>
    <row r="2915" spans="1:137" s="121" customFormat="1" x14ac:dyDescent="0.3">
      <c r="A2915" s="124"/>
      <c r="O2915" s="235"/>
      <c r="X2915" s="117"/>
      <c r="Y2915" s="117"/>
      <c r="DT2915" s="240"/>
      <c r="DU2915" s="240"/>
      <c r="DV2915" s="240"/>
      <c r="DW2915" s="240"/>
      <c r="DX2915" s="240"/>
      <c r="DY2915" s="240"/>
      <c r="DZ2915" s="240"/>
      <c r="EA2915" s="240"/>
      <c r="EB2915" s="237"/>
      <c r="EC2915" s="241"/>
      <c r="ED2915" s="241"/>
      <c r="EE2915" s="241"/>
      <c r="EG2915" s="241"/>
    </row>
    <row r="2916" spans="1:137" s="121" customFormat="1" x14ac:dyDescent="0.3">
      <c r="A2916" s="124"/>
      <c r="O2916" s="235"/>
      <c r="X2916" s="117"/>
      <c r="Y2916" s="117"/>
      <c r="DT2916" s="240"/>
      <c r="DU2916" s="240"/>
      <c r="DV2916" s="240"/>
      <c r="DW2916" s="240"/>
      <c r="DX2916" s="240"/>
      <c r="DY2916" s="240"/>
      <c r="DZ2916" s="240"/>
      <c r="EA2916" s="240"/>
      <c r="EB2916" s="237"/>
      <c r="EC2916" s="241"/>
      <c r="ED2916" s="241"/>
      <c r="EE2916" s="241"/>
      <c r="EG2916" s="241"/>
    </row>
    <row r="2917" spans="1:137" s="121" customFormat="1" x14ac:dyDescent="0.3">
      <c r="A2917" s="124"/>
      <c r="O2917" s="235"/>
      <c r="X2917" s="117"/>
      <c r="Y2917" s="117"/>
      <c r="DT2917" s="240"/>
      <c r="DU2917" s="240"/>
      <c r="DV2917" s="240"/>
      <c r="DW2917" s="240"/>
      <c r="DX2917" s="240"/>
      <c r="DY2917" s="240"/>
      <c r="DZ2917" s="240"/>
      <c r="EA2917" s="240"/>
      <c r="EB2917" s="237"/>
      <c r="EC2917" s="241"/>
      <c r="ED2917" s="241"/>
      <c r="EE2917" s="241"/>
      <c r="EG2917" s="241"/>
    </row>
    <row r="2918" spans="1:137" s="121" customFormat="1" x14ac:dyDescent="0.3">
      <c r="A2918" s="124"/>
      <c r="O2918" s="235"/>
      <c r="X2918" s="117"/>
      <c r="Y2918" s="117"/>
      <c r="DT2918" s="240"/>
      <c r="DU2918" s="240"/>
      <c r="DV2918" s="240"/>
      <c r="DW2918" s="240"/>
      <c r="DX2918" s="240"/>
      <c r="DY2918" s="240"/>
      <c r="DZ2918" s="240"/>
      <c r="EA2918" s="240"/>
      <c r="EB2918" s="237"/>
      <c r="EC2918" s="241"/>
      <c r="ED2918" s="241"/>
      <c r="EE2918" s="241"/>
      <c r="EG2918" s="241"/>
    </row>
    <row r="2919" spans="1:137" s="121" customFormat="1" x14ac:dyDescent="0.3">
      <c r="A2919" s="124"/>
      <c r="O2919" s="235"/>
      <c r="X2919" s="117"/>
      <c r="Y2919" s="117"/>
      <c r="DT2919" s="240"/>
      <c r="DU2919" s="240"/>
      <c r="DV2919" s="240"/>
      <c r="DW2919" s="240"/>
      <c r="DX2919" s="240"/>
      <c r="DY2919" s="240"/>
      <c r="DZ2919" s="240"/>
      <c r="EA2919" s="240"/>
      <c r="EB2919" s="237"/>
      <c r="EC2919" s="241"/>
      <c r="ED2919" s="241"/>
      <c r="EE2919" s="241"/>
      <c r="EG2919" s="241"/>
    </row>
    <row r="2920" spans="1:137" s="121" customFormat="1" x14ac:dyDescent="0.3">
      <c r="A2920" s="124"/>
      <c r="O2920" s="235"/>
      <c r="X2920" s="117"/>
      <c r="Y2920" s="117"/>
      <c r="DT2920" s="240"/>
      <c r="DU2920" s="240"/>
      <c r="DV2920" s="240"/>
      <c r="DW2920" s="240"/>
      <c r="DX2920" s="240"/>
      <c r="DY2920" s="240"/>
      <c r="DZ2920" s="240"/>
      <c r="EA2920" s="240"/>
      <c r="EB2920" s="237"/>
      <c r="EC2920" s="241"/>
      <c r="ED2920" s="241"/>
      <c r="EE2920" s="241"/>
      <c r="EG2920" s="241"/>
    </row>
    <row r="2921" spans="1:137" s="121" customFormat="1" x14ac:dyDescent="0.3">
      <c r="A2921" s="124"/>
      <c r="O2921" s="235"/>
      <c r="X2921" s="117"/>
      <c r="Y2921" s="117"/>
      <c r="DT2921" s="240"/>
      <c r="DU2921" s="240"/>
      <c r="DV2921" s="240"/>
      <c r="DW2921" s="240"/>
      <c r="DX2921" s="240"/>
      <c r="DY2921" s="240"/>
      <c r="DZ2921" s="240"/>
      <c r="EA2921" s="240"/>
      <c r="EB2921" s="237"/>
      <c r="EC2921" s="241"/>
      <c r="ED2921" s="241"/>
      <c r="EE2921" s="241"/>
      <c r="EG2921" s="241"/>
    </row>
    <row r="2922" spans="1:137" s="121" customFormat="1" x14ac:dyDescent="0.3">
      <c r="A2922" s="124"/>
      <c r="O2922" s="235"/>
      <c r="X2922" s="117"/>
      <c r="Y2922" s="117"/>
      <c r="DT2922" s="240"/>
      <c r="DU2922" s="240"/>
      <c r="DV2922" s="240"/>
      <c r="DW2922" s="240"/>
      <c r="DX2922" s="240"/>
      <c r="DY2922" s="240"/>
      <c r="DZ2922" s="240"/>
      <c r="EA2922" s="240"/>
      <c r="EB2922" s="237"/>
      <c r="EC2922" s="241"/>
      <c r="ED2922" s="241"/>
      <c r="EE2922" s="241"/>
      <c r="EG2922" s="241"/>
    </row>
    <row r="2923" spans="1:137" s="121" customFormat="1" x14ac:dyDescent="0.3">
      <c r="A2923" s="124"/>
      <c r="O2923" s="235"/>
      <c r="X2923" s="117"/>
      <c r="Y2923" s="117"/>
      <c r="DT2923" s="240"/>
      <c r="DU2923" s="240"/>
      <c r="DV2923" s="240"/>
      <c r="DW2923" s="240"/>
      <c r="DX2923" s="240"/>
      <c r="DY2923" s="240"/>
      <c r="DZ2923" s="240"/>
      <c r="EA2923" s="240"/>
      <c r="EB2923" s="237"/>
      <c r="EC2923" s="241"/>
      <c r="ED2923" s="241"/>
      <c r="EE2923" s="241"/>
      <c r="EG2923" s="241"/>
    </row>
    <row r="2924" spans="1:137" s="121" customFormat="1" x14ac:dyDescent="0.3">
      <c r="A2924" s="124"/>
      <c r="O2924" s="235"/>
      <c r="X2924" s="117"/>
      <c r="Y2924" s="117"/>
      <c r="DT2924" s="240"/>
      <c r="DU2924" s="240"/>
      <c r="DV2924" s="240"/>
      <c r="DW2924" s="240"/>
      <c r="DX2924" s="240"/>
      <c r="DY2924" s="240"/>
      <c r="DZ2924" s="240"/>
      <c r="EA2924" s="240"/>
      <c r="EB2924" s="237"/>
      <c r="EC2924" s="241"/>
      <c r="ED2924" s="241"/>
      <c r="EE2924" s="241"/>
      <c r="EG2924" s="241"/>
    </row>
    <row r="2925" spans="1:137" s="121" customFormat="1" x14ac:dyDescent="0.3">
      <c r="A2925" s="124"/>
      <c r="O2925" s="235"/>
      <c r="X2925" s="117"/>
      <c r="Y2925" s="117"/>
      <c r="DT2925" s="240"/>
      <c r="DU2925" s="240"/>
      <c r="DV2925" s="240"/>
      <c r="DW2925" s="240"/>
      <c r="DX2925" s="240"/>
      <c r="DY2925" s="240"/>
      <c r="DZ2925" s="240"/>
      <c r="EA2925" s="240"/>
      <c r="EB2925" s="237"/>
      <c r="EC2925" s="241"/>
      <c r="ED2925" s="241"/>
      <c r="EE2925" s="241"/>
      <c r="EG2925" s="241"/>
    </row>
    <row r="2926" spans="1:137" s="121" customFormat="1" x14ac:dyDescent="0.3">
      <c r="A2926" s="124"/>
      <c r="O2926" s="235"/>
      <c r="X2926" s="117"/>
      <c r="Y2926" s="117"/>
      <c r="DT2926" s="240"/>
      <c r="DU2926" s="240"/>
      <c r="DV2926" s="240"/>
      <c r="DW2926" s="240"/>
      <c r="DX2926" s="240"/>
      <c r="DY2926" s="240"/>
      <c r="DZ2926" s="240"/>
      <c r="EA2926" s="240"/>
      <c r="EB2926" s="237"/>
      <c r="EC2926" s="241"/>
      <c r="ED2926" s="241"/>
      <c r="EE2926" s="241"/>
      <c r="EG2926" s="241"/>
    </row>
    <row r="2927" spans="1:137" s="121" customFormat="1" x14ac:dyDescent="0.3">
      <c r="A2927" s="124"/>
      <c r="O2927" s="235"/>
      <c r="X2927" s="117"/>
      <c r="Y2927" s="117"/>
      <c r="DT2927" s="240"/>
      <c r="DU2927" s="240"/>
      <c r="DV2927" s="240"/>
      <c r="DW2927" s="240"/>
      <c r="DX2927" s="240"/>
      <c r="DY2927" s="240"/>
      <c r="DZ2927" s="240"/>
      <c r="EA2927" s="240"/>
      <c r="EB2927" s="237"/>
      <c r="EC2927" s="241"/>
      <c r="ED2927" s="241"/>
      <c r="EE2927" s="241"/>
      <c r="EG2927" s="241"/>
    </row>
    <row r="2928" spans="1:137" s="121" customFormat="1" x14ac:dyDescent="0.3">
      <c r="A2928" s="124"/>
      <c r="O2928" s="235"/>
      <c r="X2928" s="117"/>
      <c r="Y2928" s="117"/>
      <c r="DT2928" s="240"/>
      <c r="DU2928" s="240"/>
      <c r="DV2928" s="240"/>
      <c r="DW2928" s="240"/>
      <c r="DX2928" s="240"/>
      <c r="DY2928" s="240"/>
      <c r="DZ2928" s="240"/>
      <c r="EA2928" s="240"/>
      <c r="EB2928" s="237"/>
      <c r="EC2928" s="241"/>
      <c r="ED2928" s="241"/>
      <c r="EE2928" s="241"/>
      <c r="EG2928" s="241"/>
    </row>
    <row r="2929" spans="1:137" s="121" customFormat="1" x14ac:dyDescent="0.3">
      <c r="A2929" s="124"/>
      <c r="O2929" s="235"/>
      <c r="X2929" s="117"/>
      <c r="Y2929" s="117"/>
      <c r="DT2929" s="240"/>
      <c r="DU2929" s="240"/>
      <c r="DV2929" s="240"/>
      <c r="DW2929" s="240"/>
      <c r="DX2929" s="240"/>
      <c r="DY2929" s="240"/>
      <c r="DZ2929" s="240"/>
      <c r="EA2929" s="240"/>
      <c r="EB2929" s="237"/>
      <c r="EC2929" s="241"/>
      <c r="ED2929" s="241"/>
      <c r="EE2929" s="241"/>
      <c r="EG2929" s="241"/>
    </row>
    <row r="2930" spans="1:137" s="121" customFormat="1" x14ac:dyDescent="0.3">
      <c r="A2930" s="124"/>
      <c r="O2930" s="235"/>
      <c r="X2930" s="117"/>
      <c r="Y2930" s="117"/>
      <c r="DT2930" s="240"/>
      <c r="DU2930" s="240"/>
      <c r="DV2930" s="240"/>
      <c r="DW2930" s="240"/>
      <c r="DX2930" s="240"/>
      <c r="DY2930" s="240"/>
      <c r="DZ2930" s="240"/>
      <c r="EA2930" s="240"/>
      <c r="EB2930" s="237"/>
      <c r="EC2930" s="241"/>
      <c r="ED2930" s="241"/>
      <c r="EE2930" s="241"/>
      <c r="EG2930" s="241"/>
    </row>
    <row r="2931" spans="1:137" s="121" customFormat="1" x14ac:dyDescent="0.3">
      <c r="A2931" s="124"/>
      <c r="O2931" s="235"/>
      <c r="X2931" s="117"/>
      <c r="Y2931" s="117"/>
      <c r="DT2931" s="240"/>
      <c r="DU2931" s="240"/>
      <c r="DV2931" s="240"/>
      <c r="DW2931" s="240"/>
      <c r="DX2931" s="240"/>
      <c r="DY2931" s="240"/>
      <c r="DZ2931" s="240"/>
      <c r="EA2931" s="240"/>
      <c r="EB2931" s="237"/>
      <c r="EC2931" s="241"/>
      <c r="ED2931" s="241"/>
      <c r="EE2931" s="241"/>
      <c r="EG2931" s="241"/>
    </row>
    <row r="2932" spans="1:137" s="121" customFormat="1" x14ac:dyDescent="0.3">
      <c r="A2932" s="124"/>
      <c r="O2932" s="235"/>
      <c r="X2932" s="117"/>
      <c r="Y2932" s="117"/>
      <c r="DT2932" s="240"/>
      <c r="DU2932" s="240"/>
      <c r="DV2932" s="240"/>
      <c r="DW2932" s="240"/>
      <c r="DX2932" s="240"/>
      <c r="DY2932" s="240"/>
      <c r="DZ2932" s="240"/>
      <c r="EA2932" s="240"/>
      <c r="EB2932" s="237"/>
      <c r="EC2932" s="241"/>
      <c r="ED2932" s="241"/>
      <c r="EE2932" s="241"/>
      <c r="EG2932" s="241"/>
    </row>
    <row r="2933" spans="1:137" s="121" customFormat="1" x14ac:dyDescent="0.3">
      <c r="A2933" s="124"/>
      <c r="O2933" s="235"/>
      <c r="X2933" s="117"/>
      <c r="Y2933" s="117"/>
      <c r="DT2933" s="240"/>
      <c r="DU2933" s="240"/>
      <c r="DV2933" s="240"/>
      <c r="DW2933" s="240"/>
      <c r="DX2933" s="240"/>
      <c r="DY2933" s="240"/>
      <c r="DZ2933" s="240"/>
      <c r="EA2933" s="240"/>
      <c r="EB2933" s="237"/>
      <c r="EC2933" s="241"/>
      <c r="ED2933" s="241"/>
      <c r="EE2933" s="241"/>
      <c r="EG2933" s="241"/>
    </row>
    <row r="2934" spans="1:137" s="121" customFormat="1" x14ac:dyDescent="0.3">
      <c r="A2934" s="124"/>
      <c r="O2934" s="235"/>
      <c r="X2934" s="117"/>
      <c r="Y2934" s="117"/>
      <c r="DT2934" s="240"/>
      <c r="DU2934" s="240"/>
      <c r="DV2934" s="240"/>
      <c r="DW2934" s="240"/>
      <c r="DX2934" s="240"/>
      <c r="DY2934" s="240"/>
      <c r="DZ2934" s="240"/>
      <c r="EA2934" s="240"/>
      <c r="EB2934" s="237"/>
      <c r="EC2934" s="241"/>
      <c r="ED2934" s="241"/>
      <c r="EE2934" s="241"/>
      <c r="EG2934" s="241"/>
    </row>
    <row r="2935" spans="1:137" s="121" customFormat="1" x14ac:dyDescent="0.3">
      <c r="A2935" s="124"/>
      <c r="O2935" s="235"/>
      <c r="X2935" s="117"/>
      <c r="Y2935" s="117"/>
      <c r="DT2935" s="240"/>
      <c r="DU2935" s="240"/>
      <c r="DV2935" s="240"/>
      <c r="DW2935" s="240"/>
      <c r="DX2935" s="240"/>
      <c r="DY2935" s="240"/>
      <c r="DZ2935" s="240"/>
      <c r="EA2935" s="240"/>
      <c r="EB2935" s="237"/>
      <c r="EC2935" s="241"/>
      <c r="ED2935" s="241"/>
      <c r="EE2935" s="241"/>
      <c r="EG2935" s="241"/>
    </row>
    <row r="2936" spans="1:137" s="121" customFormat="1" x14ac:dyDescent="0.3">
      <c r="A2936" s="124"/>
      <c r="O2936" s="235"/>
      <c r="X2936" s="117"/>
      <c r="Y2936" s="117"/>
      <c r="DT2936" s="240"/>
      <c r="DU2936" s="240"/>
      <c r="DV2936" s="240"/>
      <c r="DW2936" s="240"/>
      <c r="DX2936" s="240"/>
      <c r="DY2936" s="240"/>
      <c r="DZ2936" s="240"/>
      <c r="EA2936" s="240"/>
      <c r="EB2936" s="237"/>
      <c r="EC2936" s="241"/>
      <c r="ED2936" s="241"/>
      <c r="EE2936" s="241"/>
      <c r="EG2936" s="241"/>
    </row>
    <row r="2937" spans="1:137" s="121" customFormat="1" x14ac:dyDescent="0.3">
      <c r="A2937" s="124"/>
      <c r="O2937" s="235"/>
      <c r="X2937" s="117"/>
      <c r="Y2937" s="117"/>
      <c r="DT2937" s="240"/>
      <c r="DU2937" s="240"/>
      <c r="DV2937" s="240"/>
      <c r="DW2937" s="240"/>
      <c r="DX2937" s="240"/>
      <c r="DY2937" s="240"/>
      <c r="DZ2937" s="240"/>
      <c r="EA2937" s="240"/>
      <c r="EB2937" s="237"/>
      <c r="EC2937" s="241"/>
      <c r="ED2937" s="241"/>
      <c r="EE2937" s="241"/>
      <c r="EG2937" s="241"/>
    </row>
    <row r="2938" spans="1:137" s="121" customFormat="1" x14ac:dyDescent="0.3">
      <c r="A2938" s="124"/>
      <c r="O2938" s="235"/>
      <c r="X2938" s="117"/>
      <c r="Y2938" s="117"/>
      <c r="DT2938" s="240"/>
      <c r="DU2938" s="240"/>
      <c r="DV2938" s="240"/>
      <c r="DW2938" s="240"/>
      <c r="DX2938" s="240"/>
      <c r="DY2938" s="240"/>
      <c r="DZ2938" s="240"/>
      <c r="EA2938" s="240"/>
      <c r="EB2938" s="237"/>
      <c r="EC2938" s="241"/>
      <c r="ED2938" s="241"/>
      <c r="EE2938" s="241"/>
      <c r="EG2938" s="241"/>
    </row>
    <row r="2939" spans="1:137" s="121" customFormat="1" x14ac:dyDescent="0.3">
      <c r="A2939" s="124"/>
      <c r="O2939" s="235"/>
      <c r="X2939" s="117"/>
      <c r="Y2939" s="117"/>
      <c r="DT2939" s="240"/>
      <c r="DU2939" s="240"/>
      <c r="DV2939" s="240"/>
      <c r="DW2939" s="240"/>
      <c r="DX2939" s="240"/>
      <c r="DY2939" s="240"/>
      <c r="DZ2939" s="240"/>
      <c r="EA2939" s="240"/>
      <c r="EB2939" s="237"/>
      <c r="EC2939" s="241"/>
      <c r="ED2939" s="241"/>
      <c r="EE2939" s="241"/>
      <c r="EG2939" s="241"/>
    </row>
    <row r="2940" spans="1:137" s="121" customFormat="1" x14ac:dyDescent="0.3">
      <c r="A2940" s="124"/>
      <c r="O2940" s="235"/>
      <c r="X2940" s="117"/>
      <c r="Y2940" s="117"/>
      <c r="DT2940" s="240"/>
      <c r="DU2940" s="240"/>
      <c r="DV2940" s="240"/>
      <c r="DW2940" s="240"/>
      <c r="DX2940" s="240"/>
      <c r="DY2940" s="240"/>
      <c r="DZ2940" s="240"/>
      <c r="EA2940" s="240"/>
      <c r="EB2940" s="237"/>
      <c r="EC2940" s="241"/>
      <c r="ED2940" s="241"/>
      <c r="EE2940" s="241"/>
      <c r="EG2940" s="241"/>
    </row>
    <row r="2941" spans="1:137" s="121" customFormat="1" x14ac:dyDescent="0.3">
      <c r="A2941" s="124"/>
      <c r="O2941" s="235"/>
      <c r="X2941" s="117"/>
      <c r="Y2941" s="117"/>
      <c r="DT2941" s="240"/>
      <c r="DU2941" s="240"/>
      <c r="DV2941" s="240"/>
      <c r="DW2941" s="240"/>
      <c r="DX2941" s="240"/>
      <c r="DY2941" s="240"/>
      <c r="DZ2941" s="240"/>
      <c r="EA2941" s="240"/>
      <c r="EB2941" s="237"/>
      <c r="EC2941" s="241"/>
      <c r="ED2941" s="241"/>
      <c r="EE2941" s="241"/>
      <c r="EG2941" s="241"/>
    </row>
    <row r="2942" spans="1:137" s="121" customFormat="1" x14ac:dyDescent="0.3">
      <c r="A2942" s="124"/>
      <c r="O2942" s="235"/>
      <c r="X2942" s="117"/>
      <c r="Y2942" s="117"/>
      <c r="DT2942" s="240"/>
      <c r="DU2942" s="240"/>
      <c r="DV2942" s="240"/>
      <c r="DW2942" s="240"/>
      <c r="DX2942" s="240"/>
      <c r="DY2942" s="240"/>
      <c r="DZ2942" s="240"/>
      <c r="EA2942" s="240"/>
      <c r="EB2942" s="237"/>
      <c r="EC2942" s="241"/>
      <c r="ED2942" s="241"/>
      <c r="EE2942" s="241"/>
      <c r="EG2942" s="241"/>
    </row>
    <row r="2943" spans="1:137" s="121" customFormat="1" x14ac:dyDescent="0.3">
      <c r="A2943" s="124"/>
      <c r="O2943" s="235"/>
      <c r="X2943" s="117"/>
      <c r="Y2943" s="117"/>
      <c r="DT2943" s="240"/>
      <c r="DU2943" s="240"/>
      <c r="DV2943" s="240"/>
      <c r="DW2943" s="240"/>
      <c r="DX2943" s="240"/>
      <c r="DY2943" s="240"/>
      <c r="DZ2943" s="240"/>
      <c r="EA2943" s="240"/>
      <c r="EB2943" s="237"/>
      <c r="EC2943" s="241"/>
      <c r="ED2943" s="241"/>
      <c r="EE2943" s="241"/>
      <c r="EG2943" s="241"/>
    </row>
    <row r="2944" spans="1:137" s="121" customFormat="1" x14ac:dyDescent="0.3">
      <c r="A2944" s="124"/>
      <c r="O2944" s="235"/>
      <c r="X2944" s="117"/>
      <c r="Y2944" s="117"/>
      <c r="DT2944" s="240"/>
      <c r="DU2944" s="240"/>
      <c r="DV2944" s="240"/>
      <c r="DW2944" s="240"/>
      <c r="DX2944" s="240"/>
      <c r="DY2944" s="240"/>
      <c r="DZ2944" s="240"/>
      <c r="EA2944" s="240"/>
      <c r="EB2944" s="237"/>
      <c r="EC2944" s="241"/>
      <c r="ED2944" s="241"/>
      <c r="EE2944" s="241"/>
      <c r="EG2944" s="241"/>
    </row>
    <row r="2945" spans="1:137" s="121" customFormat="1" x14ac:dyDescent="0.3">
      <c r="A2945" s="124"/>
      <c r="O2945" s="235"/>
      <c r="X2945" s="117"/>
      <c r="Y2945" s="117"/>
      <c r="DT2945" s="240"/>
      <c r="DU2945" s="240"/>
      <c r="DV2945" s="240"/>
      <c r="DW2945" s="240"/>
      <c r="DX2945" s="240"/>
      <c r="DY2945" s="240"/>
      <c r="DZ2945" s="240"/>
      <c r="EA2945" s="240"/>
      <c r="EB2945" s="237"/>
      <c r="EC2945" s="241"/>
      <c r="ED2945" s="241"/>
      <c r="EE2945" s="241"/>
      <c r="EG2945" s="241"/>
    </row>
    <row r="2946" spans="1:137" s="121" customFormat="1" x14ac:dyDescent="0.3">
      <c r="A2946" s="124"/>
      <c r="O2946" s="235"/>
      <c r="X2946" s="117"/>
      <c r="Y2946" s="117"/>
      <c r="DT2946" s="240"/>
      <c r="DU2946" s="240"/>
      <c r="DV2946" s="240"/>
      <c r="DW2946" s="240"/>
      <c r="DX2946" s="240"/>
      <c r="DY2946" s="240"/>
      <c r="DZ2946" s="240"/>
      <c r="EA2946" s="240"/>
      <c r="EB2946" s="237"/>
      <c r="EC2946" s="241"/>
      <c r="ED2946" s="241"/>
      <c r="EE2946" s="241"/>
      <c r="EG2946" s="241"/>
    </row>
    <row r="2947" spans="1:137" s="121" customFormat="1" x14ac:dyDescent="0.3">
      <c r="A2947" s="124"/>
      <c r="O2947" s="235"/>
      <c r="X2947" s="117"/>
      <c r="Y2947" s="117"/>
      <c r="DT2947" s="240"/>
      <c r="DU2947" s="240"/>
      <c r="DV2947" s="240"/>
      <c r="DW2947" s="240"/>
      <c r="DX2947" s="240"/>
      <c r="DY2947" s="240"/>
      <c r="DZ2947" s="240"/>
      <c r="EA2947" s="240"/>
      <c r="EB2947" s="237"/>
      <c r="EC2947" s="241"/>
      <c r="ED2947" s="241"/>
      <c r="EE2947" s="241"/>
      <c r="EG2947" s="241"/>
    </row>
    <row r="2948" spans="1:137" s="121" customFormat="1" x14ac:dyDescent="0.3">
      <c r="A2948" s="124"/>
      <c r="O2948" s="235"/>
      <c r="X2948" s="117"/>
      <c r="Y2948" s="117"/>
      <c r="DT2948" s="240"/>
      <c r="DU2948" s="240"/>
      <c r="DV2948" s="240"/>
      <c r="DW2948" s="240"/>
      <c r="DX2948" s="240"/>
      <c r="DY2948" s="240"/>
      <c r="DZ2948" s="240"/>
      <c r="EA2948" s="240"/>
      <c r="EB2948" s="237"/>
      <c r="EC2948" s="241"/>
      <c r="ED2948" s="241"/>
      <c r="EE2948" s="241"/>
      <c r="EG2948" s="241"/>
    </row>
    <row r="2949" spans="1:137" s="121" customFormat="1" x14ac:dyDescent="0.3">
      <c r="A2949" s="124"/>
      <c r="O2949" s="235"/>
      <c r="X2949" s="117"/>
      <c r="Y2949" s="117"/>
      <c r="DT2949" s="240"/>
      <c r="DU2949" s="240"/>
      <c r="DV2949" s="240"/>
      <c r="DW2949" s="240"/>
      <c r="DX2949" s="240"/>
      <c r="DY2949" s="240"/>
      <c r="DZ2949" s="240"/>
      <c r="EA2949" s="240"/>
      <c r="EB2949" s="237"/>
      <c r="EC2949" s="241"/>
      <c r="ED2949" s="241"/>
      <c r="EE2949" s="241"/>
      <c r="EG2949" s="241"/>
    </row>
    <row r="2950" spans="1:137" s="121" customFormat="1" x14ac:dyDescent="0.3">
      <c r="A2950" s="124"/>
      <c r="O2950" s="235"/>
      <c r="X2950" s="117"/>
      <c r="Y2950" s="117"/>
      <c r="DT2950" s="240"/>
      <c r="DU2950" s="240"/>
      <c r="DV2950" s="240"/>
      <c r="DW2950" s="240"/>
      <c r="DX2950" s="240"/>
      <c r="DY2950" s="240"/>
      <c r="DZ2950" s="240"/>
      <c r="EA2950" s="240"/>
      <c r="EB2950" s="237"/>
      <c r="EC2950" s="241"/>
      <c r="ED2950" s="241"/>
      <c r="EE2950" s="241"/>
      <c r="EG2950" s="241"/>
    </row>
    <row r="2951" spans="1:137" s="121" customFormat="1" x14ac:dyDescent="0.3">
      <c r="A2951" s="124"/>
      <c r="O2951" s="235"/>
      <c r="X2951" s="117"/>
      <c r="Y2951" s="117"/>
      <c r="DT2951" s="240"/>
      <c r="DU2951" s="240"/>
      <c r="DV2951" s="240"/>
      <c r="DW2951" s="240"/>
      <c r="DX2951" s="240"/>
      <c r="DY2951" s="240"/>
      <c r="DZ2951" s="240"/>
      <c r="EA2951" s="240"/>
      <c r="EB2951" s="237"/>
      <c r="EC2951" s="241"/>
      <c r="ED2951" s="241"/>
      <c r="EE2951" s="241"/>
      <c r="EG2951" s="241"/>
    </row>
    <row r="2952" spans="1:137" s="121" customFormat="1" x14ac:dyDescent="0.3">
      <c r="A2952" s="124"/>
      <c r="O2952" s="235"/>
      <c r="X2952" s="117"/>
      <c r="Y2952" s="117"/>
      <c r="DT2952" s="240"/>
      <c r="DU2952" s="240"/>
      <c r="DV2952" s="240"/>
      <c r="DW2952" s="240"/>
      <c r="DX2952" s="240"/>
      <c r="DY2952" s="240"/>
      <c r="DZ2952" s="240"/>
      <c r="EA2952" s="240"/>
      <c r="EB2952" s="237"/>
      <c r="EC2952" s="241"/>
      <c r="ED2952" s="241"/>
      <c r="EE2952" s="241"/>
      <c r="EG2952" s="241"/>
    </row>
    <row r="2953" spans="1:137" s="121" customFormat="1" x14ac:dyDescent="0.3">
      <c r="A2953" s="124"/>
      <c r="O2953" s="235"/>
      <c r="X2953" s="117"/>
      <c r="Y2953" s="117"/>
      <c r="DT2953" s="240"/>
      <c r="DU2953" s="240"/>
      <c r="DV2953" s="240"/>
      <c r="DW2953" s="240"/>
      <c r="DX2953" s="240"/>
      <c r="DY2953" s="240"/>
      <c r="DZ2953" s="240"/>
      <c r="EA2953" s="240"/>
      <c r="EB2953" s="237"/>
      <c r="EC2953" s="241"/>
      <c r="ED2953" s="241"/>
      <c r="EE2953" s="241"/>
      <c r="EG2953" s="241"/>
    </row>
    <row r="2954" spans="1:137" s="121" customFormat="1" x14ac:dyDescent="0.3">
      <c r="A2954" s="124"/>
      <c r="O2954" s="235"/>
      <c r="X2954" s="117"/>
      <c r="Y2954" s="117"/>
      <c r="DT2954" s="240"/>
      <c r="DU2954" s="240"/>
      <c r="DV2954" s="240"/>
      <c r="DW2954" s="240"/>
      <c r="DX2954" s="240"/>
      <c r="DY2954" s="240"/>
      <c r="DZ2954" s="240"/>
      <c r="EA2954" s="240"/>
      <c r="EB2954" s="237"/>
      <c r="EC2954" s="241"/>
      <c r="ED2954" s="241"/>
      <c r="EE2954" s="241"/>
      <c r="EG2954" s="241"/>
    </row>
    <row r="2955" spans="1:137" s="121" customFormat="1" x14ac:dyDescent="0.3">
      <c r="A2955" s="124"/>
      <c r="O2955" s="235"/>
      <c r="X2955" s="117"/>
      <c r="Y2955" s="117"/>
      <c r="DT2955" s="240"/>
      <c r="DU2955" s="240"/>
      <c r="DV2955" s="240"/>
      <c r="DW2955" s="240"/>
      <c r="DX2955" s="240"/>
      <c r="DY2955" s="240"/>
      <c r="DZ2955" s="240"/>
      <c r="EA2955" s="240"/>
      <c r="EB2955" s="237"/>
      <c r="EC2955" s="241"/>
      <c r="ED2955" s="241"/>
      <c r="EE2955" s="241"/>
      <c r="EG2955" s="241"/>
    </row>
    <row r="2956" spans="1:137" s="121" customFormat="1" x14ac:dyDescent="0.3">
      <c r="A2956" s="124"/>
      <c r="O2956" s="235"/>
      <c r="X2956" s="117"/>
      <c r="Y2956" s="117"/>
      <c r="DT2956" s="240"/>
      <c r="DU2956" s="240"/>
      <c r="DV2956" s="240"/>
      <c r="DW2956" s="240"/>
      <c r="DX2956" s="240"/>
      <c r="DY2956" s="240"/>
      <c r="DZ2956" s="240"/>
      <c r="EA2956" s="240"/>
      <c r="EB2956" s="237"/>
      <c r="EC2956" s="241"/>
      <c r="ED2956" s="241"/>
      <c r="EE2956" s="241"/>
      <c r="EG2956" s="241"/>
    </row>
    <row r="2957" spans="1:137" s="121" customFormat="1" x14ac:dyDescent="0.3">
      <c r="A2957" s="124"/>
      <c r="O2957" s="235"/>
      <c r="X2957" s="117"/>
      <c r="Y2957" s="117"/>
      <c r="DT2957" s="240"/>
      <c r="DU2957" s="240"/>
      <c r="DV2957" s="240"/>
      <c r="DW2957" s="240"/>
      <c r="DX2957" s="240"/>
      <c r="DY2957" s="240"/>
      <c r="DZ2957" s="240"/>
      <c r="EA2957" s="240"/>
      <c r="EB2957" s="237"/>
      <c r="EC2957" s="241"/>
      <c r="ED2957" s="241"/>
      <c r="EE2957" s="241"/>
      <c r="EG2957" s="241"/>
    </row>
    <row r="2958" spans="1:137" s="121" customFormat="1" x14ac:dyDescent="0.3">
      <c r="A2958" s="124"/>
      <c r="O2958" s="235"/>
      <c r="X2958" s="117"/>
      <c r="Y2958" s="117"/>
      <c r="DT2958" s="240"/>
      <c r="DU2958" s="240"/>
      <c r="DV2958" s="240"/>
      <c r="DW2958" s="240"/>
      <c r="DX2958" s="240"/>
      <c r="DY2958" s="240"/>
      <c r="DZ2958" s="240"/>
      <c r="EA2958" s="240"/>
      <c r="EB2958" s="237"/>
      <c r="EC2958" s="241"/>
      <c r="ED2958" s="241"/>
      <c r="EE2958" s="241"/>
      <c r="EG2958" s="241"/>
    </row>
    <row r="2959" spans="1:137" s="121" customFormat="1" x14ac:dyDescent="0.3">
      <c r="A2959" s="124"/>
      <c r="O2959" s="235"/>
      <c r="X2959" s="117"/>
      <c r="Y2959" s="117"/>
      <c r="DT2959" s="240"/>
      <c r="DU2959" s="240"/>
      <c r="DV2959" s="240"/>
      <c r="DW2959" s="240"/>
      <c r="DX2959" s="240"/>
      <c r="DY2959" s="240"/>
      <c r="DZ2959" s="240"/>
      <c r="EA2959" s="240"/>
      <c r="EB2959" s="237"/>
      <c r="EC2959" s="241"/>
      <c r="ED2959" s="241"/>
      <c r="EE2959" s="241"/>
      <c r="EG2959" s="241"/>
    </row>
    <row r="2960" spans="1:137" s="121" customFormat="1" x14ac:dyDescent="0.3">
      <c r="A2960" s="124"/>
      <c r="O2960" s="235"/>
      <c r="X2960" s="117"/>
      <c r="Y2960" s="117"/>
      <c r="DT2960" s="240"/>
      <c r="DU2960" s="240"/>
      <c r="DV2960" s="240"/>
      <c r="DW2960" s="240"/>
      <c r="DX2960" s="240"/>
      <c r="DY2960" s="240"/>
      <c r="DZ2960" s="240"/>
      <c r="EA2960" s="240"/>
      <c r="EB2960" s="237"/>
      <c r="EC2960" s="241"/>
      <c r="ED2960" s="241"/>
      <c r="EE2960" s="241"/>
      <c r="EG2960" s="241"/>
    </row>
    <row r="2961" spans="1:137" s="121" customFormat="1" x14ac:dyDescent="0.3">
      <c r="A2961" s="124"/>
      <c r="O2961" s="235"/>
      <c r="X2961" s="117"/>
      <c r="Y2961" s="117"/>
      <c r="DT2961" s="240"/>
      <c r="DU2961" s="240"/>
      <c r="DV2961" s="240"/>
      <c r="DW2961" s="240"/>
      <c r="DX2961" s="240"/>
      <c r="DY2961" s="240"/>
      <c r="DZ2961" s="240"/>
      <c r="EA2961" s="240"/>
      <c r="EB2961" s="237"/>
      <c r="EC2961" s="241"/>
      <c r="ED2961" s="241"/>
      <c r="EE2961" s="241"/>
      <c r="EG2961" s="241"/>
    </row>
    <row r="2962" spans="1:137" s="121" customFormat="1" x14ac:dyDescent="0.3">
      <c r="A2962" s="124"/>
      <c r="O2962" s="235"/>
      <c r="X2962" s="117"/>
      <c r="Y2962" s="117"/>
      <c r="DT2962" s="240"/>
      <c r="DU2962" s="240"/>
      <c r="DV2962" s="240"/>
      <c r="DW2962" s="240"/>
      <c r="DX2962" s="240"/>
      <c r="DY2962" s="240"/>
      <c r="DZ2962" s="240"/>
      <c r="EA2962" s="240"/>
      <c r="EB2962" s="237"/>
      <c r="EC2962" s="241"/>
      <c r="ED2962" s="241"/>
      <c r="EE2962" s="241"/>
      <c r="EG2962" s="241"/>
    </row>
    <row r="2963" spans="1:137" s="121" customFormat="1" x14ac:dyDescent="0.3">
      <c r="A2963" s="124"/>
      <c r="O2963" s="235"/>
      <c r="X2963" s="117"/>
      <c r="Y2963" s="117"/>
      <c r="DT2963" s="240"/>
      <c r="DU2963" s="240"/>
      <c r="DV2963" s="240"/>
      <c r="DW2963" s="240"/>
      <c r="DX2963" s="240"/>
      <c r="DY2963" s="240"/>
      <c r="DZ2963" s="240"/>
      <c r="EA2963" s="240"/>
      <c r="EB2963" s="237"/>
      <c r="EC2963" s="241"/>
      <c r="ED2963" s="241"/>
      <c r="EE2963" s="241"/>
      <c r="EG2963" s="241"/>
    </row>
    <row r="2964" spans="1:137" s="121" customFormat="1" x14ac:dyDescent="0.3">
      <c r="A2964" s="124"/>
      <c r="O2964" s="235"/>
      <c r="X2964" s="117"/>
      <c r="Y2964" s="117"/>
      <c r="DT2964" s="240"/>
      <c r="DU2964" s="240"/>
      <c r="DV2964" s="240"/>
      <c r="DW2964" s="240"/>
      <c r="DX2964" s="240"/>
      <c r="DY2964" s="240"/>
      <c r="DZ2964" s="240"/>
      <c r="EA2964" s="240"/>
      <c r="EB2964" s="237"/>
      <c r="EC2964" s="241"/>
      <c r="ED2964" s="241"/>
      <c r="EE2964" s="241"/>
      <c r="EG2964" s="241"/>
    </row>
    <row r="2965" spans="1:137" s="121" customFormat="1" x14ac:dyDescent="0.3">
      <c r="A2965" s="124"/>
      <c r="O2965" s="235"/>
      <c r="X2965" s="117"/>
      <c r="Y2965" s="117"/>
      <c r="DT2965" s="240"/>
      <c r="DU2965" s="240"/>
      <c r="DV2965" s="240"/>
      <c r="DW2965" s="240"/>
      <c r="DX2965" s="240"/>
      <c r="DY2965" s="240"/>
      <c r="DZ2965" s="240"/>
      <c r="EA2965" s="240"/>
      <c r="EB2965" s="237"/>
      <c r="EC2965" s="241"/>
      <c r="ED2965" s="241"/>
      <c r="EE2965" s="241"/>
      <c r="EG2965" s="241"/>
    </row>
    <row r="2966" spans="1:137" s="121" customFormat="1" x14ac:dyDescent="0.3">
      <c r="A2966" s="124"/>
      <c r="O2966" s="235"/>
      <c r="X2966" s="117"/>
      <c r="Y2966" s="117"/>
      <c r="DT2966" s="240"/>
      <c r="DU2966" s="240"/>
      <c r="DV2966" s="240"/>
      <c r="DW2966" s="240"/>
      <c r="DX2966" s="240"/>
      <c r="DY2966" s="240"/>
      <c r="DZ2966" s="240"/>
      <c r="EA2966" s="240"/>
      <c r="EB2966" s="237"/>
      <c r="EC2966" s="241"/>
      <c r="ED2966" s="241"/>
      <c r="EE2966" s="241"/>
      <c r="EG2966" s="241"/>
    </row>
    <row r="2967" spans="1:137" s="121" customFormat="1" x14ac:dyDescent="0.3">
      <c r="A2967" s="124"/>
      <c r="O2967" s="235"/>
      <c r="X2967" s="117"/>
      <c r="Y2967" s="117"/>
      <c r="DT2967" s="240"/>
      <c r="DU2967" s="240"/>
      <c r="DV2967" s="240"/>
      <c r="DW2967" s="240"/>
      <c r="DX2967" s="240"/>
      <c r="DY2967" s="240"/>
      <c r="DZ2967" s="240"/>
      <c r="EA2967" s="240"/>
      <c r="EB2967" s="237"/>
      <c r="EC2967" s="241"/>
      <c r="ED2967" s="241"/>
      <c r="EE2967" s="241"/>
      <c r="EG2967" s="241"/>
    </row>
    <row r="2968" spans="1:137" s="121" customFormat="1" x14ac:dyDescent="0.3">
      <c r="A2968" s="124"/>
      <c r="O2968" s="235"/>
      <c r="X2968" s="117"/>
      <c r="Y2968" s="117"/>
      <c r="DT2968" s="240"/>
      <c r="DU2968" s="240"/>
      <c r="DV2968" s="240"/>
      <c r="DW2968" s="240"/>
      <c r="DX2968" s="240"/>
      <c r="DY2968" s="240"/>
      <c r="DZ2968" s="240"/>
      <c r="EA2968" s="240"/>
      <c r="EB2968" s="237"/>
      <c r="EC2968" s="241"/>
      <c r="ED2968" s="241"/>
      <c r="EE2968" s="241"/>
      <c r="EG2968" s="241"/>
    </row>
    <row r="2969" spans="1:137" s="121" customFormat="1" x14ac:dyDescent="0.3">
      <c r="A2969" s="124"/>
      <c r="O2969" s="235"/>
      <c r="X2969" s="117"/>
      <c r="Y2969" s="117"/>
      <c r="DT2969" s="240"/>
      <c r="DU2969" s="240"/>
      <c r="DV2969" s="240"/>
      <c r="DW2969" s="240"/>
      <c r="DX2969" s="240"/>
      <c r="DY2969" s="240"/>
      <c r="DZ2969" s="240"/>
      <c r="EA2969" s="240"/>
      <c r="EB2969" s="237"/>
      <c r="EC2969" s="241"/>
      <c r="ED2969" s="241"/>
      <c r="EE2969" s="241"/>
      <c r="EG2969" s="241"/>
    </row>
    <row r="2970" spans="1:137" s="121" customFormat="1" x14ac:dyDescent="0.3">
      <c r="A2970" s="124"/>
      <c r="O2970" s="235"/>
      <c r="X2970" s="117"/>
      <c r="Y2970" s="117"/>
      <c r="DT2970" s="240"/>
      <c r="DU2970" s="240"/>
      <c r="DV2970" s="240"/>
      <c r="DW2970" s="240"/>
      <c r="DX2970" s="240"/>
      <c r="DY2970" s="240"/>
      <c r="DZ2970" s="240"/>
      <c r="EA2970" s="240"/>
      <c r="EB2970" s="237"/>
      <c r="EC2970" s="241"/>
      <c r="ED2970" s="241"/>
      <c r="EE2970" s="241"/>
      <c r="EG2970" s="241"/>
    </row>
    <row r="2971" spans="1:137" s="121" customFormat="1" x14ac:dyDescent="0.3">
      <c r="A2971" s="124"/>
      <c r="O2971" s="235"/>
      <c r="X2971" s="117"/>
      <c r="Y2971" s="117"/>
      <c r="DT2971" s="240"/>
      <c r="DU2971" s="240"/>
      <c r="DV2971" s="240"/>
      <c r="DW2971" s="240"/>
      <c r="DX2971" s="240"/>
      <c r="DY2971" s="240"/>
      <c r="DZ2971" s="240"/>
      <c r="EA2971" s="240"/>
      <c r="EB2971" s="237"/>
      <c r="EC2971" s="241"/>
      <c r="ED2971" s="241"/>
      <c r="EE2971" s="241"/>
      <c r="EG2971" s="241"/>
    </row>
    <row r="2972" spans="1:137" s="121" customFormat="1" x14ac:dyDescent="0.3">
      <c r="A2972" s="124"/>
      <c r="O2972" s="235"/>
      <c r="X2972" s="117"/>
      <c r="Y2972" s="117"/>
      <c r="DT2972" s="240"/>
      <c r="DU2972" s="240"/>
      <c r="DV2972" s="240"/>
      <c r="DW2972" s="240"/>
      <c r="DX2972" s="240"/>
      <c r="DY2972" s="240"/>
      <c r="DZ2972" s="240"/>
      <c r="EA2972" s="240"/>
      <c r="EB2972" s="237"/>
      <c r="EC2972" s="241"/>
      <c r="ED2972" s="241"/>
      <c r="EE2972" s="241"/>
      <c r="EG2972" s="241"/>
    </row>
    <row r="2973" spans="1:137" s="121" customFormat="1" x14ac:dyDescent="0.3">
      <c r="A2973" s="124"/>
      <c r="O2973" s="235"/>
      <c r="X2973" s="117"/>
      <c r="Y2973" s="117"/>
      <c r="DT2973" s="240"/>
      <c r="DU2973" s="240"/>
      <c r="DV2973" s="240"/>
      <c r="DW2973" s="240"/>
      <c r="DX2973" s="240"/>
      <c r="DY2973" s="240"/>
      <c r="DZ2973" s="240"/>
      <c r="EA2973" s="240"/>
      <c r="EB2973" s="237"/>
      <c r="EC2973" s="241"/>
      <c r="ED2973" s="241"/>
      <c r="EE2973" s="241"/>
      <c r="EG2973" s="241"/>
    </row>
    <row r="2974" spans="1:137" s="121" customFormat="1" x14ac:dyDescent="0.3">
      <c r="A2974" s="124"/>
      <c r="O2974" s="235"/>
      <c r="X2974" s="117"/>
      <c r="Y2974" s="117"/>
      <c r="DT2974" s="240"/>
      <c r="DU2974" s="240"/>
      <c r="DV2974" s="240"/>
      <c r="DW2974" s="240"/>
      <c r="DX2974" s="240"/>
      <c r="DY2974" s="240"/>
      <c r="DZ2974" s="240"/>
      <c r="EA2974" s="240"/>
      <c r="EB2974" s="237"/>
      <c r="EC2974" s="241"/>
      <c r="ED2974" s="241"/>
      <c r="EE2974" s="241"/>
      <c r="EG2974" s="241"/>
    </row>
    <row r="2975" spans="1:137" s="121" customFormat="1" x14ac:dyDescent="0.3">
      <c r="A2975" s="124"/>
      <c r="O2975" s="235"/>
      <c r="X2975" s="117"/>
      <c r="Y2975" s="117"/>
      <c r="DT2975" s="240"/>
      <c r="DU2975" s="240"/>
      <c r="DV2975" s="240"/>
      <c r="DW2975" s="240"/>
      <c r="DX2975" s="240"/>
      <c r="DY2975" s="240"/>
      <c r="DZ2975" s="240"/>
      <c r="EA2975" s="240"/>
      <c r="EB2975" s="237"/>
      <c r="EC2975" s="241"/>
      <c r="ED2975" s="241"/>
      <c r="EE2975" s="241"/>
      <c r="EG2975" s="241"/>
    </row>
    <row r="2976" spans="1:137" s="121" customFormat="1" x14ac:dyDescent="0.3">
      <c r="A2976" s="124"/>
      <c r="O2976" s="235"/>
      <c r="X2976" s="117"/>
      <c r="Y2976" s="117"/>
      <c r="DT2976" s="240"/>
      <c r="DU2976" s="240"/>
      <c r="DV2976" s="240"/>
      <c r="DW2976" s="240"/>
      <c r="DX2976" s="240"/>
      <c r="DY2976" s="240"/>
      <c r="DZ2976" s="240"/>
      <c r="EA2976" s="240"/>
      <c r="EB2976" s="237"/>
      <c r="EC2976" s="241"/>
      <c r="ED2976" s="241"/>
      <c r="EE2976" s="241"/>
      <c r="EG2976" s="241"/>
    </row>
    <row r="2977" spans="1:137" s="121" customFormat="1" x14ac:dyDescent="0.3">
      <c r="A2977" s="124"/>
      <c r="O2977" s="235"/>
      <c r="X2977" s="117"/>
      <c r="Y2977" s="117"/>
      <c r="DT2977" s="240"/>
      <c r="DU2977" s="240"/>
      <c r="DV2977" s="240"/>
      <c r="DW2977" s="240"/>
      <c r="DX2977" s="240"/>
      <c r="DY2977" s="240"/>
      <c r="DZ2977" s="240"/>
      <c r="EA2977" s="240"/>
      <c r="EB2977" s="237"/>
      <c r="EC2977" s="241"/>
      <c r="ED2977" s="241"/>
      <c r="EE2977" s="241"/>
      <c r="EG2977" s="241"/>
    </row>
    <row r="2978" spans="1:137" s="121" customFormat="1" x14ac:dyDescent="0.3">
      <c r="A2978" s="124"/>
      <c r="O2978" s="235"/>
      <c r="X2978" s="117"/>
      <c r="Y2978" s="117"/>
      <c r="DT2978" s="240"/>
      <c r="DU2978" s="240"/>
      <c r="DV2978" s="240"/>
      <c r="DW2978" s="240"/>
      <c r="DX2978" s="240"/>
      <c r="DY2978" s="240"/>
      <c r="DZ2978" s="240"/>
      <c r="EA2978" s="240"/>
      <c r="EB2978" s="237"/>
      <c r="EC2978" s="241"/>
      <c r="ED2978" s="241"/>
      <c r="EE2978" s="241"/>
      <c r="EG2978" s="241"/>
    </row>
    <row r="2979" spans="1:137" s="121" customFormat="1" x14ac:dyDescent="0.3">
      <c r="A2979" s="124"/>
      <c r="O2979" s="235"/>
      <c r="X2979" s="117"/>
      <c r="Y2979" s="117"/>
      <c r="DT2979" s="240"/>
      <c r="DU2979" s="240"/>
      <c r="DV2979" s="240"/>
      <c r="DW2979" s="240"/>
      <c r="DX2979" s="240"/>
      <c r="DY2979" s="240"/>
      <c r="DZ2979" s="240"/>
      <c r="EA2979" s="240"/>
      <c r="EB2979" s="237"/>
      <c r="EC2979" s="241"/>
      <c r="ED2979" s="241"/>
      <c r="EE2979" s="241"/>
      <c r="EG2979" s="241"/>
    </row>
    <row r="2980" spans="1:137" s="121" customFormat="1" x14ac:dyDescent="0.3">
      <c r="A2980" s="124"/>
      <c r="O2980" s="235"/>
      <c r="X2980" s="117"/>
      <c r="Y2980" s="117"/>
      <c r="DT2980" s="240"/>
      <c r="DU2980" s="240"/>
      <c r="DV2980" s="240"/>
      <c r="DW2980" s="240"/>
      <c r="DX2980" s="240"/>
      <c r="DY2980" s="240"/>
      <c r="DZ2980" s="240"/>
      <c r="EA2980" s="240"/>
      <c r="EB2980" s="237"/>
      <c r="EC2980" s="241"/>
      <c r="ED2980" s="241"/>
      <c r="EE2980" s="241"/>
      <c r="EG2980" s="241"/>
    </row>
    <row r="2981" spans="1:137" s="121" customFormat="1" x14ac:dyDescent="0.3">
      <c r="A2981" s="124"/>
      <c r="O2981" s="235"/>
      <c r="X2981" s="117"/>
      <c r="Y2981" s="117"/>
      <c r="DT2981" s="240"/>
      <c r="DU2981" s="240"/>
      <c r="DV2981" s="240"/>
      <c r="DW2981" s="240"/>
      <c r="DX2981" s="240"/>
      <c r="DY2981" s="240"/>
      <c r="DZ2981" s="240"/>
      <c r="EA2981" s="240"/>
      <c r="EB2981" s="237"/>
      <c r="EC2981" s="241"/>
      <c r="ED2981" s="241"/>
      <c r="EE2981" s="241"/>
      <c r="EG2981" s="241"/>
    </row>
    <row r="2982" spans="1:137" s="121" customFormat="1" x14ac:dyDescent="0.3">
      <c r="A2982" s="124"/>
      <c r="O2982" s="235"/>
      <c r="X2982" s="117"/>
      <c r="Y2982" s="117"/>
      <c r="DT2982" s="240"/>
      <c r="DU2982" s="240"/>
      <c r="DV2982" s="240"/>
      <c r="DW2982" s="240"/>
      <c r="DX2982" s="240"/>
      <c r="DY2982" s="240"/>
      <c r="DZ2982" s="240"/>
      <c r="EA2982" s="240"/>
      <c r="EB2982" s="237"/>
      <c r="EC2982" s="241"/>
      <c r="ED2982" s="241"/>
      <c r="EE2982" s="241"/>
      <c r="EG2982" s="241"/>
    </row>
    <row r="2983" spans="1:137" s="121" customFormat="1" x14ac:dyDescent="0.3">
      <c r="A2983" s="124"/>
      <c r="O2983" s="235"/>
      <c r="X2983" s="117"/>
      <c r="Y2983" s="117"/>
      <c r="DT2983" s="240"/>
      <c r="DU2983" s="240"/>
      <c r="DV2983" s="240"/>
      <c r="DW2983" s="240"/>
      <c r="DX2983" s="240"/>
      <c r="DY2983" s="240"/>
      <c r="DZ2983" s="240"/>
      <c r="EA2983" s="240"/>
      <c r="EB2983" s="237"/>
      <c r="EC2983" s="241"/>
      <c r="ED2983" s="241"/>
      <c r="EE2983" s="241"/>
      <c r="EG2983" s="241"/>
    </row>
    <row r="2984" spans="1:137" s="121" customFormat="1" x14ac:dyDescent="0.3">
      <c r="A2984" s="124"/>
      <c r="O2984" s="235"/>
      <c r="X2984" s="117"/>
      <c r="Y2984" s="117"/>
      <c r="DT2984" s="240"/>
      <c r="DU2984" s="240"/>
      <c r="DV2984" s="240"/>
      <c r="DW2984" s="240"/>
      <c r="DX2984" s="240"/>
      <c r="DY2984" s="240"/>
      <c r="DZ2984" s="240"/>
      <c r="EA2984" s="240"/>
      <c r="EB2984" s="237"/>
      <c r="EC2984" s="241"/>
      <c r="ED2984" s="241"/>
      <c r="EE2984" s="241"/>
      <c r="EG2984" s="241"/>
    </row>
    <row r="2985" spans="1:137" s="121" customFormat="1" x14ac:dyDescent="0.3">
      <c r="A2985" s="124"/>
      <c r="O2985" s="235"/>
      <c r="X2985" s="117"/>
      <c r="Y2985" s="117"/>
      <c r="DT2985" s="240"/>
      <c r="DU2985" s="240"/>
      <c r="DV2985" s="240"/>
      <c r="DW2985" s="240"/>
      <c r="DX2985" s="240"/>
      <c r="DY2985" s="240"/>
      <c r="DZ2985" s="240"/>
      <c r="EA2985" s="240"/>
      <c r="EB2985" s="237"/>
      <c r="EC2985" s="241"/>
      <c r="ED2985" s="241"/>
      <c r="EE2985" s="241"/>
      <c r="EG2985" s="241"/>
    </row>
    <row r="2986" spans="1:137" s="121" customFormat="1" x14ac:dyDescent="0.3">
      <c r="A2986" s="124"/>
      <c r="O2986" s="235"/>
      <c r="X2986" s="117"/>
      <c r="Y2986" s="117"/>
      <c r="DT2986" s="240"/>
      <c r="DU2986" s="240"/>
      <c r="DV2986" s="240"/>
      <c r="DW2986" s="240"/>
      <c r="DX2986" s="240"/>
      <c r="DY2986" s="240"/>
      <c r="DZ2986" s="240"/>
      <c r="EA2986" s="240"/>
      <c r="EB2986" s="237"/>
      <c r="EC2986" s="241"/>
      <c r="ED2986" s="241"/>
      <c r="EE2986" s="241"/>
      <c r="EG2986" s="241"/>
    </row>
    <row r="2987" spans="1:137" s="121" customFormat="1" x14ac:dyDescent="0.3">
      <c r="A2987" s="124"/>
      <c r="O2987" s="235"/>
      <c r="X2987" s="117"/>
      <c r="Y2987" s="117"/>
      <c r="DT2987" s="240"/>
      <c r="DU2987" s="240"/>
      <c r="DV2987" s="240"/>
      <c r="DW2987" s="240"/>
      <c r="DX2987" s="240"/>
      <c r="DY2987" s="240"/>
      <c r="DZ2987" s="240"/>
      <c r="EA2987" s="240"/>
      <c r="EB2987" s="237"/>
      <c r="EC2987" s="241"/>
      <c r="ED2987" s="241"/>
      <c r="EE2987" s="241"/>
      <c r="EG2987" s="241"/>
    </row>
    <row r="2988" spans="1:137" s="121" customFormat="1" x14ac:dyDescent="0.3">
      <c r="A2988" s="124"/>
      <c r="O2988" s="235"/>
      <c r="X2988" s="117"/>
      <c r="Y2988" s="117"/>
      <c r="DT2988" s="240"/>
      <c r="DU2988" s="240"/>
      <c r="DV2988" s="240"/>
      <c r="DW2988" s="240"/>
      <c r="DX2988" s="240"/>
      <c r="DY2988" s="240"/>
      <c r="DZ2988" s="240"/>
      <c r="EA2988" s="240"/>
      <c r="EB2988" s="237"/>
      <c r="EC2988" s="241"/>
      <c r="ED2988" s="241"/>
      <c r="EE2988" s="241"/>
      <c r="EG2988" s="241"/>
    </row>
    <row r="2989" spans="1:137" s="121" customFormat="1" x14ac:dyDescent="0.3">
      <c r="A2989" s="124"/>
      <c r="O2989" s="235"/>
      <c r="X2989" s="117"/>
      <c r="Y2989" s="117"/>
      <c r="DT2989" s="240"/>
      <c r="DU2989" s="240"/>
      <c r="DV2989" s="240"/>
      <c r="DW2989" s="240"/>
      <c r="DX2989" s="240"/>
      <c r="DY2989" s="240"/>
      <c r="DZ2989" s="240"/>
      <c r="EA2989" s="240"/>
      <c r="EB2989" s="237"/>
      <c r="EC2989" s="241"/>
      <c r="ED2989" s="241"/>
      <c r="EE2989" s="241"/>
      <c r="EG2989" s="241"/>
    </row>
    <row r="2990" spans="1:137" s="121" customFormat="1" x14ac:dyDescent="0.3">
      <c r="A2990" s="124"/>
      <c r="O2990" s="235"/>
      <c r="X2990" s="117"/>
      <c r="Y2990" s="117"/>
      <c r="DT2990" s="240"/>
      <c r="DU2990" s="240"/>
      <c r="DV2990" s="240"/>
      <c r="DW2990" s="240"/>
      <c r="DX2990" s="240"/>
      <c r="DY2990" s="240"/>
      <c r="DZ2990" s="240"/>
      <c r="EA2990" s="240"/>
      <c r="EB2990" s="237"/>
      <c r="EC2990" s="241"/>
      <c r="ED2990" s="241"/>
      <c r="EE2990" s="241"/>
      <c r="EG2990" s="241"/>
    </row>
    <row r="2991" spans="1:137" s="121" customFormat="1" x14ac:dyDescent="0.3">
      <c r="A2991" s="124"/>
      <c r="O2991" s="235"/>
      <c r="X2991" s="117"/>
      <c r="Y2991" s="117"/>
      <c r="DT2991" s="240"/>
      <c r="DU2991" s="240"/>
      <c r="DV2991" s="240"/>
      <c r="DW2991" s="240"/>
      <c r="DX2991" s="240"/>
      <c r="DY2991" s="240"/>
      <c r="DZ2991" s="240"/>
      <c r="EA2991" s="240"/>
      <c r="EB2991" s="237"/>
      <c r="EC2991" s="241"/>
      <c r="ED2991" s="241"/>
      <c r="EE2991" s="241"/>
      <c r="EG2991" s="241"/>
    </row>
    <row r="2992" spans="1:137" s="121" customFormat="1" x14ac:dyDescent="0.3">
      <c r="A2992" s="124"/>
      <c r="O2992" s="235"/>
      <c r="X2992" s="117"/>
      <c r="Y2992" s="117"/>
      <c r="DT2992" s="240"/>
      <c r="DU2992" s="240"/>
      <c r="DV2992" s="240"/>
      <c r="DW2992" s="240"/>
      <c r="DX2992" s="240"/>
      <c r="DY2992" s="240"/>
      <c r="DZ2992" s="240"/>
      <c r="EA2992" s="240"/>
      <c r="EB2992" s="237"/>
      <c r="EC2992" s="241"/>
      <c r="ED2992" s="241"/>
      <c r="EE2992" s="241"/>
      <c r="EG2992" s="241"/>
    </row>
    <row r="2993" spans="1:149" x14ac:dyDescent="0.3">
      <c r="A2993" s="124"/>
      <c r="B2993" s="121"/>
      <c r="C2993" s="121"/>
      <c r="D2993" s="121"/>
      <c r="E2993" s="121"/>
      <c r="F2993" s="121"/>
      <c r="G2993" s="121"/>
      <c r="H2993" s="121"/>
      <c r="I2993" s="121"/>
      <c r="J2993" s="121"/>
      <c r="K2993" s="121"/>
      <c r="L2993" s="121"/>
      <c r="M2993" s="121"/>
      <c r="N2993" s="121"/>
      <c r="O2993" s="235"/>
      <c r="P2993" s="121"/>
      <c r="Q2993" s="121"/>
      <c r="R2993" s="121"/>
      <c r="S2993" s="121"/>
      <c r="T2993" s="121"/>
      <c r="U2993" s="121"/>
      <c r="V2993" s="121"/>
      <c r="W2993" s="121"/>
      <c r="X2993" s="117"/>
      <c r="Y2993" s="117"/>
      <c r="Z2993" s="121"/>
      <c r="AA2993" s="121"/>
      <c r="AB2993" s="121"/>
      <c r="AC2993" s="121"/>
      <c r="AD2993" s="121"/>
      <c r="AE2993" s="121"/>
      <c r="AF2993" s="121"/>
      <c r="AG2993" s="121"/>
      <c r="AH2993" s="121"/>
      <c r="AI2993" s="121"/>
      <c r="AJ2993" s="121"/>
      <c r="AK2993" s="121"/>
      <c r="AL2993" s="121"/>
      <c r="AM2993" s="121"/>
      <c r="AN2993" s="121"/>
      <c r="AO2993" s="121"/>
      <c r="AP2993" s="121"/>
      <c r="AQ2993" s="121"/>
      <c r="AR2993" s="121"/>
      <c r="AS2993" s="121"/>
      <c r="AT2993" s="121"/>
      <c r="AU2993" s="121"/>
      <c r="AV2993" s="121"/>
      <c r="AW2993" s="121"/>
      <c r="AX2993" s="121"/>
      <c r="AY2993" s="121"/>
      <c r="AZ2993" s="121"/>
      <c r="BA2993" s="121"/>
      <c r="BB2993" s="121"/>
      <c r="BC2993" s="121"/>
      <c r="BD2993" s="121"/>
      <c r="BE2993" s="121"/>
      <c r="BF2993" s="121"/>
      <c r="BG2993" s="121"/>
      <c r="BH2993" s="121"/>
      <c r="BI2993" s="121"/>
      <c r="BJ2993" s="121"/>
      <c r="BK2993" s="121"/>
      <c r="BL2993" s="121"/>
      <c r="BM2993" s="121"/>
      <c r="BN2993" s="121"/>
      <c r="BO2993" s="121"/>
      <c r="BP2993" s="121"/>
      <c r="BQ2993" s="121"/>
      <c r="BR2993" s="121"/>
      <c r="BS2993" s="121"/>
      <c r="BT2993" s="121"/>
      <c r="BU2993" s="121"/>
      <c r="BV2993" s="121"/>
      <c r="BW2993" s="121"/>
      <c r="BX2993" s="121"/>
      <c r="BY2993" s="121"/>
      <c r="BZ2993" s="121"/>
      <c r="CA2993" s="121"/>
      <c r="CB2993" s="121"/>
      <c r="CC2993" s="121"/>
      <c r="CD2993" s="121"/>
      <c r="CE2993" s="121"/>
      <c r="CF2993" s="121"/>
      <c r="CG2993" s="121"/>
      <c r="CH2993" s="121"/>
      <c r="CI2993" s="121"/>
      <c r="CJ2993" s="121"/>
      <c r="CK2993" s="121"/>
      <c r="CL2993" s="121"/>
      <c r="CM2993" s="121"/>
      <c r="CN2993" s="121"/>
      <c r="CO2993" s="121"/>
      <c r="CP2993" s="121"/>
      <c r="CQ2993" s="121"/>
      <c r="CR2993" s="121"/>
      <c r="CS2993" s="121"/>
      <c r="CT2993" s="121"/>
      <c r="CU2993" s="121"/>
      <c r="CV2993" s="121"/>
      <c r="CW2993" s="121"/>
      <c r="CX2993" s="121"/>
      <c r="CY2993" s="121"/>
      <c r="CZ2993" s="121"/>
      <c r="DA2993" s="121"/>
      <c r="DB2993" s="121"/>
      <c r="DC2993" s="121"/>
      <c r="DD2993" s="121"/>
      <c r="DE2993" s="121"/>
      <c r="DF2993" s="121"/>
      <c r="DG2993" s="121"/>
      <c r="DH2993" s="121"/>
      <c r="DI2993" s="121"/>
      <c r="DJ2993" s="121"/>
      <c r="DK2993" s="121"/>
      <c r="DL2993" s="121"/>
      <c r="DM2993" s="121"/>
      <c r="DN2993" s="121"/>
      <c r="DO2993" s="121"/>
      <c r="DP2993" s="121"/>
      <c r="DQ2993" s="121"/>
      <c r="DR2993" s="121"/>
      <c r="DS2993" s="121"/>
      <c r="DT2993" s="240"/>
      <c r="DU2993" s="240"/>
      <c r="DV2993" s="240"/>
      <c r="DW2993" s="240"/>
      <c r="DX2993" s="240"/>
      <c r="DY2993" s="240"/>
      <c r="DZ2993" s="240"/>
      <c r="EA2993" s="240"/>
      <c r="EB2993" s="237"/>
      <c r="EC2993" s="241"/>
      <c r="ED2993" s="241"/>
      <c r="EE2993" s="241"/>
      <c r="EF2993" s="121"/>
      <c r="EG2993" s="241"/>
      <c r="EH2993" s="121"/>
      <c r="EI2993" s="121"/>
      <c r="EJ2993" s="121"/>
      <c r="EK2993" s="121"/>
      <c r="EL2993" s="121"/>
      <c r="EM2993" s="121"/>
      <c r="EN2993" s="121"/>
      <c r="EO2993" s="121"/>
      <c r="EP2993" s="121"/>
      <c r="EQ2993" s="121"/>
      <c r="ER2993" s="121"/>
      <c r="ES2993" s="121"/>
    </row>
    <row r="2994" spans="1:149" x14ac:dyDescent="0.3">
      <c r="A2994" s="220"/>
      <c r="B2994" s="221"/>
      <c r="C2994" s="221"/>
      <c r="D2994" s="221"/>
      <c r="E2994" s="221"/>
      <c r="F2994" s="221"/>
      <c r="G2994" s="221"/>
      <c r="H2994" s="221"/>
      <c r="I2994" s="221"/>
      <c r="J2994" s="221"/>
      <c r="K2994" s="221"/>
      <c r="L2994" s="221"/>
      <c r="M2994" s="221"/>
      <c r="N2994" s="221"/>
      <c r="O2994" s="222"/>
      <c r="P2994" s="221"/>
      <c r="Q2994" s="221"/>
      <c r="R2994" s="221"/>
      <c r="S2994" s="221"/>
      <c r="T2994" s="221"/>
      <c r="U2994" s="221"/>
      <c r="V2994" s="221"/>
      <c r="W2994" s="221"/>
      <c r="X2994" s="223"/>
      <c r="Y2994" s="223"/>
      <c r="Z2994" s="221"/>
      <c r="AA2994" s="221"/>
      <c r="AB2994" s="224"/>
      <c r="AC2994" s="224"/>
      <c r="AD2994" s="224"/>
      <c r="AE2994" s="224"/>
      <c r="AF2994" s="224"/>
      <c r="AG2994" s="224"/>
      <c r="AH2994" s="224"/>
      <c r="AI2994" s="224"/>
      <c r="AJ2994" s="224"/>
      <c r="AK2994" s="224"/>
      <c r="AL2994" s="224"/>
      <c r="AM2994" s="224"/>
      <c r="AN2994" s="224"/>
      <c r="AO2994" s="224"/>
      <c r="AP2994" s="225"/>
      <c r="AQ2994" s="225"/>
      <c r="AR2994" s="225"/>
      <c r="AS2994" s="225"/>
      <c r="AT2994" s="225"/>
      <c r="AU2994" s="225"/>
      <c r="AV2994" s="225"/>
      <c r="AW2994" s="225"/>
      <c r="AX2994" s="225"/>
      <c r="AY2994" s="225"/>
      <c r="AZ2994" s="225"/>
      <c r="BA2994" s="225"/>
      <c r="BB2994" s="225"/>
      <c r="BC2994" s="225"/>
      <c r="BD2994" s="226"/>
      <c r="BE2994" s="226"/>
      <c r="BF2994" s="226"/>
      <c r="BG2994" s="226"/>
      <c r="BH2994" s="226"/>
      <c r="BI2994" s="226"/>
      <c r="BJ2994" s="226"/>
      <c r="BK2994" s="226"/>
      <c r="BL2994" s="226"/>
      <c r="BM2994" s="226"/>
      <c r="BN2994" s="226"/>
      <c r="BO2994" s="226"/>
      <c r="BP2994" s="226"/>
      <c r="BQ2994" s="226"/>
      <c r="BR2994" s="227"/>
      <c r="BS2994" s="227"/>
      <c r="BT2994" s="227"/>
      <c r="BU2994" s="227"/>
      <c r="BV2994" s="227"/>
      <c r="BW2994" s="227"/>
      <c r="BX2994" s="227"/>
      <c r="BY2994" s="227"/>
      <c r="BZ2994" s="227"/>
      <c r="CA2994" s="227"/>
      <c r="CB2994" s="227"/>
      <c r="CC2994" s="227"/>
      <c r="CD2994" s="227"/>
      <c r="CE2994" s="227"/>
      <c r="CF2994" s="227"/>
      <c r="CG2994" s="227"/>
      <c r="CH2994" s="227"/>
      <c r="CI2994" s="227"/>
      <c r="CJ2994" s="228"/>
      <c r="CK2994" s="228"/>
      <c r="CL2994" s="228"/>
      <c r="CM2994" s="228"/>
      <c r="CN2994" s="228"/>
      <c r="CO2994" s="228"/>
      <c r="CP2994" s="228"/>
      <c r="CQ2994" s="228"/>
      <c r="CR2994" s="228"/>
      <c r="CS2994" s="228"/>
      <c r="CT2994" s="228"/>
      <c r="CU2994" s="228"/>
      <c r="CV2994" s="228"/>
      <c r="CW2994" s="228"/>
      <c r="CX2994" s="228"/>
      <c r="CY2994" s="228"/>
      <c r="CZ2994" s="228"/>
      <c r="DA2994" s="228"/>
      <c r="DB2994" s="229"/>
      <c r="DC2994" s="229"/>
      <c r="DD2994" s="229"/>
      <c r="DE2994" s="229"/>
      <c r="DF2994" s="229"/>
      <c r="DG2994" s="229"/>
      <c r="DH2994" s="229"/>
      <c r="DI2994" s="229"/>
      <c r="DJ2994" s="229"/>
      <c r="DK2994" s="229"/>
      <c r="DL2994" s="229"/>
      <c r="DM2994" s="229"/>
      <c r="DN2994" s="229"/>
      <c r="DO2994" s="229"/>
      <c r="DP2994" s="229"/>
      <c r="DQ2994" s="229"/>
      <c r="DR2994" s="229"/>
      <c r="DS2994" s="229"/>
      <c r="DT2994" s="230"/>
      <c r="DU2994" s="230"/>
      <c r="DV2994" s="230"/>
      <c r="DW2994" s="230"/>
      <c r="DX2994" s="230"/>
      <c r="DY2994" s="230"/>
      <c r="DZ2994" s="230"/>
      <c r="EA2994" s="230"/>
      <c r="EB2994" s="231"/>
      <c r="EC2994" s="232"/>
      <c r="ED2994" s="232"/>
      <c r="EE2994" s="232"/>
      <c r="EF2994" s="221"/>
      <c r="EG2994" s="232"/>
      <c r="EH2994" s="221"/>
      <c r="EI2994" s="233"/>
      <c r="EJ2994" s="221"/>
      <c r="EK2994" s="233"/>
      <c r="EL2994" s="233"/>
      <c r="EM2994" s="221"/>
      <c r="EN2994" s="234"/>
      <c r="EO2994" s="221"/>
      <c r="EP2994" s="221"/>
      <c r="EQ2994" s="233"/>
      <c r="ER2994" s="221"/>
      <c r="ES2994" s="221"/>
    </row>
    <row r="2995" spans="1:149" x14ac:dyDescent="0.3">
      <c r="EB2995" s="176"/>
      <c r="EC2995" s="182"/>
      <c r="ED2995" s="182"/>
      <c r="EE2995" s="182"/>
      <c r="EG2995" s="182"/>
    </row>
    <row r="2996" spans="1:149" x14ac:dyDescent="0.3">
      <c r="EB2996" s="176"/>
      <c r="EC2996" s="182"/>
      <c r="ED2996" s="182"/>
      <c r="EE2996" s="182"/>
      <c r="EG2996" s="182"/>
    </row>
    <row r="2997" spans="1:149" x14ac:dyDescent="0.3">
      <c r="EB2997" s="176"/>
      <c r="EC2997" s="182"/>
      <c r="ED2997" s="182"/>
      <c r="EE2997" s="182"/>
      <c r="EG2997" s="182"/>
    </row>
    <row r="2998" spans="1:149" x14ac:dyDescent="0.3">
      <c r="EB2998" s="176"/>
      <c r="EC2998" s="182"/>
      <c r="ED2998" s="182"/>
      <c r="EE2998" s="182"/>
      <c r="EG2998" s="182"/>
    </row>
    <row r="2999" spans="1:149" x14ac:dyDescent="0.3">
      <c r="EB2999" s="176"/>
      <c r="EC2999" s="182"/>
      <c r="ED2999" s="182"/>
      <c r="EE2999" s="182"/>
      <c r="EG2999" s="182"/>
    </row>
    <row r="3000" spans="1:149" x14ac:dyDescent="0.3">
      <c r="EB3000" s="176"/>
      <c r="EC3000" s="182"/>
      <c r="ED3000" s="182"/>
      <c r="EE3000" s="182"/>
      <c r="EG3000" s="182"/>
    </row>
    <row r="3001" spans="1:149" x14ac:dyDescent="0.3">
      <c r="EB3001" s="176"/>
      <c r="EC3001" s="182"/>
      <c r="ED3001" s="182"/>
      <c r="EE3001" s="182"/>
      <c r="EG3001" s="182"/>
    </row>
  </sheetData>
  <autoFilter ref="A5:EQ932" xr:uid="{00000000-0009-0000-0000-000000000000}"/>
  <mergeCells count="136">
    <mergeCell ref="EF1:EG2"/>
    <mergeCell ref="EJ1:EK2"/>
    <mergeCell ref="EJ3:EJ4"/>
    <mergeCell ref="EK3:EK4"/>
    <mergeCell ref="EH3:EH4"/>
    <mergeCell ref="EI3:EI4"/>
    <mergeCell ref="EH1:EI2"/>
    <mergeCell ref="EN3:EN4"/>
    <mergeCell ref="CL3:CL4"/>
    <mergeCell ref="CU3:CU4"/>
    <mergeCell ref="CY3:DA3"/>
    <mergeCell ref="DN3:DP3"/>
    <mergeCell ref="CJ2:DA2"/>
    <mergeCell ref="DB3:DC3"/>
    <mergeCell ref="DX2:EA2"/>
    <mergeCell ref="DT2:DW2"/>
    <mergeCell ref="DT1:EA1"/>
    <mergeCell ref="ED1:EE2"/>
    <mergeCell ref="ED3:ED4"/>
    <mergeCell ref="EE3:EE4"/>
    <mergeCell ref="EF3:EF4"/>
    <mergeCell ref="BR1:DS1"/>
    <mergeCell ref="EB1:EB4"/>
    <mergeCell ref="EC1:EC4"/>
    <mergeCell ref="BP3:BQ3"/>
    <mergeCell ref="BR3:BS3"/>
    <mergeCell ref="CJ3:CK3"/>
    <mergeCell ref="CB3:CB4"/>
    <mergeCell ref="BO3:BO4"/>
    <mergeCell ref="BN3:BN4"/>
    <mergeCell ref="BM3:BM4"/>
    <mergeCell ref="BZ3:BZ4"/>
    <mergeCell ref="BY3:BY4"/>
    <mergeCell ref="BX3:BX4"/>
    <mergeCell ref="CC3:CC4"/>
    <mergeCell ref="CG3:CI3"/>
    <mergeCell ref="A2:A4"/>
    <mergeCell ref="C2:C4"/>
    <mergeCell ref="AA2:AA4"/>
    <mergeCell ref="Z2:Z4"/>
    <mergeCell ref="Y2:Y4"/>
    <mergeCell ref="X2:X4"/>
    <mergeCell ref="W2:W4"/>
    <mergeCell ref="V2:V4"/>
    <mergeCell ref="U2:U4"/>
    <mergeCell ref="H2:H4"/>
    <mergeCell ref="G2:G4"/>
    <mergeCell ref="F2:F4"/>
    <mergeCell ref="E2:E4"/>
    <mergeCell ref="D2:D4"/>
    <mergeCell ref="N2:N4"/>
    <mergeCell ref="M2:M4"/>
    <mergeCell ref="L2:L4"/>
    <mergeCell ref="DG3:DG4"/>
    <mergeCell ref="DF3:DF4"/>
    <mergeCell ref="DE3:DE4"/>
    <mergeCell ref="DD3:DD4"/>
    <mergeCell ref="DB2:DS2"/>
    <mergeCell ref="DM3:DM4"/>
    <mergeCell ref="DQ3:DS3"/>
    <mergeCell ref="DL3:DL4"/>
    <mergeCell ref="DK3:DK4"/>
    <mergeCell ref="DJ3:DJ4"/>
    <mergeCell ref="DI3:DI4"/>
    <mergeCell ref="AD3:AD4"/>
    <mergeCell ref="AP3:AQ3"/>
    <mergeCell ref="AP2:BC2"/>
    <mergeCell ref="AN3:AO3"/>
    <mergeCell ref="BB3:BC3"/>
    <mergeCell ref="AI3:AI4"/>
    <mergeCell ref="AE3:AE4"/>
    <mergeCell ref="AB3:AC3"/>
    <mergeCell ref="AR3:AR4"/>
    <mergeCell ref="AT3:AT4"/>
    <mergeCell ref="AH3:AH4"/>
    <mergeCell ref="ER1:ER4"/>
    <mergeCell ref="ES1:ES4"/>
    <mergeCell ref="EG3:EG4"/>
    <mergeCell ref="EP3:EP4"/>
    <mergeCell ref="EO1:EO2"/>
    <mergeCell ref="CV3:CX3"/>
    <mergeCell ref="CT3:CT4"/>
    <mergeCell ref="CA3:CA4"/>
    <mergeCell ref="BR2:CI2"/>
    <mergeCell ref="BW3:BW4"/>
    <mergeCell ref="BU3:BU4"/>
    <mergeCell ref="BT3:BT4"/>
    <mergeCell ref="CS3:CS4"/>
    <mergeCell ref="CR3:CR4"/>
    <mergeCell ref="CQ3:CQ4"/>
    <mergeCell ref="CP3:CP4"/>
    <mergeCell ref="CO3:CO4"/>
    <mergeCell ref="CN3:CN4"/>
    <mergeCell ref="CM3:CM4"/>
    <mergeCell ref="BV3:BV4"/>
    <mergeCell ref="CD3:CF3"/>
    <mergeCell ref="EQ1:EQ4"/>
    <mergeCell ref="EL1:EL4"/>
    <mergeCell ref="DH3:DH4"/>
    <mergeCell ref="AY3:AY4"/>
    <mergeCell ref="AX3:AX4"/>
    <mergeCell ref="AW3:AW4"/>
    <mergeCell ref="AV3:AV4"/>
    <mergeCell ref="BG3:BG4"/>
    <mergeCell ref="BF3:BF4"/>
    <mergeCell ref="BH3:BH4"/>
    <mergeCell ref="AU3:AU4"/>
    <mergeCell ref="AJ3:AJ4"/>
    <mergeCell ref="AK3:AK4"/>
    <mergeCell ref="AL3:AL4"/>
    <mergeCell ref="AM3:AM4"/>
    <mergeCell ref="AS3:AS4"/>
    <mergeCell ref="I1:AA1"/>
    <mergeCell ref="A1:B1"/>
    <mergeCell ref="J2:J4"/>
    <mergeCell ref="S2:S4"/>
    <mergeCell ref="R2:R4"/>
    <mergeCell ref="Q2:Q4"/>
    <mergeCell ref="P2:P4"/>
    <mergeCell ref="O2:O4"/>
    <mergeCell ref="AG3:AG4"/>
    <mergeCell ref="K2:K4"/>
    <mergeCell ref="I2:I4"/>
    <mergeCell ref="T2:T4"/>
    <mergeCell ref="B2:B4"/>
    <mergeCell ref="AB1:BQ1"/>
    <mergeCell ref="BL3:BL4"/>
    <mergeCell ref="BK3:BK4"/>
    <mergeCell ref="BJ3:BJ4"/>
    <mergeCell ref="BI3:BI4"/>
    <mergeCell ref="BD3:BE3"/>
    <mergeCell ref="AF3:AF4"/>
    <mergeCell ref="BD2:BQ2"/>
    <mergeCell ref="AB2:AO2"/>
    <mergeCell ref="BA3:BA4"/>
    <mergeCell ref="AZ3:AZ4"/>
  </mergeCells>
  <phoneticPr fontId="26" type="noConversion"/>
  <conditionalFormatting sqref="C13:C14">
    <cfRule type="duplicateValues" dxfId="0" priority="1"/>
  </conditionalFormatting>
  <pageMargins left="0.7" right="0.7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XFD82"/>
  <sheetViews>
    <sheetView showGridLines="0" topLeftCell="A51" zoomScaleNormal="100" workbookViewId="0">
      <selection activeCell="P63" sqref="P63"/>
    </sheetView>
  </sheetViews>
  <sheetFormatPr defaultColWidth="9.33203125" defaultRowHeight="12.6" x14ac:dyDescent="0.3"/>
  <cols>
    <col min="1" max="1" width="5.109375" style="6" customWidth="1"/>
    <col min="2" max="2" width="7.44140625" style="6" customWidth="1"/>
    <col min="3" max="3" width="9.109375" style="6" customWidth="1"/>
    <col min="4" max="4" width="14.44140625" style="6" customWidth="1"/>
    <col min="5" max="5" width="12.109375" style="6" customWidth="1"/>
    <col min="6" max="6" width="9.5546875" style="6" customWidth="1"/>
    <col min="7" max="7" width="10" style="6" customWidth="1"/>
    <col min="8" max="8" width="9.44140625" style="6" customWidth="1"/>
    <col min="9" max="9" width="8.6640625" style="6" customWidth="1"/>
    <col min="10" max="10" width="17.6640625" style="6" customWidth="1"/>
    <col min="11" max="11" width="13.109375" style="6" customWidth="1"/>
    <col min="12" max="14" width="9.33203125" style="6"/>
    <col min="15" max="15" width="16" style="6" customWidth="1"/>
    <col min="16" max="16384" width="9.33203125" style="6"/>
  </cols>
  <sheetData>
    <row r="1" spans="1:15" ht="17.399999999999999" customHeight="1" x14ac:dyDescent="0.3">
      <c r="D1" s="115"/>
      <c r="E1" s="276"/>
      <c r="F1" s="276"/>
      <c r="G1" s="276"/>
      <c r="H1" s="276"/>
      <c r="I1" s="276"/>
      <c r="J1" s="276"/>
      <c r="K1" s="276"/>
    </row>
    <row r="2" spans="1:15" ht="25.2" customHeight="1" x14ac:dyDescent="0.3">
      <c r="D2" s="2"/>
      <c r="E2" s="286" t="s">
        <v>137</v>
      </c>
      <c r="F2" s="286"/>
      <c r="G2" s="286"/>
      <c r="H2" s="286"/>
      <c r="I2" s="286"/>
      <c r="J2" s="2"/>
      <c r="K2" s="3"/>
    </row>
    <row r="3" spans="1:15" ht="19.2" customHeight="1" x14ac:dyDescent="0.3">
      <c r="A3" s="116"/>
      <c r="B3" s="116"/>
      <c r="C3" s="116"/>
      <c r="D3" s="116"/>
      <c r="E3" s="277" t="s">
        <v>162</v>
      </c>
      <c r="F3" s="277"/>
      <c r="G3" s="277"/>
      <c r="H3" s="277"/>
      <c r="I3" s="277"/>
      <c r="J3" s="117" t="s">
        <v>67</v>
      </c>
      <c r="K3" s="132">
        <v>2</v>
      </c>
    </row>
    <row r="4" spans="1:15" ht="13.2" thickBot="1" x14ac:dyDescent="0.35">
      <c r="A4" s="116"/>
      <c r="B4" s="116"/>
      <c r="C4" s="116"/>
      <c r="D4" s="116"/>
      <c r="E4" s="116"/>
      <c r="F4" s="116"/>
      <c r="G4" s="116"/>
      <c r="H4" s="116"/>
      <c r="I4" s="116"/>
      <c r="J4" s="116"/>
      <c r="K4" s="116"/>
    </row>
    <row r="5" spans="1:15" ht="12.6" customHeight="1" x14ac:dyDescent="0.3">
      <c r="A5" s="141"/>
      <c r="B5" s="142"/>
      <c r="C5" s="142"/>
      <c r="D5" s="142"/>
      <c r="E5" s="142"/>
      <c r="F5" s="142"/>
      <c r="G5" s="142"/>
      <c r="H5" s="142"/>
      <c r="I5" s="142"/>
      <c r="J5" s="287" t="s">
        <v>65</v>
      </c>
      <c r="K5" s="288"/>
      <c r="O5" s="118"/>
    </row>
    <row r="6" spans="1:15" ht="12" customHeight="1" thickBot="1" x14ac:dyDescent="0.35">
      <c r="A6" s="18" t="s">
        <v>14</v>
      </c>
      <c r="B6" s="20"/>
      <c r="C6" s="20" t="str">
        <f>'Data Input'!O6</f>
        <v>TIN HO</v>
      </c>
      <c r="D6" s="20"/>
      <c r="E6" s="20"/>
      <c r="F6" s="20"/>
      <c r="G6" s="20"/>
      <c r="H6" s="20"/>
      <c r="I6" s="20"/>
      <c r="J6" s="289"/>
      <c r="K6" s="290"/>
    </row>
    <row r="7" spans="1:15" ht="12" customHeight="1" x14ac:dyDescent="0.3">
      <c r="A7" s="18" t="s">
        <v>66</v>
      </c>
      <c r="B7" s="20"/>
      <c r="C7" s="20" t="str">
        <f>IF(OR(B13="haiphong",B13="hochiminh",B13="danang",B13="nghison",B13="hanoi"),VLOOKUP($K$3,'Data Input'!$A$6:$AA$910,COLUMN('Data Input'!D:D)),VLOOKUP($K$3,'Data Input'!$A$6:$AA$910,COLUMN('Data Input'!E:E)))</f>
        <v>ACCREDO ASIA</v>
      </c>
      <c r="D7" s="20"/>
      <c r="E7" s="20"/>
      <c r="F7" s="20"/>
      <c r="G7" s="20"/>
      <c r="H7" s="20"/>
      <c r="I7" s="20"/>
      <c r="J7" s="13" t="s">
        <v>0</v>
      </c>
      <c r="K7" s="14" t="str">
        <f>VLOOKUP($K$3,'Data Input'!$A$6:$AA$910,COLUMN('Data Input'!C:C))</f>
        <v>ASW-VN000002</v>
      </c>
      <c r="O7" s="272"/>
    </row>
    <row r="8" spans="1:15" ht="12" customHeight="1" x14ac:dyDescent="0.3">
      <c r="A8" s="18" t="s">
        <v>131</v>
      </c>
      <c r="B8" s="20"/>
      <c r="C8" s="20" t="str">
        <f>IF(VLOOKUP($K$3,'Data Input'!$A$6:$AA$910,COLUMN('Data Input'!F:F))="","",VLOOKUP($K$3,'Data Input'!$A$6:$AA$910,COLUMN('Data Input'!F:F)))</f>
        <v>ROYAL CARGO INC USA</v>
      </c>
      <c r="D8" s="20"/>
      <c r="E8" s="20"/>
      <c r="F8" s="20"/>
      <c r="G8" s="20"/>
      <c r="H8" s="20"/>
      <c r="I8" s="20"/>
      <c r="J8" s="15" t="s">
        <v>1</v>
      </c>
      <c r="K8" s="16">
        <f ca="1">TODAY()</f>
        <v>46185</v>
      </c>
      <c r="O8" s="272"/>
    </row>
    <row r="9" spans="1:15" ht="12" customHeight="1" x14ac:dyDescent="0.3">
      <c r="A9" s="18" t="s">
        <v>138</v>
      </c>
      <c r="B9" s="20"/>
      <c r="C9" s="20" t="b">
        <f>IF(VLOOKUP($K$3,'Data Input'!A6:B910,2,0)="FES","EXP",IF(VLOOKUP($K$3,'Data Input'!$A6:$B910,2,0)="FEA","EXP",IF(VLOOKUP($K$3,'Data Input'!$A6:$B910,2,0)="FIA","IMP",IF(VLOOKUP($K$3,'Data Input'!$A6:$B910,2,0)="FIS","IMP"))))</f>
        <v>0</v>
      </c>
      <c r="D9" s="20" t="b">
        <f>IF(VLOOKUP($K$3,'Data Input'!$A6:$B910,2,0)="FES","SEA",IF(VLOOKUP($K$3,'Data Input'!$A6:$B910,2,0)="FEA","AIR",IF(VLOOKUP($K$3,'Data Input'!$A6:$B910,2,0)="FIA","AIR",IF(VLOOKUP($K$3,'Data Input'!$A6:$B910,2,0)="FIS","SEA"))))</f>
        <v>0</v>
      </c>
      <c r="E9" s="20"/>
      <c r="F9" s="20"/>
      <c r="G9" s="20"/>
      <c r="H9" s="20"/>
      <c r="I9" s="20"/>
      <c r="J9" s="17" t="s">
        <v>187</v>
      </c>
      <c r="K9" s="7">
        <f>J32-J18-J46</f>
        <v>3096.9721459227649</v>
      </c>
      <c r="O9" s="272"/>
    </row>
    <row r="10" spans="1:15" ht="12" customHeight="1" x14ac:dyDescent="0.3">
      <c r="A10" s="18"/>
      <c r="B10" s="20"/>
      <c r="C10" s="20"/>
      <c r="D10" s="20"/>
      <c r="E10" s="20"/>
      <c r="F10" s="20"/>
      <c r="G10" s="20"/>
      <c r="H10" s="20"/>
      <c r="I10" s="20"/>
      <c r="J10" s="17" t="s">
        <v>188</v>
      </c>
      <c r="K10" s="7">
        <f>J32-J18-J46-J54</f>
        <v>3096.9721459227649</v>
      </c>
      <c r="M10" s="119"/>
      <c r="O10" s="272"/>
    </row>
    <row r="11" spans="1:15" ht="17.399999999999999" customHeight="1" x14ac:dyDescent="0.3">
      <c r="A11" s="278" t="s">
        <v>2</v>
      </c>
      <c r="B11" s="279"/>
      <c r="C11" s="279"/>
      <c r="D11" s="279"/>
      <c r="E11" s="279"/>
      <c r="F11" s="279"/>
      <c r="G11" s="279"/>
      <c r="H11" s="279"/>
      <c r="I11" s="280"/>
      <c r="J11" s="133" t="s">
        <v>68</v>
      </c>
      <c r="K11" s="134">
        <f>K9/(J18+J46+J54)</f>
        <v>4.3344585858039526E-2</v>
      </c>
      <c r="O11" s="272"/>
    </row>
    <row r="12" spans="1:15" ht="12.75" customHeight="1" x14ac:dyDescent="0.3">
      <c r="A12" s="143"/>
      <c r="B12" s="144"/>
      <c r="C12" s="144"/>
      <c r="D12" s="144"/>
      <c r="E12" s="144"/>
      <c r="F12" s="144"/>
      <c r="G12" s="144"/>
      <c r="H12" s="144"/>
      <c r="I12" s="144"/>
      <c r="J12" s="15" t="s">
        <v>45</v>
      </c>
      <c r="K12" s="8">
        <f>J34/(1+I34%)+J35/(1+I35%)+J36/(1+I36%)-J20/(1+I20%)-J21/(1+I21%)-J22/(1+I22%)-J48-J49-J52-J53</f>
        <v>3156.4429184549435</v>
      </c>
      <c r="O12" s="272"/>
    </row>
    <row r="13" spans="1:15" ht="12.75" customHeight="1" x14ac:dyDescent="0.3">
      <c r="A13" s="18" t="s">
        <v>11</v>
      </c>
      <c r="B13" s="19" t="str">
        <f>VLOOKUP($K$3,'Data Input'!$A$6:$AA$910,COLUMN('Data Input'!G:G))</f>
        <v>HOCHIMINH</v>
      </c>
      <c r="C13" s="20"/>
      <c r="D13" s="21"/>
      <c r="E13" s="20" t="s">
        <v>12</v>
      </c>
      <c r="F13" s="19" t="str">
        <f>VLOOKUP($K$3,'Data Input'!$A$6:$AA$910,COLUMN('Data Input'!H:H))</f>
        <v>HOUSTON</v>
      </c>
      <c r="G13" s="22"/>
      <c r="H13" s="20" t="s">
        <v>15</v>
      </c>
      <c r="I13" s="23">
        <f>VLOOKUP($K$3,'Data Input'!$A$6:$AA$910,COLUMN('Data Input'!Z:Z))</f>
        <v>0</v>
      </c>
      <c r="J13" s="15" t="s">
        <v>174</v>
      </c>
      <c r="K13" s="8">
        <f>-(J23/(1+I23%)+J24/(1+I24%)+J25/(1+I25%)+J26/(1+I26%)+J27/(1+I27%)+J28/(1+I28%)+J29/(1+I29%))+J37/(1+I37%)+J38/(1+I38%)+J39/(1+I39%)+J40/(1+I40%)+J41/(1+I41%)+J42/(1+I42%)+J43/(1+I43%)-J50-J51</f>
        <v>-59.470772532188619</v>
      </c>
    </row>
    <row r="14" spans="1:15" ht="12.75" customHeight="1" x14ac:dyDescent="0.3">
      <c r="A14" s="18" t="s">
        <v>114</v>
      </c>
      <c r="B14" s="19" t="str">
        <f>VLOOKUP($K$3,'Data Input'!$A$6:$AA$910,COLUMN('Data Input'!I:I))</f>
        <v>HOCHIMINH</v>
      </c>
      <c r="C14" s="20"/>
      <c r="D14" s="21"/>
      <c r="E14" s="20" t="s">
        <v>115</v>
      </c>
      <c r="F14" s="19" t="str">
        <f>VLOOKUP($K$3,'Data Input'!$A$6:$AA$910,COLUMN('Data Input'!J:J))</f>
        <v>USA</v>
      </c>
      <c r="G14" s="20"/>
      <c r="H14" s="20"/>
      <c r="I14" s="20"/>
      <c r="J14" s="15" t="s">
        <v>175</v>
      </c>
      <c r="K14" s="8">
        <f>J44/(1+I44%)+J45/(1+I45%)-(J30/(1+I30%)+J31/(1+I31%))</f>
        <v>0</v>
      </c>
      <c r="O14" s="120"/>
    </row>
    <row r="15" spans="1:15" ht="12.75" customHeight="1" x14ac:dyDescent="0.3">
      <c r="A15" s="18" t="s">
        <v>3</v>
      </c>
      <c r="B15" s="281">
        <f>IF(VLOOKUP($K$3,'Data Input'!$A$6:$AA$910,COLUMN('Data Input'!U:U))="","",VLOOKUP($K$3,'Data Input'!$A$6:$AA$910,COLUMN('Data Input'!U:U)))</f>
        <v>46147</v>
      </c>
      <c r="C15" s="281"/>
      <c r="D15" s="20"/>
      <c r="E15" s="20"/>
      <c r="F15" s="20"/>
      <c r="G15" s="20"/>
      <c r="H15" s="20"/>
      <c r="I15" s="24"/>
      <c r="J15" s="15" t="s">
        <v>44</v>
      </c>
      <c r="K15" s="8">
        <f>K46</f>
        <v>1042.4034334763949</v>
      </c>
      <c r="O15" s="120"/>
    </row>
    <row r="16" spans="1:15" ht="12.75" customHeight="1" x14ac:dyDescent="0.3">
      <c r="A16" s="18" t="s">
        <v>4</v>
      </c>
      <c r="B16" s="25" t="str">
        <f>IF(AND(B17&gt;0,D17&gt;0),B17&amp;C17&amp;"/"&amp;D17&amp;E17,IF(AND(B17&gt;0,D17=0),B17&amp;C17,IF(AND(B17=0,D17&gt;0),D17&amp;E17,0)))</f>
        <v>5x40'</v>
      </c>
      <c r="C16" s="25"/>
      <c r="D16" s="20"/>
      <c r="E16" s="20"/>
      <c r="F16" s="26">
        <f>VLOOKUP($K$3,'Data Input'!$A$6:$AA$910,COLUMN('Data Input'!M:M))</f>
        <v>0</v>
      </c>
      <c r="G16" s="27" t="s">
        <v>5</v>
      </c>
      <c r="H16" s="26">
        <f>VLOOKUP($K$3,'Data Input'!$A$6:$AA$910,COLUMN('Data Input'!N:N))</f>
        <v>0</v>
      </c>
      <c r="I16" s="27" t="s">
        <v>6</v>
      </c>
      <c r="J16" s="15" t="s">
        <v>155</v>
      </c>
      <c r="K16" s="8">
        <f>VLOOKUP($K$3,'Data Input'!$A$6:$ES$910,COLUMN('Data Input'!ER:ER))</f>
        <v>23300</v>
      </c>
      <c r="O16" s="120"/>
    </row>
    <row r="17" spans="1:17" ht="12.75" customHeight="1" thickBot="1" x14ac:dyDescent="0.35">
      <c r="A17" s="28" t="s">
        <v>38</v>
      </c>
      <c r="B17" s="29">
        <f>VLOOKUP($K$3,'Data Input'!$A$6:$AA$910,COLUMN('Data Input'!K:K))</f>
        <v>0</v>
      </c>
      <c r="C17" s="30" t="s">
        <v>56</v>
      </c>
      <c r="D17" s="29">
        <f>VLOOKUP($K$3,'Data Input'!$A$6:$AA$910,COLUMN('Data Input'!L:L))</f>
        <v>5</v>
      </c>
      <c r="E17" s="31" t="s">
        <v>57</v>
      </c>
      <c r="F17" s="30" t="s">
        <v>39</v>
      </c>
      <c r="G17" s="32"/>
      <c r="H17" s="32"/>
      <c r="I17" s="20" t="str">
        <f>IF(AND(B16="",F16=""),"(A/F)","")</f>
        <v/>
      </c>
      <c r="J17" s="139" t="s">
        <v>154</v>
      </c>
      <c r="K17" s="140">
        <f>VLOOKUP($K$3,'Data Input'!$A$6:$ES$910,COLUMN('Data Input'!ES:ES))</f>
        <v>7.5</v>
      </c>
      <c r="O17" s="120"/>
    </row>
    <row r="18" spans="1:17" ht="13.5" customHeight="1" x14ac:dyDescent="0.3">
      <c r="A18" s="282" t="s">
        <v>163</v>
      </c>
      <c r="B18" s="283"/>
      <c r="C18" s="283"/>
      <c r="D18" s="283"/>
      <c r="E18" s="283"/>
      <c r="F18" s="283"/>
      <c r="G18" s="283"/>
      <c r="H18" s="283"/>
      <c r="I18" s="283"/>
      <c r="J18" s="9">
        <f>J20/(1+I20%)+J21/(1+I21%)+J22/(1+I22%)+J23/(1+I23%)+J24/(1+I24%)+J25/(1+I25%)+J26/(1+I26%)+J27/(1+I27%)+J28/(1+I28%)+J29/(1+I29%)+J30/(1+I30%)+J31/(1+I31%)</f>
        <v>70147.029999999984</v>
      </c>
      <c r="K18" s="33"/>
      <c r="M18" s="119"/>
    </row>
    <row r="19" spans="1:17" ht="25.2" customHeight="1" x14ac:dyDescent="0.3">
      <c r="A19" s="34" t="s">
        <v>7</v>
      </c>
      <c r="B19" s="284" t="s">
        <v>8</v>
      </c>
      <c r="C19" s="285"/>
      <c r="D19" s="285"/>
      <c r="E19" s="35" t="s">
        <v>33</v>
      </c>
      <c r="F19" s="35" t="s">
        <v>20</v>
      </c>
      <c r="G19" s="35" t="s">
        <v>35</v>
      </c>
      <c r="H19" s="35" t="s">
        <v>36</v>
      </c>
      <c r="I19" s="36" t="s">
        <v>49</v>
      </c>
      <c r="J19" s="36" t="s">
        <v>50</v>
      </c>
      <c r="K19" s="37" t="s">
        <v>117</v>
      </c>
    </row>
    <row r="20" spans="1:17" ht="12.75" customHeight="1" x14ac:dyDescent="0.3">
      <c r="A20" s="38">
        <v>1</v>
      </c>
      <c r="B20" s="39">
        <f>I13</f>
        <v>0</v>
      </c>
      <c r="C20" s="40"/>
      <c r="D20" s="41"/>
      <c r="E20" s="42">
        <f>IF(OR(I13="EXW",I13="FCA",I13="CIF/CC"),1,0)</f>
        <v>0</v>
      </c>
      <c r="F20" s="43">
        <f>VLOOKUP($K$3,'Data Input'!$A$6:$EQ$910,COLUMN('Data Input'!BD:BD))</f>
        <v>0</v>
      </c>
      <c r="G20" s="43">
        <f>VLOOKUP($K$3,'Data Input'!$A$6:$EQ$910,COLUMN('Data Input'!AB:AB))</f>
        <v>0</v>
      </c>
      <c r="H20" s="43">
        <f>VLOOKUP($K$3,'Data Input'!$A$6:$EQ$910,COLUMN('Data Input'!AP:AP))</f>
        <v>0</v>
      </c>
      <c r="I20" s="44">
        <f>VLOOKUP($K$3,'Data Input'!$A$6:$ES$910,COLUMN('Data Input'!DT:DT))</f>
        <v>0</v>
      </c>
      <c r="J20" s="45">
        <f>E20*(F20+G20+H20)*(1+I20%)</f>
        <v>0</v>
      </c>
      <c r="K20" s="130"/>
    </row>
    <row r="21" spans="1:17" ht="12.75" customHeight="1" x14ac:dyDescent="0.3">
      <c r="A21" s="38"/>
      <c r="B21" s="39"/>
      <c r="C21" s="39"/>
      <c r="D21" s="39"/>
      <c r="E21" s="46" t="str">
        <f>IF($B$16&gt;0,$B$16,IF($F$16=0,$H$16,IF(AND($F$16&lt;1,$H$16/1000&lt;1),1,IF($F$16&gt;$H$16/1000,$F$16,$H$16/1000))))</f>
        <v>5x40'</v>
      </c>
      <c r="F21" s="43">
        <f>VLOOKUP($K$3,'Data Input'!$A$6:$EQ$910,COLUMN('Data Input'!BE:BE))</f>
        <v>0</v>
      </c>
      <c r="G21" s="43">
        <f>VLOOKUP($K$3,'Data Input'!$A$6:$EQ$910,COLUMN('Data Input'!AC:AC))</f>
        <v>0</v>
      </c>
      <c r="H21" s="43">
        <f>VLOOKUP($K$3,'Data Input'!$A$6:$EQ$910,COLUMN('Data Input'!AQ:AQ))</f>
        <v>0</v>
      </c>
      <c r="I21" s="44">
        <f>VLOOKUP($K$3,'Data Input'!$A$6:$ES$910,COLUMN('Data Input'!DT:DT))</f>
        <v>0</v>
      </c>
      <c r="J21" s="47">
        <f>(($B$17*G21+$D$17*H21+IF($F$16=0,$H$16*F21,$E$22*F21))*(1+I21%))</f>
        <v>0</v>
      </c>
      <c r="K21" s="130"/>
      <c r="O21" s="120"/>
    </row>
    <row r="22" spans="1:17" ht="12.75" customHeight="1" x14ac:dyDescent="0.3">
      <c r="A22" s="38">
        <v>2</v>
      </c>
      <c r="B22" s="39" t="s">
        <v>41</v>
      </c>
      <c r="C22" s="39"/>
      <c r="D22" s="48"/>
      <c r="E22" s="46" t="str">
        <f>IF($B$16&gt;0,$B$16,IF($F$16=0,$H$16,IF(AND($F$16&lt;1,$H$16/1000&lt;1),1,IF($F$16&gt;$H$16/1000,$F$16,$H$16/1000))))</f>
        <v>5x40'</v>
      </c>
      <c r="F22" s="43">
        <f>VLOOKUP($K$3,'Data Input'!$A$6:$EQ$910,COLUMN('Data Input'!BE:BE))</f>
        <v>0</v>
      </c>
      <c r="G22" s="43">
        <f>VLOOKUP($K$3,'Data Input'!$A$6:$EQ$910,COLUMN('Data Input'!AD:AD))</f>
        <v>0</v>
      </c>
      <c r="H22" s="43">
        <f>VLOOKUP($K$3,'Data Input'!$A$6:$EQ$910,COLUMN('Data Input'!AR:AR))</f>
        <v>13774.72</v>
      </c>
      <c r="I22" s="44">
        <f>VLOOKUP($K$3,'Data Input'!$A$6:$ES$910,COLUMN('Data Input'!DU:DU))</f>
        <v>0</v>
      </c>
      <c r="J22" s="47">
        <f>(($B$17*G22+$D$17*H22+IF($F$16=0,$H$16*F22,$E$22*F22))*(1+I22%))</f>
        <v>68873.599999999991</v>
      </c>
      <c r="K22" s="130"/>
      <c r="O22" s="120"/>
    </row>
    <row r="23" spans="1:17" ht="12.75" customHeight="1" x14ac:dyDescent="0.3">
      <c r="A23" s="38">
        <v>3</v>
      </c>
      <c r="B23" s="39" t="s">
        <v>37</v>
      </c>
      <c r="C23" s="39"/>
      <c r="D23" s="49" t="str">
        <f>IF(OR(B13="haiphong",B13="hochiminh",B13="nghison",B13="chulai",B13="danang",B13="HANOI"),"BILL FEE","DO")</f>
        <v>BILL FEE</v>
      </c>
      <c r="E23" s="46">
        <v>1</v>
      </c>
      <c r="F23" s="43">
        <f>VLOOKUP($K$3,'Data Input'!$A$6:$EQ$910,COLUMN('Data Input'!BG:BG))</f>
        <v>0</v>
      </c>
      <c r="G23" s="43">
        <f>VLOOKUP($K$3,'Data Input'!$A$6:$EQ$910,COLUMN('Data Input'!AE:AE))</f>
        <v>0</v>
      </c>
      <c r="H23" s="43">
        <f>VLOOKUP($K$3,'Data Input'!$A$6:$EQ$910,COLUMN('Data Input'!AS:AS))</f>
        <v>49.55</v>
      </c>
      <c r="I23" s="50">
        <f>VLOOKUP($K$3,'Data Input'!$A$6:$ES$910,COLUMN('Data Input'!DV:DV))</f>
        <v>8</v>
      </c>
      <c r="J23" s="47">
        <f>(F23+G23+H23)*(1+I23%)</f>
        <v>53.514000000000003</v>
      </c>
      <c r="K23" s="130"/>
      <c r="O23" s="120"/>
    </row>
    <row r="24" spans="1:17" ht="12.75" customHeight="1" x14ac:dyDescent="0.3">
      <c r="A24" s="38"/>
      <c r="B24" s="39"/>
      <c r="C24" s="39"/>
      <c r="D24" s="49" t="s">
        <v>29</v>
      </c>
      <c r="E24" s="46" t="str">
        <f>IF($B$16&gt;0,$B$16,IF($F$16=0,$H$16,IF(AND($F$16&lt;1,$H$16/1000&lt;1),1,IF($F$16&gt;$H$16/1000,$F$16,$H$16/1000))))</f>
        <v>5x40'</v>
      </c>
      <c r="F24" s="43">
        <f>VLOOKUP($K$3,'Data Input'!$A$6:$EQ$910,COLUMN('Data Input'!BH:BH))</f>
        <v>0</v>
      </c>
      <c r="G24" s="43">
        <f>VLOOKUP($K$3,'Data Input'!$A$6:$EQ$910,COLUMN('Data Input'!AF:AF))</f>
        <v>0</v>
      </c>
      <c r="H24" s="43">
        <f>VLOOKUP($K$3,'Data Input'!$A$6:$EQ$910,COLUMN('Data Input'!AT:AT))</f>
        <v>188.29</v>
      </c>
      <c r="I24" s="50">
        <f>VLOOKUP($K$3,'Data Input'!$A$6:$ES$910,COLUMN('Data Input'!DV:DV))</f>
        <v>8</v>
      </c>
      <c r="J24" s="47">
        <f>(($B$17*G24+$D$17*H24+IF($F$16=0,$H$16*F24,$E$22*F24))*(1+I24%))</f>
        <v>1016.766</v>
      </c>
      <c r="K24" s="130"/>
      <c r="O24" s="120"/>
    </row>
    <row r="25" spans="1:17" ht="12.75" customHeight="1" x14ac:dyDescent="0.3">
      <c r="A25" s="38"/>
      <c r="B25" s="39"/>
      <c r="C25" s="39"/>
      <c r="D25" s="49" t="s">
        <v>31</v>
      </c>
      <c r="E25" s="46" t="str">
        <f>IF($B$16&gt;0,$B$16,IF($F$16=0,$H$16,IF(AND($F$16&lt;1,$H$16/1000&lt;1),1,IF($F$16&gt;$H$16/1000,$F$16,$H$16/1000))))</f>
        <v>5x40'</v>
      </c>
      <c r="F25" s="43">
        <f>VLOOKUP($K$3,'Data Input'!$A$6:$EQ$910,COLUMN('Data Input'!BI:BI))</f>
        <v>0</v>
      </c>
      <c r="G25" s="43">
        <f>VLOOKUP($K$3,'Data Input'!$A$6:$EQ$910,COLUMN('Data Input'!AG:AG))</f>
        <v>0</v>
      </c>
      <c r="H25" s="43">
        <f>VLOOKUP($K$3,'Data Input'!$A$6:$EQ$910,COLUMN('Data Input'!AU:AU))</f>
        <v>0</v>
      </c>
      <c r="I25" s="50">
        <f>VLOOKUP($K$3,'Data Input'!$A$6:$ES$910,COLUMN('Data Input'!DV:DV))</f>
        <v>8</v>
      </c>
      <c r="J25" s="47">
        <f>(($B$17*G25+$D$17*H25+IF($F$16=0,$H$16*F25,$E$22*F25))*(1+I25%))</f>
        <v>0</v>
      </c>
      <c r="K25" s="130"/>
    </row>
    <row r="26" spans="1:17" ht="12.75" customHeight="1" x14ac:dyDescent="0.3">
      <c r="A26" s="38"/>
      <c r="B26" s="39"/>
      <c r="C26" s="39"/>
      <c r="D26" s="49" t="s">
        <v>30</v>
      </c>
      <c r="E26" s="46" t="str">
        <f>IF($B$16&gt;0,$B$16,IF($F$16=0,$H$16,IF(AND($F$16&lt;1,$H$16/1000&lt;1),1,IF($F$16&gt;$H$16/1000,$F$16,$H$16/1000))))</f>
        <v>5x40'</v>
      </c>
      <c r="F26" s="43">
        <f>VLOOKUP($K$3,'Data Input'!$A$6:$EQ$910,COLUMN('Data Input'!BJ:BJ))</f>
        <v>0</v>
      </c>
      <c r="G26" s="43">
        <f>VLOOKUP($K$3,'Data Input'!$A$6:$EQ$910,COLUMN('Data Input'!AH:AH))</f>
        <v>0</v>
      </c>
      <c r="H26" s="43">
        <f>VLOOKUP($K$3,'Data Input'!$A$6:$EQ$910,COLUMN('Data Input'!AV:AV))</f>
        <v>0</v>
      </c>
      <c r="I26" s="50">
        <f>VLOOKUP($K$3,'Data Input'!$A$6:$ES$910,COLUMN('Data Input'!DV:DV))</f>
        <v>8</v>
      </c>
      <c r="J26" s="47">
        <f>(($B$17*G26+$D$17*H26+IF($F$16=0,$H$16*F26,$E$22*F26))*(1+I26%))</f>
        <v>0</v>
      </c>
      <c r="K26" s="130"/>
    </row>
    <row r="27" spans="1:17" ht="12.75" customHeight="1" x14ac:dyDescent="0.3">
      <c r="A27" s="38"/>
      <c r="B27" s="39"/>
      <c r="C27" s="39"/>
      <c r="D27" s="49" t="str">
        <f>IF(OR(B13="haiphong",B13="hochiminh",B13="nghison",B13="chulai",B13="danang",B13="HANOI"),"TLX BILL FEE","HDL")</f>
        <v>TLX BILL FEE</v>
      </c>
      <c r="E27" s="46">
        <v>1</v>
      </c>
      <c r="F27" s="43">
        <f>VLOOKUP($K$3,'Data Input'!$A$6:$EQ$910,COLUMN('Data Input'!BK:BK))</f>
        <v>0</v>
      </c>
      <c r="G27" s="43">
        <f>VLOOKUP($K$3,'Data Input'!$A$6:$EQ$910,COLUMN('Data Input'!AI:AI))</f>
        <v>0</v>
      </c>
      <c r="H27" s="43">
        <f>VLOOKUP($K$3,'Data Input'!$A$6:$EQ$910,COLUMN('Data Input'!AW:AW))</f>
        <v>34.68</v>
      </c>
      <c r="I27" s="50">
        <f>VLOOKUP($K$3,'Data Input'!$A$6:$ES$910,COLUMN('Data Input'!DV:DV))</f>
        <v>8</v>
      </c>
      <c r="J27" s="47">
        <f>(F27+G27+H27)*(1+I27%)</f>
        <v>37.4544</v>
      </c>
      <c r="K27" s="130"/>
      <c r="N27" s="119"/>
      <c r="O27" s="120"/>
    </row>
    <row r="28" spans="1:17" ht="12.75" customHeight="1" x14ac:dyDescent="0.3">
      <c r="A28" s="38"/>
      <c r="B28" s="39"/>
      <c r="C28" s="39"/>
      <c r="D28" s="49" t="str">
        <f>IF(OR(B13="haiphong",B13="hochiminh",B13="nghison",B13="chulai",B13="danang",B13="HANOI"),"SEAL","CLEANING")</f>
        <v>SEAL</v>
      </c>
      <c r="E28" s="46" t="str">
        <f>IF($B$16&gt;0,$B$16,IF($F$16=0,$H$16,IF(AND($F$16&lt;1,$H$16/1000&lt;1),1,IF($F$16&gt;$H$16/1000,$F$16,$H$16/1000))))</f>
        <v>5x40'</v>
      </c>
      <c r="F28" s="43">
        <f>VLOOKUP($K$3,'Data Input'!$A$6:$EQ$910,COLUMN('Data Input'!BM:BM))</f>
        <v>0</v>
      </c>
      <c r="G28" s="43">
        <f>VLOOKUP($K$3,'Data Input'!$A$6:$EQ$910,COLUMN('Data Input'!AJ:AJ))</f>
        <v>0</v>
      </c>
      <c r="H28" s="43">
        <f>VLOOKUP($K$3,'Data Input'!$A$6:$EQ$910,COLUMN('Data Input'!AX:AX))</f>
        <v>0</v>
      </c>
      <c r="I28" s="50">
        <f>VLOOKUP($K$3,'Data Input'!$A$6:$ES$910,COLUMN('Data Input'!DV:DV))</f>
        <v>8</v>
      </c>
      <c r="J28" s="47">
        <f>(($B$17*G28+$D$17*H28+IF($F$16=0,$H$16*F28,$E$22*F28))*(1+I28%))</f>
        <v>0</v>
      </c>
      <c r="K28" s="130"/>
      <c r="O28" s="120"/>
      <c r="P28" s="121"/>
      <c r="Q28" s="121"/>
    </row>
    <row r="29" spans="1:17" ht="12.75" customHeight="1" x14ac:dyDescent="0.3">
      <c r="A29" s="38"/>
      <c r="B29" s="39"/>
      <c r="C29" s="39"/>
      <c r="D29" s="49" t="str">
        <f>IF(B16&lt;&gt;"","OTHER FEE","LOADING FEE")</f>
        <v>OTHER FEE</v>
      </c>
      <c r="E29" s="46" t="str">
        <f>IF($B$16&gt;0,$B$16,IF($F$16=0,$H$16,IF(AND($F$16&lt;1,$H$16/1000&lt;1),1,IF($F$16&gt;$H$16/1000,$F$16,$H$16/1000))))</f>
        <v>5x40'</v>
      </c>
      <c r="F29" s="43">
        <f>VLOOKUP($K$3,'Data Input'!$A$6:$EQ$910,COLUMN('Data Input'!BL:BL))</f>
        <v>0</v>
      </c>
      <c r="G29" s="43">
        <f>VLOOKUP($K$3,'Data Input'!$A$6:$EQ$910,COLUMN('Data Input'!AK:AK))</f>
        <v>0</v>
      </c>
      <c r="H29" s="43">
        <f>VLOOKUP($K$3,'Data Input'!$A$6:$EQ$910,COLUMN('Data Input'!AY:AY))</f>
        <v>49.55</v>
      </c>
      <c r="I29" s="50">
        <f>VLOOKUP($K$3,'Data Input'!$A$6:$ES$910,COLUMN('Data Input'!DV:DV))</f>
        <v>8</v>
      </c>
      <c r="J29" s="51">
        <f>(($B$17*G29+$D$17*H29+IF($F$16=0,$H$16*F29,$E$22*F29))*(1+I29%))</f>
        <v>267.57</v>
      </c>
      <c r="K29" s="130"/>
      <c r="O29" s="120"/>
      <c r="P29" s="121"/>
      <c r="Q29" s="121"/>
    </row>
    <row r="30" spans="1:17" ht="12.75" customHeight="1" x14ac:dyDescent="0.3">
      <c r="A30" s="38">
        <v>4</v>
      </c>
      <c r="B30" s="39" t="s">
        <v>46</v>
      </c>
      <c r="C30" s="39"/>
      <c r="D30" s="49" t="s">
        <v>47</v>
      </c>
      <c r="E30" s="46">
        <f>IF(AND(F30+G30+H30&gt;0,$B$16&gt;0),$B$16,IF(AND(F30+G30+H30&gt;0,$B$16=0),1,0))</f>
        <v>0</v>
      </c>
      <c r="F30" s="43">
        <f>VLOOKUP($K$3,'Data Input'!$A$6:$EQ$910,COLUMN('Data Input'!BN:BN))</f>
        <v>0</v>
      </c>
      <c r="G30" s="43">
        <f>VLOOKUP($K$3,'Data Input'!$A$6:$EQ$910,COLUMN('Data Input'!AL:AL))</f>
        <v>0</v>
      </c>
      <c r="H30" s="43">
        <f>VLOOKUP($K$3,'Data Input'!$A$6:$EQ$910,COLUMN('Data Input'!AZ:AZ))</f>
        <v>0</v>
      </c>
      <c r="I30" s="44">
        <f>VLOOKUP($K$3,'Data Input'!$A$6:$ES$910,COLUMN('Data Input'!DW:DW))</f>
        <v>0</v>
      </c>
      <c r="J30" s="51">
        <f>(($B$17*G30+$D$17*H30+F30*1)*(1+I30%))</f>
        <v>0</v>
      </c>
      <c r="K30" s="130">
        <f t="shared" ref="K30:K31" si="0">J30*$K$16</f>
        <v>0</v>
      </c>
      <c r="O30" s="120"/>
      <c r="P30" s="121"/>
      <c r="Q30" s="121"/>
    </row>
    <row r="31" spans="1:17" ht="12.75" customHeight="1" thickBot="1" x14ac:dyDescent="0.35">
      <c r="A31" s="52"/>
      <c r="B31" s="53"/>
      <c r="C31" s="53"/>
      <c r="D31" s="54" t="s">
        <v>48</v>
      </c>
      <c r="E31" s="55">
        <f>IF(AND(F31+G31+H31&gt;0,$B$16&gt;0),$B$16,IF(AND(F31+G31+H31&gt;0,$B$16=0),1,0))</f>
        <v>0</v>
      </c>
      <c r="F31" s="56">
        <f>VLOOKUP($K$3,'Data Input'!$A$6:$EQ$910,COLUMN('Data Input'!BO:BO))</f>
        <v>0</v>
      </c>
      <c r="G31" s="56">
        <f>VLOOKUP($K$3,'Data Input'!$A$6:$EQ$910,COLUMN('Data Input'!AM:AM))</f>
        <v>0</v>
      </c>
      <c r="H31" s="56">
        <f>VLOOKUP($K$3,'Data Input'!$A$6:$EQ$910,COLUMN('Data Input'!BA:BA))</f>
        <v>0</v>
      </c>
      <c r="I31" s="57">
        <f>VLOOKUP($K$3,'Data Input'!$A$6:$ES$910,COLUMN('Data Input'!DW:DW))</f>
        <v>0</v>
      </c>
      <c r="J31" s="58">
        <f>(($B$17*G31+$D$17*H31+F31*1)*(1+I31%))</f>
        <v>0</v>
      </c>
      <c r="K31" s="130">
        <f t="shared" si="0"/>
        <v>0</v>
      </c>
      <c r="O31" s="120"/>
      <c r="P31" s="121"/>
      <c r="Q31" s="121"/>
    </row>
    <row r="32" spans="1:17" ht="14.25" customHeight="1" x14ac:dyDescent="0.3">
      <c r="A32" s="273" t="s">
        <v>164</v>
      </c>
      <c r="B32" s="274"/>
      <c r="C32" s="274"/>
      <c r="D32" s="274"/>
      <c r="E32" s="274"/>
      <c r="F32" s="274"/>
      <c r="G32" s="274"/>
      <c r="H32" s="274"/>
      <c r="I32" s="275"/>
      <c r="J32" s="12">
        <f>J34/(1+I34%)+J35/(1+I35%)+J36/(1+I36%)+J37/(1+I37%)+J38/(1+I38%)+J39/(1+I39%)+J40/(1+I40%)+J41/(1+I41%)+J42/(1+I42%)+J43/(1+I43%)+J44/(1+I44%)+J45/(1+I45%)</f>
        <v>74547.006437768243</v>
      </c>
      <c r="K32" s="59"/>
      <c r="M32" s="119"/>
      <c r="N32" s="119"/>
      <c r="O32" s="122"/>
      <c r="P32" s="121"/>
      <c r="Q32" s="121"/>
    </row>
    <row r="33" spans="1:17" ht="21.6" customHeight="1" x14ac:dyDescent="0.3">
      <c r="A33" s="60" t="s">
        <v>7</v>
      </c>
      <c r="B33" s="259" t="s">
        <v>8</v>
      </c>
      <c r="C33" s="260"/>
      <c r="D33" s="260"/>
      <c r="E33" s="61" t="s">
        <v>33</v>
      </c>
      <c r="F33" s="61" t="s">
        <v>20</v>
      </c>
      <c r="G33" s="61" t="s">
        <v>35</v>
      </c>
      <c r="H33" s="61" t="s">
        <v>36</v>
      </c>
      <c r="I33" s="61" t="s">
        <v>49</v>
      </c>
      <c r="J33" s="61" t="s">
        <v>51</v>
      </c>
      <c r="K33" s="62" t="s">
        <v>118</v>
      </c>
      <c r="O33" s="122"/>
      <c r="P33" s="121"/>
      <c r="Q33" s="121"/>
    </row>
    <row r="34" spans="1:17" ht="12" customHeight="1" x14ac:dyDescent="0.3">
      <c r="A34" s="63">
        <v>1</v>
      </c>
      <c r="B34" s="64">
        <f>B20</f>
        <v>0</v>
      </c>
      <c r="C34" s="65"/>
      <c r="D34" s="66"/>
      <c r="E34" s="67">
        <f>E20</f>
        <v>0</v>
      </c>
      <c r="F34" s="68">
        <f>VLOOKUP($K$3,'Data Input'!$A$6:$EQ$910,COLUMN('Data Input'!DB:DB))</f>
        <v>0</v>
      </c>
      <c r="G34" s="68">
        <f>VLOOKUP($K$3,'Data Input'!$A$6:$EQ$910,COLUMN('Data Input'!BR:BR))</f>
        <v>0</v>
      </c>
      <c r="H34" s="68">
        <f>VLOOKUP($K$3,'Data Input'!$A$6:$EQ$910,COLUMN('Data Input'!CJ:CJ))</f>
        <v>0</v>
      </c>
      <c r="I34" s="69">
        <f>VLOOKUP($K$3,'Data Input'!$A$6:$ES$910,COLUMN('Data Input'!DX:DX))</f>
        <v>0</v>
      </c>
      <c r="J34" s="70">
        <f>E34*(F34+G34+H34)*(1+I34%)</f>
        <v>0</v>
      </c>
      <c r="K34" s="131"/>
    </row>
    <row r="35" spans="1:17" ht="12" customHeight="1" x14ac:dyDescent="0.3">
      <c r="A35" s="63"/>
      <c r="B35" s="64"/>
      <c r="C35" s="64"/>
      <c r="D35" s="64"/>
      <c r="E35" s="71" t="str">
        <f>E21</f>
        <v>5x40'</v>
      </c>
      <c r="F35" s="72">
        <f>VLOOKUP($K$3,'Data Input'!$A$6:$EQ$910,COLUMN('Data Input'!DC:DC))</f>
        <v>0</v>
      </c>
      <c r="G35" s="72">
        <f>VLOOKUP($K$3,'Data Input'!$A$6:$EQ$910,COLUMN('Data Input'!BS:BS))</f>
        <v>0</v>
      </c>
      <c r="H35" s="72">
        <f>VLOOKUP($K$3,'Data Input'!$A$6:$EQ$910,COLUMN('Data Input'!CK:CK))</f>
        <v>0</v>
      </c>
      <c r="I35" s="69">
        <f>VLOOKUP($K$3,'Data Input'!$A$6:$ES$910,COLUMN('Data Input'!DX:DX))</f>
        <v>0</v>
      </c>
      <c r="J35" s="70">
        <f>(($B$17*G35+$D$17*H35+IF($F$16=0,$H$16*F35,$E$22*F35))*(1+I35%))</f>
        <v>0</v>
      </c>
      <c r="K35" s="131"/>
    </row>
    <row r="36" spans="1:17" ht="12" customHeight="1" x14ac:dyDescent="0.3">
      <c r="A36" s="63">
        <v>2</v>
      </c>
      <c r="B36" s="64" t="str">
        <f>B22</f>
        <v>O(A)/FREIGHT</v>
      </c>
      <c r="C36" s="73"/>
      <c r="D36" s="73"/>
      <c r="E36" s="71" t="str">
        <f t="shared" ref="E36:E43" si="1">E22</f>
        <v>5x40'</v>
      </c>
      <c r="F36" s="72">
        <f>VLOOKUP($K$3,'Data Input'!$A$6:$EQ$910,COLUMN('Data Input'!DD:DD))</f>
        <v>0</v>
      </c>
      <c r="G36" s="72">
        <f>VLOOKUP($K$3,'Data Input'!$A$6:$EQ$910,COLUMN('Data Input'!BT:BT))</f>
        <v>0</v>
      </c>
      <c r="H36" s="72">
        <f>VLOOKUP($K$3,'Data Input'!$A$6:$EQ$910,COLUMN('Data Input'!CL:CL))</f>
        <v>14666.609442060086</v>
      </c>
      <c r="I36" s="69">
        <f>VLOOKUP($K$3,'Data Input'!$A$6:$ES$910,COLUMN('Data Input'!DY:DY))</f>
        <v>0</v>
      </c>
      <c r="J36" s="70">
        <f>(($B$17*G36+$D$17*H36+IF($F$16=0,$H$16*F36,$E$22*F36))*(1+I36%))</f>
        <v>73333.047210300429</v>
      </c>
      <c r="K36" s="131"/>
    </row>
    <row r="37" spans="1:17" ht="12" customHeight="1" x14ac:dyDescent="0.3">
      <c r="A37" s="63">
        <v>3</v>
      </c>
      <c r="B37" s="64" t="str">
        <f>B23</f>
        <v>LCC at HPH</v>
      </c>
      <c r="C37" s="64"/>
      <c r="D37" s="74" t="str">
        <f>D23</f>
        <v>BILL FEE</v>
      </c>
      <c r="E37" s="71">
        <f t="shared" si="1"/>
        <v>1</v>
      </c>
      <c r="F37" s="72">
        <f>VLOOKUP($K$3,'Data Input'!$A$6:$EQ$910,COLUMN('Data Input'!DE:DE))</f>
        <v>0</v>
      </c>
      <c r="G37" s="72">
        <f>VLOOKUP($K$3,'Data Input'!$A$6:$EQ$910,COLUMN('Data Input'!BU:BU))</f>
        <v>0</v>
      </c>
      <c r="H37" s="72">
        <f>VLOOKUP($K$3,'Data Input'!$A$6:$EQ$910,COLUMN('Data Input'!CM:CM))</f>
        <v>39.639484978540771</v>
      </c>
      <c r="I37" s="69">
        <f>VLOOKUP($K$3,'Data Input'!$A$6:$ES$910,COLUMN('Data Input'!DZ:DZ))</f>
        <v>8</v>
      </c>
      <c r="J37" s="70">
        <f>(F37+G37+H37)*(1+I37%)</f>
        <v>42.810643776824037</v>
      </c>
      <c r="K37" s="131"/>
    </row>
    <row r="38" spans="1:17" ht="12" customHeight="1" x14ac:dyDescent="0.3">
      <c r="A38" s="63"/>
      <c r="B38" s="64"/>
      <c r="C38" s="64"/>
      <c r="D38" s="74" t="str">
        <f t="shared" ref="D38:D45" si="2">D24</f>
        <v>THC</v>
      </c>
      <c r="E38" s="71" t="str">
        <f t="shared" si="1"/>
        <v>5x40'</v>
      </c>
      <c r="F38" s="72">
        <f>VLOOKUP($K$3,'Data Input'!$A$6:$EQ$910,COLUMN('Data Input'!DF:DF))</f>
        <v>0</v>
      </c>
      <c r="G38" s="72">
        <f>VLOOKUP($K$3,'Data Input'!$A$6:$EQ$910,COLUMN('Data Input'!BV:BV))</f>
        <v>0</v>
      </c>
      <c r="H38" s="72">
        <f>VLOOKUP($K$3,'Data Input'!$A$6:$EQ$910,COLUMN('Data Input'!CN:CN))</f>
        <v>183.33261802575106</v>
      </c>
      <c r="I38" s="69">
        <f>VLOOKUP($K$3,'Data Input'!$A$6:$ES$910,COLUMN('Data Input'!DZ:DZ))</f>
        <v>8</v>
      </c>
      <c r="J38" s="70">
        <f>(($B$17*G38+$D$17*H38+IF($F$16=0,$H$16*F38,$E$22*F38))*(1+I38%))</f>
        <v>989.99613733905585</v>
      </c>
      <c r="K38" s="131"/>
    </row>
    <row r="39" spans="1:17" ht="12" customHeight="1" x14ac:dyDescent="0.3">
      <c r="A39" s="63"/>
      <c r="B39" s="64"/>
      <c r="C39" s="64"/>
      <c r="D39" s="74" t="str">
        <f t="shared" si="2"/>
        <v>CFS</v>
      </c>
      <c r="E39" s="71" t="str">
        <f t="shared" si="1"/>
        <v>5x40'</v>
      </c>
      <c r="F39" s="72">
        <f>VLOOKUP($K$3,'Data Input'!$A$6:$EQ$910,COLUMN('Data Input'!DG:DG))</f>
        <v>0</v>
      </c>
      <c r="G39" s="72">
        <f>VLOOKUP($K$3,'Data Input'!$A$6:$EQ$910,COLUMN('Data Input'!BW:BW))</f>
        <v>0</v>
      </c>
      <c r="H39" s="72">
        <f>VLOOKUP($K$3,'Data Input'!$A$6:$EQ$910,COLUMN('Data Input'!CO:CO))</f>
        <v>0</v>
      </c>
      <c r="I39" s="69">
        <f>VLOOKUP($K$3,'Data Input'!$A$6:$ES$910,COLUMN('Data Input'!DZ:DZ))</f>
        <v>8</v>
      </c>
      <c r="J39" s="70">
        <f>(($B$17*G39+$D$17*H39+IF($F$16=0,$H$16*F39,$E$22*F39))*(1+I39%))</f>
        <v>0</v>
      </c>
      <c r="K39" s="131"/>
    </row>
    <row r="40" spans="1:17" ht="12" customHeight="1" x14ac:dyDescent="0.3">
      <c r="A40" s="63"/>
      <c r="B40" s="64"/>
      <c r="C40" s="64"/>
      <c r="D40" s="74" t="str">
        <f t="shared" si="2"/>
        <v>CIC</v>
      </c>
      <c r="E40" s="71" t="str">
        <f t="shared" si="1"/>
        <v>5x40'</v>
      </c>
      <c r="F40" s="72">
        <f>VLOOKUP($K$3,'Data Input'!$A$6:$EQ$910,COLUMN('Data Input'!DH:DH))</f>
        <v>0</v>
      </c>
      <c r="G40" s="72">
        <f>VLOOKUP($K$3,'Data Input'!$A$6:$EQ$910,COLUMN('Data Input'!BX:BX))</f>
        <v>0</v>
      </c>
      <c r="H40" s="72">
        <f>VLOOKUP($K$3,'Data Input'!$A$6:$EQ$910,COLUMN('Data Input'!CP:CP))</f>
        <v>0</v>
      </c>
      <c r="I40" s="69">
        <f>VLOOKUP($K$3,'Data Input'!$A$6:$ES$910,COLUMN('Data Input'!DZ:DZ))</f>
        <v>8</v>
      </c>
      <c r="J40" s="70">
        <f>(($B$17*G40+$D$17*H40+IF($F$16=0,$H$16*F40,$E$22*F40))*(1+I40%))</f>
        <v>0</v>
      </c>
      <c r="K40" s="131"/>
    </row>
    <row r="41" spans="1:17" ht="12" customHeight="1" x14ac:dyDescent="0.3">
      <c r="A41" s="63"/>
      <c r="B41" s="64"/>
      <c r="C41" s="64"/>
      <c r="D41" s="74" t="str">
        <f t="shared" si="2"/>
        <v>TLX BILL FEE</v>
      </c>
      <c r="E41" s="71">
        <f t="shared" si="1"/>
        <v>1</v>
      </c>
      <c r="F41" s="72">
        <f>VLOOKUP($K$3,'Data Input'!$A$6:$EQ$910,COLUMN('Data Input'!DI:DI))</f>
        <v>0</v>
      </c>
      <c r="G41" s="72">
        <f>VLOOKUP($K$3,'Data Input'!$A$6:$EQ$910,COLUMN('Data Input'!BY:BY))</f>
        <v>0</v>
      </c>
      <c r="H41" s="72">
        <f>VLOOKUP($K$3,'Data Input'!$A$6:$EQ$910,COLUMN('Data Input'!CQ:CQ))</f>
        <v>34.684549356223179</v>
      </c>
      <c r="I41" s="69">
        <f>VLOOKUP($K$3,'Data Input'!$A$6:$ES$910,COLUMN('Data Input'!DZ:DZ))</f>
        <v>8</v>
      </c>
      <c r="J41" s="70">
        <f>(F41+G41+H41)*(1+I41%)</f>
        <v>37.459313304721036</v>
      </c>
      <c r="K41" s="131"/>
    </row>
    <row r="42" spans="1:17" ht="12" customHeight="1" x14ac:dyDescent="0.3">
      <c r="A42" s="63"/>
      <c r="B42" s="64"/>
      <c r="C42" s="64"/>
      <c r="D42" s="74" t="str">
        <f t="shared" si="2"/>
        <v>SEAL</v>
      </c>
      <c r="E42" s="71" t="str">
        <f t="shared" si="1"/>
        <v>5x40'</v>
      </c>
      <c r="F42" s="72">
        <f>VLOOKUP($K$3,'Data Input'!$A$6:$EQ$910,COLUMN('Data Input'!DK:DK))</f>
        <v>0</v>
      </c>
      <c r="G42" s="72">
        <f>VLOOKUP($K$3,'Data Input'!$A$6:$EQ$910,COLUMN('Data Input'!BZ:BZ))</f>
        <v>0</v>
      </c>
      <c r="H42" s="72">
        <f>VLOOKUP($K$3,'Data Input'!$A$6:$EQ$910,COLUMN('Data Input'!CR:CR))</f>
        <v>0</v>
      </c>
      <c r="I42" s="69">
        <f>VLOOKUP($K$3,'Data Input'!$A$6:$ES$910,COLUMN('Data Input'!DZ:DZ))</f>
        <v>8</v>
      </c>
      <c r="J42" s="70">
        <f>(($B$17*G42+$D$17*H42+IF($F$16=0,$H$16*F42,$E$22*F42))*(1+I42%))</f>
        <v>0</v>
      </c>
      <c r="K42" s="131"/>
    </row>
    <row r="43" spans="1:17" ht="12" customHeight="1" x14ac:dyDescent="0.3">
      <c r="A43" s="63"/>
      <c r="B43" s="64"/>
      <c r="C43" s="64"/>
      <c r="D43" s="74" t="str">
        <f t="shared" si="2"/>
        <v>OTHER FEE</v>
      </c>
      <c r="E43" s="71" t="str">
        <f t="shared" si="1"/>
        <v>5x40'</v>
      </c>
      <c r="F43" s="72">
        <f>VLOOKUP($K$3,'Data Input'!$A$6:$EQ$910,COLUMN('Data Input'!DJ:DJ))</f>
        <v>0</v>
      </c>
      <c r="G43" s="72">
        <f>VLOOKUP($K$3,'Data Input'!$A$6:$EQ$910,COLUMN('Data Input'!CA:CA))</f>
        <v>0</v>
      </c>
      <c r="H43" s="72">
        <f>VLOOKUP($K$3,'Data Input'!$A$6:$EQ$910,COLUMN('Data Input'!CS:CS))</f>
        <v>44.594420600858371</v>
      </c>
      <c r="I43" s="69">
        <f>VLOOKUP($K$3,'Data Input'!$A$6:$ES$910,COLUMN('Data Input'!DZ:DZ))</f>
        <v>8</v>
      </c>
      <c r="J43" s="70">
        <f>(($B$17*G43+$D$17*H43+IF($F$16=0,$H$16*F43,$E$22*F43))*(1+I43%))</f>
        <v>240.80987124463522</v>
      </c>
      <c r="K43" s="131"/>
    </row>
    <row r="44" spans="1:17" ht="12" customHeight="1" x14ac:dyDescent="0.3">
      <c r="A44" s="63">
        <v>4</v>
      </c>
      <c r="B44" s="64" t="str">
        <f>B30</f>
        <v>TRUCK+CUS</v>
      </c>
      <c r="C44" s="64"/>
      <c r="D44" s="74" t="str">
        <f t="shared" si="2"/>
        <v>TRUCKING</v>
      </c>
      <c r="E44" s="71">
        <f>E30</f>
        <v>0</v>
      </c>
      <c r="F44" s="72">
        <f>VLOOKUP($K$3,'Data Input'!$A$6:$EQ$910,COLUMN('Data Input'!DL:DL))</f>
        <v>0</v>
      </c>
      <c r="G44" s="72">
        <f>VLOOKUP($K$3,'Data Input'!$A$6:$EQ$910,COLUMN('Data Input'!CB:CB))</f>
        <v>0</v>
      </c>
      <c r="H44" s="72">
        <f>VLOOKUP($K$3,'Data Input'!$A$6:$EQ$910,COLUMN('Data Input'!CT:CT))</f>
        <v>0</v>
      </c>
      <c r="I44" s="69">
        <f>VLOOKUP($K$3,'Data Input'!$A$6:$ES$910,COLUMN('Data Input'!EA:EA))</f>
        <v>0</v>
      </c>
      <c r="J44" s="70">
        <f>(($B$17*G44+$D$17*H44+F44*1)*(1+I44%))</f>
        <v>0</v>
      </c>
      <c r="K44" s="131">
        <f t="shared" ref="K44:K45" si="3">$K$16*J44</f>
        <v>0</v>
      </c>
    </row>
    <row r="45" spans="1:17" ht="12" customHeight="1" thickBot="1" x14ac:dyDescent="0.35">
      <c r="A45" s="75"/>
      <c r="B45" s="64"/>
      <c r="C45" s="76"/>
      <c r="D45" s="74" t="str">
        <f t="shared" si="2"/>
        <v>CUSTOMS</v>
      </c>
      <c r="E45" s="77">
        <f>E31</f>
        <v>0</v>
      </c>
      <c r="F45" s="72">
        <f>VLOOKUP($K$3,'Data Input'!$A$6:$EQ$910,COLUMN('Data Input'!DM:DM))</f>
        <v>0</v>
      </c>
      <c r="G45" s="72">
        <f>VLOOKUP($K$3,'Data Input'!$A$6:$EQ$910,COLUMN('Data Input'!CC:CC))</f>
        <v>0</v>
      </c>
      <c r="H45" s="72">
        <f>VLOOKUP($K$3,'Data Input'!$A$6:$EQ$910,COLUMN('Data Input'!CU:CU))</f>
        <v>0</v>
      </c>
      <c r="I45" s="69">
        <f>VLOOKUP($K$3,'Data Input'!$A$6:$ES$910,COLUMN('Data Input'!EA:EA))</f>
        <v>0</v>
      </c>
      <c r="J45" s="70">
        <f>(($B$17*G45+$D$17*H45+F45*1)*(1+I45%))</f>
        <v>0</v>
      </c>
      <c r="K45" s="131">
        <f t="shared" si="3"/>
        <v>0</v>
      </c>
    </row>
    <row r="46" spans="1:17" ht="14.25" customHeight="1" x14ac:dyDescent="0.3">
      <c r="A46" s="261" t="s">
        <v>165</v>
      </c>
      <c r="B46" s="262"/>
      <c r="C46" s="262"/>
      <c r="D46" s="262"/>
      <c r="E46" s="262"/>
      <c r="F46" s="262"/>
      <c r="G46" s="262"/>
      <c r="H46" s="262"/>
      <c r="I46" s="263"/>
      <c r="J46" s="10">
        <f>SUM(J48:J53)</f>
        <v>1303.0042918454935</v>
      </c>
      <c r="K46" s="78">
        <f>SUM(K48:K53)</f>
        <v>1042.4034334763949</v>
      </c>
      <c r="P46" s="120"/>
    </row>
    <row r="47" spans="1:17" ht="22.2" customHeight="1" x14ac:dyDescent="0.3">
      <c r="A47" s="79" t="s">
        <v>7</v>
      </c>
      <c r="B47" s="264" t="s">
        <v>34</v>
      </c>
      <c r="C47" s="265"/>
      <c r="D47" s="265"/>
      <c r="E47" s="80" t="s">
        <v>33</v>
      </c>
      <c r="F47" s="80" t="s">
        <v>20</v>
      </c>
      <c r="G47" s="80" t="s">
        <v>35</v>
      </c>
      <c r="H47" s="80" t="s">
        <v>36</v>
      </c>
      <c r="I47" s="80" t="s">
        <v>150</v>
      </c>
      <c r="J47" s="80" t="s">
        <v>63</v>
      </c>
      <c r="K47" s="81" t="s">
        <v>186</v>
      </c>
      <c r="P47" s="120"/>
    </row>
    <row r="48" spans="1:17" s="121" customFormat="1" ht="12.6" customHeight="1" x14ac:dyDescent="0.3">
      <c r="A48" s="82">
        <v>1</v>
      </c>
      <c r="B48" s="83" t="s">
        <v>84</v>
      </c>
      <c r="C48" s="84">
        <v>0</v>
      </c>
      <c r="D48" s="85" t="s">
        <v>183</v>
      </c>
      <c r="E48" s="86">
        <f>E37</f>
        <v>1</v>
      </c>
      <c r="F48" s="87">
        <f>VLOOKUP($K$3,'Data Input'!$A$6:$EQ$910,COLUMN('Data Input'!DN:DN))</f>
        <v>0</v>
      </c>
      <c r="G48" s="87">
        <f>VLOOKUP($K$3,'Data Input'!$A$6:$EQ$910,COLUMN('Data Input'!CD:CD))</f>
        <v>0</v>
      </c>
      <c r="H48" s="87">
        <f>VLOOKUP($K$3,'Data Input'!$A$6:$EQ$910,COLUMN('Data Input'!CV:CV))</f>
        <v>0</v>
      </c>
      <c r="I48" s="88">
        <f>IF(F48&gt;0,VLOOKUP($K$3,'Data Input'!$A$6:$EQ$910,COLUMN('Data Input'!DP:DP)),IF(AND(F48=0,H48=0),VLOOKUP($K$3,'Data Input'!$A$6:$EQ$910,COLUMN('Data Input'!CF:CF)),MAX(VLOOKUP($K$3,'Data Input'!$A$6:$EQ$910,COLUMN('Data Input'!CF:CF)),VLOOKUP($K$3,'Data Input'!$A$6:$EQ$910,COLUMN('Data Input'!CX:CX)),0)))</f>
        <v>0</v>
      </c>
      <c r="J48" s="87">
        <f>E48*(F48+G48+H48)</f>
        <v>0</v>
      </c>
      <c r="K48" s="89">
        <f>J48*(1-I48%)</f>
        <v>0</v>
      </c>
      <c r="P48" s="120"/>
    </row>
    <row r="49" spans="1:16384" s="121" customFormat="1" ht="12.75" customHeight="1" x14ac:dyDescent="0.3">
      <c r="A49" s="90"/>
      <c r="B49" s="83"/>
      <c r="C49" s="84">
        <v>0</v>
      </c>
      <c r="D49" s="85" t="s">
        <v>88</v>
      </c>
      <c r="E49" s="91" t="str">
        <f>E36</f>
        <v>5x40'</v>
      </c>
      <c r="F49" s="87">
        <f>VLOOKUP($K$3,'Data Input'!$A$6:$EQ$910,COLUMN('Data Input'!DO:DO))</f>
        <v>0</v>
      </c>
      <c r="G49" s="87">
        <f>VLOOKUP($K$3,'Data Input'!$A$6:$EQ$910,COLUMN('Data Input'!CE:CE))</f>
        <v>0</v>
      </c>
      <c r="H49" s="87">
        <f>VLOOKUP($K$3,'Data Input'!$A$6:$EQ$910,COLUMN('Data Input'!CW:CW))</f>
        <v>260.60085836909872</v>
      </c>
      <c r="I49" s="88">
        <f>IF(F49&gt;0,VLOOKUP($K$3,'Data Input'!$A$6:$EQ$910,COLUMN('Data Input'!DP:DP)),IF(AND(F49=0,H49=0),VLOOKUP($K$3,'Data Input'!$A$6:$EQ$910,COLUMN('Data Input'!CF:CF)),MAX(VLOOKUP($K$3,'Data Input'!$A$6:$EQ$910,COLUMN('Data Input'!CF:CF)),VLOOKUP($K$3,'Data Input'!$A$6:$EQ$910,COLUMN('Data Input'!CX:CX)),0)))</f>
        <v>20</v>
      </c>
      <c r="J49" s="87">
        <f>(($B$17*G49+$D$17*H49+IF($F$16=0,$H$16*F49,$E$22*F49)))</f>
        <v>1303.0042918454935</v>
      </c>
      <c r="K49" s="89">
        <f>J49*(1-I49%)</f>
        <v>1042.4034334763949</v>
      </c>
      <c r="P49" s="120"/>
    </row>
    <row r="50" spans="1:16384" s="121" customFormat="1" ht="12.6" customHeight="1" x14ac:dyDescent="0.3">
      <c r="A50" s="82"/>
      <c r="B50" s="83"/>
      <c r="C50" s="84">
        <v>0.1</v>
      </c>
      <c r="D50" s="85" t="s">
        <v>183</v>
      </c>
      <c r="E50" s="86">
        <f>E48</f>
        <v>1</v>
      </c>
      <c r="F50" s="87">
        <f>VLOOKUP($K$3,'Data Input'!$A$6:$EQ$910,COLUMN('Data Input'!DQ:DQ))</f>
        <v>0</v>
      </c>
      <c r="G50" s="87">
        <f>VLOOKUP($K$3,'Data Input'!$A$6:$EQ$910,COLUMN('Data Input'!CG:CG))</f>
        <v>0</v>
      </c>
      <c r="H50" s="87">
        <f>VLOOKUP($K$3,'Data Input'!$A$6:$EQ$910,COLUMN('Data Input'!CY:CY))</f>
        <v>0</v>
      </c>
      <c r="I50" s="88">
        <f>IF(F50&gt;0,VLOOKUP($K$3,'Data Input'!$A$6:$EQ$910,COLUMN('Data Input'!DS:DS)),IF(AND(F50=0,H50=0),VLOOKUP($K$3,'Data Input'!$A$6:$EQ$910,COLUMN('Data Input'!CI:CI)),MAX(VLOOKUP($K$3,'Data Input'!$A$6:$EQ$910,COLUMN('Data Input'!CI:CI)),VLOOKUP($K$3,'Data Input'!$A$6:$EQ$910,COLUMN('Data Input'!DA:DA)),0)))</f>
        <v>0</v>
      </c>
      <c r="J50" s="87">
        <f>E50*(F50+G50+H50)</f>
        <v>0</v>
      </c>
      <c r="K50" s="89">
        <f t="shared" ref="K50:K53" si="4">J50*(1-I50%)</f>
        <v>0</v>
      </c>
      <c r="P50" s="120"/>
      <c r="U50" s="123"/>
      <c r="V50" s="123"/>
    </row>
    <row r="51" spans="1:16384" s="121" customFormat="1" ht="12.75" customHeight="1" x14ac:dyDescent="0.3">
      <c r="A51" s="90"/>
      <c r="B51" s="92"/>
      <c r="C51" s="93">
        <v>0.1</v>
      </c>
      <c r="D51" s="94" t="s">
        <v>88</v>
      </c>
      <c r="E51" s="91" t="str">
        <f>E49</f>
        <v>5x40'</v>
      </c>
      <c r="F51" s="87">
        <f>VLOOKUP($K$3,'Data Input'!$A$6:$EQ$910,COLUMN('Data Input'!DR:DR))</f>
        <v>0</v>
      </c>
      <c r="G51" s="87">
        <f>VLOOKUP($K$3,'Data Input'!$A$6:$EQ$910,COLUMN('Data Input'!CH:CH))</f>
        <v>0</v>
      </c>
      <c r="H51" s="87">
        <f>VLOOKUP($K$3,'Data Input'!$A$6:$EQ$910,COLUMN('Data Input'!CZ:CZ))</f>
        <v>0</v>
      </c>
      <c r="I51" s="88">
        <f>IF(F51&gt;0,VLOOKUP($K$3,'Data Input'!$A$6:$EQ$910,COLUMN('Data Input'!DS:DS)),IF(AND(F51=0,H51=0),VLOOKUP($K$3,'Data Input'!$A$6:$EQ$910,COLUMN('Data Input'!CI:CI)),MAX(VLOOKUP($K$3,'Data Input'!$A$6:$EQ$910,COLUMN('Data Input'!CI:CI)),VLOOKUP($K$3,'Data Input'!$A$6:$EQ$910,COLUMN('Data Input'!DA:DA)),0)))</f>
        <v>0</v>
      </c>
      <c r="J51" s="87">
        <f>(($B$17*G51+$D$17*H51+IF($F$16=0,$H$16*F51,$E$22*F51)))</f>
        <v>0</v>
      </c>
      <c r="K51" s="89">
        <f>J51*(1-I51%)</f>
        <v>0</v>
      </c>
      <c r="P51" s="120"/>
    </row>
    <row r="52" spans="1:16384" s="121" customFormat="1" ht="12.75" customHeight="1" x14ac:dyDescent="0.3">
      <c r="A52" s="90">
        <v>2</v>
      </c>
      <c r="B52" s="95" t="s">
        <v>53</v>
      </c>
      <c r="C52" s="84">
        <v>0</v>
      </c>
      <c r="D52" s="85" t="s">
        <v>183</v>
      </c>
      <c r="E52" s="91">
        <f>E23</f>
        <v>1</v>
      </c>
      <c r="F52" s="87">
        <v>0</v>
      </c>
      <c r="G52" s="87">
        <v>0</v>
      </c>
      <c r="H52" s="96">
        <v>0</v>
      </c>
      <c r="I52" s="88">
        <v>0</v>
      </c>
      <c r="J52" s="87">
        <f>E52*(F52+G52+H52)</f>
        <v>0</v>
      </c>
      <c r="K52" s="89">
        <f t="shared" si="4"/>
        <v>0</v>
      </c>
      <c r="P52" s="120"/>
    </row>
    <row r="53" spans="1:16384" s="121" customFormat="1" ht="12.75" customHeight="1" thickBot="1" x14ac:dyDescent="0.35">
      <c r="A53" s="90"/>
      <c r="B53" s="95"/>
      <c r="C53" s="93">
        <v>0</v>
      </c>
      <c r="D53" s="94" t="s">
        <v>88</v>
      </c>
      <c r="E53" s="91" t="str">
        <f>E22</f>
        <v>5x40'</v>
      </c>
      <c r="F53" s="87">
        <f>VLOOKUP($K$3,'Data Input'!$A$6:$EQ$910,COLUMN('Data Input'!BP:BP))</f>
        <v>0</v>
      </c>
      <c r="G53" s="87">
        <f>VLOOKUP($K$3,'Data Input'!$A$6:$EQ$910,COLUMN('Data Input'!AN:AN))</f>
        <v>0</v>
      </c>
      <c r="H53" s="87">
        <f>VLOOKUP($K$3,'Data Input'!$A$6:$EQ$910,COLUMN('Data Input'!BB:BB))</f>
        <v>0</v>
      </c>
      <c r="I53" s="88">
        <f>IF(F53&gt;0,VLOOKUP($K$3,'Data Input'!$A$6:$EQ$910,COLUMN('Data Input'!BQ:BQ)),IF(AND(F53&gt;0,H53&gt;0),VLOOKUP($K$3,'Data Input'!$A$6:$EQ$910,COLUMN('Data Input'!BC:BC)),MAX(VLOOKUP($K$3,'Data Input'!$A$6:$EQ$910,COLUMN('Data Input'!BC:BC)),VLOOKUP($K$3,'Data Input'!$A$6:$EQ$910,COLUMN('Data Input'!AO:AO)),0)))</f>
        <v>0</v>
      </c>
      <c r="J53" s="87">
        <f>(($B$17*G53+$D$17*H53+IF($F$16=0,$H$16*F53,$E$22*F53)))</f>
        <v>0</v>
      </c>
      <c r="K53" s="89">
        <f t="shared" si="4"/>
        <v>0</v>
      </c>
      <c r="U53" s="123"/>
    </row>
    <row r="54" spans="1:16384" ht="12.75" customHeight="1" x14ac:dyDescent="0.3">
      <c r="A54" s="266" t="s">
        <v>166</v>
      </c>
      <c r="B54" s="267"/>
      <c r="C54" s="267"/>
      <c r="D54" s="267"/>
      <c r="E54" s="267"/>
      <c r="F54" s="267"/>
      <c r="G54" s="267"/>
      <c r="H54" s="267"/>
      <c r="I54" s="268"/>
      <c r="J54" s="11">
        <f>SUM(J56:J61)</f>
        <v>0</v>
      </c>
      <c r="K54" s="97">
        <f>SUM(K55:K61)</f>
        <v>0</v>
      </c>
    </row>
    <row r="55" spans="1:16384" s="149" customFormat="1" ht="23.4" customHeight="1" x14ac:dyDescent="0.3">
      <c r="A55" s="98" t="s">
        <v>7</v>
      </c>
      <c r="B55" s="269" t="s">
        <v>58</v>
      </c>
      <c r="C55" s="270"/>
      <c r="D55" s="271"/>
      <c r="E55" s="145" t="s">
        <v>62</v>
      </c>
      <c r="F55" s="146" t="s">
        <v>61</v>
      </c>
      <c r="G55" s="147" t="s">
        <v>60</v>
      </c>
      <c r="H55" s="147" t="s">
        <v>59</v>
      </c>
      <c r="I55" s="145"/>
      <c r="J55" s="148" t="s">
        <v>51</v>
      </c>
      <c r="K55" s="135" t="s">
        <v>185</v>
      </c>
    </row>
    <row r="56" spans="1:16384" x14ac:dyDescent="0.3">
      <c r="A56" s="99">
        <v>1</v>
      </c>
      <c r="B56" s="100" t="s">
        <v>157</v>
      </c>
      <c r="C56" s="101"/>
      <c r="D56" s="102"/>
      <c r="E56" s="103" t="s">
        <v>140</v>
      </c>
      <c r="F56" s="104">
        <f>SUM(J34:J36)</f>
        <v>73333.047210300429</v>
      </c>
      <c r="G56" s="104">
        <f>VLOOKUP($K$3,'Data Input'!$A$6:$ET$910,COLUMN('Data Input'!EF:EF))</f>
        <v>0</v>
      </c>
      <c r="H56" s="104">
        <f>VLOOKUP($K$3,'Data Input'!$A$6:$ES$910,COLUMN('Data Input'!ES:ES))</f>
        <v>7.5</v>
      </c>
      <c r="I56" s="105"/>
      <c r="J56" s="104">
        <f>F56*G56/360*H56%</f>
        <v>0</v>
      </c>
      <c r="K56" s="106"/>
    </row>
    <row r="57" spans="1:16384" s="6" customFormat="1" x14ac:dyDescent="0.3">
      <c r="A57" s="99">
        <v>2</v>
      </c>
      <c r="B57" s="100" t="s">
        <v>157</v>
      </c>
      <c r="C57" s="101"/>
      <c r="D57" s="102"/>
      <c r="E57" s="103" t="s">
        <v>106</v>
      </c>
      <c r="F57" s="104">
        <f>SUM(J37:J43)</f>
        <v>1311.075965665236</v>
      </c>
      <c r="G57" s="104">
        <f>VLOOKUP($K$3,'Data Input'!$A$6:$ET$910,COLUMN('Data Input'!EH:EH))</f>
        <v>0</v>
      </c>
      <c r="H57" s="104">
        <f>VLOOKUP($K$3,'Data Input'!$A$6:$ES$910,COLUMN('Data Input'!ES:ES))</f>
        <v>7.5</v>
      </c>
      <c r="I57" s="105"/>
      <c r="J57" s="104">
        <f>F57*G57/360*H57%</f>
        <v>0</v>
      </c>
      <c r="K57" s="106"/>
      <c r="P57" s="120"/>
    </row>
    <row r="58" spans="1:16384" s="6" customFormat="1" x14ac:dyDescent="0.3">
      <c r="A58" s="99">
        <v>3</v>
      </c>
      <c r="B58" s="100" t="s">
        <v>157</v>
      </c>
      <c r="C58" s="101"/>
      <c r="D58" s="102"/>
      <c r="E58" s="103" t="s">
        <v>184</v>
      </c>
      <c r="F58" s="104">
        <f>SUM(J44:J45)</f>
        <v>0</v>
      </c>
      <c r="G58" s="104">
        <f>VLOOKUP($K$3,'Data Input'!$A$6:$ET$910,COLUMN('Data Input'!EJ:EJ))</f>
        <v>0</v>
      </c>
      <c r="H58" s="104">
        <f>VLOOKUP($K$3,'Data Input'!$A$6:$ES$910,COLUMN('Data Input'!ES:ES))</f>
        <v>7.5</v>
      </c>
      <c r="I58" s="105"/>
      <c r="J58" s="104">
        <f>F58*G58/360*H58%</f>
        <v>0</v>
      </c>
      <c r="K58" s="106"/>
      <c r="P58" s="120"/>
    </row>
    <row r="59" spans="1:16384" s="6" customFormat="1" x14ac:dyDescent="0.3">
      <c r="A59" s="99">
        <v>4</v>
      </c>
      <c r="B59" s="100" t="s">
        <v>141</v>
      </c>
      <c r="C59" s="101"/>
      <c r="D59" s="102"/>
      <c r="E59" s="103" t="s">
        <v>97</v>
      </c>
      <c r="F59" s="104">
        <f>VLOOKUP($K$3,'Data Input'!$A$6:$EQ$910,COLUMN('Data Input'!EO:EO))</f>
        <v>0</v>
      </c>
      <c r="G59" s="104">
        <f>VLOOKUP($K$3,'Data Input'!$A$6:$EQ$910,COLUMN('Data Input'!EP:EP))</f>
        <v>0</v>
      </c>
      <c r="H59" s="104">
        <f>VLOOKUP($K$3,'Data Input'!$A$6:$ES$910,COLUMN('Data Input'!ES:ES))</f>
        <v>7.5</v>
      </c>
      <c r="I59" s="105"/>
      <c r="J59" s="104">
        <f>F59*G59/360*H59%</f>
        <v>0</v>
      </c>
      <c r="K59" s="106"/>
      <c r="L59" s="124"/>
      <c r="M59" s="121"/>
      <c r="N59" s="125"/>
      <c r="O59" s="5"/>
      <c r="P59" s="120"/>
      <c r="Q59" s="4"/>
      <c r="R59" s="126"/>
      <c r="S59" s="127"/>
      <c r="T59" s="121"/>
      <c r="U59" s="121"/>
      <c r="V59" s="5"/>
      <c r="W59" s="124"/>
      <c r="X59" s="121"/>
      <c r="Y59" s="125"/>
      <c r="Z59" s="5"/>
      <c r="AA59" s="117"/>
      <c r="AB59" s="4"/>
      <c r="AC59" s="126"/>
      <c r="AD59" s="127"/>
      <c r="AE59" s="121"/>
      <c r="AF59" s="5"/>
      <c r="AG59" s="5"/>
      <c r="AH59" s="124"/>
      <c r="AI59" s="121"/>
      <c r="AJ59" s="125"/>
      <c r="AK59" s="5"/>
      <c r="AL59" s="117"/>
      <c r="AM59" s="4"/>
      <c r="AN59" s="126"/>
      <c r="AO59" s="127"/>
      <c r="AP59" s="121"/>
      <c r="AQ59" s="5"/>
      <c r="AR59" s="5"/>
      <c r="AS59" s="124"/>
      <c r="AT59" s="121"/>
      <c r="AU59" s="125"/>
      <c r="AV59" s="5"/>
      <c r="AW59" s="117"/>
      <c r="AX59" s="4"/>
      <c r="AY59" s="126"/>
      <c r="AZ59" s="127"/>
      <c r="BA59" s="121"/>
      <c r="BB59" s="5"/>
      <c r="BC59" s="5"/>
      <c r="BD59" s="124"/>
      <c r="BE59" s="121"/>
      <c r="BF59" s="125"/>
      <c r="BG59" s="5"/>
      <c r="BH59" s="117"/>
      <c r="BI59" s="4"/>
      <c r="BJ59" s="126"/>
      <c r="BK59" s="127"/>
      <c r="BL59" s="121"/>
      <c r="BM59" s="5"/>
      <c r="BN59" s="5"/>
      <c r="BO59" s="124"/>
      <c r="BP59" s="121"/>
      <c r="BQ59" s="125"/>
      <c r="BR59" s="5"/>
      <c r="BS59" s="117"/>
      <c r="BT59" s="4"/>
      <c r="BU59" s="126"/>
      <c r="BV59" s="127"/>
      <c r="BW59" s="121"/>
      <c r="BX59" s="5"/>
      <c r="BY59" s="5"/>
      <c r="BZ59" s="124"/>
      <c r="CA59" s="121"/>
      <c r="CB59" s="125"/>
      <c r="CC59" s="5"/>
      <c r="CD59" s="117"/>
      <c r="CE59" s="4"/>
      <c r="CF59" s="126"/>
      <c r="CG59" s="127"/>
      <c r="CH59" s="121"/>
      <c r="CI59" s="5"/>
      <c r="CJ59" s="5"/>
      <c r="CK59" s="124"/>
      <c r="CL59" s="121"/>
      <c r="CM59" s="125"/>
      <c r="CN59" s="5"/>
      <c r="CO59" s="117"/>
      <c r="CP59" s="4"/>
      <c r="CQ59" s="126"/>
      <c r="CR59" s="127"/>
      <c r="CS59" s="121"/>
      <c r="CT59" s="5"/>
      <c r="CU59" s="5"/>
      <c r="CV59" s="124"/>
      <c r="CW59" s="121"/>
      <c r="CX59" s="125"/>
      <c r="CY59" s="5"/>
      <c r="CZ59" s="117"/>
      <c r="DA59" s="4"/>
      <c r="DB59" s="126"/>
      <c r="DC59" s="127"/>
      <c r="DD59" s="121"/>
      <c r="DE59" s="5"/>
      <c r="DF59" s="5"/>
      <c r="DG59" s="124"/>
      <c r="DH59" s="121"/>
      <c r="DI59" s="125"/>
      <c r="DJ59" s="5"/>
      <c r="DK59" s="117"/>
      <c r="DL59" s="4"/>
      <c r="DM59" s="126"/>
      <c r="DN59" s="127"/>
      <c r="DO59" s="121"/>
      <c r="DP59" s="5"/>
      <c r="DQ59" s="5"/>
      <c r="DR59" s="124"/>
      <c r="DS59" s="121"/>
      <c r="DT59" s="125"/>
      <c r="DU59" s="5"/>
      <c r="DV59" s="117"/>
      <c r="DW59" s="4"/>
      <c r="DX59" s="126"/>
      <c r="DY59" s="127"/>
      <c r="DZ59" s="121"/>
      <c r="EA59" s="5"/>
      <c r="EB59" s="5"/>
      <c r="EC59" s="124"/>
      <c r="ED59" s="121"/>
      <c r="EE59" s="125"/>
      <c r="EF59" s="5"/>
      <c r="EG59" s="117"/>
      <c r="EH59" s="4"/>
      <c r="EI59" s="126"/>
      <c r="EJ59" s="127"/>
      <c r="EK59" s="121"/>
      <c r="EL59" s="5"/>
      <c r="EM59" s="5"/>
      <c r="EN59" s="124"/>
      <c r="EO59" s="121"/>
      <c r="EP59" s="125"/>
      <c r="EQ59" s="5"/>
      <c r="ER59" s="117"/>
      <c r="ES59" s="4"/>
      <c r="ET59" s="126"/>
      <c r="EU59" s="127"/>
      <c r="EV59" s="121"/>
      <c r="EW59" s="5"/>
      <c r="EX59" s="5"/>
      <c r="EY59" s="124"/>
      <c r="EZ59" s="121"/>
      <c r="FA59" s="125"/>
      <c r="FB59" s="5"/>
      <c r="FC59" s="117"/>
      <c r="FD59" s="4"/>
      <c r="FE59" s="126"/>
      <c r="FF59" s="127"/>
      <c r="FG59" s="121"/>
      <c r="FH59" s="5"/>
      <c r="FI59" s="5"/>
      <c r="FJ59" s="124"/>
      <c r="FK59" s="121"/>
      <c r="FL59" s="125"/>
      <c r="FM59" s="5"/>
      <c r="FN59" s="117"/>
      <c r="FO59" s="4"/>
      <c r="FP59" s="126"/>
      <c r="FQ59" s="127"/>
      <c r="FR59" s="121"/>
      <c r="FS59" s="5"/>
      <c r="FT59" s="5"/>
      <c r="FU59" s="124"/>
      <c r="FV59" s="121"/>
      <c r="FW59" s="125"/>
      <c r="FX59" s="5"/>
      <c r="FY59" s="117"/>
      <c r="FZ59" s="4"/>
      <c r="GA59" s="126"/>
      <c r="GB59" s="127"/>
      <c r="GC59" s="121"/>
      <c r="GD59" s="5"/>
      <c r="GE59" s="5"/>
      <c r="GF59" s="124"/>
      <c r="GG59" s="121"/>
      <c r="GH59" s="125"/>
      <c r="GI59" s="5"/>
      <c r="GJ59" s="117"/>
      <c r="GK59" s="4"/>
      <c r="GL59" s="126"/>
      <c r="GM59" s="127"/>
      <c r="GN59" s="121"/>
      <c r="GO59" s="5"/>
      <c r="GP59" s="5"/>
      <c r="GQ59" s="124"/>
      <c r="GR59" s="121"/>
      <c r="GS59" s="125"/>
      <c r="GT59" s="5"/>
      <c r="GU59" s="117"/>
      <c r="GV59" s="4"/>
      <c r="GW59" s="126"/>
      <c r="GX59" s="127"/>
      <c r="GY59" s="121"/>
      <c r="GZ59" s="5"/>
      <c r="HA59" s="5"/>
      <c r="HB59" s="124"/>
      <c r="HC59" s="121"/>
      <c r="HD59" s="125"/>
      <c r="HE59" s="5"/>
      <c r="HF59" s="117"/>
      <c r="HG59" s="4"/>
      <c r="HH59" s="126"/>
      <c r="HI59" s="127"/>
      <c r="HJ59" s="121"/>
      <c r="HK59" s="5"/>
      <c r="HL59" s="5"/>
      <c r="HM59" s="124"/>
      <c r="HN59" s="121"/>
      <c r="HO59" s="125"/>
      <c r="HP59" s="5"/>
      <c r="HQ59" s="117"/>
      <c r="HR59" s="4"/>
      <c r="HS59" s="126"/>
      <c r="HT59" s="127"/>
      <c r="HU59" s="121"/>
      <c r="HV59" s="5"/>
      <c r="HW59" s="5"/>
      <c r="HX59" s="124"/>
      <c r="HY59" s="121"/>
      <c r="HZ59" s="125"/>
      <c r="IA59" s="5"/>
      <c r="IB59" s="117"/>
      <c r="IC59" s="4"/>
      <c r="ID59" s="126"/>
      <c r="IE59" s="127"/>
      <c r="IF59" s="121"/>
      <c r="IG59" s="5"/>
      <c r="IH59" s="5"/>
      <c r="II59" s="124"/>
      <c r="IJ59" s="121"/>
      <c r="IK59" s="125"/>
      <c r="IL59" s="5"/>
      <c r="IM59" s="117"/>
      <c r="IN59" s="4"/>
      <c r="IO59" s="126"/>
      <c r="IP59" s="127"/>
      <c r="IQ59" s="121"/>
      <c r="IR59" s="5"/>
      <c r="IS59" s="5"/>
      <c r="IT59" s="124"/>
      <c r="IU59" s="121"/>
      <c r="IV59" s="125"/>
      <c r="IW59" s="5"/>
      <c r="IX59" s="117"/>
      <c r="IY59" s="4"/>
      <c r="IZ59" s="126"/>
      <c r="JA59" s="127"/>
      <c r="JB59" s="121"/>
      <c r="JC59" s="5"/>
      <c r="JD59" s="5"/>
      <c r="JE59" s="124"/>
      <c r="JF59" s="121"/>
      <c r="JG59" s="125"/>
      <c r="JH59" s="5"/>
      <c r="JI59" s="117"/>
      <c r="JJ59" s="4"/>
      <c r="JK59" s="126"/>
      <c r="JL59" s="127"/>
      <c r="JM59" s="121"/>
      <c r="JN59" s="5"/>
      <c r="JO59" s="5"/>
      <c r="JP59" s="124"/>
      <c r="JQ59" s="121"/>
      <c r="JR59" s="125"/>
      <c r="JS59" s="5"/>
      <c r="JT59" s="117"/>
      <c r="JU59" s="4"/>
      <c r="JV59" s="126"/>
      <c r="JW59" s="127"/>
      <c r="JX59" s="121"/>
      <c r="JY59" s="5"/>
      <c r="JZ59" s="5"/>
      <c r="KA59" s="124"/>
      <c r="KB59" s="121"/>
      <c r="KC59" s="125"/>
      <c r="KD59" s="5"/>
      <c r="KE59" s="117"/>
      <c r="KF59" s="4"/>
      <c r="KG59" s="126"/>
      <c r="KH59" s="127"/>
      <c r="KI59" s="121"/>
      <c r="KJ59" s="5"/>
      <c r="KK59" s="5"/>
      <c r="KL59" s="124"/>
      <c r="KM59" s="121"/>
      <c r="KN59" s="125"/>
      <c r="KO59" s="5"/>
      <c r="KP59" s="117"/>
      <c r="KQ59" s="4"/>
      <c r="KR59" s="126"/>
      <c r="KS59" s="127"/>
      <c r="KT59" s="121"/>
      <c r="KU59" s="5"/>
      <c r="KV59" s="5"/>
      <c r="KW59" s="124"/>
      <c r="KX59" s="121"/>
      <c r="KY59" s="125"/>
      <c r="KZ59" s="5"/>
      <c r="LA59" s="117"/>
      <c r="LB59" s="4"/>
      <c r="LC59" s="126"/>
      <c r="LD59" s="127"/>
      <c r="LE59" s="121"/>
      <c r="LF59" s="5"/>
      <c r="LG59" s="5"/>
      <c r="LH59" s="124"/>
      <c r="LI59" s="121"/>
      <c r="LJ59" s="125"/>
      <c r="LK59" s="5"/>
      <c r="LL59" s="117"/>
      <c r="LM59" s="4"/>
      <c r="LN59" s="126"/>
      <c r="LO59" s="127"/>
      <c r="LP59" s="121"/>
      <c r="LQ59" s="5"/>
      <c r="LR59" s="5"/>
      <c r="LS59" s="124"/>
      <c r="LT59" s="121"/>
      <c r="LU59" s="125"/>
      <c r="LV59" s="5"/>
      <c r="LW59" s="117"/>
      <c r="LX59" s="4"/>
      <c r="LY59" s="126"/>
      <c r="LZ59" s="127"/>
      <c r="MA59" s="121"/>
      <c r="MB59" s="5"/>
      <c r="MC59" s="5"/>
      <c r="MD59" s="124"/>
      <c r="ME59" s="121"/>
      <c r="MF59" s="125"/>
      <c r="MG59" s="5"/>
      <c r="MH59" s="117"/>
      <c r="MI59" s="4"/>
      <c r="MJ59" s="126"/>
      <c r="MK59" s="127"/>
      <c r="ML59" s="121"/>
      <c r="MM59" s="5"/>
      <c r="MN59" s="5"/>
      <c r="MO59" s="124"/>
      <c r="MP59" s="121"/>
      <c r="MQ59" s="125"/>
      <c r="MR59" s="5"/>
      <c r="MS59" s="117"/>
      <c r="MT59" s="4"/>
      <c r="MU59" s="126"/>
      <c r="MV59" s="127"/>
      <c r="MW59" s="121"/>
      <c r="MX59" s="5"/>
      <c r="MY59" s="5"/>
      <c r="MZ59" s="124"/>
      <c r="NA59" s="121"/>
      <c r="NB59" s="125"/>
      <c r="NC59" s="5"/>
      <c r="ND59" s="117"/>
      <c r="NE59" s="4"/>
      <c r="NF59" s="126"/>
      <c r="NG59" s="127"/>
      <c r="NH59" s="121"/>
      <c r="NI59" s="5"/>
      <c r="NJ59" s="5"/>
      <c r="NK59" s="124"/>
      <c r="NL59" s="121"/>
      <c r="NM59" s="125"/>
      <c r="NN59" s="5"/>
      <c r="NO59" s="117"/>
      <c r="NP59" s="4"/>
      <c r="NQ59" s="126"/>
      <c r="NR59" s="127"/>
      <c r="NS59" s="121"/>
      <c r="NT59" s="5"/>
      <c r="NU59" s="5"/>
      <c r="NV59" s="124"/>
      <c r="NW59" s="121"/>
      <c r="NX59" s="125"/>
      <c r="NY59" s="5"/>
      <c r="NZ59" s="117"/>
      <c r="OA59" s="4"/>
      <c r="OB59" s="126"/>
      <c r="OC59" s="127"/>
      <c r="OD59" s="121"/>
      <c r="OE59" s="5"/>
      <c r="OF59" s="5"/>
      <c r="OG59" s="124"/>
      <c r="OH59" s="121"/>
      <c r="OI59" s="125"/>
      <c r="OJ59" s="5"/>
      <c r="OK59" s="117"/>
      <c r="OL59" s="4"/>
      <c r="OM59" s="126"/>
      <c r="ON59" s="127"/>
      <c r="OO59" s="121"/>
      <c r="OP59" s="5"/>
      <c r="OQ59" s="5"/>
      <c r="OR59" s="124"/>
      <c r="OS59" s="121"/>
      <c r="OT59" s="125"/>
      <c r="OU59" s="5"/>
      <c r="OV59" s="117"/>
      <c r="OW59" s="4"/>
      <c r="OX59" s="126"/>
      <c r="OY59" s="127"/>
      <c r="OZ59" s="121"/>
      <c r="PA59" s="5"/>
      <c r="PB59" s="5"/>
      <c r="PC59" s="124"/>
      <c r="PD59" s="121"/>
      <c r="PE59" s="125"/>
      <c r="PF59" s="5"/>
      <c r="PG59" s="117"/>
      <c r="PH59" s="4"/>
      <c r="PI59" s="126"/>
      <c r="PJ59" s="127"/>
      <c r="PK59" s="121"/>
      <c r="PL59" s="5"/>
      <c r="PM59" s="5"/>
      <c r="PN59" s="124"/>
      <c r="PO59" s="121"/>
      <c r="PP59" s="125"/>
      <c r="PQ59" s="5"/>
      <c r="PR59" s="117"/>
      <c r="PS59" s="4"/>
      <c r="PT59" s="126"/>
      <c r="PU59" s="127"/>
      <c r="PV59" s="121"/>
      <c r="PW59" s="5"/>
      <c r="PX59" s="5"/>
      <c r="PY59" s="124"/>
      <c r="PZ59" s="121"/>
      <c r="QA59" s="125"/>
      <c r="QB59" s="5"/>
      <c r="QC59" s="117"/>
      <c r="QD59" s="4"/>
      <c r="QE59" s="126"/>
      <c r="QF59" s="127"/>
      <c r="QG59" s="121"/>
      <c r="QH59" s="5"/>
      <c r="QI59" s="5"/>
      <c r="QJ59" s="124"/>
      <c r="QK59" s="121"/>
      <c r="QL59" s="125"/>
      <c r="QM59" s="5"/>
      <c r="QN59" s="117"/>
      <c r="QO59" s="4"/>
      <c r="QP59" s="126"/>
      <c r="QQ59" s="127"/>
      <c r="QR59" s="121"/>
      <c r="QS59" s="5"/>
      <c r="QT59" s="5"/>
      <c r="QU59" s="124"/>
      <c r="QV59" s="121"/>
      <c r="QW59" s="125"/>
      <c r="QX59" s="5"/>
      <c r="QY59" s="117"/>
      <c r="QZ59" s="4"/>
      <c r="RA59" s="126"/>
      <c r="RB59" s="127"/>
      <c r="RC59" s="121"/>
      <c r="RD59" s="5"/>
      <c r="RE59" s="5"/>
      <c r="RF59" s="124"/>
      <c r="RG59" s="121"/>
      <c r="RH59" s="125"/>
      <c r="RI59" s="5"/>
      <c r="RJ59" s="117"/>
      <c r="RK59" s="4"/>
      <c r="RL59" s="126"/>
      <c r="RM59" s="127"/>
      <c r="RN59" s="121"/>
      <c r="RO59" s="5"/>
      <c r="RP59" s="5"/>
      <c r="RQ59" s="124"/>
      <c r="RR59" s="121"/>
      <c r="RS59" s="125"/>
      <c r="RT59" s="5"/>
      <c r="RU59" s="117"/>
      <c r="RV59" s="4"/>
      <c r="RW59" s="126"/>
      <c r="RX59" s="127"/>
      <c r="RY59" s="121"/>
      <c r="RZ59" s="5"/>
      <c r="SA59" s="5"/>
      <c r="SB59" s="124"/>
      <c r="SC59" s="121"/>
      <c r="SD59" s="125"/>
      <c r="SE59" s="5"/>
      <c r="SF59" s="117"/>
      <c r="SG59" s="4"/>
      <c r="SH59" s="126"/>
      <c r="SI59" s="127"/>
      <c r="SJ59" s="121"/>
      <c r="SK59" s="5"/>
      <c r="SL59" s="5"/>
      <c r="SM59" s="124"/>
      <c r="SN59" s="121"/>
      <c r="SO59" s="125"/>
      <c r="SP59" s="5"/>
      <c r="SQ59" s="117"/>
      <c r="SR59" s="4"/>
      <c r="SS59" s="126"/>
      <c r="ST59" s="127"/>
      <c r="SU59" s="121"/>
      <c r="SV59" s="5"/>
      <c r="SW59" s="5"/>
      <c r="SX59" s="124"/>
      <c r="SY59" s="121"/>
      <c r="SZ59" s="125"/>
      <c r="TA59" s="5"/>
      <c r="TB59" s="117"/>
      <c r="TC59" s="4"/>
      <c r="TD59" s="126"/>
      <c r="TE59" s="127"/>
      <c r="TF59" s="121"/>
      <c r="TG59" s="5"/>
      <c r="TH59" s="5"/>
      <c r="TI59" s="124"/>
      <c r="TJ59" s="121"/>
      <c r="TK59" s="125"/>
      <c r="TL59" s="5"/>
      <c r="TM59" s="117"/>
      <c r="TN59" s="4"/>
      <c r="TO59" s="126"/>
      <c r="TP59" s="127"/>
      <c r="TQ59" s="121"/>
      <c r="TR59" s="5"/>
      <c r="TS59" s="5"/>
      <c r="TT59" s="124"/>
      <c r="TU59" s="121"/>
      <c r="TV59" s="125"/>
      <c r="TW59" s="5"/>
      <c r="TX59" s="117"/>
      <c r="TY59" s="4"/>
      <c r="TZ59" s="126"/>
      <c r="UA59" s="127"/>
      <c r="UB59" s="121"/>
      <c r="UC59" s="5"/>
      <c r="UD59" s="5"/>
      <c r="UE59" s="124"/>
      <c r="UF59" s="121"/>
      <c r="UG59" s="125"/>
      <c r="UH59" s="5"/>
      <c r="UI59" s="117"/>
      <c r="UJ59" s="4"/>
      <c r="UK59" s="126"/>
      <c r="UL59" s="127"/>
      <c r="UM59" s="121"/>
      <c r="UN59" s="5"/>
      <c r="UO59" s="5"/>
      <c r="UP59" s="124"/>
      <c r="UQ59" s="121"/>
      <c r="UR59" s="125"/>
      <c r="US59" s="5"/>
      <c r="UT59" s="117"/>
      <c r="UU59" s="4"/>
      <c r="UV59" s="126"/>
      <c r="UW59" s="127"/>
      <c r="UX59" s="121"/>
      <c r="UY59" s="5"/>
      <c r="UZ59" s="5"/>
      <c r="VA59" s="124"/>
      <c r="VB59" s="121"/>
      <c r="VC59" s="125"/>
      <c r="VD59" s="5"/>
      <c r="VE59" s="117"/>
      <c r="VF59" s="4"/>
      <c r="VG59" s="126"/>
      <c r="VH59" s="127"/>
      <c r="VI59" s="121"/>
      <c r="VJ59" s="5"/>
      <c r="VK59" s="5"/>
      <c r="VL59" s="124"/>
      <c r="VM59" s="121"/>
      <c r="VN59" s="125"/>
      <c r="VO59" s="5"/>
      <c r="VP59" s="117"/>
      <c r="VQ59" s="4"/>
      <c r="VR59" s="126"/>
      <c r="VS59" s="127"/>
      <c r="VT59" s="121"/>
      <c r="VU59" s="5"/>
      <c r="VV59" s="5"/>
      <c r="VW59" s="124"/>
      <c r="VX59" s="121"/>
      <c r="VY59" s="125"/>
      <c r="VZ59" s="5"/>
      <c r="WA59" s="117"/>
      <c r="WB59" s="4"/>
      <c r="WC59" s="126"/>
      <c r="WD59" s="127"/>
      <c r="WE59" s="121"/>
      <c r="WF59" s="5"/>
      <c r="WG59" s="5"/>
      <c r="WH59" s="124"/>
      <c r="WI59" s="121"/>
      <c r="WJ59" s="125"/>
      <c r="WK59" s="5"/>
      <c r="WL59" s="117"/>
      <c r="WM59" s="4"/>
      <c r="WN59" s="126"/>
      <c r="WO59" s="127"/>
      <c r="WP59" s="121"/>
      <c r="WQ59" s="5"/>
      <c r="WR59" s="5"/>
      <c r="WS59" s="124"/>
      <c r="WT59" s="121"/>
      <c r="WU59" s="125"/>
      <c r="WV59" s="5"/>
      <c r="WW59" s="117"/>
      <c r="WX59" s="4"/>
      <c r="WY59" s="126"/>
      <c r="WZ59" s="127"/>
      <c r="XA59" s="121"/>
      <c r="XB59" s="5"/>
      <c r="XC59" s="5"/>
      <c r="XD59" s="124"/>
      <c r="XE59" s="121"/>
      <c r="XF59" s="125"/>
      <c r="XG59" s="5"/>
      <c r="XH59" s="117"/>
      <c r="XI59" s="4"/>
      <c r="XJ59" s="126"/>
      <c r="XK59" s="127"/>
      <c r="XL59" s="121"/>
      <c r="XM59" s="5"/>
      <c r="XN59" s="5"/>
      <c r="XO59" s="124"/>
      <c r="XP59" s="121"/>
      <c r="XQ59" s="125"/>
      <c r="XR59" s="5"/>
      <c r="XS59" s="117"/>
      <c r="XT59" s="4"/>
      <c r="XU59" s="126"/>
      <c r="XV59" s="127"/>
      <c r="XW59" s="121"/>
      <c r="XX59" s="5"/>
      <c r="XY59" s="5"/>
      <c r="XZ59" s="124"/>
      <c r="YA59" s="121"/>
      <c r="YB59" s="125"/>
      <c r="YC59" s="5"/>
      <c r="YD59" s="117"/>
      <c r="YE59" s="4"/>
      <c r="YF59" s="126"/>
      <c r="YG59" s="127"/>
      <c r="YH59" s="121"/>
      <c r="YI59" s="5"/>
      <c r="YJ59" s="5"/>
      <c r="YK59" s="124"/>
      <c r="YL59" s="121"/>
      <c r="YM59" s="125"/>
      <c r="YN59" s="5"/>
      <c r="YO59" s="117"/>
      <c r="YP59" s="4"/>
      <c r="YQ59" s="126"/>
      <c r="YR59" s="127"/>
      <c r="YS59" s="121"/>
      <c r="YT59" s="5"/>
      <c r="YU59" s="5"/>
      <c r="YV59" s="124"/>
      <c r="YW59" s="121"/>
      <c r="YX59" s="125"/>
      <c r="YY59" s="5"/>
      <c r="YZ59" s="117"/>
      <c r="ZA59" s="4"/>
      <c r="ZB59" s="126"/>
      <c r="ZC59" s="127"/>
      <c r="ZD59" s="121"/>
      <c r="ZE59" s="5"/>
      <c r="ZF59" s="5"/>
      <c r="ZG59" s="124"/>
      <c r="ZH59" s="121"/>
      <c r="ZI59" s="125"/>
      <c r="ZJ59" s="5"/>
      <c r="ZK59" s="117"/>
      <c r="ZL59" s="4"/>
      <c r="ZM59" s="126"/>
      <c r="ZN59" s="127"/>
      <c r="ZO59" s="121"/>
      <c r="ZP59" s="5"/>
      <c r="ZQ59" s="5"/>
      <c r="ZR59" s="124"/>
      <c r="ZS59" s="121"/>
      <c r="ZT59" s="125"/>
      <c r="ZU59" s="5"/>
      <c r="ZV59" s="117"/>
      <c r="ZW59" s="4"/>
      <c r="ZX59" s="126"/>
      <c r="ZY59" s="127"/>
      <c r="ZZ59" s="121"/>
      <c r="AAA59" s="5"/>
      <c r="AAB59" s="5"/>
      <c r="AAC59" s="124"/>
      <c r="AAD59" s="121"/>
      <c r="AAE59" s="125"/>
      <c r="AAF59" s="5"/>
      <c r="AAG59" s="117"/>
      <c r="AAH59" s="4"/>
      <c r="AAI59" s="126"/>
      <c r="AAJ59" s="127"/>
      <c r="AAK59" s="121"/>
      <c r="AAL59" s="5"/>
      <c r="AAM59" s="5"/>
      <c r="AAN59" s="124"/>
      <c r="AAO59" s="121"/>
      <c r="AAP59" s="125"/>
      <c r="AAQ59" s="5"/>
      <c r="AAR59" s="117"/>
      <c r="AAS59" s="4"/>
      <c r="AAT59" s="126"/>
      <c r="AAU59" s="127"/>
      <c r="AAV59" s="121"/>
      <c r="AAW59" s="5"/>
      <c r="AAX59" s="5"/>
      <c r="AAY59" s="124"/>
      <c r="AAZ59" s="121"/>
      <c r="ABA59" s="125"/>
      <c r="ABB59" s="5"/>
      <c r="ABC59" s="117"/>
      <c r="ABD59" s="4"/>
      <c r="ABE59" s="126"/>
      <c r="ABF59" s="127"/>
      <c r="ABG59" s="121"/>
      <c r="ABH59" s="5"/>
      <c r="ABI59" s="5"/>
      <c r="ABJ59" s="124"/>
      <c r="ABK59" s="121"/>
      <c r="ABL59" s="125"/>
      <c r="ABM59" s="5"/>
      <c r="ABN59" s="117"/>
      <c r="ABO59" s="4"/>
      <c r="ABP59" s="126"/>
      <c r="ABQ59" s="127"/>
      <c r="ABR59" s="121"/>
      <c r="ABS59" s="5"/>
      <c r="ABT59" s="5"/>
      <c r="ABU59" s="124"/>
      <c r="ABV59" s="121"/>
      <c r="ABW59" s="125"/>
      <c r="ABX59" s="5"/>
      <c r="ABY59" s="117"/>
      <c r="ABZ59" s="4"/>
      <c r="ACA59" s="126"/>
      <c r="ACB59" s="127"/>
      <c r="ACC59" s="121"/>
      <c r="ACD59" s="5"/>
      <c r="ACE59" s="5"/>
      <c r="ACF59" s="124"/>
      <c r="ACG59" s="121"/>
      <c r="ACH59" s="125"/>
      <c r="ACI59" s="5"/>
      <c r="ACJ59" s="117"/>
      <c r="ACK59" s="4"/>
      <c r="ACL59" s="126"/>
      <c r="ACM59" s="127"/>
      <c r="ACN59" s="121"/>
      <c r="ACO59" s="5"/>
      <c r="ACP59" s="5"/>
      <c r="ACQ59" s="124"/>
      <c r="ACR59" s="121"/>
      <c r="ACS59" s="125"/>
      <c r="ACT59" s="5"/>
      <c r="ACU59" s="117"/>
      <c r="ACV59" s="4"/>
      <c r="ACW59" s="126"/>
      <c r="ACX59" s="127"/>
      <c r="ACY59" s="121"/>
      <c r="ACZ59" s="5"/>
      <c r="ADA59" s="5"/>
      <c r="ADB59" s="124"/>
      <c r="ADC59" s="121"/>
      <c r="ADD59" s="125"/>
      <c r="ADE59" s="5"/>
      <c r="ADF59" s="117"/>
      <c r="ADG59" s="4"/>
      <c r="ADH59" s="126"/>
      <c r="ADI59" s="127"/>
      <c r="ADJ59" s="121"/>
      <c r="ADK59" s="5"/>
      <c r="ADL59" s="5"/>
      <c r="ADM59" s="124"/>
      <c r="ADN59" s="121"/>
      <c r="ADO59" s="125"/>
      <c r="ADP59" s="5"/>
      <c r="ADQ59" s="117"/>
      <c r="ADR59" s="4"/>
      <c r="ADS59" s="126"/>
      <c r="ADT59" s="127"/>
      <c r="ADU59" s="121"/>
      <c r="ADV59" s="5"/>
      <c r="ADW59" s="5"/>
      <c r="ADX59" s="124"/>
      <c r="ADY59" s="121"/>
      <c r="ADZ59" s="125"/>
      <c r="AEA59" s="5"/>
      <c r="AEB59" s="117"/>
      <c r="AEC59" s="4"/>
      <c r="AED59" s="126"/>
      <c r="AEE59" s="127"/>
      <c r="AEF59" s="121"/>
      <c r="AEG59" s="5"/>
      <c r="AEH59" s="5"/>
      <c r="AEI59" s="124"/>
      <c r="AEJ59" s="121"/>
      <c r="AEK59" s="125"/>
      <c r="AEL59" s="5"/>
      <c r="AEM59" s="117"/>
      <c r="AEN59" s="4"/>
      <c r="AEO59" s="126"/>
      <c r="AEP59" s="127"/>
      <c r="AEQ59" s="121"/>
      <c r="AER59" s="5"/>
      <c r="AES59" s="5"/>
      <c r="AET59" s="124"/>
      <c r="AEU59" s="121"/>
      <c r="AEV59" s="125"/>
      <c r="AEW59" s="5"/>
      <c r="AEX59" s="117"/>
      <c r="AEY59" s="4"/>
      <c r="AEZ59" s="126"/>
      <c r="AFA59" s="127"/>
      <c r="AFB59" s="121"/>
      <c r="AFC59" s="5"/>
      <c r="AFD59" s="5"/>
      <c r="AFE59" s="124"/>
      <c r="AFF59" s="121"/>
      <c r="AFG59" s="125"/>
      <c r="AFH59" s="5"/>
      <c r="AFI59" s="117"/>
      <c r="AFJ59" s="4"/>
      <c r="AFK59" s="126"/>
      <c r="AFL59" s="127"/>
      <c r="AFM59" s="121"/>
      <c r="AFN59" s="5"/>
      <c r="AFO59" s="5"/>
      <c r="AFP59" s="124"/>
      <c r="AFQ59" s="121"/>
      <c r="AFR59" s="125"/>
      <c r="AFS59" s="5"/>
      <c r="AFT59" s="117"/>
      <c r="AFU59" s="4"/>
      <c r="AFV59" s="126"/>
      <c r="AFW59" s="127"/>
      <c r="AFX59" s="121"/>
      <c r="AFY59" s="5"/>
      <c r="AFZ59" s="5"/>
      <c r="AGA59" s="124"/>
      <c r="AGB59" s="121"/>
      <c r="AGC59" s="125"/>
      <c r="AGD59" s="5"/>
      <c r="AGE59" s="117"/>
      <c r="AGF59" s="4"/>
      <c r="AGG59" s="126"/>
      <c r="AGH59" s="127"/>
      <c r="AGI59" s="121"/>
      <c r="AGJ59" s="5"/>
      <c r="AGK59" s="5"/>
      <c r="AGL59" s="124"/>
      <c r="AGM59" s="121"/>
      <c r="AGN59" s="125"/>
      <c r="AGO59" s="5"/>
      <c r="AGP59" s="117"/>
      <c r="AGQ59" s="4"/>
      <c r="AGR59" s="126"/>
      <c r="AGS59" s="127"/>
      <c r="AGT59" s="121"/>
      <c r="AGU59" s="5"/>
      <c r="AGV59" s="5"/>
      <c r="AGW59" s="124"/>
      <c r="AGX59" s="121"/>
      <c r="AGY59" s="125"/>
      <c r="AGZ59" s="5"/>
      <c r="AHA59" s="117"/>
      <c r="AHB59" s="4"/>
      <c r="AHC59" s="126"/>
      <c r="AHD59" s="127"/>
      <c r="AHE59" s="121"/>
      <c r="AHF59" s="5"/>
      <c r="AHG59" s="5"/>
      <c r="AHH59" s="124"/>
      <c r="AHI59" s="121"/>
      <c r="AHJ59" s="125"/>
      <c r="AHK59" s="5"/>
      <c r="AHL59" s="117"/>
      <c r="AHM59" s="4"/>
      <c r="AHN59" s="126"/>
      <c r="AHO59" s="127"/>
      <c r="AHP59" s="121"/>
      <c r="AHQ59" s="5"/>
      <c r="AHR59" s="5"/>
      <c r="AHS59" s="124"/>
      <c r="AHT59" s="121"/>
      <c r="AHU59" s="125"/>
      <c r="AHV59" s="5"/>
      <c r="AHW59" s="117"/>
      <c r="AHX59" s="4"/>
      <c r="AHY59" s="126"/>
      <c r="AHZ59" s="127"/>
      <c r="AIA59" s="121"/>
      <c r="AIB59" s="5"/>
      <c r="AIC59" s="5"/>
      <c r="AID59" s="124"/>
      <c r="AIE59" s="121"/>
      <c r="AIF59" s="125"/>
      <c r="AIG59" s="5"/>
      <c r="AIH59" s="117"/>
      <c r="AII59" s="4"/>
      <c r="AIJ59" s="126"/>
      <c r="AIK59" s="127"/>
      <c r="AIL59" s="121"/>
      <c r="AIM59" s="5"/>
      <c r="AIN59" s="5"/>
      <c r="AIO59" s="124"/>
      <c r="AIP59" s="121"/>
      <c r="AIQ59" s="125"/>
      <c r="AIR59" s="5"/>
      <c r="AIS59" s="117"/>
      <c r="AIT59" s="4"/>
      <c r="AIU59" s="126"/>
      <c r="AIV59" s="127"/>
      <c r="AIW59" s="121"/>
      <c r="AIX59" s="5"/>
      <c r="AIY59" s="5"/>
      <c r="AIZ59" s="124"/>
      <c r="AJA59" s="121"/>
      <c r="AJB59" s="125"/>
      <c r="AJC59" s="5"/>
      <c r="AJD59" s="117"/>
      <c r="AJE59" s="4"/>
      <c r="AJF59" s="126"/>
      <c r="AJG59" s="127"/>
      <c r="AJH59" s="121"/>
      <c r="AJI59" s="5"/>
      <c r="AJJ59" s="5"/>
      <c r="AJK59" s="124"/>
      <c r="AJL59" s="121"/>
      <c r="AJM59" s="125"/>
      <c r="AJN59" s="5"/>
      <c r="AJO59" s="117"/>
      <c r="AJP59" s="4"/>
      <c r="AJQ59" s="126"/>
      <c r="AJR59" s="127"/>
      <c r="AJS59" s="121"/>
      <c r="AJT59" s="5"/>
      <c r="AJU59" s="5"/>
      <c r="AJV59" s="124"/>
      <c r="AJW59" s="121"/>
      <c r="AJX59" s="125"/>
      <c r="AJY59" s="5"/>
      <c r="AJZ59" s="117"/>
      <c r="AKA59" s="4"/>
      <c r="AKB59" s="126"/>
      <c r="AKC59" s="127"/>
      <c r="AKD59" s="121"/>
      <c r="AKE59" s="5"/>
      <c r="AKF59" s="5"/>
      <c r="AKG59" s="124"/>
      <c r="AKH59" s="121"/>
      <c r="AKI59" s="125"/>
      <c r="AKJ59" s="5"/>
      <c r="AKK59" s="117"/>
      <c r="AKL59" s="4"/>
      <c r="AKM59" s="126"/>
      <c r="AKN59" s="127"/>
      <c r="AKO59" s="121"/>
      <c r="AKP59" s="5"/>
      <c r="AKQ59" s="5"/>
      <c r="AKR59" s="124"/>
      <c r="AKS59" s="121"/>
      <c r="AKT59" s="125"/>
      <c r="AKU59" s="5"/>
      <c r="AKV59" s="117"/>
      <c r="AKW59" s="4"/>
      <c r="AKX59" s="126"/>
      <c r="AKY59" s="127"/>
      <c r="AKZ59" s="121"/>
      <c r="ALA59" s="5"/>
      <c r="ALB59" s="5"/>
      <c r="ALC59" s="124"/>
      <c r="ALD59" s="121"/>
      <c r="ALE59" s="125"/>
      <c r="ALF59" s="5"/>
      <c r="ALG59" s="117"/>
      <c r="ALH59" s="4"/>
      <c r="ALI59" s="126"/>
      <c r="ALJ59" s="127"/>
      <c r="ALK59" s="121"/>
      <c r="ALL59" s="5"/>
      <c r="ALM59" s="5"/>
      <c r="ALN59" s="124"/>
      <c r="ALO59" s="121"/>
      <c r="ALP59" s="125"/>
      <c r="ALQ59" s="5"/>
      <c r="ALR59" s="117"/>
      <c r="ALS59" s="4"/>
      <c r="ALT59" s="126"/>
      <c r="ALU59" s="127"/>
      <c r="ALV59" s="121"/>
      <c r="ALW59" s="5"/>
      <c r="ALX59" s="5"/>
      <c r="ALY59" s="124"/>
      <c r="ALZ59" s="121"/>
      <c r="AMA59" s="125"/>
      <c r="AMB59" s="5"/>
      <c r="AMC59" s="117"/>
      <c r="AMD59" s="4"/>
      <c r="AME59" s="126"/>
      <c r="AMF59" s="127"/>
      <c r="AMG59" s="121"/>
      <c r="AMH59" s="5"/>
      <c r="AMI59" s="5"/>
      <c r="AMJ59" s="124"/>
      <c r="AMK59" s="121"/>
      <c r="AML59" s="125"/>
      <c r="AMM59" s="5"/>
      <c r="AMN59" s="117"/>
      <c r="AMO59" s="4"/>
      <c r="AMP59" s="126"/>
      <c r="AMQ59" s="127"/>
      <c r="AMR59" s="121"/>
      <c r="AMS59" s="5"/>
      <c r="AMT59" s="5"/>
      <c r="AMU59" s="124"/>
      <c r="AMV59" s="121"/>
      <c r="AMW59" s="125"/>
      <c r="AMX59" s="5"/>
      <c r="AMY59" s="117"/>
      <c r="AMZ59" s="4"/>
      <c r="ANA59" s="126"/>
      <c r="ANB59" s="127"/>
      <c r="ANC59" s="121"/>
      <c r="AND59" s="5"/>
      <c r="ANE59" s="5"/>
      <c r="ANF59" s="124"/>
      <c r="ANG59" s="121"/>
      <c r="ANH59" s="125"/>
      <c r="ANI59" s="5"/>
      <c r="ANJ59" s="117"/>
      <c r="ANK59" s="4"/>
      <c r="ANL59" s="126"/>
      <c r="ANM59" s="127"/>
      <c r="ANN59" s="121"/>
      <c r="ANO59" s="5"/>
      <c r="ANP59" s="5"/>
      <c r="ANQ59" s="124"/>
      <c r="ANR59" s="121"/>
      <c r="ANS59" s="125"/>
      <c r="ANT59" s="5"/>
      <c r="ANU59" s="117"/>
      <c r="ANV59" s="4"/>
      <c r="ANW59" s="126"/>
      <c r="ANX59" s="127"/>
      <c r="ANY59" s="121"/>
      <c r="ANZ59" s="5"/>
      <c r="AOA59" s="5"/>
      <c r="AOB59" s="124"/>
      <c r="AOC59" s="121"/>
      <c r="AOD59" s="125"/>
      <c r="AOE59" s="5"/>
      <c r="AOF59" s="117"/>
      <c r="AOG59" s="4"/>
      <c r="AOH59" s="126"/>
      <c r="AOI59" s="127"/>
      <c r="AOJ59" s="121"/>
      <c r="AOK59" s="5"/>
      <c r="AOL59" s="5"/>
      <c r="AOM59" s="124"/>
      <c r="AON59" s="121"/>
      <c r="AOO59" s="125"/>
      <c r="AOP59" s="5"/>
      <c r="AOQ59" s="117"/>
      <c r="AOR59" s="4"/>
      <c r="AOS59" s="126"/>
      <c r="AOT59" s="127"/>
      <c r="AOU59" s="121"/>
      <c r="AOV59" s="5"/>
      <c r="AOW59" s="5"/>
      <c r="AOX59" s="124"/>
      <c r="AOY59" s="121"/>
      <c r="AOZ59" s="125"/>
      <c r="APA59" s="5"/>
      <c r="APB59" s="117"/>
      <c r="APC59" s="4"/>
      <c r="APD59" s="126"/>
      <c r="APE59" s="127"/>
      <c r="APF59" s="121"/>
      <c r="APG59" s="5"/>
      <c r="APH59" s="5"/>
      <c r="API59" s="124"/>
      <c r="APJ59" s="121"/>
      <c r="APK59" s="125"/>
      <c r="APL59" s="5"/>
      <c r="APM59" s="117"/>
      <c r="APN59" s="4"/>
      <c r="APO59" s="126"/>
      <c r="APP59" s="127"/>
      <c r="APQ59" s="121"/>
      <c r="APR59" s="5"/>
      <c r="APS59" s="5"/>
      <c r="APT59" s="124"/>
      <c r="APU59" s="121"/>
      <c r="APV59" s="125"/>
      <c r="APW59" s="5"/>
      <c r="APX59" s="117"/>
      <c r="APY59" s="4"/>
      <c r="APZ59" s="126"/>
      <c r="AQA59" s="127"/>
      <c r="AQB59" s="121"/>
      <c r="AQC59" s="5"/>
      <c r="AQD59" s="5"/>
      <c r="AQE59" s="124"/>
      <c r="AQF59" s="121"/>
      <c r="AQG59" s="125"/>
      <c r="AQH59" s="5"/>
      <c r="AQI59" s="117"/>
      <c r="AQJ59" s="4"/>
      <c r="AQK59" s="126"/>
      <c r="AQL59" s="127"/>
      <c r="AQM59" s="121"/>
      <c r="AQN59" s="5"/>
      <c r="AQO59" s="5"/>
      <c r="AQP59" s="124"/>
      <c r="AQQ59" s="121"/>
      <c r="AQR59" s="125"/>
      <c r="AQS59" s="5"/>
      <c r="AQT59" s="117"/>
      <c r="AQU59" s="4"/>
      <c r="AQV59" s="126"/>
      <c r="AQW59" s="127"/>
      <c r="AQX59" s="121"/>
      <c r="AQY59" s="5"/>
      <c r="AQZ59" s="5"/>
      <c r="ARA59" s="124"/>
      <c r="ARB59" s="121"/>
      <c r="ARC59" s="125"/>
      <c r="ARD59" s="5"/>
      <c r="ARE59" s="117"/>
      <c r="ARF59" s="4"/>
      <c r="ARG59" s="126"/>
      <c r="ARH59" s="127"/>
      <c r="ARI59" s="121"/>
      <c r="ARJ59" s="5"/>
      <c r="ARK59" s="5"/>
      <c r="ARL59" s="124"/>
      <c r="ARM59" s="121"/>
      <c r="ARN59" s="125"/>
      <c r="ARO59" s="5"/>
      <c r="ARP59" s="117"/>
      <c r="ARQ59" s="4"/>
      <c r="ARR59" s="126"/>
      <c r="ARS59" s="127"/>
      <c r="ART59" s="121"/>
      <c r="ARU59" s="5"/>
      <c r="ARV59" s="5"/>
      <c r="ARW59" s="124"/>
      <c r="ARX59" s="121"/>
      <c r="ARY59" s="125"/>
      <c r="ARZ59" s="5"/>
      <c r="ASA59" s="117"/>
      <c r="ASB59" s="4"/>
      <c r="ASC59" s="126"/>
      <c r="ASD59" s="127"/>
      <c r="ASE59" s="121"/>
      <c r="ASF59" s="5"/>
      <c r="ASG59" s="5"/>
      <c r="ASH59" s="124"/>
      <c r="ASI59" s="121"/>
      <c r="ASJ59" s="125"/>
      <c r="ASK59" s="5"/>
      <c r="ASL59" s="117"/>
      <c r="ASM59" s="4"/>
      <c r="ASN59" s="126"/>
      <c r="ASO59" s="127"/>
      <c r="ASP59" s="121"/>
      <c r="ASQ59" s="5"/>
      <c r="ASR59" s="5"/>
      <c r="ASS59" s="124"/>
      <c r="AST59" s="121"/>
      <c r="ASU59" s="125"/>
      <c r="ASV59" s="5"/>
      <c r="ASW59" s="117"/>
      <c r="ASX59" s="4"/>
      <c r="ASY59" s="126"/>
      <c r="ASZ59" s="127"/>
      <c r="ATA59" s="121"/>
      <c r="ATB59" s="5"/>
      <c r="ATC59" s="5"/>
      <c r="ATD59" s="124"/>
      <c r="ATE59" s="121"/>
      <c r="ATF59" s="125"/>
      <c r="ATG59" s="5"/>
      <c r="ATH59" s="117"/>
      <c r="ATI59" s="4"/>
      <c r="ATJ59" s="126"/>
      <c r="ATK59" s="127"/>
      <c r="ATL59" s="121"/>
      <c r="ATM59" s="5"/>
      <c r="ATN59" s="5"/>
      <c r="ATO59" s="124"/>
      <c r="ATP59" s="121"/>
      <c r="ATQ59" s="125"/>
      <c r="ATR59" s="5"/>
      <c r="ATS59" s="117"/>
      <c r="ATT59" s="4"/>
      <c r="ATU59" s="126"/>
      <c r="ATV59" s="127"/>
      <c r="ATW59" s="121"/>
      <c r="ATX59" s="5"/>
      <c r="ATY59" s="5"/>
      <c r="ATZ59" s="124"/>
      <c r="AUA59" s="121"/>
      <c r="AUB59" s="125"/>
      <c r="AUC59" s="5"/>
      <c r="AUD59" s="117"/>
      <c r="AUE59" s="4"/>
      <c r="AUF59" s="126"/>
      <c r="AUG59" s="127"/>
      <c r="AUH59" s="121"/>
      <c r="AUI59" s="5"/>
      <c r="AUJ59" s="5"/>
      <c r="AUK59" s="124"/>
      <c r="AUL59" s="121"/>
      <c r="AUM59" s="125"/>
      <c r="AUN59" s="5"/>
      <c r="AUO59" s="117"/>
      <c r="AUP59" s="4"/>
      <c r="AUQ59" s="126"/>
      <c r="AUR59" s="127"/>
      <c r="AUS59" s="121"/>
      <c r="AUT59" s="5"/>
      <c r="AUU59" s="5"/>
      <c r="AUV59" s="124"/>
      <c r="AUW59" s="121"/>
      <c r="AUX59" s="125"/>
      <c r="AUY59" s="5"/>
      <c r="AUZ59" s="117"/>
      <c r="AVA59" s="4"/>
      <c r="AVB59" s="126"/>
      <c r="AVC59" s="127"/>
      <c r="AVD59" s="121"/>
      <c r="AVE59" s="5"/>
      <c r="AVF59" s="5"/>
      <c r="AVG59" s="124"/>
      <c r="AVH59" s="121"/>
      <c r="AVI59" s="125"/>
      <c r="AVJ59" s="5"/>
      <c r="AVK59" s="117"/>
      <c r="AVL59" s="4"/>
      <c r="AVM59" s="126"/>
      <c r="AVN59" s="127"/>
      <c r="AVO59" s="121"/>
      <c r="AVP59" s="5"/>
      <c r="AVQ59" s="5"/>
      <c r="AVR59" s="124"/>
      <c r="AVS59" s="121"/>
      <c r="AVT59" s="125"/>
      <c r="AVU59" s="5"/>
      <c r="AVV59" s="117"/>
      <c r="AVW59" s="4"/>
      <c r="AVX59" s="126"/>
      <c r="AVY59" s="127"/>
      <c r="AVZ59" s="121"/>
      <c r="AWA59" s="5"/>
      <c r="AWB59" s="5"/>
      <c r="AWC59" s="124"/>
      <c r="AWD59" s="121"/>
      <c r="AWE59" s="125"/>
      <c r="AWF59" s="5"/>
      <c r="AWG59" s="117"/>
      <c r="AWH59" s="4"/>
      <c r="AWI59" s="126"/>
      <c r="AWJ59" s="127"/>
      <c r="AWK59" s="121"/>
      <c r="AWL59" s="5"/>
      <c r="AWM59" s="5"/>
      <c r="AWN59" s="124"/>
      <c r="AWO59" s="121"/>
      <c r="AWP59" s="125"/>
      <c r="AWQ59" s="5"/>
      <c r="AWR59" s="117"/>
      <c r="AWS59" s="4"/>
      <c r="AWT59" s="126"/>
      <c r="AWU59" s="127"/>
      <c r="AWV59" s="121"/>
      <c r="AWW59" s="5"/>
      <c r="AWX59" s="5"/>
      <c r="AWY59" s="124"/>
      <c r="AWZ59" s="121"/>
      <c r="AXA59" s="125"/>
      <c r="AXB59" s="5"/>
      <c r="AXC59" s="117"/>
      <c r="AXD59" s="4"/>
      <c r="AXE59" s="126"/>
      <c r="AXF59" s="127"/>
      <c r="AXG59" s="121"/>
      <c r="AXH59" s="5"/>
      <c r="AXI59" s="5"/>
      <c r="AXJ59" s="124"/>
      <c r="AXK59" s="121"/>
      <c r="AXL59" s="125"/>
      <c r="AXM59" s="5"/>
      <c r="AXN59" s="117"/>
      <c r="AXO59" s="4"/>
      <c r="AXP59" s="126"/>
      <c r="AXQ59" s="127"/>
      <c r="AXR59" s="121"/>
      <c r="AXS59" s="5"/>
      <c r="AXT59" s="5"/>
      <c r="AXU59" s="124"/>
      <c r="AXV59" s="121"/>
      <c r="AXW59" s="125"/>
      <c r="AXX59" s="5"/>
      <c r="AXY59" s="117"/>
      <c r="AXZ59" s="4"/>
      <c r="AYA59" s="126"/>
      <c r="AYB59" s="127"/>
      <c r="AYC59" s="121"/>
      <c r="AYD59" s="5"/>
      <c r="AYE59" s="5"/>
      <c r="AYF59" s="124"/>
      <c r="AYG59" s="121"/>
      <c r="AYH59" s="125"/>
      <c r="AYI59" s="5"/>
      <c r="AYJ59" s="117"/>
      <c r="AYK59" s="4"/>
      <c r="AYL59" s="126"/>
      <c r="AYM59" s="127"/>
      <c r="AYN59" s="121"/>
      <c r="AYO59" s="5"/>
      <c r="AYP59" s="5"/>
      <c r="AYQ59" s="124"/>
      <c r="AYR59" s="121"/>
      <c r="AYS59" s="125"/>
      <c r="AYT59" s="5"/>
      <c r="AYU59" s="117"/>
      <c r="AYV59" s="4"/>
      <c r="AYW59" s="126"/>
      <c r="AYX59" s="127"/>
      <c r="AYY59" s="121"/>
      <c r="AYZ59" s="5"/>
      <c r="AZA59" s="5"/>
      <c r="AZB59" s="124"/>
      <c r="AZC59" s="121"/>
      <c r="AZD59" s="125"/>
      <c r="AZE59" s="5"/>
      <c r="AZF59" s="117"/>
      <c r="AZG59" s="4"/>
      <c r="AZH59" s="126"/>
      <c r="AZI59" s="127"/>
      <c r="AZJ59" s="121"/>
      <c r="AZK59" s="5"/>
      <c r="AZL59" s="5"/>
      <c r="AZM59" s="124"/>
      <c r="AZN59" s="121"/>
      <c r="AZO59" s="125"/>
      <c r="AZP59" s="5"/>
      <c r="AZQ59" s="117"/>
      <c r="AZR59" s="4"/>
      <c r="AZS59" s="126"/>
      <c r="AZT59" s="127"/>
      <c r="AZU59" s="121"/>
      <c r="AZV59" s="5"/>
      <c r="AZW59" s="5"/>
      <c r="AZX59" s="124"/>
      <c r="AZY59" s="121"/>
      <c r="AZZ59" s="125"/>
      <c r="BAA59" s="5"/>
      <c r="BAB59" s="117"/>
      <c r="BAC59" s="4"/>
      <c r="BAD59" s="126"/>
      <c r="BAE59" s="127"/>
      <c r="BAF59" s="121"/>
      <c r="BAG59" s="5"/>
      <c r="BAH59" s="5"/>
      <c r="BAI59" s="124"/>
      <c r="BAJ59" s="121"/>
      <c r="BAK59" s="125"/>
      <c r="BAL59" s="5"/>
      <c r="BAM59" s="117"/>
      <c r="BAN59" s="4"/>
      <c r="BAO59" s="126"/>
      <c r="BAP59" s="127"/>
      <c r="BAQ59" s="121"/>
      <c r="BAR59" s="5"/>
      <c r="BAS59" s="5"/>
      <c r="BAT59" s="124"/>
      <c r="BAU59" s="121"/>
      <c r="BAV59" s="125"/>
      <c r="BAW59" s="5"/>
      <c r="BAX59" s="117"/>
      <c r="BAY59" s="4"/>
      <c r="BAZ59" s="126"/>
      <c r="BBA59" s="127"/>
      <c r="BBB59" s="121"/>
      <c r="BBC59" s="5"/>
      <c r="BBD59" s="5"/>
      <c r="BBE59" s="124"/>
      <c r="BBF59" s="121"/>
      <c r="BBG59" s="125"/>
      <c r="BBH59" s="5"/>
      <c r="BBI59" s="117"/>
      <c r="BBJ59" s="4"/>
      <c r="BBK59" s="126"/>
      <c r="BBL59" s="127"/>
      <c r="BBM59" s="121"/>
      <c r="BBN59" s="5"/>
      <c r="BBO59" s="5"/>
      <c r="BBP59" s="124"/>
      <c r="BBQ59" s="121"/>
      <c r="BBR59" s="125"/>
      <c r="BBS59" s="5"/>
      <c r="BBT59" s="117"/>
      <c r="BBU59" s="4"/>
      <c r="BBV59" s="126"/>
      <c r="BBW59" s="127"/>
      <c r="BBX59" s="121"/>
      <c r="BBY59" s="5"/>
      <c r="BBZ59" s="5"/>
      <c r="BCA59" s="124"/>
      <c r="BCB59" s="121"/>
      <c r="BCC59" s="125"/>
      <c r="BCD59" s="5"/>
      <c r="BCE59" s="117"/>
      <c r="BCF59" s="4"/>
      <c r="BCG59" s="126"/>
      <c r="BCH59" s="127"/>
      <c r="BCI59" s="121"/>
      <c r="BCJ59" s="5"/>
      <c r="BCK59" s="5"/>
      <c r="BCL59" s="124"/>
      <c r="BCM59" s="121"/>
      <c r="BCN59" s="125"/>
      <c r="BCO59" s="5"/>
      <c r="BCP59" s="117"/>
      <c r="BCQ59" s="4"/>
      <c r="BCR59" s="126"/>
      <c r="BCS59" s="127"/>
      <c r="BCT59" s="121"/>
      <c r="BCU59" s="5"/>
      <c r="BCV59" s="5"/>
      <c r="BCW59" s="124"/>
      <c r="BCX59" s="121"/>
      <c r="BCY59" s="125"/>
      <c r="BCZ59" s="5"/>
      <c r="BDA59" s="117"/>
      <c r="BDB59" s="4"/>
      <c r="BDC59" s="126"/>
      <c r="BDD59" s="127"/>
      <c r="BDE59" s="121"/>
      <c r="BDF59" s="5"/>
      <c r="BDG59" s="5"/>
      <c r="BDH59" s="124"/>
      <c r="BDI59" s="121"/>
      <c r="BDJ59" s="125"/>
      <c r="BDK59" s="5"/>
      <c r="BDL59" s="117"/>
      <c r="BDM59" s="4"/>
      <c r="BDN59" s="126"/>
      <c r="BDO59" s="127"/>
      <c r="BDP59" s="121"/>
      <c r="BDQ59" s="5"/>
      <c r="BDR59" s="5"/>
      <c r="BDS59" s="124"/>
      <c r="BDT59" s="121"/>
      <c r="BDU59" s="125"/>
      <c r="BDV59" s="5"/>
      <c r="BDW59" s="117"/>
      <c r="BDX59" s="4"/>
      <c r="BDY59" s="126"/>
      <c r="BDZ59" s="127"/>
      <c r="BEA59" s="121"/>
      <c r="BEB59" s="5"/>
      <c r="BEC59" s="5"/>
      <c r="BED59" s="124"/>
      <c r="BEE59" s="121"/>
      <c r="BEF59" s="125"/>
      <c r="BEG59" s="5"/>
      <c r="BEH59" s="117"/>
      <c r="BEI59" s="4"/>
      <c r="BEJ59" s="126"/>
      <c r="BEK59" s="127"/>
      <c r="BEL59" s="121"/>
      <c r="BEM59" s="5"/>
      <c r="BEN59" s="5"/>
      <c r="BEO59" s="124"/>
      <c r="BEP59" s="121"/>
      <c r="BEQ59" s="125"/>
      <c r="BER59" s="5"/>
      <c r="BES59" s="117"/>
      <c r="BET59" s="4"/>
      <c r="BEU59" s="126"/>
      <c r="BEV59" s="127"/>
      <c r="BEW59" s="121"/>
      <c r="BEX59" s="5"/>
      <c r="BEY59" s="5"/>
      <c r="BEZ59" s="124"/>
      <c r="BFA59" s="121"/>
      <c r="BFB59" s="125"/>
      <c r="BFC59" s="5"/>
      <c r="BFD59" s="117"/>
      <c r="BFE59" s="4"/>
      <c r="BFF59" s="126"/>
      <c r="BFG59" s="127"/>
      <c r="BFH59" s="121"/>
      <c r="BFI59" s="5"/>
      <c r="BFJ59" s="5"/>
      <c r="BFK59" s="124"/>
      <c r="BFL59" s="121"/>
      <c r="BFM59" s="125"/>
      <c r="BFN59" s="5"/>
      <c r="BFO59" s="117"/>
      <c r="BFP59" s="4"/>
      <c r="BFQ59" s="126"/>
      <c r="BFR59" s="127"/>
      <c r="BFS59" s="121"/>
      <c r="BFT59" s="5"/>
      <c r="BFU59" s="5"/>
      <c r="BFV59" s="124"/>
      <c r="BFW59" s="121"/>
      <c r="BFX59" s="125"/>
      <c r="BFY59" s="5"/>
      <c r="BFZ59" s="117"/>
      <c r="BGA59" s="4"/>
      <c r="BGB59" s="126"/>
      <c r="BGC59" s="127"/>
      <c r="BGD59" s="121"/>
      <c r="BGE59" s="5"/>
      <c r="BGF59" s="5"/>
      <c r="BGG59" s="124"/>
      <c r="BGH59" s="121"/>
      <c r="BGI59" s="125"/>
      <c r="BGJ59" s="5"/>
      <c r="BGK59" s="117"/>
      <c r="BGL59" s="4"/>
      <c r="BGM59" s="126"/>
      <c r="BGN59" s="127"/>
      <c r="BGO59" s="121"/>
      <c r="BGP59" s="5"/>
      <c r="BGQ59" s="5"/>
      <c r="BGR59" s="124"/>
      <c r="BGS59" s="121"/>
      <c r="BGT59" s="125"/>
      <c r="BGU59" s="5"/>
      <c r="BGV59" s="117"/>
      <c r="BGW59" s="4"/>
      <c r="BGX59" s="126"/>
      <c r="BGY59" s="127"/>
      <c r="BGZ59" s="121"/>
      <c r="BHA59" s="5"/>
      <c r="BHB59" s="5"/>
      <c r="BHC59" s="124"/>
      <c r="BHD59" s="121"/>
      <c r="BHE59" s="125"/>
      <c r="BHF59" s="5"/>
      <c r="BHG59" s="117"/>
      <c r="BHH59" s="4"/>
      <c r="BHI59" s="126"/>
      <c r="BHJ59" s="127"/>
      <c r="BHK59" s="121"/>
      <c r="BHL59" s="5"/>
      <c r="BHM59" s="5"/>
      <c r="BHN59" s="124"/>
      <c r="BHO59" s="121"/>
      <c r="BHP59" s="125"/>
      <c r="BHQ59" s="5"/>
      <c r="BHR59" s="117"/>
      <c r="BHS59" s="4"/>
      <c r="BHT59" s="126"/>
      <c r="BHU59" s="127"/>
      <c r="BHV59" s="121"/>
      <c r="BHW59" s="5"/>
      <c r="BHX59" s="5"/>
      <c r="BHY59" s="124"/>
      <c r="BHZ59" s="121"/>
      <c r="BIA59" s="125"/>
      <c r="BIB59" s="5"/>
      <c r="BIC59" s="117"/>
      <c r="BID59" s="4"/>
      <c r="BIE59" s="126"/>
      <c r="BIF59" s="127"/>
      <c r="BIG59" s="121"/>
      <c r="BIH59" s="5"/>
      <c r="BII59" s="5"/>
      <c r="BIJ59" s="124"/>
      <c r="BIK59" s="121"/>
      <c r="BIL59" s="125"/>
      <c r="BIM59" s="5"/>
      <c r="BIN59" s="117"/>
      <c r="BIO59" s="4"/>
      <c r="BIP59" s="126"/>
      <c r="BIQ59" s="127"/>
      <c r="BIR59" s="121"/>
      <c r="BIS59" s="5"/>
      <c r="BIT59" s="5"/>
      <c r="BIU59" s="124"/>
      <c r="BIV59" s="121"/>
      <c r="BIW59" s="125"/>
      <c r="BIX59" s="5"/>
      <c r="BIY59" s="117"/>
      <c r="BIZ59" s="4"/>
      <c r="BJA59" s="126"/>
      <c r="BJB59" s="127"/>
      <c r="BJC59" s="121"/>
      <c r="BJD59" s="5"/>
      <c r="BJE59" s="5"/>
      <c r="BJF59" s="124"/>
      <c r="BJG59" s="121"/>
      <c r="BJH59" s="125"/>
      <c r="BJI59" s="5"/>
      <c r="BJJ59" s="117"/>
      <c r="BJK59" s="4"/>
      <c r="BJL59" s="126"/>
      <c r="BJM59" s="127"/>
      <c r="BJN59" s="121"/>
      <c r="BJO59" s="5"/>
      <c r="BJP59" s="5"/>
      <c r="BJQ59" s="124"/>
      <c r="BJR59" s="121"/>
      <c r="BJS59" s="125"/>
      <c r="BJT59" s="5"/>
      <c r="BJU59" s="117"/>
      <c r="BJV59" s="4"/>
      <c r="BJW59" s="126"/>
      <c r="BJX59" s="127"/>
      <c r="BJY59" s="121"/>
      <c r="BJZ59" s="5"/>
      <c r="BKA59" s="5"/>
      <c r="BKB59" s="124"/>
      <c r="BKC59" s="121"/>
      <c r="BKD59" s="125"/>
      <c r="BKE59" s="5"/>
      <c r="BKF59" s="117"/>
      <c r="BKG59" s="4"/>
      <c r="BKH59" s="126"/>
      <c r="BKI59" s="127"/>
      <c r="BKJ59" s="121"/>
      <c r="BKK59" s="5"/>
      <c r="BKL59" s="5"/>
      <c r="BKM59" s="124"/>
      <c r="BKN59" s="121"/>
      <c r="BKO59" s="125"/>
      <c r="BKP59" s="5"/>
      <c r="BKQ59" s="117"/>
      <c r="BKR59" s="4"/>
      <c r="BKS59" s="126"/>
      <c r="BKT59" s="127"/>
      <c r="BKU59" s="121"/>
      <c r="BKV59" s="5"/>
      <c r="BKW59" s="5"/>
      <c r="BKX59" s="124"/>
      <c r="BKY59" s="121"/>
      <c r="BKZ59" s="125"/>
      <c r="BLA59" s="5"/>
      <c r="BLB59" s="117"/>
      <c r="BLC59" s="4"/>
      <c r="BLD59" s="126"/>
      <c r="BLE59" s="127"/>
      <c r="BLF59" s="121"/>
      <c r="BLG59" s="5"/>
      <c r="BLH59" s="5"/>
      <c r="BLI59" s="124"/>
      <c r="BLJ59" s="121"/>
      <c r="BLK59" s="125"/>
      <c r="BLL59" s="5"/>
      <c r="BLM59" s="117"/>
      <c r="BLN59" s="4"/>
      <c r="BLO59" s="126"/>
      <c r="BLP59" s="127"/>
      <c r="BLQ59" s="121"/>
      <c r="BLR59" s="5"/>
      <c r="BLS59" s="5"/>
      <c r="BLT59" s="124"/>
      <c r="BLU59" s="121"/>
      <c r="BLV59" s="125"/>
      <c r="BLW59" s="5"/>
      <c r="BLX59" s="117"/>
      <c r="BLY59" s="4"/>
      <c r="BLZ59" s="126"/>
      <c r="BMA59" s="127"/>
      <c r="BMB59" s="121"/>
      <c r="BMC59" s="5"/>
      <c r="BMD59" s="5"/>
      <c r="BME59" s="124"/>
      <c r="BMF59" s="121"/>
      <c r="BMG59" s="125"/>
      <c r="BMH59" s="5"/>
      <c r="BMI59" s="117"/>
      <c r="BMJ59" s="4"/>
      <c r="BMK59" s="126"/>
      <c r="BML59" s="127"/>
      <c r="BMM59" s="121"/>
      <c r="BMN59" s="5"/>
      <c r="BMO59" s="5"/>
      <c r="BMP59" s="124"/>
      <c r="BMQ59" s="121"/>
      <c r="BMR59" s="125"/>
      <c r="BMS59" s="5"/>
      <c r="BMT59" s="117"/>
      <c r="BMU59" s="4"/>
      <c r="BMV59" s="126"/>
      <c r="BMW59" s="127"/>
      <c r="BMX59" s="121"/>
      <c r="BMY59" s="5"/>
      <c r="BMZ59" s="5"/>
      <c r="BNA59" s="124"/>
      <c r="BNB59" s="121"/>
      <c r="BNC59" s="125"/>
      <c r="BND59" s="5"/>
      <c r="BNE59" s="117"/>
      <c r="BNF59" s="4"/>
      <c r="BNG59" s="126"/>
      <c r="BNH59" s="127"/>
      <c r="BNI59" s="121"/>
      <c r="BNJ59" s="5"/>
      <c r="BNK59" s="5"/>
      <c r="BNL59" s="124"/>
      <c r="BNM59" s="121"/>
      <c r="BNN59" s="125"/>
      <c r="BNO59" s="5"/>
      <c r="BNP59" s="117"/>
      <c r="BNQ59" s="4"/>
      <c r="BNR59" s="126"/>
      <c r="BNS59" s="127"/>
      <c r="BNT59" s="121"/>
      <c r="BNU59" s="5"/>
      <c r="BNV59" s="5"/>
      <c r="BNW59" s="124"/>
      <c r="BNX59" s="121"/>
      <c r="BNY59" s="125"/>
      <c r="BNZ59" s="5"/>
      <c r="BOA59" s="117"/>
      <c r="BOB59" s="4"/>
      <c r="BOC59" s="126"/>
      <c r="BOD59" s="127"/>
      <c r="BOE59" s="121"/>
      <c r="BOF59" s="5"/>
      <c r="BOG59" s="5"/>
      <c r="BOH59" s="124"/>
      <c r="BOI59" s="121"/>
      <c r="BOJ59" s="125"/>
      <c r="BOK59" s="5"/>
      <c r="BOL59" s="117"/>
      <c r="BOM59" s="4"/>
      <c r="BON59" s="126"/>
      <c r="BOO59" s="127"/>
      <c r="BOP59" s="121"/>
      <c r="BOQ59" s="5"/>
      <c r="BOR59" s="5"/>
      <c r="BOS59" s="124"/>
      <c r="BOT59" s="121"/>
      <c r="BOU59" s="125"/>
      <c r="BOV59" s="5"/>
      <c r="BOW59" s="117"/>
      <c r="BOX59" s="4"/>
      <c r="BOY59" s="126"/>
      <c r="BOZ59" s="127"/>
      <c r="BPA59" s="121"/>
      <c r="BPB59" s="5"/>
      <c r="BPC59" s="5"/>
      <c r="BPD59" s="124"/>
      <c r="BPE59" s="121"/>
      <c r="BPF59" s="125"/>
      <c r="BPG59" s="5"/>
      <c r="BPH59" s="117"/>
      <c r="BPI59" s="4"/>
      <c r="BPJ59" s="126"/>
      <c r="BPK59" s="127"/>
      <c r="BPL59" s="121"/>
      <c r="BPM59" s="5"/>
      <c r="BPN59" s="5"/>
      <c r="BPO59" s="124"/>
      <c r="BPP59" s="121"/>
      <c r="BPQ59" s="125"/>
      <c r="BPR59" s="5"/>
      <c r="BPS59" s="117"/>
      <c r="BPT59" s="4"/>
      <c r="BPU59" s="126"/>
      <c r="BPV59" s="127"/>
      <c r="BPW59" s="121"/>
      <c r="BPX59" s="5"/>
      <c r="BPY59" s="5"/>
      <c r="BPZ59" s="124"/>
      <c r="BQA59" s="121"/>
      <c r="BQB59" s="125"/>
      <c r="BQC59" s="5"/>
      <c r="BQD59" s="117"/>
      <c r="BQE59" s="4"/>
      <c r="BQF59" s="126"/>
      <c r="BQG59" s="127"/>
      <c r="BQH59" s="121"/>
      <c r="BQI59" s="5"/>
      <c r="BQJ59" s="5"/>
      <c r="BQK59" s="124"/>
      <c r="BQL59" s="121"/>
      <c r="BQM59" s="125"/>
      <c r="BQN59" s="5"/>
      <c r="BQO59" s="117"/>
      <c r="BQP59" s="4"/>
      <c r="BQQ59" s="126"/>
      <c r="BQR59" s="127"/>
      <c r="BQS59" s="121"/>
      <c r="BQT59" s="5"/>
      <c r="BQU59" s="5"/>
      <c r="BQV59" s="124"/>
      <c r="BQW59" s="121"/>
      <c r="BQX59" s="125"/>
      <c r="BQY59" s="5"/>
      <c r="BQZ59" s="117"/>
      <c r="BRA59" s="4"/>
      <c r="BRB59" s="126"/>
      <c r="BRC59" s="127"/>
      <c r="BRD59" s="121"/>
      <c r="BRE59" s="5"/>
      <c r="BRF59" s="5"/>
      <c r="BRG59" s="124"/>
      <c r="BRH59" s="121"/>
      <c r="BRI59" s="125"/>
      <c r="BRJ59" s="5"/>
      <c r="BRK59" s="117"/>
      <c r="BRL59" s="4"/>
      <c r="BRM59" s="126"/>
      <c r="BRN59" s="127"/>
      <c r="BRO59" s="121"/>
      <c r="BRP59" s="5"/>
      <c r="BRQ59" s="5"/>
      <c r="BRR59" s="124"/>
      <c r="BRS59" s="121"/>
      <c r="BRT59" s="125"/>
      <c r="BRU59" s="5"/>
      <c r="BRV59" s="117"/>
      <c r="BRW59" s="4"/>
      <c r="BRX59" s="126"/>
      <c r="BRY59" s="127"/>
      <c r="BRZ59" s="121"/>
      <c r="BSA59" s="5"/>
      <c r="BSB59" s="5"/>
      <c r="BSC59" s="124"/>
      <c r="BSD59" s="121"/>
      <c r="BSE59" s="125"/>
      <c r="BSF59" s="5"/>
      <c r="BSG59" s="117"/>
      <c r="BSH59" s="4"/>
      <c r="BSI59" s="126"/>
      <c r="BSJ59" s="127"/>
      <c r="BSK59" s="121"/>
      <c r="BSL59" s="5"/>
      <c r="BSM59" s="5"/>
      <c r="BSN59" s="124"/>
      <c r="BSO59" s="121"/>
      <c r="BSP59" s="125"/>
      <c r="BSQ59" s="5"/>
      <c r="BSR59" s="117"/>
      <c r="BSS59" s="4"/>
      <c r="BST59" s="126"/>
      <c r="BSU59" s="127"/>
      <c r="BSV59" s="121"/>
      <c r="BSW59" s="5"/>
      <c r="BSX59" s="5"/>
      <c r="BSY59" s="124"/>
      <c r="BSZ59" s="121"/>
      <c r="BTA59" s="125"/>
      <c r="BTB59" s="5"/>
      <c r="BTC59" s="117"/>
      <c r="BTD59" s="4"/>
      <c r="BTE59" s="126"/>
      <c r="BTF59" s="127"/>
      <c r="BTG59" s="121"/>
      <c r="BTH59" s="5"/>
      <c r="BTI59" s="5"/>
      <c r="BTJ59" s="124"/>
      <c r="BTK59" s="121"/>
      <c r="BTL59" s="125"/>
      <c r="BTM59" s="5"/>
      <c r="BTN59" s="117"/>
      <c r="BTO59" s="4"/>
      <c r="BTP59" s="126"/>
      <c r="BTQ59" s="127"/>
      <c r="BTR59" s="121"/>
      <c r="BTS59" s="5"/>
      <c r="BTT59" s="5"/>
      <c r="BTU59" s="124"/>
      <c r="BTV59" s="121"/>
      <c r="BTW59" s="125"/>
      <c r="BTX59" s="5"/>
      <c r="BTY59" s="117"/>
      <c r="BTZ59" s="4"/>
      <c r="BUA59" s="126"/>
      <c r="BUB59" s="127"/>
      <c r="BUC59" s="121"/>
      <c r="BUD59" s="5"/>
      <c r="BUE59" s="5"/>
      <c r="BUF59" s="124"/>
      <c r="BUG59" s="121"/>
      <c r="BUH59" s="125"/>
      <c r="BUI59" s="5"/>
      <c r="BUJ59" s="117"/>
      <c r="BUK59" s="4"/>
      <c r="BUL59" s="126"/>
      <c r="BUM59" s="127"/>
      <c r="BUN59" s="121"/>
      <c r="BUO59" s="5"/>
      <c r="BUP59" s="5"/>
      <c r="BUQ59" s="124"/>
      <c r="BUR59" s="121"/>
      <c r="BUS59" s="125"/>
      <c r="BUT59" s="5"/>
      <c r="BUU59" s="117"/>
      <c r="BUV59" s="4"/>
      <c r="BUW59" s="126"/>
      <c r="BUX59" s="127"/>
      <c r="BUY59" s="121"/>
      <c r="BUZ59" s="5"/>
      <c r="BVA59" s="5"/>
      <c r="BVB59" s="124"/>
      <c r="BVC59" s="121"/>
      <c r="BVD59" s="125"/>
      <c r="BVE59" s="5"/>
      <c r="BVF59" s="117"/>
      <c r="BVG59" s="4"/>
      <c r="BVH59" s="126"/>
      <c r="BVI59" s="127"/>
      <c r="BVJ59" s="121"/>
      <c r="BVK59" s="5"/>
      <c r="BVL59" s="5"/>
      <c r="BVM59" s="124"/>
      <c r="BVN59" s="121"/>
      <c r="BVO59" s="125"/>
      <c r="BVP59" s="5"/>
      <c r="BVQ59" s="117"/>
      <c r="BVR59" s="4"/>
      <c r="BVS59" s="126"/>
      <c r="BVT59" s="127"/>
      <c r="BVU59" s="121"/>
      <c r="BVV59" s="5"/>
      <c r="BVW59" s="5"/>
      <c r="BVX59" s="124"/>
      <c r="BVY59" s="121"/>
      <c r="BVZ59" s="125"/>
      <c r="BWA59" s="5"/>
      <c r="BWB59" s="117"/>
      <c r="BWC59" s="4"/>
      <c r="BWD59" s="126"/>
      <c r="BWE59" s="127"/>
      <c r="BWF59" s="121"/>
      <c r="BWG59" s="5"/>
      <c r="BWH59" s="5"/>
      <c r="BWI59" s="124"/>
      <c r="BWJ59" s="121"/>
      <c r="BWK59" s="125"/>
      <c r="BWL59" s="5"/>
      <c r="BWM59" s="117"/>
      <c r="BWN59" s="4"/>
      <c r="BWO59" s="126"/>
      <c r="BWP59" s="127"/>
      <c r="BWQ59" s="121"/>
      <c r="BWR59" s="5"/>
      <c r="BWS59" s="5"/>
      <c r="BWT59" s="124"/>
      <c r="BWU59" s="121"/>
      <c r="BWV59" s="125"/>
      <c r="BWW59" s="5"/>
      <c r="BWX59" s="117"/>
      <c r="BWY59" s="4"/>
      <c r="BWZ59" s="126"/>
      <c r="BXA59" s="127"/>
      <c r="BXB59" s="121"/>
      <c r="BXC59" s="5"/>
      <c r="BXD59" s="5"/>
      <c r="BXE59" s="124"/>
      <c r="BXF59" s="121"/>
      <c r="BXG59" s="125"/>
      <c r="BXH59" s="5"/>
      <c r="BXI59" s="117"/>
      <c r="BXJ59" s="4"/>
      <c r="BXK59" s="126"/>
      <c r="BXL59" s="127"/>
      <c r="BXM59" s="121"/>
      <c r="BXN59" s="5"/>
      <c r="BXO59" s="5"/>
      <c r="BXP59" s="124"/>
      <c r="BXQ59" s="121"/>
      <c r="BXR59" s="125"/>
      <c r="BXS59" s="5"/>
      <c r="BXT59" s="117"/>
      <c r="BXU59" s="4"/>
      <c r="BXV59" s="126"/>
      <c r="BXW59" s="127"/>
      <c r="BXX59" s="121"/>
      <c r="BXY59" s="5"/>
      <c r="BXZ59" s="5"/>
      <c r="BYA59" s="124"/>
      <c r="BYB59" s="121"/>
      <c r="BYC59" s="125"/>
      <c r="BYD59" s="5"/>
      <c r="BYE59" s="117"/>
      <c r="BYF59" s="4"/>
      <c r="BYG59" s="126"/>
      <c r="BYH59" s="127"/>
      <c r="BYI59" s="121"/>
      <c r="BYJ59" s="5"/>
      <c r="BYK59" s="5"/>
      <c r="BYL59" s="124"/>
      <c r="BYM59" s="121"/>
      <c r="BYN59" s="125"/>
      <c r="BYO59" s="5"/>
      <c r="BYP59" s="117"/>
      <c r="BYQ59" s="4"/>
      <c r="BYR59" s="126"/>
      <c r="BYS59" s="127"/>
      <c r="BYT59" s="121"/>
      <c r="BYU59" s="5"/>
      <c r="BYV59" s="5"/>
      <c r="BYW59" s="124"/>
      <c r="BYX59" s="121"/>
      <c r="BYY59" s="125"/>
      <c r="BYZ59" s="5"/>
      <c r="BZA59" s="117"/>
      <c r="BZB59" s="4"/>
      <c r="BZC59" s="126"/>
      <c r="BZD59" s="127"/>
      <c r="BZE59" s="121"/>
      <c r="BZF59" s="5"/>
      <c r="BZG59" s="5"/>
      <c r="BZH59" s="124"/>
      <c r="BZI59" s="121"/>
      <c r="BZJ59" s="125"/>
      <c r="BZK59" s="5"/>
      <c r="BZL59" s="117"/>
      <c r="BZM59" s="4"/>
      <c r="BZN59" s="126"/>
      <c r="BZO59" s="127"/>
      <c r="BZP59" s="121"/>
      <c r="BZQ59" s="5"/>
      <c r="BZR59" s="5"/>
      <c r="BZS59" s="124"/>
      <c r="BZT59" s="121"/>
      <c r="BZU59" s="125"/>
      <c r="BZV59" s="5"/>
      <c r="BZW59" s="117"/>
      <c r="BZX59" s="4"/>
      <c r="BZY59" s="126"/>
      <c r="BZZ59" s="127"/>
      <c r="CAA59" s="121"/>
      <c r="CAB59" s="5"/>
      <c r="CAC59" s="5"/>
      <c r="CAD59" s="124"/>
      <c r="CAE59" s="121"/>
      <c r="CAF59" s="125"/>
      <c r="CAG59" s="5"/>
      <c r="CAH59" s="117"/>
      <c r="CAI59" s="4"/>
      <c r="CAJ59" s="126"/>
      <c r="CAK59" s="127"/>
      <c r="CAL59" s="121"/>
      <c r="CAM59" s="5"/>
      <c r="CAN59" s="5"/>
      <c r="CAO59" s="124"/>
      <c r="CAP59" s="121"/>
      <c r="CAQ59" s="125"/>
      <c r="CAR59" s="5"/>
      <c r="CAS59" s="117"/>
      <c r="CAT59" s="4"/>
      <c r="CAU59" s="126"/>
      <c r="CAV59" s="127"/>
      <c r="CAW59" s="121"/>
      <c r="CAX59" s="5"/>
      <c r="CAY59" s="5"/>
      <c r="CAZ59" s="124"/>
      <c r="CBA59" s="121"/>
      <c r="CBB59" s="125"/>
      <c r="CBC59" s="5"/>
      <c r="CBD59" s="117"/>
      <c r="CBE59" s="4"/>
      <c r="CBF59" s="126"/>
      <c r="CBG59" s="127"/>
      <c r="CBH59" s="121"/>
      <c r="CBI59" s="5"/>
      <c r="CBJ59" s="5"/>
      <c r="CBK59" s="124"/>
      <c r="CBL59" s="121"/>
      <c r="CBM59" s="125"/>
      <c r="CBN59" s="5"/>
      <c r="CBO59" s="117"/>
      <c r="CBP59" s="4"/>
      <c r="CBQ59" s="126"/>
      <c r="CBR59" s="127"/>
      <c r="CBS59" s="121"/>
      <c r="CBT59" s="5"/>
      <c r="CBU59" s="5"/>
      <c r="CBV59" s="124"/>
      <c r="CBW59" s="121"/>
      <c r="CBX59" s="125"/>
      <c r="CBY59" s="5"/>
      <c r="CBZ59" s="117"/>
      <c r="CCA59" s="4"/>
      <c r="CCB59" s="126"/>
      <c r="CCC59" s="127"/>
      <c r="CCD59" s="121"/>
      <c r="CCE59" s="5"/>
      <c r="CCF59" s="5"/>
      <c r="CCG59" s="124"/>
      <c r="CCH59" s="121"/>
      <c r="CCI59" s="125"/>
      <c r="CCJ59" s="5"/>
      <c r="CCK59" s="117"/>
      <c r="CCL59" s="4"/>
      <c r="CCM59" s="126"/>
      <c r="CCN59" s="127"/>
      <c r="CCO59" s="121"/>
      <c r="CCP59" s="5"/>
      <c r="CCQ59" s="5"/>
      <c r="CCR59" s="124"/>
      <c r="CCS59" s="121"/>
      <c r="CCT59" s="125"/>
      <c r="CCU59" s="5"/>
      <c r="CCV59" s="117"/>
      <c r="CCW59" s="4"/>
      <c r="CCX59" s="126"/>
      <c r="CCY59" s="127"/>
      <c r="CCZ59" s="121"/>
      <c r="CDA59" s="5"/>
      <c r="CDB59" s="5"/>
      <c r="CDC59" s="124"/>
      <c r="CDD59" s="121"/>
      <c r="CDE59" s="125"/>
      <c r="CDF59" s="5"/>
      <c r="CDG59" s="117"/>
      <c r="CDH59" s="4"/>
      <c r="CDI59" s="126"/>
      <c r="CDJ59" s="127"/>
      <c r="CDK59" s="121"/>
      <c r="CDL59" s="5"/>
      <c r="CDM59" s="5"/>
      <c r="CDN59" s="124"/>
      <c r="CDO59" s="121"/>
      <c r="CDP59" s="125"/>
      <c r="CDQ59" s="5"/>
      <c r="CDR59" s="117"/>
      <c r="CDS59" s="4"/>
      <c r="CDT59" s="126"/>
      <c r="CDU59" s="127"/>
      <c r="CDV59" s="121"/>
      <c r="CDW59" s="5"/>
      <c r="CDX59" s="5"/>
      <c r="CDY59" s="124"/>
      <c r="CDZ59" s="121"/>
      <c r="CEA59" s="125"/>
      <c r="CEB59" s="5"/>
      <c r="CEC59" s="117"/>
      <c r="CED59" s="4"/>
      <c r="CEE59" s="126"/>
      <c r="CEF59" s="127"/>
      <c r="CEG59" s="121"/>
      <c r="CEH59" s="5"/>
      <c r="CEI59" s="5"/>
      <c r="CEJ59" s="124"/>
      <c r="CEK59" s="121"/>
      <c r="CEL59" s="125"/>
      <c r="CEM59" s="5"/>
      <c r="CEN59" s="117"/>
      <c r="CEO59" s="4"/>
      <c r="CEP59" s="126"/>
      <c r="CEQ59" s="127"/>
      <c r="CER59" s="121"/>
      <c r="CES59" s="5"/>
      <c r="CET59" s="5"/>
      <c r="CEU59" s="124"/>
      <c r="CEV59" s="121"/>
      <c r="CEW59" s="125"/>
      <c r="CEX59" s="5"/>
      <c r="CEY59" s="117"/>
      <c r="CEZ59" s="4"/>
      <c r="CFA59" s="126"/>
      <c r="CFB59" s="127"/>
      <c r="CFC59" s="121"/>
      <c r="CFD59" s="5"/>
      <c r="CFE59" s="5"/>
      <c r="CFF59" s="124"/>
      <c r="CFG59" s="121"/>
      <c r="CFH59" s="125"/>
      <c r="CFI59" s="5"/>
      <c r="CFJ59" s="117"/>
      <c r="CFK59" s="4"/>
      <c r="CFL59" s="126"/>
      <c r="CFM59" s="127"/>
      <c r="CFN59" s="121"/>
      <c r="CFO59" s="5"/>
      <c r="CFP59" s="5"/>
      <c r="CFQ59" s="124"/>
      <c r="CFR59" s="121"/>
      <c r="CFS59" s="125"/>
      <c r="CFT59" s="5"/>
      <c r="CFU59" s="117"/>
      <c r="CFV59" s="4"/>
      <c r="CFW59" s="126"/>
      <c r="CFX59" s="127"/>
      <c r="CFY59" s="121"/>
      <c r="CFZ59" s="5"/>
      <c r="CGA59" s="5"/>
      <c r="CGB59" s="124"/>
      <c r="CGC59" s="121"/>
      <c r="CGD59" s="125"/>
      <c r="CGE59" s="5"/>
      <c r="CGF59" s="117"/>
      <c r="CGG59" s="4"/>
      <c r="CGH59" s="126"/>
      <c r="CGI59" s="127"/>
      <c r="CGJ59" s="121"/>
      <c r="CGK59" s="5"/>
      <c r="CGL59" s="5"/>
      <c r="CGM59" s="124"/>
      <c r="CGN59" s="121"/>
      <c r="CGO59" s="125"/>
      <c r="CGP59" s="5"/>
      <c r="CGQ59" s="117"/>
      <c r="CGR59" s="4"/>
      <c r="CGS59" s="126"/>
      <c r="CGT59" s="127"/>
      <c r="CGU59" s="121"/>
      <c r="CGV59" s="5"/>
      <c r="CGW59" s="5"/>
      <c r="CGX59" s="124"/>
      <c r="CGY59" s="121"/>
      <c r="CGZ59" s="125"/>
      <c r="CHA59" s="5"/>
      <c r="CHB59" s="117"/>
      <c r="CHC59" s="4"/>
      <c r="CHD59" s="126"/>
      <c r="CHE59" s="127"/>
      <c r="CHF59" s="121"/>
      <c r="CHG59" s="5"/>
      <c r="CHH59" s="5"/>
      <c r="CHI59" s="124"/>
      <c r="CHJ59" s="121"/>
      <c r="CHK59" s="125"/>
      <c r="CHL59" s="5"/>
      <c r="CHM59" s="117"/>
      <c r="CHN59" s="4"/>
      <c r="CHO59" s="126"/>
      <c r="CHP59" s="127"/>
      <c r="CHQ59" s="121"/>
      <c r="CHR59" s="5"/>
      <c r="CHS59" s="5"/>
      <c r="CHT59" s="124"/>
      <c r="CHU59" s="121"/>
      <c r="CHV59" s="125"/>
      <c r="CHW59" s="5"/>
      <c r="CHX59" s="117"/>
      <c r="CHY59" s="4"/>
      <c r="CHZ59" s="126"/>
      <c r="CIA59" s="127"/>
      <c r="CIB59" s="121"/>
      <c r="CIC59" s="5"/>
      <c r="CID59" s="5"/>
      <c r="CIE59" s="124"/>
      <c r="CIF59" s="121"/>
      <c r="CIG59" s="125"/>
      <c r="CIH59" s="5"/>
      <c r="CII59" s="117"/>
      <c r="CIJ59" s="4"/>
      <c r="CIK59" s="126"/>
      <c r="CIL59" s="127"/>
      <c r="CIM59" s="121"/>
      <c r="CIN59" s="5"/>
      <c r="CIO59" s="5"/>
      <c r="CIP59" s="124"/>
      <c r="CIQ59" s="121"/>
      <c r="CIR59" s="125"/>
      <c r="CIS59" s="5"/>
      <c r="CIT59" s="117"/>
      <c r="CIU59" s="4"/>
      <c r="CIV59" s="126"/>
      <c r="CIW59" s="127"/>
      <c r="CIX59" s="121"/>
      <c r="CIY59" s="5"/>
      <c r="CIZ59" s="5"/>
      <c r="CJA59" s="124"/>
      <c r="CJB59" s="121"/>
      <c r="CJC59" s="125"/>
      <c r="CJD59" s="5"/>
      <c r="CJE59" s="117"/>
      <c r="CJF59" s="4"/>
      <c r="CJG59" s="126"/>
      <c r="CJH59" s="127"/>
      <c r="CJI59" s="121"/>
      <c r="CJJ59" s="5"/>
      <c r="CJK59" s="5"/>
      <c r="CJL59" s="124"/>
      <c r="CJM59" s="121"/>
      <c r="CJN59" s="125"/>
      <c r="CJO59" s="5"/>
      <c r="CJP59" s="117"/>
      <c r="CJQ59" s="4"/>
      <c r="CJR59" s="126"/>
      <c r="CJS59" s="127"/>
      <c r="CJT59" s="121"/>
      <c r="CJU59" s="5"/>
      <c r="CJV59" s="5"/>
      <c r="CJW59" s="124"/>
      <c r="CJX59" s="121"/>
      <c r="CJY59" s="125"/>
      <c r="CJZ59" s="5"/>
      <c r="CKA59" s="117"/>
      <c r="CKB59" s="4"/>
      <c r="CKC59" s="126"/>
      <c r="CKD59" s="127"/>
      <c r="CKE59" s="121"/>
      <c r="CKF59" s="5"/>
      <c r="CKG59" s="5"/>
      <c r="CKH59" s="124"/>
      <c r="CKI59" s="121"/>
      <c r="CKJ59" s="125"/>
      <c r="CKK59" s="5"/>
      <c r="CKL59" s="117"/>
      <c r="CKM59" s="4"/>
      <c r="CKN59" s="126"/>
      <c r="CKO59" s="127"/>
      <c r="CKP59" s="121"/>
      <c r="CKQ59" s="5"/>
      <c r="CKR59" s="5"/>
      <c r="CKS59" s="124"/>
      <c r="CKT59" s="121"/>
      <c r="CKU59" s="125"/>
      <c r="CKV59" s="5"/>
      <c r="CKW59" s="117"/>
      <c r="CKX59" s="4"/>
      <c r="CKY59" s="126"/>
      <c r="CKZ59" s="127"/>
      <c r="CLA59" s="121"/>
      <c r="CLB59" s="5"/>
      <c r="CLC59" s="5"/>
      <c r="CLD59" s="124"/>
      <c r="CLE59" s="121"/>
      <c r="CLF59" s="125"/>
      <c r="CLG59" s="5"/>
      <c r="CLH59" s="117"/>
      <c r="CLI59" s="4"/>
      <c r="CLJ59" s="126"/>
      <c r="CLK59" s="127"/>
      <c r="CLL59" s="121"/>
      <c r="CLM59" s="5"/>
      <c r="CLN59" s="5"/>
      <c r="CLO59" s="124"/>
      <c r="CLP59" s="121"/>
      <c r="CLQ59" s="125"/>
      <c r="CLR59" s="5"/>
      <c r="CLS59" s="117"/>
      <c r="CLT59" s="4"/>
      <c r="CLU59" s="126"/>
      <c r="CLV59" s="127"/>
      <c r="CLW59" s="121"/>
      <c r="CLX59" s="5"/>
      <c r="CLY59" s="5"/>
      <c r="CLZ59" s="124"/>
      <c r="CMA59" s="121"/>
      <c r="CMB59" s="125"/>
      <c r="CMC59" s="5"/>
      <c r="CMD59" s="117"/>
      <c r="CME59" s="4"/>
      <c r="CMF59" s="126"/>
      <c r="CMG59" s="127"/>
      <c r="CMH59" s="121"/>
      <c r="CMI59" s="5"/>
      <c r="CMJ59" s="5"/>
      <c r="CMK59" s="124"/>
      <c r="CML59" s="121"/>
      <c r="CMM59" s="125"/>
      <c r="CMN59" s="5"/>
      <c r="CMO59" s="117"/>
      <c r="CMP59" s="4"/>
      <c r="CMQ59" s="126"/>
      <c r="CMR59" s="127"/>
      <c r="CMS59" s="121"/>
      <c r="CMT59" s="5"/>
      <c r="CMU59" s="5"/>
      <c r="CMV59" s="124"/>
      <c r="CMW59" s="121"/>
      <c r="CMX59" s="125"/>
      <c r="CMY59" s="5"/>
      <c r="CMZ59" s="117"/>
      <c r="CNA59" s="4"/>
      <c r="CNB59" s="126"/>
      <c r="CNC59" s="127"/>
      <c r="CND59" s="121"/>
      <c r="CNE59" s="5"/>
      <c r="CNF59" s="5"/>
      <c r="CNG59" s="124"/>
      <c r="CNH59" s="121"/>
      <c r="CNI59" s="125"/>
      <c r="CNJ59" s="5"/>
      <c r="CNK59" s="117"/>
      <c r="CNL59" s="4"/>
      <c r="CNM59" s="126"/>
      <c r="CNN59" s="127"/>
      <c r="CNO59" s="121"/>
      <c r="CNP59" s="5"/>
      <c r="CNQ59" s="5"/>
      <c r="CNR59" s="124"/>
      <c r="CNS59" s="121"/>
      <c r="CNT59" s="125"/>
      <c r="CNU59" s="5"/>
      <c r="CNV59" s="117"/>
      <c r="CNW59" s="4"/>
      <c r="CNX59" s="126"/>
      <c r="CNY59" s="127"/>
      <c r="CNZ59" s="121"/>
      <c r="COA59" s="5"/>
      <c r="COB59" s="5"/>
      <c r="COC59" s="124"/>
      <c r="COD59" s="121"/>
      <c r="COE59" s="125"/>
      <c r="COF59" s="5"/>
      <c r="COG59" s="117"/>
      <c r="COH59" s="4"/>
      <c r="COI59" s="126"/>
      <c r="COJ59" s="127"/>
      <c r="COK59" s="121"/>
      <c r="COL59" s="5"/>
      <c r="COM59" s="5"/>
      <c r="CON59" s="124"/>
      <c r="COO59" s="121"/>
      <c r="COP59" s="125"/>
      <c r="COQ59" s="5"/>
      <c r="COR59" s="117"/>
      <c r="COS59" s="4"/>
      <c r="COT59" s="126"/>
      <c r="COU59" s="127"/>
      <c r="COV59" s="121"/>
      <c r="COW59" s="5"/>
      <c r="COX59" s="5"/>
      <c r="COY59" s="124"/>
      <c r="COZ59" s="121"/>
      <c r="CPA59" s="125"/>
      <c r="CPB59" s="5"/>
      <c r="CPC59" s="117"/>
      <c r="CPD59" s="4"/>
      <c r="CPE59" s="126"/>
      <c r="CPF59" s="127"/>
      <c r="CPG59" s="121"/>
      <c r="CPH59" s="5"/>
      <c r="CPI59" s="5"/>
      <c r="CPJ59" s="124"/>
      <c r="CPK59" s="121"/>
      <c r="CPL59" s="125"/>
      <c r="CPM59" s="5"/>
      <c r="CPN59" s="117"/>
      <c r="CPO59" s="4"/>
      <c r="CPP59" s="126"/>
      <c r="CPQ59" s="127"/>
      <c r="CPR59" s="121"/>
      <c r="CPS59" s="5"/>
      <c r="CPT59" s="5"/>
      <c r="CPU59" s="124"/>
      <c r="CPV59" s="121"/>
      <c r="CPW59" s="125"/>
      <c r="CPX59" s="5"/>
      <c r="CPY59" s="117"/>
      <c r="CPZ59" s="4"/>
      <c r="CQA59" s="126"/>
      <c r="CQB59" s="127"/>
      <c r="CQC59" s="121"/>
      <c r="CQD59" s="5"/>
      <c r="CQE59" s="5"/>
      <c r="CQF59" s="124"/>
      <c r="CQG59" s="121"/>
      <c r="CQH59" s="125"/>
      <c r="CQI59" s="5"/>
      <c r="CQJ59" s="117"/>
      <c r="CQK59" s="4"/>
      <c r="CQL59" s="126"/>
      <c r="CQM59" s="127"/>
      <c r="CQN59" s="121"/>
      <c r="CQO59" s="5"/>
      <c r="CQP59" s="5"/>
      <c r="CQQ59" s="124"/>
      <c r="CQR59" s="121"/>
      <c r="CQS59" s="125"/>
      <c r="CQT59" s="5"/>
      <c r="CQU59" s="117"/>
      <c r="CQV59" s="4"/>
      <c r="CQW59" s="126"/>
      <c r="CQX59" s="127"/>
      <c r="CQY59" s="121"/>
      <c r="CQZ59" s="5"/>
      <c r="CRA59" s="5"/>
      <c r="CRB59" s="124"/>
      <c r="CRC59" s="121"/>
      <c r="CRD59" s="125"/>
      <c r="CRE59" s="5"/>
      <c r="CRF59" s="117"/>
      <c r="CRG59" s="4"/>
      <c r="CRH59" s="126"/>
      <c r="CRI59" s="127"/>
      <c r="CRJ59" s="121"/>
      <c r="CRK59" s="5"/>
      <c r="CRL59" s="5"/>
      <c r="CRM59" s="124"/>
      <c r="CRN59" s="121"/>
      <c r="CRO59" s="125"/>
      <c r="CRP59" s="5"/>
      <c r="CRQ59" s="117"/>
      <c r="CRR59" s="4"/>
      <c r="CRS59" s="126"/>
      <c r="CRT59" s="127"/>
      <c r="CRU59" s="121"/>
      <c r="CRV59" s="5"/>
      <c r="CRW59" s="5"/>
      <c r="CRX59" s="124"/>
      <c r="CRY59" s="121"/>
      <c r="CRZ59" s="125"/>
      <c r="CSA59" s="5"/>
      <c r="CSB59" s="117"/>
      <c r="CSC59" s="4"/>
      <c r="CSD59" s="126"/>
      <c r="CSE59" s="127"/>
      <c r="CSF59" s="121"/>
      <c r="CSG59" s="5"/>
      <c r="CSH59" s="5"/>
      <c r="CSI59" s="124"/>
      <c r="CSJ59" s="121"/>
      <c r="CSK59" s="125"/>
      <c r="CSL59" s="5"/>
      <c r="CSM59" s="117"/>
      <c r="CSN59" s="4"/>
      <c r="CSO59" s="126"/>
      <c r="CSP59" s="127"/>
      <c r="CSQ59" s="121"/>
      <c r="CSR59" s="5"/>
      <c r="CSS59" s="5"/>
      <c r="CST59" s="124"/>
      <c r="CSU59" s="121"/>
      <c r="CSV59" s="125"/>
      <c r="CSW59" s="5"/>
      <c r="CSX59" s="117"/>
      <c r="CSY59" s="4"/>
      <c r="CSZ59" s="126"/>
      <c r="CTA59" s="127"/>
      <c r="CTB59" s="121"/>
      <c r="CTC59" s="5"/>
      <c r="CTD59" s="5"/>
      <c r="CTE59" s="124"/>
      <c r="CTF59" s="121"/>
      <c r="CTG59" s="125"/>
      <c r="CTH59" s="5"/>
      <c r="CTI59" s="117"/>
      <c r="CTJ59" s="4"/>
      <c r="CTK59" s="126"/>
      <c r="CTL59" s="127"/>
      <c r="CTM59" s="121"/>
      <c r="CTN59" s="5"/>
      <c r="CTO59" s="5"/>
      <c r="CTP59" s="124"/>
      <c r="CTQ59" s="121"/>
      <c r="CTR59" s="125"/>
      <c r="CTS59" s="5"/>
      <c r="CTT59" s="117"/>
      <c r="CTU59" s="4"/>
      <c r="CTV59" s="126"/>
      <c r="CTW59" s="127"/>
      <c r="CTX59" s="121"/>
      <c r="CTY59" s="5"/>
      <c r="CTZ59" s="5"/>
      <c r="CUA59" s="124"/>
      <c r="CUB59" s="121"/>
      <c r="CUC59" s="125"/>
      <c r="CUD59" s="5"/>
      <c r="CUE59" s="117"/>
      <c r="CUF59" s="4"/>
      <c r="CUG59" s="126"/>
      <c r="CUH59" s="127"/>
      <c r="CUI59" s="121"/>
      <c r="CUJ59" s="5"/>
      <c r="CUK59" s="5"/>
      <c r="CUL59" s="124"/>
      <c r="CUM59" s="121"/>
      <c r="CUN59" s="125"/>
      <c r="CUO59" s="5"/>
      <c r="CUP59" s="117"/>
      <c r="CUQ59" s="4"/>
      <c r="CUR59" s="126"/>
      <c r="CUS59" s="127"/>
      <c r="CUT59" s="121"/>
      <c r="CUU59" s="5"/>
      <c r="CUV59" s="5"/>
      <c r="CUW59" s="124"/>
      <c r="CUX59" s="121"/>
      <c r="CUY59" s="125"/>
      <c r="CUZ59" s="5"/>
      <c r="CVA59" s="117"/>
      <c r="CVB59" s="4"/>
      <c r="CVC59" s="126"/>
      <c r="CVD59" s="127"/>
      <c r="CVE59" s="121"/>
      <c r="CVF59" s="5"/>
      <c r="CVG59" s="5"/>
      <c r="CVH59" s="124"/>
      <c r="CVI59" s="121"/>
      <c r="CVJ59" s="125"/>
      <c r="CVK59" s="5"/>
      <c r="CVL59" s="117"/>
      <c r="CVM59" s="4"/>
      <c r="CVN59" s="126"/>
      <c r="CVO59" s="127"/>
      <c r="CVP59" s="121"/>
      <c r="CVQ59" s="5"/>
      <c r="CVR59" s="5"/>
      <c r="CVS59" s="124"/>
      <c r="CVT59" s="121"/>
      <c r="CVU59" s="125"/>
      <c r="CVV59" s="5"/>
      <c r="CVW59" s="117"/>
      <c r="CVX59" s="4"/>
      <c r="CVY59" s="126"/>
      <c r="CVZ59" s="127"/>
      <c r="CWA59" s="121"/>
      <c r="CWB59" s="5"/>
      <c r="CWC59" s="5"/>
      <c r="CWD59" s="124"/>
      <c r="CWE59" s="121"/>
      <c r="CWF59" s="125"/>
      <c r="CWG59" s="5"/>
      <c r="CWH59" s="117"/>
      <c r="CWI59" s="4"/>
      <c r="CWJ59" s="126"/>
      <c r="CWK59" s="127"/>
      <c r="CWL59" s="121"/>
      <c r="CWM59" s="5"/>
      <c r="CWN59" s="5"/>
      <c r="CWO59" s="124"/>
      <c r="CWP59" s="121"/>
      <c r="CWQ59" s="125"/>
      <c r="CWR59" s="5"/>
      <c r="CWS59" s="117"/>
      <c r="CWT59" s="4"/>
      <c r="CWU59" s="126"/>
      <c r="CWV59" s="127"/>
      <c r="CWW59" s="121"/>
      <c r="CWX59" s="5"/>
      <c r="CWY59" s="5"/>
      <c r="CWZ59" s="124"/>
      <c r="CXA59" s="121"/>
      <c r="CXB59" s="125"/>
      <c r="CXC59" s="5"/>
      <c r="CXD59" s="117"/>
      <c r="CXE59" s="4"/>
      <c r="CXF59" s="126"/>
      <c r="CXG59" s="127"/>
      <c r="CXH59" s="121"/>
      <c r="CXI59" s="5"/>
      <c r="CXJ59" s="5"/>
      <c r="CXK59" s="124"/>
      <c r="CXL59" s="121"/>
      <c r="CXM59" s="125"/>
      <c r="CXN59" s="5"/>
      <c r="CXO59" s="117"/>
      <c r="CXP59" s="4"/>
      <c r="CXQ59" s="126"/>
      <c r="CXR59" s="127"/>
      <c r="CXS59" s="121"/>
      <c r="CXT59" s="5"/>
      <c r="CXU59" s="5"/>
      <c r="CXV59" s="124"/>
      <c r="CXW59" s="121"/>
      <c r="CXX59" s="125"/>
      <c r="CXY59" s="5"/>
      <c r="CXZ59" s="117"/>
      <c r="CYA59" s="4"/>
      <c r="CYB59" s="126"/>
      <c r="CYC59" s="127"/>
      <c r="CYD59" s="121"/>
      <c r="CYE59" s="5"/>
      <c r="CYF59" s="5"/>
      <c r="CYG59" s="124"/>
      <c r="CYH59" s="121"/>
      <c r="CYI59" s="125"/>
      <c r="CYJ59" s="5"/>
      <c r="CYK59" s="117"/>
      <c r="CYL59" s="4"/>
      <c r="CYM59" s="126"/>
      <c r="CYN59" s="127"/>
      <c r="CYO59" s="121"/>
      <c r="CYP59" s="5"/>
      <c r="CYQ59" s="5"/>
      <c r="CYR59" s="124"/>
      <c r="CYS59" s="121"/>
      <c r="CYT59" s="125"/>
      <c r="CYU59" s="5"/>
      <c r="CYV59" s="117"/>
      <c r="CYW59" s="4"/>
      <c r="CYX59" s="126"/>
      <c r="CYY59" s="127"/>
      <c r="CYZ59" s="121"/>
      <c r="CZA59" s="5"/>
      <c r="CZB59" s="5"/>
      <c r="CZC59" s="124"/>
      <c r="CZD59" s="121"/>
      <c r="CZE59" s="125"/>
      <c r="CZF59" s="5"/>
      <c r="CZG59" s="117"/>
      <c r="CZH59" s="4"/>
      <c r="CZI59" s="126"/>
      <c r="CZJ59" s="127"/>
      <c r="CZK59" s="121"/>
      <c r="CZL59" s="5"/>
      <c r="CZM59" s="5"/>
      <c r="CZN59" s="124"/>
      <c r="CZO59" s="121"/>
      <c r="CZP59" s="125"/>
      <c r="CZQ59" s="5"/>
      <c r="CZR59" s="117"/>
      <c r="CZS59" s="4"/>
      <c r="CZT59" s="126"/>
      <c r="CZU59" s="127"/>
      <c r="CZV59" s="121"/>
      <c r="CZW59" s="5"/>
      <c r="CZX59" s="5"/>
      <c r="CZY59" s="124"/>
      <c r="CZZ59" s="121"/>
      <c r="DAA59" s="125"/>
      <c r="DAB59" s="5"/>
      <c r="DAC59" s="117"/>
      <c r="DAD59" s="4"/>
      <c r="DAE59" s="126"/>
      <c r="DAF59" s="127"/>
      <c r="DAG59" s="121"/>
      <c r="DAH59" s="5"/>
      <c r="DAI59" s="5"/>
      <c r="DAJ59" s="124"/>
      <c r="DAK59" s="121"/>
      <c r="DAL59" s="125"/>
      <c r="DAM59" s="5"/>
      <c r="DAN59" s="117"/>
      <c r="DAO59" s="4"/>
      <c r="DAP59" s="126"/>
      <c r="DAQ59" s="127"/>
      <c r="DAR59" s="121"/>
      <c r="DAS59" s="5"/>
      <c r="DAT59" s="5"/>
      <c r="DAU59" s="124"/>
      <c r="DAV59" s="121"/>
      <c r="DAW59" s="125"/>
      <c r="DAX59" s="5"/>
      <c r="DAY59" s="117"/>
      <c r="DAZ59" s="4"/>
      <c r="DBA59" s="126"/>
      <c r="DBB59" s="127"/>
      <c r="DBC59" s="121"/>
      <c r="DBD59" s="5"/>
      <c r="DBE59" s="5"/>
      <c r="DBF59" s="124"/>
      <c r="DBG59" s="121"/>
      <c r="DBH59" s="125"/>
      <c r="DBI59" s="5"/>
      <c r="DBJ59" s="117"/>
      <c r="DBK59" s="4"/>
      <c r="DBL59" s="126"/>
      <c r="DBM59" s="127"/>
      <c r="DBN59" s="121"/>
      <c r="DBO59" s="5"/>
      <c r="DBP59" s="5"/>
      <c r="DBQ59" s="124"/>
      <c r="DBR59" s="121"/>
      <c r="DBS59" s="125"/>
      <c r="DBT59" s="5"/>
      <c r="DBU59" s="117"/>
      <c r="DBV59" s="4"/>
      <c r="DBW59" s="126"/>
      <c r="DBX59" s="127"/>
      <c r="DBY59" s="121"/>
      <c r="DBZ59" s="5"/>
      <c r="DCA59" s="5"/>
      <c r="DCB59" s="124"/>
      <c r="DCC59" s="121"/>
      <c r="DCD59" s="125"/>
      <c r="DCE59" s="5"/>
      <c r="DCF59" s="117"/>
      <c r="DCG59" s="4"/>
      <c r="DCH59" s="126"/>
      <c r="DCI59" s="127"/>
      <c r="DCJ59" s="121"/>
      <c r="DCK59" s="5"/>
      <c r="DCL59" s="5"/>
      <c r="DCM59" s="124"/>
      <c r="DCN59" s="121"/>
      <c r="DCO59" s="125"/>
      <c r="DCP59" s="5"/>
      <c r="DCQ59" s="117"/>
      <c r="DCR59" s="4"/>
      <c r="DCS59" s="126"/>
      <c r="DCT59" s="127"/>
      <c r="DCU59" s="121"/>
      <c r="DCV59" s="5"/>
      <c r="DCW59" s="5"/>
      <c r="DCX59" s="124"/>
      <c r="DCY59" s="121"/>
      <c r="DCZ59" s="125"/>
      <c r="DDA59" s="5"/>
      <c r="DDB59" s="117"/>
      <c r="DDC59" s="4"/>
      <c r="DDD59" s="126"/>
      <c r="DDE59" s="127"/>
      <c r="DDF59" s="121"/>
      <c r="DDG59" s="5"/>
      <c r="DDH59" s="5"/>
      <c r="DDI59" s="124"/>
      <c r="DDJ59" s="121"/>
      <c r="DDK59" s="125"/>
      <c r="DDL59" s="5"/>
      <c r="DDM59" s="117"/>
      <c r="DDN59" s="4"/>
      <c r="DDO59" s="126"/>
      <c r="DDP59" s="127"/>
      <c r="DDQ59" s="121"/>
      <c r="DDR59" s="5"/>
      <c r="DDS59" s="5"/>
      <c r="DDT59" s="124"/>
      <c r="DDU59" s="121"/>
      <c r="DDV59" s="125"/>
      <c r="DDW59" s="5"/>
      <c r="DDX59" s="117"/>
      <c r="DDY59" s="4"/>
      <c r="DDZ59" s="126"/>
      <c r="DEA59" s="127"/>
      <c r="DEB59" s="121"/>
      <c r="DEC59" s="5"/>
      <c r="DED59" s="5"/>
      <c r="DEE59" s="124"/>
      <c r="DEF59" s="121"/>
      <c r="DEG59" s="125"/>
      <c r="DEH59" s="5"/>
      <c r="DEI59" s="117"/>
      <c r="DEJ59" s="4"/>
      <c r="DEK59" s="126"/>
      <c r="DEL59" s="127"/>
      <c r="DEM59" s="121"/>
      <c r="DEN59" s="5"/>
      <c r="DEO59" s="5"/>
      <c r="DEP59" s="124"/>
      <c r="DEQ59" s="121"/>
      <c r="DER59" s="125"/>
      <c r="DES59" s="5"/>
      <c r="DET59" s="117"/>
      <c r="DEU59" s="4"/>
      <c r="DEV59" s="126"/>
      <c r="DEW59" s="127"/>
      <c r="DEX59" s="121"/>
      <c r="DEY59" s="5"/>
      <c r="DEZ59" s="5"/>
      <c r="DFA59" s="124"/>
      <c r="DFB59" s="121"/>
      <c r="DFC59" s="125"/>
      <c r="DFD59" s="5"/>
      <c r="DFE59" s="117"/>
      <c r="DFF59" s="4"/>
      <c r="DFG59" s="126"/>
      <c r="DFH59" s="127"/>
      <c r="DFI59" s="121"/>
      <c r="DFJ59" s="5"/>
      <c r="DFK59" s="5"/>
      <c r="DFL59" s="124"/>
      <c r="DFM59" s="121"/>
      <c r="DFN59" s="125"/>
      <c r="DFO59" s="5"/>
      <c r="DFP59" s="117"/>
      <c r="DFQ59" s="4"/>
      <c r="DFR59" s="126"/>
      <c r="DFS59" s="127"/>
      <c r="DFT59" s="121"/>
      <c r="DFU59" s="5"/>
      <c r="DFV59" s="5"/>
      <c r="DFW59" s="124"/>
      <c r="DFX59" s="121"/>
      <c r="DFY59" s="125"/>
      <c r="DFZ59" s="5"/>
      <c r="DGA59" s="117"/>
      <c r="DGB59" s="4"/>
      <c r="DGC59" s="126"/>
      <c r="DGD59" s="127"/>
      <c r="DGE59" s="121"/>
      <c r="DGF59" s="5"/>
      <c r="DGG59" s="5"/>
      <c r="DGH59" s="124"/>
      <c r="DGI59" s="121"/>
      <c r="DGJ59" s="125"/>
      <c r="DGK59" s="5"/>
      <c r="DGL59" s="117"/>
      <c r="DGM59" s="4"/>
      <c r="DGN59" s="126"/>
      <c r="DGO59" s="127"/>
      <c r="DGP59" s="121"/>
      <c r="DGQ59" s="5"/>
      <c r="DGR59" s="5"/>
      <c r="DGS59" s="124"/>
      <c r="DGT59" s="121"/>
      <c r="DGU59" s="125"/>
      <c r="DGV59" s="5"/>
      <c r="DGW59" s="117"/>
      <c r="DGX59" s="4"/>
      <c r="DGY59" s="126"/>
      <c r="DGZ59" s="127"/>
      <c r="DHA59" s="121"/>
      <c r="DHB59" s="5"/>
      <c r="DHC59" s="5"/>
      <c r="DHD59" s="124"/>
      <c r="DHE59" s="121"/>
      <c r="DHF59" s="125"/>
      <c r="DHG59" s="5"/>
      <c r="DHH59" s="117"/>
      <c r="DHI59" s="4"/>
      <c r="DHJ59" s="126"/>
      <c r="DHK59" s="127"/>
      <c r="DHL59" s="121"/>
      <c r="DHM59" s="5"/>
      <c r="DHN59" s="5"/>
      <c r="DHO59" s="124"/>
      <c r="DHP59" s="121"/>
      <c r="DHQ59" s="125"/>
      <c r="DHR59" s="5"/>
      <c r="DHS59" s="117"/>
      <c r="DHT59" s="4"/>
      <c r="DHU59" s="126"/>
      <c r="DHV59" s="127"/>
      <c r="DHW59" s="121"/>
      <c r="DHX59" s="5"/>
      <c r="DHY59" s="5"/>
      <c r="DHZ59" s="124"/>
      <c r="DIA59" s="121"/>
      <c r="DIB59" s="125"/>
      <c r="DIC59" s="5"/>
      <c r="DID59" s="117"/>
      <c r="DIE59" s="4"/>
      <c r="DIF59" s="126"/>
      <c r="DIG59" s="127"/>
      <c r="DIH59" s="121"/>
      <c r="DII59" s="5"/>
      <c r="DIJ59" s="5"/>
      <c r="DIK59" s="124"/>
      <c r="DIL59" s="121"/>
      <c r="DIM59" s="125"/>
      <c r="DIN59" s="5"/>
      <c r="DIO59" s="117"/>
      <c r="DIP59" s="4"/>
      <c r="DIQ59" s="126"/>
      <c r="DIR59" s="127"/>
      <c r="DIS59" s="121"/>
      <c r="DIT59" s="5"/>
      <c r="DIU59" s="5"/>
      <c r="DIV59" s="124"/>
      <c r="DIW59" s="121"/>
      <c r="DIX59" s="125"/>
      <c r="DIY59" s="5"/>
      <c r="DIZ59" s="117"/>
      <c r="DJA59" s="4"/>
      <c r="DJB59" s="126"/>
      <c r="DJC59" s="127"/>
      <c r="DJD59" s="121"/>
      <c r="DJE59" s="5"/>
      <c r="DJF59" s="5"/>
      <c r="DJG59" s="124"/>
      <c r="DJH59" s="121"/>
      <c r="DJI59" s="125"/>
      <c r="DJJ59" s="5"/>
      <c r="DJK59" s="117"/>
      <c r="DJL59" s="4"/>
      <c r="DJM59" s="126"/>
      <c r="DJN59" s="127"/>
      <c r="DJO59" s="121"/>
      <c r="DJP59" s="5"/>
      <c r="DJQ59" s="5"/>
      <c r="DJR59" s="124"/>
      <c r="DJS59" s="121"/>
      <c r="DJT59" s="125"/>
      <c r="DJU59" s="5"/>
      <c r="DJV59" s="117"/>
      <c r="DJW59" s="4"/>
      <c r="DJX59" s="126"/>
      <c r="DJY59" s="127"/>
      <c r="DJZ59" s="121"/>
      <c r="DKA59" s="5"/>
      <c r="DKB59" s="5"/>
      <c r="DKC59" s="124"/>
      <c r="DKD59" s="121"/>
      <c r="DKE59" s="125"/>
      <c r="DKF59" s="5"/>
      <c r="DKG59" s="117"/>
      <c r="DKH59" s="4"/>
      <c r="DKI59" s="126"/>
      <c r="DKJ59" s="127"/>
      <c r="DKK59" s="121"/>
      <c r="DKL59" s="5"/>
      <c r="DKM59" s="5"/>
      <c r="DKN59" s="124"/>
      <c r="DKO59" s="121"/>
      <c r="DKP59" s="125"/>
      <c r="DKQ59" s="5"/>
      <c r="DKR59" s="117"/>
      <c r="DKS59" s="4"/>
      <c r="DKT59" s="126"/>
      <c r="DKU59" s="127"/>
      <c r="DKV59" s="121"/>
      <c r="DKW59" s="5"/>
      <c r="DKX59" s="5"/>
      <c r="DKY59" s="124"/>
      <c r="DKZ59" s="121"/>
      <c r="DLA59" s="125"/>
      <c r="DLB59" s="5"/>
      <c r="DLC59" s="117"/>
      <c r="DLD59" s="4"/>
      <c r="DLE59" s="126"/>
      <c r="DLF59" s="127"/>
      <c r="DLG59" s="121"/>
      <c r="DLH59" s="5"/>
      <c r="DLI59" s="5"/>
      <c r="DLJ59" s="124"/>
      <c r="DLK59" s="121"/>
      <c r="DLL59" s="125"/>
      <c r="DLM59" s="5"/>
      <c r="DLN59" s="117"/>
      <c r="DLO59" s="4"/>
      <c r="DLP59" s="126"/>
      <c r="DLQ59" s="127"/>
      <c r="DLR59" s="121"/>
      <c r="DLS59" s="5"/>
      <c r="DLT59" s="5"/>
      <c r="DLU59" s="124"/>
      <c r="DLV59" s="121"/>
      <c r="DLW59" s="125"/>
      <c r="DLX59" s="5"/>
      <c r="DLY59" s="117"/>
      <c r="DLZ59" s="4"/>
      <c r="DMA59" s="126"/>
      <c r="DMB59" s="127"/>
      <c r="DMC59" s="121"/>
      <c r="DMD59" s="5"/>
      <c r="DME59" s="5"/>
      <c r="DMF59" s="124"/>
      <c r="DMG59" s="121"/>
      <c r="DMH59" s="125"/>
      <c r="DMI59" s="5"/>
      <c r="DMJ59" s="117"/>
      <c r="DMK59" s="4"/>
      <c r="DML59" s="126"/>
      <c r="DMM59" s="127"/>
      <c r="DMN59" s="121"/>
      <c r="DMO59" s="5"/>
      <c r="DMP59" s="5"/>
      <c r="DMQ59" s="124"/>
      <c r="DMR59" s="121"/>
      <c r="DMS59" s="125"/>
      <c r="DMT59" s="5"/>
      <c r="DMU59" s="117"/>
      <c r="DMV59" s="4"/>
      <c r="DMW59" s="126"/>
      <c r="DMX59" s="127"/>
      <c r="DMY59" s="121"/>
      <c r="DMZ59" s="5"/>
      <c r="DNA59" s="5"/>
      <c r="DNB59" s="124"/>
      <c r="DNC59" s="121"/>
      <c r="DND59" s="125"/>
      <c r="DNE59" s="5"/>
      <c r="DNF59" s="117"/>
      <c r="DNG59" s="4"/>
      <c r="DNH59" s="126"/>
      <c r="DNI59" s="127"/>
      <c r="DNJ59" s="121"/>
      <c r="DNK59" s="5"/>
      <c r="DNL59" s="5"/>
      <c r="DNM59" s="124"/>
      <c r="DNN59" s="121"/>
      <c r="DNO59" s="125"/>
      <c r="DNP59" s="5"/>
      <c r="DNQ59" s="117"/>
      <c r="DNR59" s="4"/>
      <c r="DNS59" s="126"/>
      <c r="DNT59" s="127"/>
      <c r="DNU59" s="121"/>
      <c r="DNV59" s="5"/>
      <c r="DNW59" s="5"/>
      <c r="DNX59" s="124"/>
      <c r="DNY59" s="121"/>
      <c r="DNZ59" s="125"/>
      <c r="DOA59" s="5"/>
      <c r="DOB59" s="117"/>
      <c r="DOC59" s="4"/>
      <c r="DOD59" s="126"/>
      <c r="DOE59" s="127"/>
      <c r="DOF59" s="121"/>
      <c r="DOG59" s="5"/>
      <c r="DOH59" s="5"/>
      <c r="DOI59" s="124"/>
      <c r="DOJ59" s="121"/>
      <c r="DOK59" s="125"/>
      <c r="DOL59" s="5"/>
      <c r="DOM59" s="117"/>
      <c r="DON59" s="4"/>
      <c r="DOO59" s="126"/>
      <c r="DOP59" s="127"/>
      <c r="DOQ59" s="121"/>
      <c r="DOR59" s="5"/>
      <c r="DOS59" s="5"/>
      <c r="DOT59" s="124"/>
      <c r="DOU59" s="121"/>
      <c r="DOV59" s="125"/>
      <c r="DOW59" s="5"/>
      <c r="DOX59" s="117"/>
      <c r="DOY59" s="4"/>
      <c r="DOZ59" s="126"/>
      <c r="DPA59" s="127"/>
      <c r="DPB59" s="121"/>
      <c r="DPC59" s="5"/>
      <c r="DPD59" s="5"/>
      <c r="DPE59" s="124"/>
      <c r="DPF59" s="121"/>
      <c r="DPG59" s="125"/>
      <c r="DPH59" s="5"/>
      <c r="DPI59" s="117"/>
      <c r="DPJ59" s="4"/>
      <c r="DPK59" s="126"/>
      <c r="DPL59" s="127"/>
      <c r="DPM59" s="121"/>
      <c r="DPN59" s="5"/>
      <c r="DPO59" s="5"/>
      <c r="DPP59" s="124"/>
      <c r="DPQ59" s="121"/>
      <c r="DPR59" s="125"/>
      <c r="DPS59" s="5"/>
      <c r="DPT59" s="117"/>
      <c r="DPU59" s="4"/>
      <c r="DPV59" s="126"/>
      <c r="DPW59" s="127"/>
      <c r="DPX59" s="121"/>
      <c r="DPY59" s="5"/>
      <c r="DPZ59" s="5"/>
      <c r="DQA59" s="124"/>
      <c r="DQB59" s="121"/>
      <c r="DQC59" s="125"/>
      <c r="DQD59" s="5"/>
      <c r="DQE59" s="117"/>
      <c r="DQF59" s="4"/>
      <c r="DQG59" s="126"/>
      <c r="DQH59" s="127"/>
      <c r="DQI59" s="121"/>
      <c r="DQJ59" s="5"/>
      <c r="DQK59" s="5"/>
      <c r="DQL59" s="124"/>
      <c r="DQM59" s="121"/>
      <c r="DQN59" s="125"/>
      <c r="DQO59" s="5"/>
      <c r="DQP59" s="117"/>
      <c r="DQQ59" s="4"/>
      <c r="DQR59" s="126"/>
      <c r="DQS59" s="127"/>
      <c r="DQT59" s="121"/>
      <c r="DQU59" s="5"/>
      <c r="DQV59" s="5"/>
      <c r="DQW59" s="124"/>
      <c r="DQX59" s="121"/>
      <c r="DQY59" s="125"/>
      <c r="DQZ59" s="5"/>
      <c r="DRA59" s="117"/>
      <c r="DRB59" s="4"/>
      <c r="DRC59" s="126"/>
      <c r="DRD59" s="127"/>
      <c r="DRE59" s="121"/>
      <c r="DRF59" s="5"/>
      <c r="DRG59" s="5"/>
      <c r="DRH59" s="124"/>
      <c r="DRI59" s="121"/>
      <c r="DRJ59" s="125"/>
      <c r="DRK59" s="5"/>
      <c r="DRL59" s="117"/>
      <c r="DRM59" s="4"/>
      <c r="DRN59" s="126"/>
      <c r="DRO59" s="127"/>
      <c r="DRP59" s="121"/>
      <c r="DRQ59" s="5"/>
      <c r="DRR59" s="5"/>
      <c r="DRS59" s="124"/>
      <c r="DRT59" s="121"/>
      <c r="DRU59" s="125"/>
      <c r="DRV59" s="5"/>
      <c r="DRW59" s="117"/>
      <c r="DRX59" s="4"/>
      <c r="DRY59" s="126"/>
      <c r="DRZ59" s="127"/>
      <c r="DSA59" s="121"/>
      <c r="DSB59" s="5"/>
      <c r="DSC59" s="5"/>
      <c r="DSD59" s="124"/>
      <c r="DSE59" s="121"/>
      <c r="DSF59" s="125"/>
      <c r="DSG59" s="5"/>
      <c r="DSH59" s="117"/>
      <c r="DSI59" s="4"/>
      <c r="DSJ59" s="126"/>
      <c r="DSK59" s="127"/>
      <c r="DSL59" s="121"/>
      <c r="DSM59" s="5"/>
      <c r="DSN59" s="5"/>
      <c r="DSO59" s="124"/>
      <c r="DSP59" s="121"/>
      <c r="DSQ59" s="125"/>
      <c r="DSR59" s="5"/>
      <c r="DSS59" s="117"/>
      <c r="DST59" s="4"/>
      <c r="DSU59" s="126"/>
      <c r="DSV59" s="127"/>
      <c r="DSW59" s="121"/>
      <c r="DSX59" s="5"/>
      <c r="DSY59" s="5"/>
      <c r="DSZ59" s="124"/>
      <c r="DTA59" s="121"/>
      <c r="DTB59" s="125"/>
      <c r="DTC59" s="5"/>
      <c r="DTD59" s="117"/>
      <c r="DTE59" s="4"/>
      <c r="DTF59" s="126"/>
      <c r="DTG59" s="127"/>
      <c r="DTH59" s="121"/>
      <c r="DTI59" s="5"/>
      <c r="DTJ59" s="5"/>
      <c r="DTK59" s="124"/>
      <c r="DTL59" s="121"/>
      <c r="DTM59" s="125"/>
      <c r="DTN59" s="5"/>
      <c r="DTO59" s="117"/>
      <c r="DTP59" s="4"/>
      <c r="DTQ59" s="126"/>
      <c r="DTR59" s="127"/>
      <c r="DTS59" s="121"/>
      <c r="DTT59" s="5"/>
      <c r="DTU59" s="5"/>
      <c r="DTV59" s="124"/>
      <c r="DTW59" s="121"/>
      <c r="DTX59" s="125"/>
      <c r="DTY59" s="5"/>
      <c r="DTZ59" s="117"/>
      <c r="DUA59" s="4"/>
      <c r="DUB59" s="126"/>
      <c r="DUC59" s="127"/>
      <c r="DUD59" s="121"/>
      <c r="DUE59" s="5"/>
      <c r="DUF59" s="5"/>
      <c r="DUG59" s="124"/>
      <c r="DUH59" s="121"/>
      <c r="DUI59" s="125"/>
      <c r="DUJ59" s="5"/>
      <c r="DUK59" s="117"/>
      <c r="DUL59" s="4"/>
      <c r="DUM59" s="126"/>
      <c r="DUN59" s="127"/>
      <c r="DUO59" s="121"/>
      <c r="DUP59" s="5"/>
      <c r="DUQ59" s="5"/>
      <c r="DUR59" s="124"/>
      <c r="DUS59" s="121"/>
      <c r="DUT59" s="125"/>
      <c r="DUU59" s="5"/>
      <c r="DUV59" s="117"/>
      <c r="DUW59" s="4"/>
      <c r="DUX59" s="126"/>
      <c r="DUY59" s="127"/>
      <c r="DUZ59" s="121"/>
      <c r="DVA59" s="5"/>
      <c r="DVB59" s="5"/>
      <c r="DVC59" s="124"/>
      <c r="DVD59" s="121"/>
      <c r="DVE59" s="125"/>
      <c r="DVF59" s="5"/>
      <c r="DVG59" s="117"/>
      <c r="DVH59" s="4"/>
      <c r="DVI59" s="126"/>
      <c r="DVJ59" s="127"/>
      <c r="DVK59" s="121"/>
      <c r="DVL59" s="5"/>
      <c r="DVM59" s="5"/>
      <c r="DVN59" s="124"/>
      <c r="DVO59" s="121"/>
      <c r="DVP59" s="125"/>
      <c r="DVQ59" s="5"/>
      <c r="DVR59" s="117"/>
      <c r="DVS59" s="4"/>
      <c r="DVT59" s="126"/>
      <c r="DVU59" s="127"/>
      <c r="DVV59" s="121"/>
      <c r="DVW59" s="5"/>
      <c r="DVX59" s="5"/>
      <c r="DVY59" s="124"/>
      <c r="DVZ59" s="121"/>
      <c r="DWA59" s="125"/>
      <c r="DWB59" s="5"/>
      <c r="DWC59" s="117"/>
      <c r="DWD59" s="4"/>
      <c r="DWE59" s="126"/>
      <c r="DWF59" s="127"/>
      <c r="DWG59" s="121"/>
      <c r="DWH59" s="5"/>
      <c r="DWI59" s="5"/>
      <c r="DWJ59" s="124"/>
      <c r="DWK59" s="121"/>
      <c r="DWL59" s="125"/>
      <c r="DWM59" s="5"/>
      <c r="DWN59" s="117"/>
      <c r="DWO59" s="4"/>
      <c r="DWP59" s="126"/>
      <c r="DWQ59" s="127"/>
      <c r="DWR59" s="121"/>
      <c r="DWS59" s="5"/>
      <c r="DWT59" s="5"/>
      <c r="DWU59" s="124"/>
      <c r="DWV59" s="121"/>
      <c r="DWW59" s="125"/>
      <c r="DWX59" s="5"/>
      <c r="DWY59" s="117"/>
      <c r="DWZ59" s="4"/>
      <c r="DXA59" s="126"/>
      <c r="DXB59" s="127"/>
      <c r="DXC59" s="121"/>
      <c r="DXD59" s="5"/>
      <c r="DXE59" s="5"/>
      <c r="DXF59" s="124"/>
      <c r="DXG59" s="121"/>
      <c r="DXH59" s="125"/>
      <c r="DXI59" s="5"/>
      <c r="DXJ59" s="117"/>
      <c r="DXK59" s="4"/>
      <c r="DXL59" s="126"/>
      <c r="DXM59" s="127"/>
      <c r="DXN59" s="121"/>
      <c r="DXO59" s="5"/>
      <c r="DXP59" s="5"/>
      <c r="DXQ59" s="124"/>
      <c r="DXR59" s="121"/>
      <c r="DXS59" s="125"/>
      <c r="DXT59" s="5"/>
      <c r="DXU59" s="117"/>
      <c r="DXV59" s="4"/>
      <c r="DXW59" s="126"/>
      <c r="DXX59" s="127"/>
      <c r="DXY59" s="121"/>
      <c r="DXZ59" s="5"/>
      <c r="DYA59" s="5"/>
      <c r="DYB59" s="124"/>
      <c r="DYC59" s="121"/>
      <c r="DYD59" s="125"/>
      <c r="DYE59" s="5"/>
      <c r="DYF59" s="117"/>
      <c r="DYG59" s="4"/>
      <c r="DYH59" s="126"/>
      <c r="DYI59" s="127"/>
      <c r="DYJ59" s="121"/>
      <c r="DYK59" s="5"/>
      <c r="DYL59" s="5"/>
      <c r="DYM59" s="124"/>
      <c r="DYN59" s="121"/>
      <c r="DYO59" s="125"/>
      <c r="DYP59" s="5"/>
      <c r="DYQ59" s="117"/>
      <c r="DYR59" s="4"/>
      <c r="DYS59" s="126"/>
      <c r="DYT59" s="127"/>
      <c r="DYU59" s="121"/>
      <c r="DYV59" s="5"/>
      <c r="DYW59" s="5"/>
      <c r="DYX59" s="124"/>
      <c r="DYY59" s="121"/>
      <c r="DYZ59" s="125"/>
      <c r="DZA59" s="5"/>
      <c r="DZB59" s="117"/>
      <c r="DZC59" s="4"/>
      <c r="DZD59" s="126"/>
      <c r="DZE59" s="127"/>
      <c r="DZF59" s="121"/>
      <c r="DZG59" s="5"/>
      <c r="DZH59" s="5"/>
      <c r="DZI59" s="124"/>
      <c r="DZJ59" s="121"/>
      <c r="DZK59" s="125"/>
      <c r="DZL59" s="5"/>
      <c r="DZM59" s="117"/>
      <c r="DZN59" s="4"/>
      <c r="DZO59" s="126"/>
      <c r="DZP59" s="127"/>
      <c r="DZQ59" s="121"/>
      <c r="DZR59" s="5"/>
      <c r="DZS59" s="5"/>
      <c r="DZT59" s="124"/>
      <c r="DZU59" s="121"/>
      <c r="DZV59" s="125"/>
      <c r="DZW59" s="5"/>
      <c r="DZX59" s="117"/>
      <c r="DZY59" s="4"/>
      <c r="DZZ59" s="126"/>
      <c r="EAA59" s="127"/>
      <c r="EAB59" s="121"/>
      <c r="EAC59" s="5"/>
      <c r="EAD59" s="5"/>
      <c r="EAE59" s="124"/>
      <c r="EAF59" s="121"/>
      <c r="EAG59" s="125"/>
      <c r="EAH59" s="5"/>
      <c r="EAI59" s="117"/>
      <c r="EAJ59" s="4"/>
      <c r="EAK59" s="126"/>
      <c r="EAL59" s="127"/>
      <c r="EAM59" s="121"/>
      <c r="EAN59" s="5"/>
      <c r="EAO59" s="5"/>
      <c r="EAP59" s="124"/>
      <c r="EAQ59" s="121"/>
      <c r="EAR59" s="125"/>
      <c r="EAS59" s="5"/>
      <c r="EAT59" s="117"/>
      <c r="EAU59" s="4"/>
      <c r="EAV59" s="126"/>
      <c r="EAW59" s="127"/>
      <c r="EAX59" s="121"/>
      <c r="EAY59" s="5"/>
      <c r="EAZ59" s="5"/>
      <c r="EBA59" s="124"/>
      <c r="EBB59" s="121"/>
      <c r="EBC59" s="125"/>
      <c r="EBD59" s="5"/>
      <c r="EBE59" s="117"/>
      <c r="EBF59" s="4"/>
      <c r="EBG59" s="126"/>
      <c r="EBH59" s="127"/>
      <c r="EBI59" s="121"/>
      <c r="EBJ59" s="5"/>
      <c r="EBK59" s="5"/>
      <c r="EBL59" s="124"/>
      <c r="EBM59" s="121"/>
      <c r="EBN59" s="125"/>
      <c r="EBO59" s="5"/>
      <c r="EBP59" s="117"/>
      <c r="EBQ59" s="4"/>
      <c r="EBR59" s="126"/>
      <c r="EBS59" s="127"/>
      <c r="EBT59" s="121"/>
      <c r="EBU59" s="5"/>
      <c r="EBV59" s="5"/>
      <c r="EBW59" s="124"/>
      <c r="EBX59" s="121"/>
      <c r="EBY59" s="125"/>
      <c r="EBZ59" s="5"/>
      <c r="ECA59" s="117"/>
      <c r="ECB59" s="4"/>
      <c r="ECC59" s="126"/>
      <c r="ECD59" s="127"/>
      <c r="ECE59" s="121"/>
      <c r="ECF59" s="5"/>
      <c r="ECG59" s="5"/>
      <c r="ECH59" s="124"/>
      <c r="ECI59" s="121"/>
      <c r="ECJ59" s="125"/>
      <c r="ECK59" s="5"/>
      <c r="ECL59" s="117"/>
      <c r="ECM59" s="4"/>
      <c r="ECN59" s="126"/>
      <c r="ECO59" s="127"/>
      <c r="ECP59" s="121"/>
      <c r="ECQ59" s="5"/>
      <c r="ECR59" s="5"/>
      <c r="ECS59" s="124"/>
      <c r="ECT59" s="121"/>
      <c r="ECU59" s="125"/>
      <c r="ECV59" s="5"/>
      <c r="ECW59" s="117"/>
      <c r="ECX59" s="4"/>
      <c r="ECY59" s="126"/>
      <c r="ECZ59" s="127"/>
      <c r="EDA59" s="121"/>
      <c r="EDB59" s="5"/>
      <c r="EDC59" s="5"/>
      <c r="EDD59" s="124"/>
      <c r="EDE59" s="121"/>
      <c r="EDF59" s="125"/>
      <c r="EDG59" s="5"/>
      <c r="EDH59" s="117"/>
      <c r="EDI59" s="4"/>
      <c r="EDJ59" s="126"/>
      <c r="EDK59" s="127"/>
      <c r="EDL59" s="121"/>
      <c r="EDM59" s="5"/>
      <c r="EDN59" s="5"/>
      <c r="EDO59" s="124"/>
      <c r="EDP59" s="121"/>
      <c r="EDQ59" s="125"/>
      <c r="EDR59" s="5"/>
      <c r="EDS59" s="117"/>
      <c r="EDT59" s="4"/>
      <c r="EDU59" s="126"/>
      <c r="EDV59" s="127"/>
      <c r="EDW59" s="121"/>
      <c r="EDX59" s="5"/>
      <c r="EDY59" s="5"/>
      <c r="EDZ59" s="124"/>
      <c r="EEA59" s="121"/>
      <c r="EEB59" s="125"/>
      <c r="EEC59" s="5"/>
      <c r="EED59" s="117"/>
      <c r="EEE59" s="4"/>
      <c r="EEF59" s="126"/>
      <c r="EEG59" s="127"/>
      <c r="EEH59" s="121"/>
      <c r="EEI59" s="5"/>
      <c r="EEJ59" s="5"/>
      <c r="EEK59" s="124"/>
      <c r="EEL59" s="121"/>
      <c r="EEM59" s="125"/>
      <c r="EEN59" s="5"/>
      <c r="EEO59" s="117"/>
      <c r="EEP59" s="4"/>
      <c r="EEQ59" s="126"/>
      <c r="EER59" s="127"/>
      <c r="EES59" s="121"/>
      <c r="EET59" s="5"/>
      <c r="EEU59" s="5"/>
      <c r="EEV59" s="124"/>
      <c r="EEW59" s="121"/>
      <c r="EEX59" s="125"/>
      <c r="EEY59" s="5"/>
      <c r="EEZ59" s="117"/>
      <c r="EFA59" s="4"/>
      <c r="EFB59" s="126"/>
      <c r="EFC59" s="127"/>
      <c r="EFD59" s="121"/>
      <c r="EFE59" s="5"/>
      <c r="EFF59" s="5"/>
      <c r="EFG59" s="124"/>
      <c r="EFH59" s="121"/>
      <c r="EFI59" s="125"/>
      <c r="EFJ59" s="5"/>
      <c r="EFK59" s="117"/>
      <c r="EFL59" s="4"/>
      <c r="EFM59" s="126"/>
      <c r="EFN59" s="127"/>
      <c r="EFO59" s="121"/>
      <c r="EFP59" s="5"/>
      <c r="EFQ59" s="5"/>
      <c r="EFR59" s="124"/>
      <c r="EFS59" s="121"/>
      <c r="EFT59" s="125"/>
      <c r="EFU59" s="5"/>
      <c r="EFV59" s="117"/>
      <c r="EFW59" s="4"/>
      <c r="EFX59" s="126"/>
      <c r="EFY59" s="127"/>
      <c r="EFZ59" s="121"/>
      <c r="EGA59" s="5"/>
      <c r="EGB59" s="5"/>
      <c r="EGC59" s="124"/>
      <c r="EGD59" s="121"/>
      <c r="EGE59" s="125"/>
      <c r="EGF59" s="5"/>
      <c r="EGG59" s="117"/>
      <c r="EGH59" s="4"/>
      <c r="EGI59" s="126"/>
      <c r="EGJ59" s="127"/>
      <c r="EGK59" s="121"/>
      <c r="EGL59" s="5"/>
      <c r="EGM59" s="5"/>
      <c r="EGN59" s="124"/>
      <c r="EGO59" s="121"/>
      <c r="EGP59" s="125"/>
      <c r="EGQ59" s="5"/>
      <c r="EGR59" s="117"/>
      <c r="EGS59" s="4"/>
      <c r="EGT59" s="126"/>
      <c r="EGU59" s="127"/>
      <c r="EGV59" s="121"/>
      <c r="EGW59" s="5"/>
      <c r="EGX59" s="5"/>
      <c r="EGY59" s="124"/>
      <c r="EGZ59" s="121"/>
      <c r="EHA59" s="125"/>
      <c r="EHB59" s="5"/>
      <c r="EHC59" s="117"/>
      <c r="EHD59" s="4"/>
      <c r="EHE59" s="126"/>
      <c r="EHF59" s="127"/>
      <c r="EHG59" s="121"/>
      <c r="EHH59" s="5"/>
      <c r="EHI59" s="5"/>
      <c r="EHJ59" s="124"/>
      <c r="EHK59" s="121"/>
      <c r="EHL59" s="125"/>
      <c r="EHM59" s="5"/>
      <c r="EHN59" s="117"/>
      <c r="EHO59" s="4"/>
      <c r="EHP59" s="126"/>
      <c r="EHQ59" s="127"/>
      <c r="EHR59" s="121"/>
      <c r="EHS59" s="5"/>
      <c r="EHT59" s="5"/>
      <c r="EHU59" s="124"/>
      <c r="EHV59" s="121"/>
      <c r="EHW59" s="125"/>
      <c r="EHX59" s="5"/>
      <c r="EHY59" s="117"/>
      <c r="EHZ59" s="4"/>
      <c r="EIA59" s="126"/>
      <c r="EIB59" s="127"/>
      <c r="EIC59" s="121"/>
      <c r="EID59" s="5"/>
      <c r="EIE59" s="5"/>
      <c r="EIF59" s="124"/>
      <c r="EIG59" s="121"/>
      <c r="EIH59" s="125"/>
      <c r="EII59" s="5"/>
      <c r="EIJ59" s="117"/>
      <c r="EIK59" s="4"/>
      <c r="EIL59" s="126"/>
      <c r="EIM59" s="127"/>
      <c r="EIN59" s="121"/>
      <c r="EIO59" s="5"/>
      <c r="EIP59" s="5"/>
      <c r="EIQ59" s="124"/>
      <c r="EIR59" s="121"/>
      <c r="EIS59" s="125"/>
      <c r="EIT59" s="5"/>
      <c r="EIU59" s="117"/>
      <c r="EIV59" s="4"/>
      <c r="EIW59" s="126"/>
      <c r="EIX59" s="127"/>
      <c r="EIY59" s="121"/>
      <c r="EIZ59" s="5"/>
      <c r="EJA59" s="5"/>
      <c r="EJB59" s="124"/>
      <c r="EJC59" s="121"/>
      <c r="EJD59" s="125"/>
      <c r="EJE59" s="5"/>
      <c r="EJF59" s="117"/>
      <c r="EJG59" s="4"/>
      <c r="EJH59" s="126"/>
      <c r="EJI59" s="127"/>
      <c r="EJJ59" s="121"/>
      <c r="EJK59" s="5"/>
      <c r="EJL59" s="5"/>
      <c r="EJM59" s="124"/>
      <c r="EJN59" s="121"/>
      <c r="EJO59" s="125"/>
      <c r="EJP59" s="5"/>
      <c r="EJQ59" s="117"/>
      <c r="EJR59" s="4"/>
      <c r="EJS59" s="126"/>
      <c r="EJT59" s="127"/>
      <c r="EJU59" s="121"/>
      <c r="EJV59" s="5"/>
      <c r="EJW59" s="5"/>
      <c r="EJX59" s="124"/>
      <c r="EJY59" s="121"/>
      <c r="EJZ59" s="125"/>
      <c r="EKA59" s="5"/>
      <c r="EKB59" s="117"/>
      <c r="EKC59" s="4"/>
      <c r="EKD59" s="126"/>
      <c r="EKE59" s="127"/>
      <c r="EKF59" s="121"/>
      <c r="EKG59" s="5"/>
      <c r="EKH59" s="5"/>
      <c r="EKI59" s="124"/>
      <c r="EKJ59" s="121"/>
      <c r="EKK59" s="125"/>
      <c r="EKL59" s="5"/>
      <c r="EKM59" s="117"/>
      <c r="EKN59" s="4"/>
      <c r="EKO59" s="126"/>
      <c r="EKP59" s="127"/>
      <c r="EKQ59" s="121"/>
      <c r="EKR59" s="5"/>
      <c r="EKS59" s="5"/>
      <c r="EKT59" s="124"/>
      <c r="EKU59" s="121"/>
      <c r="EKV59" s="125"/>
      <c r="EKW59" s="5"/>
      <c r="EKX59" s="117"/>
      <c r="EKY59" s="4"/>
      <c r="EKZ59" s="126"/>
      <c r="ELA59" s="127"/>
      <c r="ELB59" s="121"/>
      <c r="ELC59" s="5"/>
      <c r="ELD59" s="5"/>
      <c r="ELE59" s="124"/>
      <c r="ELF59" s="121"/>
      <c r="ELG59" s="125"/>
      <c r="ELH59" s="5"/>
      <c r="ELI59" s="117"/>
      <c r="ELJ59" s="4"/>
      <c r="ELK59" s="126"/>
      <c r="ELL59" s="127"/>
      <c r="ELM59" s="121"/>
      <c r="ELN59" s="5"/>
      <c r="ELO59" s="5"/>
      <c r="ELP59" s="124"/>
      <c r="ELQ59" s="121"/>
      <c r="ELR59" s="125"/>
      <c r="ELS59" s="5"/>
      <c r="ELT59" s="117"/>
      <c r="ELU59" s="4"/>
      <c r="ELV59" s="126"/>
      <c r="ELW59" s="127"/>
      <c r="ELX59" s="121"/>
      <c r="ELY59" s="5"/>
      <c r="ELZ59" s="5"/>
      <c r="EMA59" s="124"/>
      <c r="EMB59" s="121"/>
      <c r="EMC59" s="125"/>
      <c r="EMD59" s="5"/>
      <c r="EME59" s="117"/>
      <c r="EMF59" s="4"/>
      <c r="EMG59" s="126"/>
      <c r="EMH59" s="127"/>
      <c r="EMI59" s="121"/>
      <c r="EMJ59" s="5"/>
      <c r="EMK59" s="5"/>
      <c r="EML59" s="124"/>
      <c r="EMM59" s="121"/>
      <c r="EMN59" s="125"/>
      <c r="EMO59" s="5"/>
      <c r="EMP59" s="117"/>
      <c r="EMQ59" s="4"/>
      <c r="EMR59" s="126"/>
      <c r="EMS59" s="127"/>
      <c r="EMT59" s="121"/>
      <c r="EMU59" s="5"/>
      <c r="EMV59" s="5"/>
      <c r="EMW59" s="124"/>
      <c r="EMX59" s="121"/>
      <c r="EMY59" s="125"/>
      <c r="EMZ59" s="5"/>
      <c r="ENA59" s="117"/>
      <c r="ENB59" s="4"/>
      <c r="ENC59" s="126"/>
      <c r="END59" s="127"/>
      <c r="ENE59" s="121"/>
      <c r="ENF59" s="5"/>
      <c r="ENG59" s="5"/>
      <c r="ENH59" s="124"/>
      <c r="ENI59" s="121"/>
      <c r="ENJ59" s="125"/>
      <c r="ENK59" s="5"/>
      <c r="ENL59" s="117"/>
      <c r="ENM59" s="4"/>
      <c r="ENN59" s="126"/>
      <c r="ENO59" s="127"/>
      <c r="ENP59" s="121"/>
      <c r="ENQ59" s="5"/>
      <c r="ENR59" s="5"/>
      <c r="ENS59" s="124"/>
      <c r="ENT59" s="121"/>
      <c r="ENU59" s="125"/>
      <c r="ENV59" s="5"/>
      <c r="ENW59" s="117"/>
      <c r="ENX59" s="4"/>
      <c r="ENY59" s="126"/>
      <c r="ENZ59" s="127"/>
      <c r="EOA59" s="121"/>
      <c r="EOB59" s="5"/>
      <c r="EOC59" s="5"/>
      <c r="EOD59" s="124"/>
      <c r="EOE59" s="121"/>
      <c r="EOF59" s="125"/>
      <c r="EOG59" s="5"/>
      <c r="EOH59" s="117"/>
      <c r="EOI59" s="4"/>
      <c r="EOJ59" s="126"/>
      <c r="EOK59" s="127"/>
      <c r="EOL59" s="121"/>
      <c r="EOM59" s="5"/>
      <c r="EON59" s="5"/>
      <c r="EOO59" s="124"/>
      <c r="EOP59" s="121"/>
      <c r="EOQ59" s="125"/>
      <c r="EOR59" s="5"/>
      <c r="EOS59" s="117"/>
      <c r="EOT59" s="4"/>
      <c r="EOU59" s="126"/>
      <c r="EOV59" s="127"/>
      <c r="EOW59" s="121"/>
      <c r="EOX59" s="5"/>
      <c r="EOY59" s="5"/>
      <c r="EOZ59" s="124"/>
      <c r="EPA59" s="121"/>
      <c r="EPB59" s="125"/>
      <c r="EPC59" s="5"/>
      <c r="EPD59" s="117"/>
      <c r="EPE59" s="4"/>
      <c r="EPF59" s="126"/>
      <c r="EPG59" s="127"/>
      <c r="EPH59" s="121"/>
      <c r="EPI59" s="5"/>
      <c r="EPJ59" s="5"/>
      <c r="EPK59" s="124"/>
      <c r="EPL59" s="121"/>
      <c r="EPM59" s="125"/>
      <c r="EPN59" s="5"/>
      <c r="EPO59" s="117"/>
      <c r="EPP59" s="4"/>
      <c r="EPQ59" s="126"/>
      <c r="EPR59" s="127"/>
      <c r="EPS59" s="121"/>
      <c r="EPT59" s="5"/>
      <c r="EPU59" s="5"/>
      <c r="EPV59" s="124"/>
      <c r="EPW59" s="121"/>
      <c r="EPX59" s="125"/>
      <c r="EPY59" s="5"/>
      <c r="EPZ59" s="117"/>
      <c r="EQA59" s="4"/>
      <c r="EQB59" s="126"/>
      <c r="EQC59" s="127"/>
      <c r="EQD59" s="121"/>
      <c r="EQE59" s="5"/>
      <c r="EQF59" s="5"/>
      <c r="EQG59" s="124"/>
      <c r="EQH59" s="121"/>
      <c r="EQI59" s="125"/>
      <c r="EQJ59" s="5"/>
      <c r="EQK59" s="117"/>
      <c r="EQL59" s="4"/>
      <c r="EQM59" s="126"/>
      <c r="EQN59" s="127"/>
      <c r="EQO59" s="121"/>
      <c r="EQP59" s="5"/>
      <c r="EQQ59" s="5"/>
      <c r="EQR59" s="124"/>
      <c r="EQS59" s="121"/>
      <c r="EQT59" s="125"/>
      <c r="EQU59" s="5"/>
      <c r="EQV59" s="117"/>
      <c r="EQW59" s="4"/>
      <c r="EQX59" s="126"/>
      <c r="EQY59" s="127"/>
      <c r="EQZ59" s="121"/>
      <c r="ERA59" s="5"/>
      <c r="ERB59" s="5"/>
      <c r="ERC59" s="124"/>
      <c r="ERD59" s="121"/>
      <c r="ERE59" s="125"/>
      <c r="ERF59" s="5"/>
      <c r="ERG59" s="117"/>
      <c r="ERH59" s="4"/>
      <c r="ERI59" s="126"/>
      <c r="ERJ59" s="127"/>
      <c r="ERK59" s="121"/>
      <c r="ERL59" s="5"/>
      <c r="ERM59" s="5"/>
      <c r="ERN59" s="124"/>
      <c r="ERO59" s="121"/>
      <c r="ERP59" s="125"/>
      <c r="ERQ59" s="5"/>
      <c r="ERR59" s="117"/>
      <c r="ERS59" s="4"/>
      <c r="ERT59" s="126"/>
      <c r="ERU59" s="127"/>
      <c r="ERV59" s="121"/>
      <c r="ERW59" s="5"/>
      <c r="ERX59" s="5"/>
      <c r="ERY59" s="124"/>
      <c r="ERZ59" s="121"/>
      <c r="ESA59" s="125"/>
      <c r="ESB59" s="5"/>
      <c r="ESC59" s="117"/>
      <c r="ESD59" s="4"/>
      <c r="ESE59" s="126"/>
      <c r="ESF59" s="127"/>
      <c r="ESG59" s="121"/>
      <c r="ESH59" s="5"/>
      <c r="ESI59" s="5"/>
      <c r="ESJ59" s="124"/>
      <c r="ESK59" s="121"/>
      <c r="ESL59" s="125"/>
      <c r="ESM59" s="5"/>
      <c r="ESN59" s="117"/>
      <c r="ESO59" s="4"/>
      <c r="ESP59" s="126"/>
      <c r="ESQ59" s="127"/>
      <c r="ESR59" s="121"/>
      <c r="ESS59" s="5"/>
      <c r="EST59" s="5"/>
      <c r="ESU59" s="124"/>
      <c r="ESV59" s="121"/>
      <c r="ESW59" s="125"/>
      <c r="ESX59" s="5"/>
      <c r="ESY59" s="117"/>
      <c r="ESZ59" s="4"/>
      <c r="ETA59" s="126"/>
      <c r="ETB59" s="127"/>
      <c r="ETC59" s="121"/>
      <c r="ETD59" s="5"/>
      <c r="ETE59" s="5"/>
      <c r="ETF59" s="124"/>
      <c r="ETG59" s="121"/>
      <c r="ETH59" s="125"/>
      <c r="ETI59" s="5"/>
      <c r="ETJ59" s="117"/>
      <c r="ETK59" s="4"/>
      <c r="ETL59" s="126"/>
      <c r="ETM59" s="127"/>
      <c r="ETN59" s="121"/>
      <c r="ETO59" s="5"/>
      <c r="ETP59" s="5"/>
      <c r="ETQ59" s="124"/>
      <c r="ETR59" s="121"/>
      <c r="ETS59" s="125"/>
      <c r="ETT59" s="5"/>
      <c r="ETU59" s="117"/>
      <c r="ETV59" s="4"/>
      <c r="ETW59" s="126"/>
      <c r="ETX59" s="127"/>
      <c r="ETY59" s="121"/>
      <c r="ETZ59" s="5"/>
      <c r="EUA59" s="5"/>
      <c r="EUB59" s="124"/>
      <c r="EUC59" s="121"/>
      <c r="EUD59" s="125"/>
      <c r="EUE59" s="5"/>
      <c r="EUF59" s="117"/>
      <c r="EUG59" s="4"/>
      <c r="EUH59" s="126"/>
      <c r="EUI59" s="127"/>
      <c r="EUJ59" s="121"/>
      <c r="EUK59" s="5"/>
      <c r="EUL59" s="5"/>
      <c r="EUM59" s="124"/>
      <c r="EUN59" s="121"/>
      <c r="EUO59" s="125"/>
      <c r="EUP59" s="5"/>
      <c r="EUQ59" s="117"/>
      <c r="EUR59" s="4"/>
      <c r="EUS59" s="126"/>
      <c r="EUT59" s="127"/>
      <c r="EUU59" s="121"/>
      <c r="EUV59" s="5"/>
      <c r="EUW59" s="5"/>
      <c r="EUX59" s="124"/>
      <c r="EUY59" s="121"/>
      <c r="EUZ59" s="125"/>
      <c r="EVA59" s="5"/>
      <c r="EVB59" s="117"/>
      <c r="EVC59" s="4"/>
      <c r="EVD59" s="126"/>
      <c r="EVE59" s="127"/>
      <c r="EVF59" s="121"/>
      <c r="EVG59" s="5"/>
      <c r="EVH59" s="5"/>
      <c r="EVI59" s="124"/>
      <c r="EVJ59" s="121"/>
      <c r="EVK59" s="125"/>
      <c r="EVL59" s="5"/>
      <c r="EVM59" s="117"/>
      <c r="EVN59" s="4"/>
      <c r="EVO59" s="126"/>
      <c r="EVP59" s="127"/>
      <c r="EVQ59" s="121"/>
      <c r="EVR59" s="5"/>
      <c r="EVS59" s="5"/>
      <c r="EVT59" s="124"/>
      <c r="EVU59" s="121"/>
      <c r="EVV59" s="125"/>
      <c r="EVW59" s="5"/>
      <c r="EVX59" s="117"/>
      <c r="EVY59" s="4"/>
      <c r="EVZ59" s="126"/>
      <c r="EWA59" s="127"/>
      <c r="EWB59" s="121"/>
      <c r="EWC59" s="5"/>
      <c r="EWD59" s="5"/>
      <c r="EWE59" s="124"/>
      <c r="EWF59" s="121"/>
      <c r="EWG59" s="125"/>
      <c r="EWH59" s="5"/>
      <c r="EWI59" s="117"/>
      <c r="EWJ59" s="4"/>
      <c r="EWK59" s="126"/>
      <c r="EWL59" s="127"/>
      <c r="EWM59" s="121"/>
      <c r="EWN59" s="5"/>
      <c r="EWO59" s="5"/>
      <c r="EWP59" s="124"/>
      <c r="EWQ59" s="121"/>
      <c r="EWR59" s="125"/>
      <c r="EWS59" s="5"/>
      <c r="EWT59" s="117"/>
      <c r="EWU59" s="4"/>
      <c r="EWV59" s="126"/>
      <c r="EWW59" s="127"/>
      <c r="EWX59" s="121"/>
      <c r="EWY59" s="5"/>
      <c r="EWZ59" s="5"/>
      <c r="EXA59" s="124"/>
      <c r="EXB59" s="121"/>
      <c r="EXC59" s="125"/>
      <c r="EXD59" s="5"/>
      <c r="EXE59" s="117"/>
      <c r="EXF59" s="4"/>
      <c r="EXG59" s="126"/>
      <c r="EXH59" s="127"/>
      <c r="EXI59" s="121"/>
      <c r="EXJ59" s="5"/>
      <c r="EXK59" s="5"/>
      <c r="EXL59" s="124"/>
      <c r="EXM59" s="121"/>
      <c r="EXN59" s="125"/>
      <c r="EXO59" s="5"/>
      <c r="EXP59" s="117"/>
      <c r="EXQ59" s="4"/>
      <c r="EXR59" s="126"/>
      <c r="EXS59" s="127"/>
      <c r="EXT59" s="121"/>
      <c r="EXU59" s="5"/>
      <c r="EXV59" s="5"/>
      <c r="EXW59" s="124"/>
      <c r="EXX59" s="121"/>
      <c r="EXY59" s="125"/>
      <c r="EXZ59" s="5"/>
      <c r="EYA59" s="117"/>
      <c r="EYB59" s="4"/>
      <c r="EYC59" s="126"/>
      <c r="EYD59" s="127"/>
      <c r="EYE59" s="121"/>
      <c r="EYF59" s="5"/>
      <c r="EYG59" s="5"/>
      <c r="EYH59" s="124"/>
      <c r="EYI59" s="121"/>
      <c r="EYJ59" s="125"/>
      <c r="EYK59" s="5"/>
      <c r="EYL59" s="117"/>
      <c r="EYM59" s="4"/>
      <c r="EYN59" s="126"/>
      <c r="EYO59" s="127"/>
      <c r="EYP59" s="121"/>
      <c r="EYQ59" s="5"/>
      <c r="EYR59" s="5"/>
      <c r="EYS59" s="124"/>
      <c r="EYT59" s="121"/>
      <c r="EYU59" s="125"/>
      <c r="EYV59" s="5"/>
      <c r="EYW59" s="117"/>
      <c r="EYX59" s="4"/>
      <c r="EYY59" s="126"/>
      <c r="EYZ59" s="127"/>
      <c r="EZA59" s="121"/>
      <c r="EZB59" s="5"/>
      <c r="EZC59" s="5"/>
      <c r="EZD59" s="124"/>
      <c r="EZE59" s="121"/>
      <c r="EZF59" s="125"/>
      <c r="EZG59" s="5"/>
      <c r="EZH59" s="117"/>
      <c r="EZI59" s="4"/>
      <c r="EZJ59" s="126"/>
      <c r="EZK59" s="127"/>
      <c r="EZL59" s="121"/>
      <c r="EZM59" s="5"/>
      <c r="EZN59" s="5"/>
      <c r="EZO59" s="124"/>
      <c r="EZP59" s="121"/>
      <c r="EZQ59" s="125"/>
      <c r="EZR59" s="5"/>
      <c r="EZS59" s="117"/>
      <c r="EZT59" s="4"/>
      <c r="EZU59" s="126"/>
      <c r="EZV59" s="127"/>
      <c r="EZW59" s="121"/>
      <c r="EZX59" s="5"/>
      <c r="EZY59" s="5"/>
      <c r="EZZ59" s="124"/>
      <c r="FAA59" s="121"/>
      <c r="FAB59" s="125"/>
      <c r="FAC59" s="5"/>
      <c r="FAD59" s="117"/>
      <c r="FAE59" s="4"/>
      <c r="FAF59" s="126"/>
      <c r="FAG59" s="127"/>
      <c r="FAH59" s="121"/>
      <c r="FAI59" s="5"/>
      <c r="FAJ59" s="5"/>
      <c r="FAK59" s="124"/>
      <c r="FAL59" s="121"/>
      <c r="FAM59" s="125"/>
      <c r="FAN59" s="5"/>
      <c r="FAO59" s="117"/>
      <c r="FAP59" s="4"/>
      <c r="FAQ59" s="126"/>
      <c r="FAR59" s="127"/>
      <c r="FAS59" s="121"/>
      <c r="FAT59" s="5"/>
      <c r="FAU59" s="5"/>
      <c r="FAV59" s="124"/>
      <c r="FAW59" s="121"/>
      <c r="FAX59" s="125"/>
      <c r="FAY59" s="5"/>
      <c r="FAZ59" s="117"/>
      <c r="FBA59" s="4"/>
      <c r="FBB59" s="126"/>
      <c r="FBC59" s="127"/>
      <c r="FBD59" s="121"/>
      <c r="FBE59" s="5"/>
      <c r="FBF59" s="5"/>
      <c r="FBG59" s="124"/>
      <c r="FBH59" s="121"/>
      <c r="FBI59" s="125"/>
      <c r="FBJ59" s="5"/>
      <c r="FBK59" s="117"/>
      <c r="FBL59" s="4"/>
      <c r="FBM59" s="126"/>
      <c r="FBN59" s="127"/>
      <c r="FBO59" s="121"/>
      <c r="FBP59" s="5"/>
      <c r="FBQ59" s="5"/>
      <c r="FBR59" s="124"/>
      <c r="FBS59" s="121"/>
      <c r="FBT59" s="125"/>
      <c r="FBU59" s="5"/>
      <c r="FBV59" s="117"/>
      <c r="FBW59" s="4"/>
      <c r="FBX59" s="126"/>
      <c r="FBY59" s="127"/>
      <c r="FBZ59" s="121"/>
      <c r="FCA59" s="5"/>
      <c r="FCB59" s="5"/>
      <c r="FCC59" s="124"/>
      <c r="FCD59" s="121"/>
      <c r="FCE59" s="125"/>
      <c r="FCF59" s="5"/>
      <c r="FCG59" s="117"/>
      <c r="FCH59" s="4"/>
      <c r="FCI59" s="126"/>
      <c r="FCJ59" s="127"/>
      <c r="FCK59" s="121"/>
      <c r="FCL59" s="5"/>
      <c r="FCM59" s="5"/>
      <c r="FCN59" s="124"/>
      <c r="FCO59" s="121"/>
      <c r="FCP59" s="125"/>
      <c r="FCQ59" s="5"/>
      <c r="FCR59" s="117"/>
      <c r="FCS59" s="4"/>
      <c r="FCT59" s="126"/>
      <c r="FCU59" s="127"/>
      <c r="FCV59" s="121"/>
      <c r="FCW59" s="5"/>
      <c r="FCX59" s="5"/>
      <c r="FCY59" s="124"/>
      <c r="FCZ59" s="121"/>
      <c r="FDA59" s="125"/>
      <c r="FDB59" s="5"/>
      <c r="FDC59" s="117"/>
      <c r="FDD59" s="4"/>
      <c r="FDE59" s="126"/>
      <c r="FDF59" s="127"/>
      <c r="FDG59" s="121"/>
      <c r="FDH59" s="5"/>
      <c r="FDI59" s="5"/>
      <c r="FDJ59" s="124"/>
      <c r="FDK59" s="121"/>
      <c r="FDL59" s="125"/>
      <c r="FDM59" s="5"/>
      <c r="FDN59" s="117"/>
      <c r="FDO59" s="4"/>
      <c r="FDP59" s="126"/>
      <c r="FDQ59" s="127"/>
      <c r="FDR59" s="121"/>
      <c r="FDS59" s="5"/>
      <c r="FDT59" s="5"/>
      <c r="FDU59" s="124"/>
      <c r="FDV59" s="121"/>
      <c r="FDW59" s="125"/>
      <c r="FDX59" s="5"/>
      <c r="FDY59" s="117"/>
      <c r="FDZ59" s="4"/>
      <c r="FEA59" s="126"/>
      <c r="FEB59" s="127"/>
      <c r="FEC59" s="121"/>
      <c r="FED59" s="5"/>
      <c r="FEE59" s="5"/>
      <c r="FEF59" s="124"/>
      <c r="FEG59" s="121"/>
      <c r="FEH59" s="125"/>
      <c r="FEI59" s="5"/>
      <c r="FEJ59" s="117"/>
      <c r="FEK59" s="4"/>
      <c r="FEL59" s="126"/>
      <c r="FEM59" s="127"/>
      <c r="FEN59" s="121"/>
      <c r="FEO59" s="5"/>
      <c r="FEP59" s="5"/>
      <c r="FEQ59" s="124"/>
      <c r="FER59" s="121"/>
      <c r="FES59" s="125"/>
      <c r="FET59" s="5"/>
      <c r="FEU59" s="117"/>
      <c r="FEV59" s="4"/>
      <c r="FEW59" s="126"/>
      <c r="FEX59" s="127"/>
      <c r="FEY59" s="121"/>
      <c r="FEZ59" s="5"/>
      <c r="FFA59" s="5"/>
      <c r="FFB59" s="124"/>
      <c r="FFC59" s="121"/>
      <c r="FFD59" s="125"/>
      <c r="FFE59" s="5"/>
      <c r="FFF59" s="117"/>
      <c r="FFG59" s="4"/>
      <c r="FFH59" s="126"/>
      <c r="FFI59" s="127"/>
      <c r="FFJ59" s="121"/>
      <c r="FFK59" s="5"/>
      <c r="FFL59" s="5"/>
      <c r="FFM59" s="124"/>
      <c r="FFN59" s="121"/>
      <c r="FFO59" s="125"/>
      <c r="FFP59" s="5"/>
      <c r="FFQ59" s="117"/>
      <c r="FFR59" s="4"/>
      <c r="FFS59" s="126"/>
      <c r="FFT59" s="127"/>
      <c r="FFU59" s="121"/>
      <c r="FFV59" s="5"/>
      <c r="FFW59" s="5"/>
      <c r="FFX59" s="124"/>
      <c r="FFY59" s="121"/>
      <c r="FFZ59" s="125"/>
      <c r="FGA59" s="5"/>
      <c r="FGB59" s="117"/>
      <c r="FGC59" s="4"/>
      <c r="FGD59" s="126"/>
      <c r="FGE59" s="127"/>
      <c r="FGF59" s="121"/>
      <c r="FGG59" s="5"/>
      <c r="FGH59" s="5"/>
      <c r="FGI59" s="124"/>
      <c r="FGJ59" s="121"/>
      <c r="FGK59" s="125"/>
      <c r="FGL59" s="5"/>
      <c r="FGM59" s="117"/>
      <c r="FGN59" s="4"/>
      <c r="FGO59" s="126"/>
      <c r="FGP59" s="127"/>
      <c r="FGQ59" s="121"/>
      <c r="FGR59" s="5"/>
      <c r="FGS59" s="5"/>
      <c r="FGT59" s="124"/>
      <c r="FGU59" s="121"/>
      <c r="FGV59" s="125"/>
      <c r="FGW59" s="5"/>
      <c r="FGX59" s="117"/>
      <c r="FGY59" s="4"/>
      <c r="FGZ59" s="126"/>
      <c r="FHA59" s="127"/>
      <c r="FHB59" s="121"/>
      <c r="FHC59" s="5"/>
      <c r="FHD59" s="5"/>
      <c r="FHE59" s="124"/>
      <c r="FHF59" s="121"/>
      <c r="FHG59" s="125"/>
      <c r="FHH59" s="5"/>
      <c r="FHI59" s="117"/>
      <c r="FHJ59" s="4"/>
      <c r="FHK59" s="126"/>
      <c r="FHL59" s="127"/>
      <c r="FHM59" s="121"/>
      <c r="FHN59" s="5"/>
      <c r="FHO59" s="5"/>
      <c r="FHP59" s="124"/>
      <c r="FHQ59" s="121"/>
      <c r="FHR59" s="125"/>
      <c r="FHS59" s="5"/>
      <c r="FHT59" s="117"/>
      <c r="FHU59" s="4"/>
      <c r="FHV59" s="126"/>
      <c r="FHW59" s="127"/>
      <c r="FHX59" s="121"/>
      <c r="FHY59" s="5"/>
      <c r="FHZ59" s="5"/>
      <c r="FIA59" s="124"/>
      <c r="FIB59" s="121"/>
      <c r="FIC59" s="125"/>
      <c r="FID59" s="5"/>
      <c r="FIE59" s="117"/>
      <c r="FIF59" s="4"/>
      <c r="FIG59" s="126"/>
      <c r="FIH59" s="127"/>
      <c r="FII59" s="121"/>
      <c r="FIJ59" s="5"/>
      <c r="FIK59" s="5"/>
      <c r="FIL59" s="124"/>
      <c r="FIM59" s="121"/>
      <c r="FIN59" s="125"/>
      <c r="FIO59" s="5"/>
      <c r="FIP59" s="117"/>
      <c r="FIQ59" s="4"/>
      <c r="FIR59" s="126"/>
      <c r="FIS59" s="127"/>
      <c r="FIT59" s="121"/>
      <c r="FIU59" s="5"/>
      <c r="FIV59" s="5"/>
      <c r="FIW59" s="124"/>
      <c r="FIX59" s="121"/>
      <c r="FIY59" s="125"/>
      <c r="FIZ59" s="5"/>
      <c r="FJA59" s="117"/>
      <c r="FJB59" s="4"/>
      <c r="FJC59" s="126"/>
      <c r="FJD59" s="127"/>
      <c r="FJE59" s="121"/>
      <c r="FJF59" s="5"/>
      <c r="FJG59" s="5"/>
      <c r="FJH59" s="124"/>
      <c r="FJI59" s="121"/>
      <c r="FJJ59" s="125"/>
      <c r="FJK59" s="5"/>
      <c r="FJL59" s="117"/>
      <c r="FJM59" s="4"/>
      <c r="FJN59" s="126"/>
      <c r="FJO59" s="127"/>
      <c r="FJP59" s="121"/>
      <c r="FJQ59" s="5"/>
      <c r="FJR59" s="5"/>
      <c r="FJS59" s="124"/>
      <c r="FJT59" s="121"/>
      <c r="FJU59" s="125"/>
      <c r="FJV59" s="5"/>
      <c r="FJW59" s="117"/>
      <c r="FJX59" s="4"/>
      <c r="FJY59" s="126"/>
      <c r="FJZ59" s="127"/>
      <c r="FKA59" s="121"/>
      <c r="FKB59" s="5"/>
      <c r="FKC59" s="5"/>
      <c r="FKD59" s="124"/>
      <c r="FKE59" s="121"/>
      <c r="FKF59" s="125"/>
      <c r="FKG59" s="5"/>
      <c r="FKH59" s="117"/>
      <c r="FKI59" s="4"/>
      <c r="FKJ59" s="126"/>
      <c r="FKK59" s="127"/>
      <c r="FKL59" s="121"/>
      <c r="FKM59" s="5"/>
      <c r="FKN59" s="5"/>
      <c r="FKO59" s="124"/>
      <c r="FKP59" s="121"/>
      <c r="FKQ59" s="125"/>
      <c r="FKR59" s="5"/>
      <c r="FKS59" s="117"/>
      <c r="FKT59" s="4"/>
      <c r="FKU59" s="126"/>
      <c r="FKV59" s="127"/>
      <c r="FKW59" s="121"/>
      <c r="FKX59" s="5"/>
      <c r="FKY59" s="5"/>
      <c r="FKZ59" s="124"/>
      <c r="FLA59" s="121"/>
      <c r="FLB59" s="125"/>
      <c r="FLC59" s="5"/>
      <c r="FLD59" s="117"/>
      <c r="FLE59" s="4"/>
      <c r="FLF59" s="126"/>
      <c r="FLG59" s="127"/>
      <c r="FLH59" s="121"/>
      <c r="FLI59" s="5"/>
      <c r="FLJ59" s="5"/>
      <c r="FLK59" s="124"/>
      <c r="FLL59" s="121"/>
      <c r="FLM59" s="125"/>
      <c r="FLN59" s="5"/>
      <c r="FLO59" s="117"/>
      <c r="FLP59" s="4"/>
      <c r="FLQ59" s="126"/>
      <c r="FLR59" s="127"/>
      <c r="FLS59" s="121"/>
      <c r="FLT59" s="5"/>
      <c r="FLU59" s="5"/>
      <c r="FLV59" s="124"/>
      <c r="FLW59" s="121"/>
      <c r="FLX59" s="125"/>
      <c r="FLY59" s="5"/>
      <c r="FLZ59" s="117"/>
      <c r="FMA59" s="4"/>
      <c r="FMB59" s="126"/>
      <c r="FMC59" s="127"/>
      <c r="FMD59" s="121"/>
      <c r="FME59" s="5"/>
      <c r="FMF59" s="5"/>
      <c r="FMG59" s="124"/>
      <c r="FMH59" s="121"/>
      <c r="FMI59" s="125"/>
      <c r="FMJ59" s="5"/>
      <c r="FMK59" s="117"/>
      <c r="FML59" s="4"/>
      <c r="FMM59" s="126"/>
      <c r="FMN59" s="127"/>
      <c r="FMO59" s="121"/>
      <c r="FMP59" s="5"/>
      <c r="FMQ59" s="5"/>
      <c r="FMR59" s="124"/>
      <c r="FMS59" s="121"/>
      <c r="FMT59" s="125"/>
      <c r="FMU59" s="5"/>
      <c r="FMV59" s="117"/>
      <c r="FMW59" s="4"/>
      <c r="FMX59" s="126"/>
      <c r="FMY59" s="127"/>
      <c r="FMZ59" s="121"/>
      <c r="FNA59" s="5"/>
      <c r="FNB59" s="5"/>
      <c r="FNC59" s="124"/>
      <c r="FND59" s="121"/>
      <c r="FNE59" s="125"/>
      <c r="FNF59" s="5"/>
      <c r="FNG59" s="117"/>
      <c r="FNH59" s="4"/>
      <c r="FNI59" s="126"/>
      <c r="FNJ59" s="127"/>
      <c r="FNK59" s="121"/>
      <c r="FNL59" s="5"/>
      <c r="FNM59" s="5"/>
      <c r="FNN59" s="124"/>
      <c r="FNO59" s="121"/>
      <c r="FNP59" s="125"/>
      <c r="FNQ59" s="5"/>
      <c r="FNR59" s="117"/>
      <c r="FNS59" s="4"/>
      <c r="FNT59" s="126"/>
      <c r="FNU59" s="127"/>
      <c r="FNV59" s="121"/>
      <c r="FNW59" s="5"/>
      <c r="FNX59" s="5"/>
      <c r="FNY59" s="124"/>
      <c r="FNZ59" s="121"/>
      <c r="FOA59" s="125"/>
      <c r="FOB59" s="5"/>
      <c r="FOC59" s="117"/>
      <c r="FOD59" s="4"/>
      <c r="FOE59" s="126"/>
      <c r="FOF59" s="127"/>
      <c r="FOG59" s="121"/>
      <c r="FOH59" s="5"/>
      <c r="FOI59" s="5"/>
      <c r="FOJ59" s="124"/>
      <c r="FOK59" s="121"/>
      <c r="FOL59" s="125"/>
      <c r="FOM59" s="5"/>
      <c r="FON59" s="117"/>
      <c r="FOO59" s="4"/>
      <c r="FOP59" s="126"/>
      <c r="FOQ59" s="127"/>
      <c r="FOR59" s="121"/>
      <c r="FOS59" s="5"/>
      <c r="FOT59" s="5"/>
      <c r="FOU59" s="124"/>
      <c r="FOV59" s="121"/>
      <c r="FOW59" s="125"/>
      <c r="FOX59" s="5"/>
      <c r="FOY59" s="117"/>
      <c r="FOZ59" s="4"/>
      <c r="FPA59" s="126"/>
      <c r="FPB59" s="127"/>
      <c r="FPC59" s="121"/>
      <c r="FPD59" s="5"/>
      <c r="FPE59" s="5"/>
      <c r="FPF59" s="124"/>
      <c r="FPG59" s="121"/>
      <c r="FPH59" s="125"/>
      <c r="FPI59" s="5"/>
      <c r="FPJ59" s="117"/>
      <c r="FPK59" s="4"/>
      <c r="FPL59" s="126"/>
      <c r="FPM59" s="127"/>
      <c r="FPN59" s="121"/>
      <c r="FPO59" s="5"/>
      <c r="FPP59" s="5"/>
      <c r="FPQ59" s="124"/>
      <c r="FPR59" s="121"/>
      <c r="FPS59" s="125"/>
      <c r="FPT59" s="5"/>
      <c r="FPU59" s="117"/>
      <c r="FPV59" s="4"/>
      <c r="FPW59" s="126"/>
      <c r="FPX59" s="127"/>
      <c r="FPY59" s="121"/>
      <c r="FPZ59" s="5"/>
      <c r="FQA59" s="5"/>
      <c r="FQB59" s="124"/>
      <c r="FQC59" s="121"/>
      <c r="FQD59" s="125"/>
      <c r="FQE59" s="5"/>
      <c r="FQF59" s="117"/>
      <c r="FQG59" s="4"/>
      <c r="FQH59" s="126"/>
      <c r="FQI59" s="127"/>
      <c r="FQJ59" s="121"/>
      <c r="FQK59" s="5"/>
      <c r="FQL59" s="5"/>
      <c r="FQM59" s="124"/>
      <c r="FQN59" s="121"/>
      <c r="FQO59" s="125"/>
      <c r="FQP59" s="5"/>
      <c r="FQQ59" s="117"/>
      <c r="FQR59" s="4"/>
      <c r="FQS59" s="126"/>
      <c r="FQT59" s="127"/>
      <c r="FQU59" s="121"/>
      <c r="FQV59" s="5"/>
      <c r="FQW59" s="5"/>
      <c r="FQX59" s="124"/>
      <c r="FQY59" s="121"/>
      <c r="FQZ59" s="125"/>
      <c r="FRA59" s="5"/>
      <c r="FRB59" s="117"/>
      <c r="FRC59" s="4"/>
      <c r="FRD59" s="126"/>
      <c r="FRE59" s="127"/>
      <c r="FRF59" s="121"/>
      <c r="FRG59" s="5"/>
      <c r="FRH59" s="5"/>
      <c r="FRI59" s="124"/>
      <c r="FRJ59" s="121"/>
      <c r="FRK59" s="125"/>
      <c r="FRL59" s="5"/>
      <c r="FRM59" s="117"/>
      <c r="FRN59" s="4"/>
      <c r="FRO59" s="126"/>
      <c r="FRP59" s="127"/>
      <c r="FRQ59" s="121"/>
      <c r="FRR59" s="5"/>
      <c r="FRS59" s="5"/>
      <c r="FRT59" s="124"/>
      <c r="FRU59" s="121"/>
      <c r="FRV59" s="125"/>
      <c r="FRW59" s="5"/>
      <c r="FRX59" s="117"/>
      <c r="FRY59" s="4"/>
      <c r="FRZ59" s="126"/>
      <c r="FSA59" s="127"/>
      <c r="FSB59" s="121"/>
      <c r="FSC59" s="5"/>
      <c r="FSD59" s="5"/>
      <c r="FSE59" s="124"/>
      <c r="FSF59" s="121"/>
      <c r="FSG59" s="125"/>
      <c r="FSH59" s="5"/>
      <c r="FSI59" s="117"/>
      <c r="FSJ59" s="4"/>
      <c r="FSK59" s="126"/>
      <c r="FSL59" s="127"/>
      <c r="FSM59" s="121"/>
      <c r="FSN59" s="5"/>
      <c r="FSO59" s="5"/>
      <c r="FSP59" s="124"/>
      <c r="FSQ59" s="121"/>
      <c r="FSR59" s="125"/>
      <c r="FSS59" s="5"/>
      <c r="FST59" s="117"/>
      <c r="FSU59" s="4"/>
      <c r="FSV59" s="126"/>
      <c r="FSW59" s="127"/>
      <c r="FSX59" s="121"/>
      <c r="FSY59" s="5"/>
      <c r="FSZ59" s="5"/>
      <c r="FTA59" s="124"/>
      <c r="FTB59" s="121"/>
      <c r="FTC59" s="125"/>
      <c r="FTD59" s="5"/>
      <c r="FTE59" s="117"/>
      <c r="FTF59" s="4"/>
      <c r="FTG59" s="126"/>
      <c r="FTH59" s="127"/>
      <c r="FTI59" s="121"/>
      <c r="FTJ59" s="5"/>
      <c r="FTK59" s="5"/>
      <c r="FTL59" s="124"/>
      <c r="FTM59" s="121"/>
      <c r="FTN59" s="125"/>
      <c r="FTO59" s="5"/>
      <c r="FTP59" s="117"/>
      <c r="FTQ59" s="4"/>
      <c r="FTR59" s="126"/>
      <c r="FTS59" s="127"/>
      <c r="FTT59" s="121"/>
      <c r="FTU59" s="5"/>
      <c r="FTV59" s="5"/>
      <c r="FTW59" s="124"/>
      <c r="FTX59" s="121"/>
      <c r="FTY59" s="125"/>
      <c r="FTZ59" s="5"/>
      <c r="FUA59" s="117"/>
      <c r="FUB59" s="4"/>
      <c r="FUC59" s="126"/>
      <c r="FUD59" s="127"/>
      <c r="FUE59" s="121"/>
      <c r="FUF59" s="5"/>
      <c r="FUG59" s="5"/>
      <c r="FUH59" s="124"/>
      <c r="FUI59" s="121"/>
      <c r="FUJ59" s="125"/>
      <c r="FUK59" s="5"/>
      <c r="FUL59" s="117"/>
      <c r="FUM59" s="4"/>
      <c r="FUN59" s="126"/>
      <c r="FUO59" s="127"/>
      <c r="FUP59" s="121"/>
      <c r="FUQ59" s="5"/>
      <c r="FUR59" s="5"/>
      <c r="FUS59" s="124"/>
      <c r="FUT59" s="121"/>
      <c r="FUU59" s="125"/>
      <c r="FUV59" s="5"/>
      <c r="FUW59" s="117"/>
      <c r="FUX59" s="4"/>
      <c r="FUY59" s="126"/>
      <c r="FUZ59" s="127"/>
      <c r="FVA59" s="121"/>
      <c r="FVB59" s="5"/>
      <c r="FVC59" s="5"/>
      <c r="FVD59" s="124"/>
      <c r="FVE59" s="121"/>
      <c r="FVF59" s="125"/>
      <c r="FVG59" s="5"/>
      <c r="FVH59" s="117"/>
      <c r="FVI59" s="4"/>
      <c r="FVJ59" s="126"/>
      <c r="FVK59" s="127"/>
      <c r="FVL59" s="121"/>
      <c r="FVM59" s="5"/>
      <c r="FVN59" s="5"/>
      <c r="FVO59" s="124"/>
      <c r="FVP59" s="121"/>
      <c r="FVQ59" s="125"/>
      <c r="FVR59" s="5"/>
      <c r="FVS59" s="117"/>
      <c r="FVT59" s="4"/>
      <c r="FVU59" s="126"/>
      <c r="FVV59" s="127"/>
      <c r="FVW59" s="121"/>
      <c r="FVX59" s="5"/>
      <c r="FVY59" s="5"/>
      <c r="FVZ59" s="124"/>
      <c r="FWA59" s="121"/>
      <c r="FWB59" s="125"/>
      <c r="FWC59" s="5"/>
      <c r="FWD59" s="117"/>
      <c r="FWE59" s="4"/>
      <c r="FWF59" s="126"/>
      <c r="FWG59" s="127"/>
      <c r="FWH59" s="121"/>
      <c r="FWI59" s="5"/>
      <c r="FWJ59" s="5"/>
      <c r="FWK59" s="124"/>
      <c r="FWL59" s="121"/>
      <c r="FWM59" s="125"/>
      <c r="FWN59" s="5"/>
      <c r="FWO59" s="117"/>
      <c r="FWP59" s="4"/>
      <c r="FWQ59" s="126"/>
      <c r="FWR59" s="127"/>
      <c r="FWS59" s="121"/>
      <c r="FWT59" s="5"/>
      <c r="FWU59" s="5"/>
      <c r="FWV59" s="124"/>
      <c r="FWW59" s="121"/>
      <c r="FWX59" s="125"/>
      <c r="FWY59" s="5"/>
      <c r="FWZ59" s="117"/>
      <c r="FXA59" s="4"/>
      <c r="FXB59" s="126"/>
      <c r="FXC59" s="127"/>
      <c r="FXD59" s="121"/>
      <c r="FXE59" s="5"/>
      <c r="FXF59" s="5"/>
      <c r="FXG59" s="124"/>
      <c r="FXH59" s="121"/>
      <c r="FXI59" s="125"/>
      <c r="FXJ59" s="5"/>
      <c r="FXK59" s="117"/>
      <c r="FXL59" s="4"/>
      <c r="FXM59" s="126"/>
      <c r="FXN59" s="127"/>
      <c r="FXO59" s="121"/>
      <c r="FXP59" s="5"/>
      <c r="FXQ59" s="5"/>
      <c r="FXR59" s="124"/>
      <c r="FXS59" s="121"/>
      <c r="FXT59" s="125"/>
      <c r="FXU59" s="5"/>
      <c r="FXV59" s="117"/>
      <c r="FXW59" s="4"/>
      <c r="FXX59" s="126"/>
      <c r="FXY59" s="127"/>
      <c r="FXZ59" s="121"/>
      <c r="FYA59" s="5"/>
      <c r="FYB59" s="5"/>
      <c r="FYC59" s="124"/>
      <c r="FYD59" s="121"/>
      <c r="FYE59" s="125"/>
      <c r="FYF59" s="5"/>
      <c r="FYG59" s="117"/>
      <c r="FYH59" s="4"/>
      <c r="FYI59" s="126"/>
      <c r="FYJ59" s="127"/>
      <c r="FYK59" s="121"/>
      <c r="FYL59" s="5"/>
      <c r="FYM59" s="5"/>
      <c r="FYN59" s="124"/>
      <c r="FYO59" s="121"/>
      <c r="FYP59" s="125"/>
      <c r="FYQ59" s="5"/>
      <c r="FYR59" s="117"/>
      <c r="FYS59" s="4"/>
      <c r="FYT59" s="126"/>
      <c r="FYU59" s="127"/>
      <c r="FYV59" s="121"/>
      <c r="FYW59" s="5"/>
      <c r="FYX59" s="5"/>
      <c r="FYY59" s="124"/>
      <c r="FYZ59" s="121"/>
      <c r="FZA59" s="125"/>
      <c r="FZB59" s="5"/>
      <c r="FZC59" s="117"/>
      <c r="FZD59" s="4"/>
      <c r="FZE59" s="126"/>
      <c r="FZF59" s="127"/>
      <c r="FZG59" s="121"/>
      <c r="FZH59" s="5"/>
      <c r="FZI59" s="5"/>
      <c r="FZJ59" s="124"/>
      <c r="FZK59" s="121"/>
      <c r="FZL59" s="125"/>
      <c r="FZM59" s="5"/>
      <c r="FZN59" s="117"/>
      <c r="FZO59" s="4"/>
      <c r="FZP59" s="126"/>
      <c r="FZQ59" s="127"/>
      <c r="FZR59" s="121"/>
      <c r="FZS59" s="5"/>
      <c r="FZT59" s="5"/>
      <c r="FZU59" s="124"/>
      <c r="FZV59" s="121"/>
      <c r="FZW59" s="125"/>
      <c r="FZX59" s="5"/>
      <c r="FZY59" s="117"/>
      <c r="FZZ59" s="4"/>
      <c r="GAA59" s="126"/>
      <c r="GAB59" s="127"/>
      <c r="GAC59" s="121"/>
      <c r="GAD59" s="5"/>
      <c r="GAE59" s="5"/>
      <c r="GAF59" s="124"/>
      <c r="GAG59" s="121"/>
      <c r="GAH59" s="125"/>
      <c r="GAI59" s="5"/>
      <c r="GAJ59" s="117"/>
      <c r="GAK59" s="4"/>
      <c r="GAL59" s="126"/>
      <c r="GAM59" s="127"/>
      <c r="GAN59" s="121"/>
      <c r="GAO59" s="5"/>
      <c r="GAP59" s="5"/>
      <c r="GAQ59" s="124"/>
      <c r="GAR59" s="121"/>
      <c r="GAS59" s="125"/>
      <c r="GAT59" s="5"/>
      <c r="GAU59" s="117"/>
      <c r="GAV59" s="4"/>
      <c r="GAW59" s="126"/>
      <c r="GAX59" s="127"/>
      <c r="GAY59" s="121"/>
      <c r="GAZ59" s="5"/>
      <c r="GBA59" s="5"/>
      <c r="GBB59" s="124"/>
      <c r="GBC59" s="121"/>
      <c r="GBD59" s="125"/>
      <c r="GBE59" s="5"/>
      <c r="GBF59" s="117"/>
      <c r="GBG59" s="4"/>
      <c r="GBH59" s="126"/>
      <c r="GBI59" s="127"/>
      <c r="GBJ59" s="121"/>
      <c r="GBK59" s="5"/>
      <c r="GBL59" s="5"/>
      <c r="GBM59" s="124"/>
      <c r="GBN59" s="121"/>
      <c r="GBO59" s="125"/>
      <c r="GBP59" s="5"/>
      <c r="GBQ59" s="117"/>
      <c r="GBR59" s="4"/>
      <c r="GBS59" s="126"/>
      <c r="GBT59" s="127"/>
      <c r="GBU59" s="121"/>
      <c r="GBV59" s="5"/>
      <c r="GBW59" s="5"/>
      <c r="GBX59" s="124"/>
      <c r="GBY59" s="121"/>
      <c r="GBZ59" s="125"/>
      <c r="GCA59" s="5"/>
      <c r="GCB59" s="117"/>
      <c r="GCC59" s="4"/>
      <c r="GCD59" s="126"/>
      <c r="GCE59" s="127"/>
      <c r="GCF59" s="121"/>
      <c r="GCG59" s="5"/>
      <c r="GCH59" s="5"/>
      <c r="GCI59" s="124"/>
      <c r="GCJ59" s="121"/>
      <c r="GCK59" s="125"/>
      <c r="GCL59" s="5"/>
      <c r="GCM59" s="117"/>
      <c r="GCN59" s="4"/>
      <c r="GCO59" s="126"/>
      <c r="GCP59" s="127"/>
      <c r="GCQ59" s="121"/>
      <c r="GCR59" s="5"/>
      <c r="GCS59" s="5"/>
      <c r="GCT59" s="124"/>
      <c r="GCU59" s="121"/>
      <c r="GCV59" s="125"/>
      <c r="GCW59" s="5"/>
      <c r="GCX59" s="117"/>
      <c r="GCY59" s="4"/>
      <c r="GCZ59" s="126"/>
      <c r="GDA59" s="127"/>
      <c r="GDB59" s="121"/>
      <c r="GDC59" s="5"/>
      <c r="GDD59" s="5"/>
      <c r="GDE59" s="124"/>
      <c r="GDF59" s="121"/>
      <c r="GDG59" s="125"/>
      <c r="GDH59" s="5"/>
      <c r="GDI59" s="117"/>
      <c r="GDJ59" s="4"/>
      <c r="GDK59" s="126"/>
      <c r="GDL59" s="127"/>
      <c r="GDM59" s="121"/>
      <c r="GDN59" s="5"/>
      <c r="GDO59" s="5"/>
      <c r="GDP59" s="124"/>
      <c r="GDQ59" s="121"/>
      <c r="GDR59" s="125"/>
      <c r="GDS59" s="5"/>
      <c r="GDT59" s="117"/>
      <c r="GDU59" s="4"/>
      <c r="GDV59" s="126"/>
      <c r="GDW59" s="127"/>
      <c r="GDX59" s="121"/>
      <c r="GDY59" s="5"/>
      <c r="GDZ59" s="5"/>
      <c r="GEA59" s="124"/>
      <c r="GEB59" s="121"/>
      <c r="GEC59" s="125"/>
      <c r="GED59" s="5"/>
      <c r="GEE59" s="117"/>
      <c r="GEF59" s="4"/>
      <c r="GEG59" s="126"/>
      <c r="GEH59" s="127"/>
      <c r="GEI59" s="121"/>
      <c r="GEJ59" s="5"/>
      <c r="GEK59" s="5"/>
      <c r="GEL59" s="124"/>
      <c r="GEM59" s="121"/>
      <c r="GEN59" s="125"/>
      <c r="GEO59" s="5"/>
      <c r="GEP59" s="117"/>
      <c r="GEQ59" s="4"/>
      <c r="GER59" s="126"/>
      <c r="GES59" s="127"/>
      <c r="GET59" s="121"/>
      <c r="GEU59" s="5"/>
      <c r="GEV59" s="5"/>
      <c r="GEW59" s="124"/>
      <c r="GEX59" s="121"/>
      <c r="GEY59" s="125"/>
      <c r="GEZ59" s="5"/>
      <c r="GFA59" s="117"/>
      <c r="GFB59" s="4"/>
      <c r="GFC59" s="126"/>
      <c r="GFD59" s="127"/>
      <c r="GFE59" s="121"/>
      <c r="GFF59" s="5"/>
      <c r="GFG59" s="5"/>
      <c r="GFH59" s="124"/>
      <c r="GFI59" s="121"/>
      <c r="GFJ59" s="125"/>
      <c r="GFK59" s="5"/>
      <c r="GFL59" s="117"/>
      <c r="GFM59" s="4"/>
      <c r="GFN59" s="126"/>
      <c r="GFO59" s="127"/>
      <c r="GFP59" s="121"/>
      <c r="GFQ59" s="5"/>
      <c r="GFR59" s="5"/>
      <c r="GFS59" s="124"/>
      <c r="GFT59" s="121"/>
      <c r="GFU59" s="125"/>
      <c r="GFV59" s="5"/>
      <c r="GFW59" s="117"/>
      <c r="GFX59" s="4"/>
      <c r="GFY59" s="126"/>
      <c r="GFZ59" s="127"/>
      <c r="GGA59" s="121"/>
      <c r="GGB59" s="5"/>
      <c r="GGC59" s="5"/>
      <c r="GGD59" s="124"/>
      <c r="GGE59" s="121"/>
      <c r="GGF59" s="125"/>
      <c r="GGG59" s="5"/>
      <c r="GGH59" s="117"/>
      <c r="GGI59" s="4"/>
      <c r="GGJ59" s="126"/>
      <c r="GGK59" s="127"/>
      <c r="GGL59" s="121"/>
      <c r="GGM59" s="5"/>
      <c r="GGN59" s="5"/>
      <c r="GGO59" s="124"/>
      <c r="GGP59" s="121"/>
      <c r="GGQ59" s="125"/>
      <c r="GGR59" s="5"/>
      <c r="GGS59" s="117"/>
      <c r="GGT59" s="4"/>
      <c r="GGU59" s="126"/>
      <c r="GGV59" s="127"/>
      <c r="GGW59" s="121"/>
      <c r="GGX59" s="5"/>
      <c r="GGY59" s="5"/>
      <c r="GGZ59" s="124"/>
      <c r="GHA59" s="121"/>
      <c r="GHB59" s="125"/>
      <c r="GHC59" s="5"/>
      <c r="GHD59" s="117"/>
      <c r="GHE59" s="4"/>
      <c r="GHF59" s="126"/>
      <c r="GHG59" s="127"/>
      <c r="GHH59" s="121"/>
      <c r="GHI59" s="5"/>
      <c r="GHJ59" s="5"/>
      <c r="GHK59" s="124"/>
      <c r="GHL59" s="121"/>
      <c r="GHM59" s="125"/>
      <c r="GHN59" s="5"/>
      <c r="GHO59" s="117"/>
      <c r="GHP59" s="4"/>
      <c r="GHQ59" s="126"/>
      <c r="GHR59" s="127"/>
      <c r="GHS59" s="121"/>
      <c r="GHT59" s="5"/>
      <c r="GHU59" s="5"/>
      <c r="GHV59" s="124"/>
      <c r="GHW59" s="121"/>
      <c r="GHX59" s="125"/>
      <c r="GHY59" s="5"/>
      <c r="GHZ59" s="117"/>
      <c r="GIA59" s="4"/>
      <c r="GIB59" s="126"/>
      <c r="GIC59" s="127"/>
      <c r="GID59" s="121"/>
      <c r="GIE59" s="5"/>
      <c r="GIF59" s="5"/>
      <c r="GIG59" s="124"/>
      <c r="GIH59" s="121"/>
      <c r="GII59" s="125"/>
      <c r="GIJ59" s="5"/>
      <c r="GIK59" s="117"/>
      <c r="GIL59" s="4"/>
      <c r="GIM59" s="126"/>
      <c r="GIN59" s="127"/>
      <c r="GIO59" s="121"/>
      <c r="GIP59" s="5"/>
      <c r="GIQ59" s="5"/>
      <c r="GIR59" s="124"/>
      <c r="GIS59" s="121"/>
      <c r="GIT59" s="125"/>
      <c r="GIU59" s="5"/>
      <c r="GIV59" s="117"/>
      <c r="GIW59" s="4"/>
      <c r="GIX59" s="126"/>
      <c r="GIY59" s="127"/>
      <c r="GIZ59" s="121"/>
      <c r="GJA59" s="5"/>
      <c r="GJB59" s="5"/>
      <c r="GJC59" s="124"/>
      <c r="GJD59" s="121"/>
      <c r="GJE59" s="125"/>
      <c r="GJF59" s="5"/>
      <c r="GJG59" s="117"/>
      <c r="GJH59" s="4"/>
      <c r="GJI59" s="126"/>
      <c r="GJJ59" s="127"/>
      <c r="GJK59" s="121"/>
      <c r="GJL59" s="5"/>
      <c r="GJM59" s="5"/>
      <c r="GJN59" s="124"/>
      <c r="GJO59" s="121"/>
      <c r="GJP59" s="125"/>
      <c r="GJQ59" s="5"/>
      <c r="GJR59" s="117"/>
      <c r="GJS59" s="4"/>
      <c r="GJT59" s="126"/>
      <c r="GJU59" s="127"/>
      <c r="GJV59" s="121"/>
      <c r="GJW59" s="5"/>
      <c r="GJX59" s="5"/>
      <c r="GJY59" s="124"/>
      <c r="GJZ59" s="121"/>
      <c r="GKA59" s="125"/>
      <c r="GKB59" s="5"/>
      <c r="GKC59" s="117"/>
      <c r="GKD59" s="4"/>
      <c r="GKE59" s="126"/>
      <c r="GKF59" s="127"/>
      <c r="GKG59" s="121"/>
      <c r="GKH59" s="5"/>
      <c r="GKI59" s="5"/>
      <c r="GKJ59" s="124"/>
      <c r="GKK59" s="121"/>
      <c r="GKL59" s="125"/>
      <c r="GKM59" s="5"/>
      <c r="GKN59" s="117"/>
      <c r="GKO59" s="4"/>
      <c r="GKP59" s="126"/>
      <c r="GKQ59" s="127"/>
      <c r="GKR59" s="121"/>
      <c r="GKS59" s="5"/>
      <c r="GKT59" s="5"/>
      <c r="GKU59" s="124"/>
      <c r="GKV59" s="121"/>
      <c r="GKW59" s="125"/>
      <c r="GKX59" s="5"/>
      <c r="GKY59" s="117"/>
      <c r="GKZ59" s="4"/>
      <c r="GLA59" s="126"/>
      <c r="GLB59" s="127"/>
      <c r="GLC59" s="121"/>
      <c r="GLD59" s="5"/>
      <c r="GLE59" s="5"/>
      <c r="GLF59" s="124"/>
      <c r="GLG59" s="121"/>
      <c r="GLH59" s="125"/>
      <c r="GLI59" s="5"/>
      <c r="GLJ59" s="117"/>
      <c r="GLK59" s="4"/>
      <c r="GLL59" s="126"/>
      <c r="GLM59" s="127"/>
      <c r="GLN59" s="121"/>
      <c r="GLO59" s="5"/>
      <c r="GLP59" s="5"/>
      <c r="GLQ59" s="124"/>
      <c r="GLR59" s="121"/>
      <c r="GLS59" s="125"/>
      <c r="GLT59" s="5"/>
      <c r="GLU59" s="117"/>
      <c r="GLV59" s="4"/>
      <c r="GLW59" s="126"/>
      <c r="GLX59" s="127"/>
      <c r="GLY59" s="121"/>
      <c r="GLZ59" s="5"/>
      <c r="GMA59" s="5"/>
      <c r="GMB59" s="124"/>
      <c r="GMC59" s="121"/>
      <c r="GMD59" s="125"/>
      <c r="GME59" s="5"/>
      <c r="GMF59" s="117"/>
      <c r="GMG59" s="4"/>
      <c r="GMH59" s="126"/>
      <c r="GMI59" s="127"/>
      <c r="GMJ59" s="121"/>
      <c r="GMK59" s="5"/>
      <c r="GML59" s="5"/>
      <c r="GMM59" s="124"/>
      <c r="GMN59" s="121"/>
      <c r="GMO59" s="125"/>
      <c r="GMP59" s="5"/>
      <c r="GMQ59" s="117"/>
      <c r="GMR59" s="4"/>
      <c r="GMS59" s="126"/>
      <c r="GMT59" s="127"/>
      <c r="GMU59" s="121"/>
      <c r="GMV59" s="5"/>
      <c r="GMW59" s="5"/>
      <c r="GMX59" s="124"/>
      <c r="GMY59" s="121"/>
      <c r="GMZ59" s="125"/>
      <c r="GNA59" s="5"/>
      <c r="GNB59" s="117"/>
      <c r="GNC59" s="4"/>
      <c r="GND59" s="126"/>
      <c r="GNE59" s="127"/>
      <c r="GNF59" s="121"/>
      <c r="GNG59" s="5"/>
      <c r="GNH59" s="5"/>
      <c r="GNI59" s="124"/>
      <c r="GNJ59" s="121"/>
      <c r="GNK59" s="125"/>
      <c r="GNL59" s="5"/>
      <c r="GNM59" s="117"/>
      <c r="GNN59" s="4"/>
      <c r="GNO59" s="126"/>
      <c r="GNP59" s="127"/>
      <c r="GNQ59" s="121"/>
      <c r="GNR59" s="5"/>
      <c r="GNS59" s="5"/>
      <c r="GNT59" s="124"/>
      <c r="GNU59" s="121"/>
      <c r="GNV59" s="125"/>
      <c r="GNW59" s="5"/>
      <c r="GNX59" s="117"/>
      <c r="GNY59" s="4"/>
      <c r="GNZ59" s="126"/>
      <c r="GOA59" s="127"/>
      <c r="GOB59" s="121"/>
      <c r="GOC59" s="5"/>
      <c r="GOD59" s="5"/>
      <c r="GOE59" s="124"/>
      <c r="GOF59" s="121"/>
      <c r="GOG59" s="125"/>
      <c r="GOH59" s="5"/>
      <c r="GOI59" s="117"/>
      <c r="GOJ59" s="4"/>
      <c r="GOK59" s="126"/>
      <c r="GOL59" s="127"/>
      <c r="GOM59" s="121"/>
      <c r="GON59" s="5"/>
      <c r="GOO59" s="5"/>
      <c r="GOP59" s="124"/>
      <c r="GOQ59" s="121"/>
      <c r="GOR59" s="125"/>
      <c r="GOS59" s="5"/>
      <c r="GOT59" s="117"/>
      <c r="GOU59" s="4"/>
      <c r="GOV59" s="126"/>
      <c r="GOW59" s="127"/>
      <c r="GOX59" s="121"/>
      <c r="GOY59" s="5"/>
      <c r="GOZ59" s="5"/>
      <c r="GPA59" s="124"/>
      <c r="GPB59" s="121"/>
      <c r="GPC59" s="125"/>
      <c r="GPD59" s="5"/>
      <c r="GPE59" s="117"/>
      <c r="GPF59" s="4"/>
      <c r="GPG59" s="126"/>
      <c r="GPH59" s="127"/>
      <c r="GPI59" s="121"/>
      <c r="GPJ59" s="5"/>
      <c r="GPK59" s="5"/>
      <c r="GPL59" s="124"/>
      <c r="GPM59" s="121"/>
      <c r="GPN59" s="125"/>
      <c r="GPO59" s="5"/>
      <c r="GPP59" s="117"/>
      <c r="GPQ59" s="4"/>
      <c r="GPR59" s="126"/>
      <c r="GPS59" s="127"/>
      <c r="GPT59" s="121"/>
      <c r="GPU59" s="5"/>
      <c r="GPV59" s="5"/>
      <c r="GPW59" s="124"/>
      <c r="GPX59" s="121"/>
      <c r="GPY59" s="125"/>
      <c r="GPZ59" s="5"/>
      <c r="GQA59" s="117"/>
      <c r="GQB59" s="4"/>
      <c r="GQC59" s="126"/>
      <c r="GQD59" s="127"/>
      <c r="GQE59" s="121"/>
      <c r="GQF59" s="5"/>
      <c r="GQG59" s="5"/>
      <c r="GQH59" s="124"/>
      <c r="GQI59" s="121"/>
      <c r="GQJ59" s="125"/>
      <c r="GQK59" s="5"/>
      <c r="GQL59" s="117"/>
      <c r="GQM59" s="4"/>
      <c r="GQN59" s="126"/>
      <c r="GQO59" s="127"/>
      <c r="GQP59" s="121"/>
      <c r="GQQ59" s="5"/>
      <c r="GQR59" s="5"/>
      <c r="GQS59" s="124"/>
      <c r="GQT59" s="121"/>
      <c r="GQU59" s="125"/>
      <c r="GQV59" s="5"/>
      <c r="GQW59" s="117"/>
      <c r="GQX59" s="4"/>
      <c r="GQY59" s="126"/>
      <c r="GQZ59" s="127"/>
      <c r="GRA59" s="121"/>
      <c r="GRB59" s="5"/>
      <c r="GRC59" s="5"/>
      <c r="GRD59" s="124"/>
      <c r="GRE59" s="121"/>
      <c r="GRF59" s="125"/>
      <c r="GRG59" s="5"/>
      <c r="GRH59" s="117"/>
      <c r="GRI59" s="4"/>
      <c r="GRJ59" s="126"/>
      <c r="GRK59" s="127"/>
      <c r="GRL59" s="121"/>
      <c r="GRM59" s="5"/>
      <c r="GRN59" s="5"/>
      <c r="GRO59" s="124"/>
      <c r="GRP59" s="121"/>
      <c r="GRQ59" s="125"/>
      <c r="GRR59" s="5"/>
      <c r="GRS59" s="117"/>
      <c r="GRT59" s="4"/>
      <c r="GRU59" s="126"/>
      <c r="GRV59" s="127"/>
      <c r="GRW59" s="121"/>
      <c r="GRX59" s="5"/>
      <c r="GRY59" s="5"/>
      <c r="GRZ59" s="124"/>
      <c r="GSA59" s="121"/>
      <c r="GSB59" s="125"/>
      <c r="GSC59" s="5"/>
      <c r="GSD59" s="117"/>
      <c r="GSE59" s="4"/>
      <c r="GSF59" s="126"/>
      <c r="GSG59" s="127"/>
      <c r="GSH59" s="121"/>
      <c r="GSI59" s="5"/>
      <c r="GSJ59" s="5"/>
      <c r="GSK59" s="124"/>
      <c r="GSL59" s="121"/>
      <c r="GSM59" s="125"/>
      <c r="GSN59" s="5"/>
      <c r="GSO59" s="117"/>
      <c r="GSP59" s="4"/>
      <c r="GSQ59" s="126"/>
      <c r="GSR59" s="127"/>
      <c r="GSS59" s="121"/>
      <c r="GST59" s="5"/>
      <c r="GSU59" s="5"/>
      <c r="GSV59" s="124"/>
      <c r="GSW59" s="121"/>
      <c r="GSX59" s="125"/>
      <c r="GSY59" s="5"/>
      <c r="GSZ59" s="117"/>
      <c r="GTA59" s="4"/>
      <c r="GTB59" s="126"/>
      <c r="GTC59" s="127"/>
      <c r="GTD59" s="121"/>
      <c r="GTE59" s="5"/>
      <c r="GTF59" s="5"/>
      <c r="GTG59" s="124"/>
      <c r="GTH59" s="121"/>
      <c r="GTI59" s="125"/>
      <c r="GTJ59" s="5"/>
      <c r="GTK59" s="117"/>
      <c r="GTL59" s="4"/>
      <c r="GTM59" s="126"/>
      <c r="GTN59" s="127"/>
      <c r="GTO59" s="121"/>
      <c r="GTP59" s="5"/>
      <c r="GTQ59" s="5"/>
      <c r="GTR59" s="124"/>
      <c r="GTS59" s="121"/>
      <c r="GTT59" s="125"/>
      <c r="GTU59" s="5"/>
      <c r="GTV59" s="117"/>
      <c r="GTW59" s="4"/>
      <c r="GTX59" s="126"/>
      <c r="GTY59" s="127"/>
      <c r="GTZ59" s="121"/>
      <c r="GUA59" s="5"/>
      <c r="GUB59" s="5"/>
      <c r="GUC59" s="124"/>
      <c r="GUD59" s="121"/>
      <c r="GUE59" s="125"/>
      <c r="GUF59" s="5"/>
      <c r="GUG59" s="117"/>
      <c r="GUH59" s="4"/>
      <c r="GUI59" s="126"/>
      <c r="GUJ59" s="127"/>
      <c r="GUK59" s="121"/>
      <c r="GUL59" s="5"/>
      <c r="GUM59" s="5"/>
      <c r="GUN59" s="124"/>
      <c r="GUO59" s="121"/>
      <c r="GUP59" s="125"/>
      <c r="GUQ59" s="5"/>
      <c r="GUR59" s="117"/>
      <c r="GUS59" s="4"/>
      <c r="GUT59" s="126"/>
      <c r="GUU59" s="127"/>
      <c r="GUV59" s="121"/>
      <c r="GUW59" s="5"/>
      <c r="GUX59" s="5"/>
      <c r="GUY59" s="124"/>
      <c r="GUZ59" s="121"/>
      <c r="GVA59" s="125"/>
      <c r="GVB59" s="5"/>
      <c r="GVC59" s="117"/>
      <c r="GVD59" s="4"/>
      <c r="GVE59" s="126"/>
      <c r="GVF59" s="127"/>
      <c r="GVG59" s="121"/>
      <c r="GVH59" s="5"/>
      <c r="GVI59" s="5"/>
      <c r="GVJ59" s="124"/>
      <c r="GVK59" s="121"/>
      <c r="GVL59" s="125"/>
      <c r="GVM59" s="5"/>
      <c r="GVN59" s="117"/>
      <c r="GVO59" s="4"/>
      <c r="GVP59" s="126"/>
      <c r="GVQ59" s="127"/>
      <c r="GVR59" s="121"/>
      <c r="GVS59" s="5"/>
      <c r="GVT59" s="5"/>
      <c r="GVU59" s="124"/>
      <c r="GVV59" s="121"/>
      <c r="GVW59" s="125"/>
      <c r="GVX59" s="5"/>
      <c r="GVY59" s="117"/>
      <c r="GVZ59" s="4"/>
      <c r="GWA59" s="126"/>
      <c r="GWB59" s="127"/>
      <c r="GWC59" s="121"/>
      <c r="GWD59" s="5"/>
      <c r="GWE59" s="5"/>
      <c r="GWF59" s="124"/>
      <c r="GWG59" s="121"/>
      <c r="GWH59" s="125"/>
      <c r="GWI59" s="5"/>
      <c r="GWJ59" s="117"/>
      <c r="GWK59" s="4"/>
      <c r="GWL59" s="126"/>
      <c r="GWM59" s="127"/>
      <c r="GWN59" s="121"/>
      <c r="GWO59" s="5"/>
      <c r="GWP59" s="5"/>
      <c r="GWQ59" s="124"/>
      <c r="GWR59" s="121"/>
      <c r="GWS59" s="125"/>
      <c r="GWT59" s="5"/>
      <c r="GWU59" s="117"/>
      <c r="GWV59" s="4"/>
      <c r="GWW59" s="126"/>
      <c r="GWX59" s="127"/>
      <c r="GWY59" s="121"/>
      <c r="GWZ59" s="5"/>
      <c r="GXA59" s="5"/>
      <c r="GXB59" s="124"/>
      <c r="GXC59" s="121"/>
      <c r="GXD59" s="125"/>
      <c r="GXE59" s="5"/>
      <c r="GXF59" s="117"/>
      <c r="GXG59" s="4"/>
      <c r="GXH59" s="126"/>
      <c r="GXI59" s="127"/>
      <c r="GXJ59" s="121"/>
      <c r="GXK59" s="5"/>
      <c r="GXL59" s="5"/>
      <c r="GXM59" s="124"/>
      <c r="GXN59" s="121"/>
      <c r="GXO59" s="125"/>
      <c r="GXP59" s="5"/>
      <c r="GXQ59" s="117"/>
      <c r="GXR59" s="4"/>
      <c r="GXS59" s="126"/>
      <c r="GXT59" s="127"/>
      <c r="GXU59" s="121"/>
      <c r="GXV59" s="5"/>
      <c r="GXW59" s="5"/>
      <c r="GXX59" s="124"/>
      <c r="GXY59" s="121"/>
      <c r="GXZ59" s="125"/>
      <c r="GYA59" s="5"/>
      <c r="GYB59" s="117"/>
      <c r="GYC59" s="4"/>
      <c r="GYD59" s="126"/>
      <c r="GYE59" s="127"/>
      <c r="GYF59" s="121"/>
      <c r="GYG59" s="5"/>
      <c r="GYH59" s="5"/>
      <c r="GYI59" s="124"/>
      <c r="GYJ59" s="121"/>
      <c r="GYK59" s="125"/>
      <c r="GYL59" s="5"/>
      <c r="GYM59" s="117"/>
      <c r="GYN59" s="4"/>
      <c r="GYO59" s="126"/>
      <c r="GYP59" s="127"/>
      <c r="GYQ59" s="121"/>
      <c r="GYR59" s="5"/>
      <c r="GYS59" s="5"/>
      <c r="GYT59" s="124"/>
      <c r="GYU59" s="121"/>
      <c r="GYV59" s="125"/>
      <c r="GYW59" s="5"/>
      <c r="GYX59" s="117"/>
      <c r="GYY59" s="4"/>
      <c r="GYZ59" s="126"/>
      <c r="GZA59" s="127"/>
      <c r="GZB59" s="121"/>
      <c r="GZC59" s="5"/>
      <c r="GZD59" s="5"/>
      <c r="GZE59" s="124"/>
      <c r="GZF59" s="121"/>
      <c r="GZG59" s="125"/>
      <c r="GZH59" s="5"/>
      <c r="GZI59" s="117"/>
      <c r="GZJ59" s="4"/>
      <c r="GZK59" s="126"/>
      <c r="GZL59" s="127"/>
      <c r="GZM59" s="121"/>
      <c r="GZN59" s="5"/>
      <c r="GZO59" s="5"/>
      <c r="GZP59" s="124"/>
      <c r="GZQ59" s="121"/>
      <c r="GZR59" s="125"/>
      <c r="GZS59" s="5"/>
      <c r="GZT59" s="117"/>
      <c r="GZU59" s="4"/>
      <c r="GZV59" s="126"/>
      <c r="GZW59" s="127"/>
      <c r="GZX59" s="121"/>
      <c r="GZY59" s="5"/>
      <c r="GZZ59" s="5"/>
      <c r="HAA59" s="124"/>
      <c r="HAB59" s="121"/>
      <c r="HAC59" s="125"/>
      <c r="HAD59" s="5"/>
      <c r="HAE59" s="117"/>
      <c r="HAF59" s="4"/>
      <c r="HAG59" s="126"/>
      <c r="HAH59" s="127"/>
      <c r="HAI59" s="121"/>
      <c r="HAJ59" s="5"/>
      <c r="HAK59" s="5"/>
      <c r="HAL59" s="124"/>
      <c r="HAM59" s="121"/>
      <c r="HAN59" s="125"/>
      <c r="HAO59" s="5"/>
      <c r="HAP59" s="117"/>
      <c r="HAQ59" s="4"/>
      <c r="HAR59" s="126"/>
      <c r="HAS59" s="127"/>
      <c r="HAT59" s="121"/>
      <c r="HAU59" s="5"/>
      <c r="HAV59" s="5"/>
      <c r="HAW59" s="124"/>
      <c r="HAX59" s="121"/>
      <c r="HAY59" s="125"/>
      <c r="HAZ59" s="5"/>
      <c r="HBA59" s="117"/>
      <c r="HBB59" s="4"/>
      <c r="HBC59" s="126"/>
      <c r="HBD59" s="127"/>
      <c r="HBE59" s="121"/>
      <c r="HBF59" s="5"/>
      <c r="HBG59" s="5"/>
      <c r="HBH59" s="124"/>
      <c r="HBI59" s="121"/>
      <c r="HBJ59" s="125"/>
      <c r="HBK59" s="5"/>
      <c r="HBL59" s="117"/>
      <c r="HBM59" s="4"/>
      <c r="HBN59" s="126"/>
      <c r="HBO59" s="127"/>
      <c r="HBP59" s="121"/>
      <c r="HBQ59" s="5"/>
      <c r="HBR59" s="5"/>
      <c r="HBS59" s="124"/>
      <c r="HBT59" s="121"/>
      <c r="HBU59" s="125"/>
      <c r="HBV59" s="5"/>
      <c r="HBW59" s="117"/>
      <c r="HBX59" s="4"/>
      <c r="HBY59" s="126"/>
      <c r="HBZ59" s="127"/>
      <c r="HCA59" s="121"/>
      <c r="HCB59" s="5"/>
      <c r="HCC59" s="5"/>
      <c r="HCD59" s="124"/>
      <c r="HCE59" s="121"/>
      <c r="HCF59" s="125"/>
      <c r="HCG59" s="5"/>
      <c r="HCH59" s="117"/>
      <c r="HCI59" s="4"/>
      <c r="HCJ59" s="126"/>
      <c r="HCK59" s="127"/>
      <c r="HCL59" s="121"/>
      <c r="HCM59" s="5"/>
      <c r="HCN59" s="5"/>
      <c r="HCO59" s="124"/>
      <c r="HCP59" s="121"/>
      <c r="HCQ59" s="125"/>
      <c r="HCR59" s="5"/>
      <c r="HCS59" s="117"/>
      <c r="HCT59" s="4"/>
      <c r="HCU59" s="126"/>
      <c r="HCV59" s="127"/>
      <c r="HCW59" s="121"/>
      <c r="HCX59" s="5"/>
      <c r="HCY59" s="5"/>
      <c r="HCZ59" s="124"/>
      <c r="HDA59" s="121"/>
      <c r="HDB59" s="125"/>
      <c r="HDC59" s="5"/>
      <c r="HDD59" s="117"/>
      <c r="HDE59" s="4"/>
      <c r="HDF59" s="126"/>
      <c r="HDG59" s="127"/>
      <c r="HDH59" s="121"/>
      <c r="HDI59" s="5"/>
      <c r="HDJ59" s="5"/>
      <c r="HDK59" s="124"/>
      <c r="HDL59" s="121"/>
      <c r="HDM59" s="125"/>
      <c r="HDN59" s="5"/>
      <c r="HDO59" s="117"/>
      <c r="HDP59" s="4"/>
      <c r="HDQ59" s="126"/>
      <c r="HDR59" s="127"/>
      <c r="HDS59" s="121"/>
      <c r="HDT59" s="5"/>
      <c r="HDU59" s="5"/>
      <c r="HDV59" s="124"/>
      <c r="HDW59" s="121"/>
      <c r="HDX59" s="125"/>
      <c r="HDY59" s="5"/>
      <c r="HDZ59" s="117"/>
      <c r="HEA59" s="4"/>
      <c r="HEB59" s="126"/>
      <c r="HEC59" s="127"/>
      <c r="HED59" s="121"/>
      <c r="HEE59" s="5"/>
      <c r="HEF59" s="5"/>
      <c r="HEG59" s="124"/>
      <c r="HEH59" s="121"/>
      <c r="HEI59" s="125"/>
      <c r="HEJ59" s="5"/>
      <c r="HEK59" s="117"/>
      <c r="HEL59" s="4"/>
      <c r="HEM59" s="126"/>
      <c r="HEN59" s="127"/>
      <c r="HEO59" s="121"/>
      <c r="HEP59" s="5"/>
      <c r="HEQ59" s="5"/>
      <c r="HER59" s="124"/>
      <c r="HES59" s="121"/>
      <c r="HET59" s="125"/>
      <c r="HEU59" s="5"/>
      <c r="HEV59" s="117"/>
      <c r="HEW59" s="4"/>
      <c r="HEX59" s="126"/>
      <c r="HEY59" s="127"/>
      <c r="HEZ59" s="121"/>
      <c r="HFA59" s="5"/>
      <c r="HFB59" s="5"/>
      <c r="HFC59" s="124"/>
      <c r="HFD59" s="121"/>
      <c r="HFE59" s="125"/>
      <c r="HFF59" s="5"/>
      <c r="HFG59" s="117"/>
      <c r="HFH59" s="4"/>
      <c r="HFI59" s="126"/>
      <c r="HFJ59" s="127"/>
      <c r="HFK59" s="121"/>
      <c r="HFL59" s="5"/>
      <c r="HFM59" s="5"/>
      <c r="HFN59" s="124"/>
      <c r="HFO59" s="121"/>
      <c r="HFP59" s="125"/>
      <c r="HFQ59" s="5"/>
      <c r="HFR59" s="117"/>
      <c r="HFS59" s="4"/>
      <c r="HFT59" s="126"/>
      <c r="HFU59" s="127"/>
      <c r="HFV59" s="121"/>
      <c r="HFW59" s="5"/>
      <c r="HFX59" s="5"/>
      <c r="HFY59" s="124"/>
      <c r="HFZ59" s="121"/>
      <c r="HGA59" s="125"/>
      <c r="HGB59" s="5"/>
      <c r="HGC59" s="117"/>
      <c r="HGD59" s="4"/>
      <c r="HGE59" s="126"/>
      <c r="HGF59" s="127"/>
      <c r="HGG59" s="121"/>
      <c r="HGH59" s="5"/>
      <c r="HGI59" s="5"/>
      <c r="HGJ59" s="124"/>
      <c r="HGK59" s="121"/>
      <c r="HGL59" s="125"/>
      <c r="HGM59" s="5"/>
      <c r="HGN59" s="117"/>
      <c r="HGO59" s="4"/>
      <c r="HGP59" s="126"/>
      <c r="HGQ59" s="127"/>
      <c r="HGR59" s="121"/>
      <c r="HGS59" s="5"/>
      <c r="HGT59" s="5"/>
      <c r="HGU59" s="124"/>
      <c r="HGV59" s="121"/>
      <c r="HGW59" s="125"/>
      <c r="HGX59" s="5"/>
      <c r="HGY59" s="117"/>
      <c r="HGZ59" s="4"/>
      <c r="HHA59" s="126"/>
      <c r="HHB59" s="127"/>
      <c r="HHC59" s="121"/>
      <c r="HHD59" s="5"/>
      <c r="HHE59" s="5"/>
      <c r="HHF59" s="124"/>
      <c r="HHG59" s="121"/>
      <c r="HHH59" s="125"/>
      <c r="HHI59" s="5"/>
      <c r="HHJ59" s="117"/>
      <c r="HHK59" s="4"/>
      <c r="HHL59" s="126"/>
      <c r="HHM59" s="127"/>
      <c r="HHN59" s="121"/>
      <c r="HHO59" s="5"/>
      <c r="HHP59" s="5"/>
      <c r="HHQ59" s="124"/>
      <c r="HHR59" s="121"/>
      <c r="HHS59" s="125"/>
      <c r="HHT59" s="5"/>
      <c r="HHU59" s="117"/>
      <c r="HHV59" s="4"/>
      <c r="HHW59" s="126"/>
      <c r="HHX59" s="127"/>
      <c r="HHY59" s="121"/>
      <c r="HHZ59" s="5"/>
      <c r="HIA59" s="5"/>
      <c r="HIB59" s="124"/>
      <c r="HIC59" s="121"/>
      <c r="HID59" s="125"/>
      <c r="HIE59" s="5"/>
      <c r="HIF59" s="117"/>
      <c r="HIG59" s="4"/>
      <c r="HIH59" s="126"/>
      <c r="HII59" s="127"/>
      <c r="HIJ59" s="121"/>
      <c r="HIK59" s="5"/>
      <c r="HIL59" s="5"/>
      <c r="HIM59" s="124"/>
      <c r="HIN59" s="121"/>
      <c r="HIO59" s="125"/>
      <c r="HIP59" s="5"/>
      <c r="HIQ59" s="117"/>
      <c r="HIR59" s="4"/>
      <c r="HIS59" s="126"/>
      <c r="HIT59" s="127"/>
      <c r="HIU59" s="121"/>
      <c r="HIV59" s="5"/>
      <c r="HIW59" s="5"/>
      <c r="HIX59" s="124"/>
      <c r="HIY59" s="121"/>
      <c r="HIZ59" s="125"/>
      <c r="HJA59" s="5"/>
      <c r="HJB59" s="117"/>
      <c r="HJC59" s="4"/>
      <c r="HJD59" s="126"/>
      <c r="HJE59" s="127"/>
      <c r="HJF59" s="121"/>
      <c r="HJG59" s="5"/>
      <c r="HJH59" s="5"/>
      <c r="HJI59" s="124"/>
      <c r="HJJ59" s="121"/>
      <c r="HJK59" s="125"/>
      <c r="HJL59" s="5"/>
      <c r="HJM59" s="117"/>
      <c r="HJN59" s="4"/>
      <c r="HJO59" s="126"/>
      <c r="HJP59" s="127"/>
      <c r="HJQ59" s="121"/>
      <c r="HJR59" s="5"/>
      <c r="HJS59" s="5"/>
      <c r="HJT59" s="124"/>
      <c r="HJU59" s="121"/>
      <c r="HJV59" s="125"/>
      <c r="HJW59" s="5"/>
      <c r="HJX59" s="117"/>
      <c r="HJY59" s="4"/>
      <c r="HJZ59" s="126"/>
      <c r="HKA59" s="127"/>
      <c r="HKB59" s="121"/>
      <c r="HKC59" s="5"/>
      <c r="HKD59" s="5"/>
      <c r="HKE59" s="124"/>
      <c r="HKF59" s="121"/>
      <c r="HKG59" s="125"/>
      <c r="HKH59" s="5"/>
      <c r="HKI59" s="117"/>
      <c r="HKJ59" s="4"/>
      <c r="HKK59" s="126"/>
      <c r="HKL59" s="127"/>
      <c r="HKM59" s="121"/>
      <c r="HKN59" s="5"/>
      <c r="HKO59" s="5"/>
      <c r="HKP59" s="124"/>
      <c r="HKQ59" s="121"/>
      <c r="HKR59" s="125"/>
      <c r="HKS59" s="5"/>
      <c r="HKT59" s="117"/>
      <c r="HKU59" s="4"/>
      <c r="HKV59" s="126"/>
      <c r="HKW59" s="127"/>
      <c r="HKX59" s="121"/>
      <c r="HKY59" s="5"/>
      <c r="HKZ59" s="5"/>
      <c r="HLA59" s="124"/>
      <c r="HLB59" s="121"/>
      <c r="HLC59" s="125"/>
      <c r="HLD59" s="5"/>
      <c r="HLE59" s="117"/>
      <c r="HLF59" s="4"/>
      <c r="HLG59" s="126"/>
      <c r="HLH59" s="127"/>
      <c r="HLI59" s="121"/>
      <c r="HLJ59" s="5"/>
      <c r="HLK59" s="5"/>
      <c r="HLL59" s="124"/>
      <c r="HLM59" s="121"/>
      <c r="HLN59" s="125"/>
      <c r="HLO59" s="5"/>
      <c r="HLP59" s="117"/>
      <c r="HLQ59" s="4"/>
      <c r="HLR59" s="126"/>
      <c r="HLS59" s="127"/>
      <c r="HLT59" s="121"/>
      <c r="HLU59" s="5"/>
      <c r="HLV59" s="5"/>
      <c r="HLW59" s="124"/>
      <c r="HLX59" s="121"/>
      <c r="HLY59" s="125"/>
      <c r="HLZ59" s="5"/>
      <c r="HMA59" s="117"/>
      <c r="HMB59" s="4"/>
      <c r="HMC59" s="126"/>
      <c r="HMD59" s="127"/>
      <c r="HME59" s="121"/>
      <c r="HMF59" s="5"/>
      <c r="HMG59" s="5"/>
      <c r="HMH59" s="124"/>
      <c r="HMI59" s="121"/>
      <c r="HMJ59" s="125"/>
      <c r="HMK59" s="5"/>
      <c r="HML59" s="117"/>
      <c r="HMM59" s="4"/>
      <c r="HMN59" s="126"/>
      <c r="HMO59" s="127"/>
      <c r="HMP59" s="121"/>
      <c r="HMQ59" s="5"/>
      <c r="HMR59" s="5"/>
      <c r="HMS59" s="124"/>
      <c r="HMT59" s="121"/>
      <c r="HMU59" s="125"/>
      <c r="HMV59" s="5"/>
      <c r="HMW59" s="117"/>
      <c r="HMX59" s="4"/>
      <c r="HMY59" s="126"/>
      <c r="HMZ59" s="127"/>
      <c r="HNA59" s="121"/>
      <c r="HNB59" s="5"/>
      <c r="HNC59" s="5"/>
      <c r="HND59" s="124"/>
      <c r="HNE59" s="121"/>
      <c r="HNF59" s="125"/>
      <c r="HNG59" s="5"/>
      <c r="HNH59" s="117"/>
      <c r="HNI59" s="4"/>
      <c r="HNJ59" s="126"/>
      <c r="HNK59" s="127"/>
      <c r="HNL59" s="121"/>
      <c r="HNM59" s="5"/>
      <c r="HNN59" s="5"/>
      <c r="HNO59" s="124"/>
      <c r="HNP59" s="121"/>
      <c r="HNQ59" s="125"/>
      <c r="HNR59" s="5"/>
      <c r="HNS59" s="117"/>
      <c r="HNT59" s="4"/>
      <c r="HNU59" s="126"/>
      <c r="HNV59" s="127"/>
      <c r="HNW59" s="121"/>
      <c r="HNX59" s="5"/>
      <c r="HNY59" s="5"/>
      <c r="HNZ59" s="124"/>
      <c r="HOA59" s="121"/>
      <c r="HOB59" s="125"/>
      <c r="HOC59" s="5"/>
      <c r="HOD59" s="117"/>
      <c r="HOE59" s="4"/>
      <c r="HOF59" s="126"/>
      <c r="HOG59" s="127"/>
      <c r="HOH59" s="121"/>
      <c r="HOI59" s="5"/>
      <c r="HOJ59" s="5"/>
      <c r="HOK59" s="124"/>
      <c r="HOL59" s="121"/>
      <c r="HOM59" s="125"/>
      <c r="HON59" s="5"/>
      <c r="HOO59" s="117"/>
      <c r="HOP59" s="4"/>
      <c r="HOQ59" s="126"/>
      <c r="HOR59" s="127"/>
      <c r="HOS59" s="121"/>
      <c r="HOT59" s="5"/>
      <c r="HOU59" s="5"/>
      <c r="HOV59" s="124"/>
      <c r="HOW59" s="121"/>
      <c r="HOX59" s="125"/>
      <c r="HOY59" s="5"/>
      <c r="HOZ59" s="117"/>
      <c r="HPA59" s="4"/>
      <c r="HPB59" s="126"/>
      <c r="HPC59" s="127"/>
      <c r="HPD59" s="121"/>
      <c r="HPE59" s="5"/>
      <c r="HPF59" s="5"/>
      <c r="HPG59" s="124"/>
      <c r="HPH59" s="121"/>
      <c r="HPI59" s="125"/>
      <c r="HPJ59" s="5"/>
      <c r="HPK59" s="117"/>
      <c r="HPL59" s="4"/>
      <c r="HPM59" s="126"/>
      <c r="HPN59" s="127"/>
      <c r="HPO59" s="121"/>
      <c r="HPP59" s="5"/>
      <c r="HPQ59" s="5"/>
      <c r="HPR59" s="124"/>
      <c r="HPS59" s="121"/>
      <c r="HPT59" s="125"/>
      <c r="HPU59" s="5"/>
      <c r="HPV59" s="117"/>
      <c r="HPW59" s="4"/>
      <c r="HPX59" s="126"/>
      <c r="HPY59" s="127"/>
      <c r="HPZ59" s="121"/>
      <c r="HQA59" s="5"/>
      <c r="HQB59" s="5"/>
      <c r="HQC59" s="124"/>
      <c r="HQD59" s="121"/>
      <c r="HQE59" s="125"/>
      <c r="HQF59" s="5"/>
      <c r="HQG59" s="117"/>
      <c r="HQH59" s="4"/>
      <c r="HQI59" s="126"/>
      <c r="HQJ59" s="127"/>
      <c r="HQK59" s="121"/>
      <c r="HQL59" s="5"/>
      <c r="HQM59" s="5"/>
      <c r="HQN59" s="124"/>
      <c r="HQO59" s="121"/>
      <c r="HQP59" s="125"/>
      <c r="HQQ59" s="5"/>
      <c r="HQR59" s="117"/>
      <c r="HQS59" s="4"/>
      <c r="HQT59" s="126"/>
      <c r="HQU59" s="127"/>
      <c r="HQV59" s="121"/>
      <c r="HQW59" s="5"/>
      <c r="HQX59" s="5"/>
      <c r="HQY59" s="124"/>
      <c r="HQZ59" s="121"/>
      <c r="HRA59" s="125"/>
      <c r="HRB59" s="5"/>
      <c r="HRC59" s="117"/>
      <c r="HRD59" s="4"/>
      <c r="HRE59" s="126"/>
      <c r="HRF59" s="127"/>
      <c r="HRG59" s="121"/>
      <c r="HRH59" s="5"/>
      <c r="HRI59" s="5"/>
      <c r="HRJ59" s="124"/>
      <c r="HRK59" s="121"/>
      <c r="HRL59" s="125"/>
      <c r="HRM59" s="5"/>
      <c r="HRN59" s="117"/>
      <c r="HRO59" s="4"/>
      <c r="HRP59" s="126"/>
      <c r="HRQ59" s="127"/>
      <c r="HRR59" s="121"/>
      <c r="HRS59" s="5"/>
      <c r="HRT59" s="5"/>
      <c r="HRU59" s="124"/>
      <c r="HRV59" s="121"/>
      <c r="HRW59" s="125"/>
      <c r="HRX59" s="5"/>
      <c r="HRY59" s="117"/>
      <c r="HRZ59" s="4"/>
      <c r="HSA59" s="126"/>
      <c r="HSB59" s="127"/>
      <c r="HSC59" s="121"/>
      <c r="HSD59" s="5"/>
      <c r="HSE59" s="5"/>
      <c r="HSF59" s="124"/>
      <c r="HSG59" s="121"/>
      <c r="HSH59" s="125"/>
      <c r="HSI59" s="5"/>
      <c r="HSJ59" s="117"/>
      <c r="HSK59" s="4"/>
      <c r="HSL59" s="126"/>
      <c r="HSM59" s="127"/>
      <c r="HSN59" s="121"/>
      <c r="HSO59" s="5"/>
      <c r="HSP59" s="5"/>
      <c r="HSQ59" s="124"/>
      <c r="HSR59" s="121"/>
      <c r="HSS59" s="125"/>
      <c r="HST59" s="5"/>
      <c r="HSU59" s="117"/>
      <c r="HSV59" s="4"/>
      <c r="HSW59" s="126"/>
      <c r="HSX59" s="127"/>
      <c r="HSY59" s="121"/>
      <c r="HSZ59" s="5"/>
      <c r="HTA59" s="5"/>
      <c r="HTB59" s="124"/>
      <c r="HTC59" s="121"/>
      <c r="HTD59" s="125"/>
      <c r="HTE59" s="5"/>
      <c r="HTF59" s="117"/>
      <c r="HTG59" s="4"/>
      <c r="HTH59" s="126"/>
      <c r="HTI59" s="127"/>
      <c r="HTJ59" s="121"/>
      <c r="HTK59" s="5"/>
      <c r="HTL59" s="5"/>
      <c r="HTM59" s="124"/>
      <c r="HTN59" s="121"/>
      <c r="HTO59" s="125"/>
      <c r="HTP59" s="5"/>
      <c r="HTQ59" s="117"/>
      <c r="HTR59" s="4"/>
      <c r="HTS59" s="126"/>
      <c r="HTT59" s="127"/>
      <c r="HTU59" s="121"/>
      <c r="HTV59" s="5"/>
      <c r="HTW59" s="5"/>
      <c r="HTX59" s="124"/>
      <c r="HTY59" s="121"/>
      <c r="HTZ59" s="125"/>
      <c r="HUA59" s="5"/>
      <c r="HUB59" s="117"/>
      <c r="HUC59" s="4"/>
      <c r="HUD59" s="126"/>
      <c r="HUE59" s="127"/>
      <c r="HUF59" s="121"/>
      <c r="HUG59" s="5"/>
      <c r="HUH59" s="5"/>
      <c r="HUI59" s="124"/>
      <c r="HUJ59" s="121"/>
      <c r="HUK59" s="125"/>
      <c r="HUL59" s="5"/>
      <c r="HUM59" s="117"/>
      <c r="HUN59" s="4"/>
      <c r="HUO59" s="126"/>
      <c r="HUP59" s="127"/>
      <c r="HUQ59" s="121"/>
      <c r="HUR59" s="5"/>
      <c r="HUS59" s="5"/>
      <c r="HUT59" s="124"/>
      <c r="HUU59" s="121"/>
      <c r="HUV59" s="125"/>
      <c r="HUW59" s="5"/>
      <c r="HUX59" s="117"/>
      <c r="HUY59" s="4"/>
      <c r="HUZ59" s="126"/>
      <c r="HVA59" s="127"/>
      <c r="HVB59" s="121"/>
      <c r="HVC59" s="5"/>
      <c r="HVD59" s="5"/>
      <c r="HVE59" s="124"/>
      <c r="HVF59" s="121"/>
      <c r="HVG59" s="125"/>
      <c r="HVH59" s="5"/>
      <c r="HVI59" s="117"/>
      <c r="HVJ59" s="4"/>
      <c r="HVK59" s="126"/>
      <c r="HVL59" s="127"/>
      <c r="HVM59" s="121"/>
      <c r="HVN59" s="5"/>
      <c r="HVO59" s="5"/>
      <c r="HVP59" s="124"/>
      <c r="HVQ59" s="121"/>
      <c r="HVR59" s="125"/>
      <c r="HVS59" s="5"/>
      <c r="HVT59" s="117"/>
      <c r="HVU59" s="4"/>
      <c r="HVV59" s="126"/>
      <c r="HVW59" s="127"/>
      <c r="HVX59" s="121"/>
      <c r="HVY59" s="5"/>
      <c r="HVZ59" s="5"/>
      <c r="HWA59" s="124"/>
      <c r="HWB59" s="121"/>
      <c r="HWC59" s="125"/>
      <c r="HWD59" s="5"/>
      <c r="HWE59" s="117"/>
      <c r="HWF59" s="4"/>
      <c r="HWG59" s="126"/>
      <c r="HWH59" s="127"/>
      <c r="HWI59" s="121"/>
      <c r="HWJ59" s="5"/>
      <c r="HWK59" s="5"/>
      <c r="HWL59" s="124"/>
      <c r="HWM59" s="121"/>
      <c r="HWN59" s="125"/>
      <c r="HWO59" s="5"/>
      <c r="HWP59" s="117"/>
      <c r="HWQ59" s="4"/>
      <c r="HWR59" s="126"/>
      <c r="HWS59" s="127"/>
      <c r="HWT59" s="121"/>
      <c r="HWU59" s="5"/>
      <c r="HWV59" s="5"/>
      <c r="HWW59" s="124"/>
      <c r="HWX59" s="121"/>
      <c r="HWY59" s="125"/>
      <c r="HWZ59" s="5"/>
      <c r="HXA59" s="117"/>
      <c r="HXB59" s="4"/>
      <c r="HXC59" s="126"/>
      <c r="HXD59" s="127"/>
      <c r="HXE59" s="121"/>
      <c r="HXF59" s="5"/>
      <c r="HXG59" s="5"/>
      <c r="HXH59" s="124"/>
      <c r="HXI59" s="121"/>
      <c r="HXJ59" s="125"/>
      <c r="HXK59" s="5"/>
      <c r="HXL59" s="117"/>
      <c r="HXM59" s="4"/>
      <c r="HXN59" s="126"/>
      <c r="HXO59" s="127"/>
      <c r="HXP59" s="121"/>
      <c r="HXQ59" s="5"/>
      <c r="HXR59" s="5"/>
      <c r="HXS59" s="124"/>
      <c r="HXT59" s="121"/>
      <c r="HXU59" s="125"/>
      <c r="HXV59" s="5"/>
      <c r="HXW59" s="117"/>
      <c r="HXX59" s="4"/>
      <c r="HXY59" s="126"/>
      <c r="HXZ59" s="127"/>
      <c r="HYA59" s="121"/>
      <c r="HYB59" s="5"/>
      <c r="HYC59" s="5"/>
      <c r="HYD59" s="124"/>
      <c r="HYE59" s="121"/>
      <c r="HYF59" s="125"/>
      <c r="HYG59" s="5"/>
      <c r="HYH59" s="117"/>
      <c r="HYI59" s="4"/>
      <c r="HYJ59" s="126"/>
      <c r="HYK59" s="127"/>
      <c r="HYL59" s="121"/>
      <c r="HYM59" s="5"/>
      <c r="HYN59" s="5"/>
      <c r="HYO59" s="124"/>
      <c r="HYP59" s="121"/>
      <c r="HYQ59" s="125"/>
      <c r="HYR59" s="5"/>
      <c r="HYS59" s="117"/>
      <c r="HYT59" s="4"/>
      <c r="HYU59" s="126"/>
      <c r="HYV59" s="127"/>
      <c r="HYW59" s="121"/>
      <c r="HYX59" s="5"/>
      <c r="HYY59" s="5"/>
      <c r="HYZ59" s="124"/>
      <c r="HZA59" s="121"/>
      <c r="HZB59" s="125"/>
      <c r="HZC59" s="5"/>
      <c r="HZD59" s="117"/>
      <c r="HZE59" s="4"/>
      <c r="HZF59" s="126"/>
      <c r="HZG59" s="127"/>
      <c r="HZH59" s="121"/>
      <c r="HZI59" s="5"/>
      <c r="HZJ59" s="5"/>
      <c r="HZK59" s="124"/>
      <c r="HZL59" s="121"/>
      <c r="HZM59" s="125"/>
      <c r="HZN59" s="5"/>
      <c r="HZO59" s="117"/>
      <c r="HZP59" s="4"/>
      <c r="HZQ59" s="126"/>
      <c r="HZR59" s="127"/>
      <c r="HZS59" s="121"/>
      <c r="HZT59" s="5"/>
      <c r="HZU59" s="5"/>
      <c r="HZV59" s="124"/>
      <c r="HZW59" s="121"/>
      <c r="HZX59" s="125"/>
      <c r="HZY59" s="5"/>
      <c r="HZZ59" s="117"/>
      <c r="IAA59" s="4"/>
      <c r="IAB59" s="126"/>
      <c r="IAC59" s="127"/>
      <c r="IAD59" s="121"/>
      <c r="IAE59" s="5"/>
      <c r="IAF59" s="5"/>
      <c r="IAG59" s="124"/>
      <c r="IAH59" s="121"/>
      <c r="IAI59" s="125"/>
      <c r="IAJ59" s="5"/>
      <c r="IAK59" s="117"/>
      <c r="IAL59" s="4"/>
      <c r="IAM59" s="126"/>
      <c r="IAN59" s="127"/>
      <c r="IAO59" s="121"/>
      <c r="IAP59" s="5"/>
      <c r="IAQ59" s="5"/>
      <c r="IAR59" s="124"/>
      <c r="IAS59" s="121"/>
      <c r="IAT59" s="125"/>
      <c r="IAU59" s="5"/>
      <c r="IAV59" s="117"/>
      <c r="IAW59" s="4"/>
      <c r="IAX59" s="126"/>
      <c r="IAY59" s="127"/>
      <c r="IAZ59" s="121"/>
      <c r="IBA59" s="5"/>
      <c r="IBB59" s="5"/>
      <c r="IBC59" s="124"/>
      <c r="IBD59" s="121"/>
      <c r="IBE59" s="125"/>
      <c r="IBF59" s="5"/>
      <c r="IBG59" s="117"/>
      <c r="IBH59" s="4"/>
      <c r="IBI59" s="126"/>
      <c r="IBJ59" s="127"/>
      <c r="IBK59" s="121"/>
      <c r="IBL59" s="5"/>
      <c r="IBM59" s="5"/>
      <c r="IBN59" s="124"/>
      <c r="IBO59" s="121"/>
      <c r="IBP59" s="125"/>
      <c r="IBQ59" s="5"/>
      <c r="IBR59" s="117"/>
      <c r="IBS59" s="4"/>
      <c r="IBT59" s="126"/>
      <c r="IBU59" s="127"/>
      <c r="IBV59" s="121"/>
      <c r="IBW59" s="5"/>
      <c r="IBX59" s="5"/>
      <c r="IBY59" s="124"/>
      <c r="IBZ59" s="121"/>
      <c r="ICA59" s="125"/>
      <c r="ICB59" s="5"/>
      <c r="ICC59" s="117"/>
      <c r="ICD59" s="4"/>
      <c r="ICE59" s="126"/>
      <c r="ICF59" s="127"/>
      <c r="ICG59" s="121"/>
      <c r="ICH59" s="5"/>
      <c r="ICI59" s="5"/>
      <c r="ICJ59" s="124"/>
      <c r="ICK59" s="121"/>
      <c r="ICL59" s="125"/>
      <c r="ICM59" s="5"/>
      <c r="ICN59" s="117"/>
      <c r="ICO59" s="4"/>
      <c r="ICP59" s="126"/>
      <c r="ICQ59" s="127"/>
      <c r="ICR59" s="121"/>
      <c r="ICS59" s="5"/>
      <c r="ICT59" s="5"/>
      <c r="ICU59" s="124"/>
      <c r="ICV59" s="121"/>
      <c r="ICW59" s="125"/>
      <c r="ICX59" s="5"/>
      <c r="ICY59" s="117"/>
      <c r="ICZ59" s="4"/>
      <c r="IDA59" s="126"/>
      <c r="IDB59" s="127"/>
      <c r="IDC59" s="121"/>
      <c r="IDD59" s="5"/>
      <c r="IDE59" s="5"/>
      <c r="IDF59" s="124"/>
      <c r="IDG59" s="121"/>
      <c r="IDH59" s="125"/>
      <c r="IDI59" s="5"/>
      <c r="IDJ59" s="117"/>
      <c r="IDK59" s="4"/>
      <c r="IDL59" s="126"/>
      <c r="IDM59" s="127"/>
      <c r="IDN59" s="121"/>
      <c r="IDO59" s="5"/>
      <c r="IDP59" s="5"/>
      <c r="IDQ59" s="124"/>
      <c r="IDR59" s="121"/>
      <c r="IDS59" s="125"/>
      <c r="IDT59" s="5"/>
      <c r="IDU59" s="117"/>
      <c r="IDV59" s="4"/>
      <c r="IDW59" s="126"/>
      <c r="IDX59" s="127"/>
      <c r="IDY59" s="121"/>
      <c r="IDZ59" s="5"/>
      <c r="IEA59" s="5"/>
      <c r="IEB59" s="124"/>
      <c r="IEC59" s="121"/>
      <c r="IED59" s="125"/>
      <c r="IEE59" s="5"/>
      <c r="IEF59" s="117"/>
      <c r="IEG59" s="4"/>
      <c r="IEH59" s="126"/>
      <c r="IEI59" s="127"/>
      <c r="IEJ59" s="121"/>
      <c r="IEK59" s="5"/>
      <c r="IEL59" s="5"/>
      <c r="IEM59" s="124"/>
      <c r="IEN59" s="121"/>
      <c r="IEO59" s="125"/>
      <c r="IEP59" s="5"/>
      <c r="IEQ59" s="117"/>
      <c r="IER59" s="4"/>
      <c r="IES59" s="126"/>
      <c r="IET59" s="127"/>
      <c r="IEU59" s="121"/>
      <c r="IEV59" s="5"/>
      <c r="IEW59" s="5"/>
      <c r="IEX59" s="124"/>
      <c r="IEY59" s="121"/>
      <c r="IEZ59" s="125"/>
      <c r="IFA59" s="5"/>
      <c r="IFB59" s="117"/>
      <c r="IFC59" s="4"/>
      <c r="IFD59" s="126"/>
      <c r="IFE59" s="127"/>
      <c r="IFF59" s="121"/>
      <c r="IFG59" s="5"/>
      <c r="IFH59" s="5"/>
      <c r="IFI59" s="124"/>
      <c r="IFJ59" s="121"/>
      <c r="IFK59" s="125"/>
      <c r="IFL59" s="5"/>
      <c r="IFM59" s="117"/>
      <c r="IFN59" s="4"/>
      <c r="IFO59" s="126"/>
      <c r="IFP59" s="127"/>
      <c r="IFQ59" s="121"/>
      <c r="IFR59" s="5"/>
      <c r="IFS59" s="5"/>
      <c r="IFT59" s="124"/>
      <c r="IFU59" s="121"/>
      <c r="IFV59" s="125"/>
      <c r="IFW59" s="5"/>
      <c r="IFX59" s="117"/>
      <c r="IFY59" s="4"/>
      <c r="IFZ59" s="126"/>
      <c r="IGA59" s="127"/>
      <c r="IGB59" s="121"/>
      <c r="IGC59" s="5"/>
      <c r="IGD59" s="5"/>
      <c r="IGE59" s="124"/>
      <c r="IGF59" s="121"/>
      <c r="IGG59" s="125"/>
      <c r="IGH59" s="5"/>
      <c r="IGI59" s="117"/>
      <c r="IGJ59" s="4"/>
      <c r="IGK59" s="126"/>
      <c r="IGL59" s="127"/>
      <c r="IGM59" s="121"/>
      <c r="IGN59" s="5"/>
      <c r="IGO59" s="5"/>
      <c r="IGP59" s="124"/>
      <c r="IGQ59" s="121"/>
      <c r="IGR59" s="125"/>
      <c r="IGS59" s="5"/>
      <c r="IGT59" s="117"/>
      <c r="IGU59" s="4"/>
      <c r="IGV59" s="126"/>
      <c r="IGW59" s="127"/>
      <c r="IGX59" s="121"/>
      <c r="IGY59" s="5"/>
      <c r="IGZ59" s="5"/>
      <c r="IHA59" s="124"/>
      <c r="IHB59" s="121"/>
      <c r="IHC59" s="125"/>
      <c r="IHD59" s="5"/>
      <c r="IHE59" s="117"/>
      <c r="IHF59" s="4"/>
      <c r="IHG59" s="126"/>
      <c r="IHH59" s="127"/>
      <c r="IHI59" s="121"/>
      <c r="IHJ59" s="5"/>
      <c r="IHK59" s="5"/>
      <c r="IHL59" s="124"/>
      <c r="IHM59" s="121"/>
      <c r="IHN59" s="125"/>
      <c r="IHO59" s="5"/>
      <c r="IHP59" s="117"/>
      <c r="IHQ59" s="4"/>
      <c r="IHR59" s="126"/>
      <c r="IHS59" s="127"/>
      <c r="IHT59" s="121"/>
      <c r="IHU59" s="5"/>
      <c r="IHV59" s="5"/>
      <c r="IHW59" s="124"/>
      <c r="IHX59" s="121"/>
      <c r="IHY59" s="125"/>
      <c r="IHZ59" s="5"/>
      <c r="IIA59" s="117"/>
      <c r="IIB59" s="4"/>
      <c r="IIC59" s="126"/>
      <c r="IID59" s="127"/>
      <c r="IIE59" s="121"/>
      <c r="IIF59" s="5"/>
      <c r="IIG59" s="5"/>
      <c r="IIH59" s="124"/>
      <c r="III59" s="121"/>
      <c r="IIJ59" s="125"/>
      <c r="IIK59" s="5"/>
      <c r="IIL59" s="117"/>
      <c r="IIM59" s="4"/>
      <c r="IIN59" s="126"/>
      <c r="IIO59" s="127"/>
      <c r="IIP59" s="121"/>
      <c r="IIQ59" s="5"/>
      <c r="IIR59" s="5"/>
      <c r="IIS59" s="124"/>
      <c r="IIT59" s="121"/>
      <c r="IIU59" s="125"/>
      <c r="IIV59" s="5"/>
      <c r="IIW59" s="117"/>
      <c r="IIX59" s="4"/>
      <c r="IIY59" s="126"/>
      <c r="IIZ59" s="127"/>
      <c r="IJA59" s="121"/>
      <c r="IJB59" s="5"/>
      <c r="IJC59" s="5"/>
      <c r="IJD59" s="124"/>
      <c r="IJE59" s="121"/>
      <c r="IJF59" s="125"/>
      <c r="IJG59" s="5"/>
      <c r="IJH59" s="117"/>
      <c r="IJI59" s="4"/>
      <c r="IJJ59" s="126"/>
      <c r="IJK59" s="127"/>
      <c r="IJL59" s="121"/>
      <c r="IJM59" s="5"/>
      <c r="IJN59" s="5"/>
      <c r="IJO59" s="124"/>
      <c r="IJP59" s="121"/>
      <c r="IJQ59" s="125"/>
      <c r="IJR59" s="5"/>
      <c r="IJS59" s="117"/>
      <c r="IJT59" s="4"/>
      <c r="IJU59" s="126"/>
      <c r="IJV59" s="127"/>
      <c r="IJW59" s="121"/>
      <c r="IJX59" s="5"/>
      <c r="IJY59" s="5"/>
      <c r="IJZ59" s="124"/>
      <c r="IKA59" s="121"/>
      <c r="IKB59" s="125"/>
      <c r="IKC59" s="5"/>
      <c r="IKD59" s="117"/>
      <c r="IKE59" s="4"/>
      <c r="IKF59" s="126"/>
      <c r="IKG59" s="127"/>
      <c r="IKH59" s="121"/>
      <c r="IKI59" s="5"/>
      <c r="IKJ59" s="5"/>
      <c r="IKK59" s="124"/>
      <c r="IKL59" s="121"/>
      <c r="IKM59" s="125"/>
      <c r="IKN59" s="5"/>
      <c r="IKO59" s="117"/>
      <c r="IKP59" s="4"/>
      <c r="IKQ59" s="126"/>
      <c r="IKR59" s="127"/>
      <c r="IKS59" s="121"/>
      <c r="IKT59" s="5"/>
      <c r="IKU59" s="5"/>
      <c r="IKV59" s="124"/>
      <c r="IKW59" s="121"/>
      <c r="IKX59" s="125"/>
      <c r="IKY59" s="5"/>
      <c r="IKZ59" s="117"/>
      <c r="ILA59" s="4"/>
      <c r="ILB59" s="126"/>
      <c r="ILC59" s="127"/>
      <c r="ILD59" s="121"/>
      <c r="ILE59" s="5"/>
      <c r="ILF59" s="5"/>
      <c r="ILG59" s="124"/>
      <c r="ILH59" s="121"/>
      <c r="ILI59" s="125"/>
      <c r="ILJ59" s="5"/>
      <c r="ILK59" s="117"/>
      <c r="ILL59" s="4"/>
      <c r="ILM59" s="126"/>
      <c r="ILN59" s="127"/>
      <c r="ILO59" s="121"/>
      <c r="ILP59" s="5"/>
      <c r="ILQ59" s="5"/>
      <c r="ILR59" s="124"/>
      <c r="ILS59" s="121"/>
      <c r="ILT59" s="125"/>
      <c r="ILU59" s="5"/>
      <c r="ILV59" s="117"/>
      <c r="ILW59" s="4"/>
      <c r="ILX59" s="126"/>
      <c r="ILY59" s="127"/>
      <c r="ILZ59" s="121"/>
      <c r="IMA59" s="5"/>
      <c r="IMB59" s="5"/>
      <c r="IMC59" s="124"/>
      <c r="IMD59" s="121"/>
      <c r="IME59" s="125"/>
      <c r="IMF59" s="5"/>
      <c r="IMG59" s="117"/>
      <c r="IMH59" s="4"/>
      <c r="IMI59" s="126"/>
      <c r="IMJ59" s="127"/>
      <c r="IMK59" s="121"/>
      <c r="IML59" s="5"/>
      <c r="IMM59" s="5"/>
      <c r="IMN59" s="124"/>
      <c r="IMO59" s="121"/>
      <c r="IMP59" s="125"/>
      <c r="IMQ59" s="5"/>
      <c r="IMR59" s="117"/>
      <c r="IMS59" s="4"/>
      <c r="IMT59" s="126"/>
      <c r="IMU59" s="127"/>
      <c r="IMV59" s="121"/>
      <c r="IMW59" s="5"/>
      <c r="IMX59" s="5"/>
      <c r="IMY59" s="124"/>
      <c r="IMZ59" s="121"/>
      <c r="INA59" s="125"/>
      <c r="INB59" s="5"/>
      <c r="INC59" s="117"/>
      <c r="IND59" s="4"/>
      <c r="INE59" s="126"/>
      <c r="INF59" s="127"/>
      <c r="ING59" s="121"/>
      <c r="INH59" s="5"/>
      <c r="INI59" s="5"/>
      <c r="INJ59" s="124"/>
      <c r="INK59" s="121"/>
      <c r="INL59" s="125"/>
      <c r="INM59" s="5"/>
      <c r="INN59" s="117"/>
      <c r="INO59" s="4"/>
      <c r="INP59" s="126"/>
      <c r="INQ59" s="127"/>
      <c r="INR59" s="121"/>
      <c r="INS59" s="5"/>
      <c r="INT59" s="5"/>
      <c r="INU59" s="124"/>
      <c r="INV59" s="121"/>
      <c r="INW59" s="125"/>
      <c r="INX59" s="5"/>
      <c r="INY59" s="117"/>
      <c r="INZ59" s="4"/>
      <c r="IOA59" s="126"/>
      <c r="IOB59" s="127"/>
      <c r="IOC59" s="121"/>
      <c r="IOD59" s="5"/>
      <c r="IOE59" s="5"/>
      <c r="IOF59" s="124"/>
      <c r="IOG59" s="121"/>
      <c r="IOH59" s="125"/>
      <c r="IOI59" s="5"/>
      <c r="IOJ59" s="117"/>
      <c r="IOK59" s="4"/>
      <c r="IOL59" s="126"/>
      <c r="IOM59" s="127"/>
      <c r="ION59" s="121"/>
      <c r="IOO59" s="5"/>
      <c r="IOP59" s="5"/>
      <c r="IOQ59" s="124"/>
      <c r="IOR59" s="121"/>
      <c r="IOS59" s="125"/>
      <c r="IOT59" s="5"/>
      <c r="IOU59" s="117"/>
      <c r="IOV59" s="4"/>
      <c r="IOW59" s="126"/>
      <c r="IOX59" s="127"/>
      <c r="IOY59" s="121"/>
      <c r="IOZ59" s="5"/>
      <c r="IPA59" s="5"/>
      <c r="IPB59" s="124"/>
      <c r="IPC59" s="121"/>
      <c r="IPD59" s="125"/>
      <c r="IPE59" s="5"/>
      <c r="IPF59" s="117"/>
      <c r="IPG59" s="4"/>
      <c r="IPH59" s="126"/>
      <c r="IPI59" s="127"/>
      <c r="IPJ59" s="121"/>
      <c r="IPK59" s="5"/>
      <c r="IPL59" s="5"/>
      <c r="IPM59" s="124"/>
      <c r="IPN59" s="121"/>
      <c r="IPO59" s="125"/>
      <c r="IPP59" s="5"/>
      <c r="IPQ59" s="117"/>
      <c r="IPR59" s="4"/>
      <c r="IPS59" s="126"/>
      <c r="IPT59" s="127"/>
      <c r="IPU59" s="121"/>
      <c r="IPV59" s="5"/>
      <c r="IPW59" s="5"/>
      <c r="IPX59" s="124"/>
      <c r="IPY59" s="121"/>
      <c r="IPZ59" s="125"/>
      <c r="IQA59" s="5"/>
      <c r="IQB59" s="117"/>
      <c r="IQC59" s="4"/>
      <c r="IQD59" s="126"/>
      <c r="IQE59" s="127"/>
      <c r="IQF59" s="121"/>
      <c r="IQG59" s="5"/>
      <c r="IQH59" s="5"/>
      <c r="IQI59" s="124"/>
      <c r="IQJ59" s="121"/>
      <c r="IQK59" s="125"/>
      <c r="IQL59" s="5"/>
      <c r="IQM59" s="117"/>
      <c r="IQN59" s="4"/>
      <c r="IQO59" s="126"/>
      <c r="IQP59" s="127"/>
      <c r="IQQ59" s="121"/>
      <c r="IQR59" s="5"/>
      <c r="IQS59" s="5"/>
      <c r="IQT59" s="124"/>
      <c r="IQU59" s="121"/>
      <c r="IQV59" s="125"/>
      <c r="IQW59" s="5"/>
      <c r="IQX59" s="117"/>
      <c r="IQY59" s="4"/>
      <c r="IQZ59" s="126"/>
      <c r="IRA59" s="127"/>
      <c r="IRB59" s="121"/>
      <c r="IRC59" s="5"/>
      <c r="IRD59" s="5"/>
      <c r="IRE59" s="124"/>
      <c r="IRF59" s="121"/>
      <c r="IRG59" s="125"/>
      <c r="IRH59" s="5"/>
      <c r="IRI59" s="117"/>
      <c r="IRJ59" s="4"/>
      <c r="IRK59" s="126"/>
      <c r="IRL59" s="127"/>
      <c r="IRM59" s="121"/>
      <c r="IRN59" s="5"/>
      <c r="IRO59" s="5"/>
      <c r="IRP59" s="124"/>
      <c r="IRQ59" s="121"/>
      <c r="IRR59" s="125"/>
      <c r="IRS59" s="5"/>
      <c r="IRT59" s="117"/>
      <c r="IRU59" s="4"/>
      <c r="IRV59" s="126"/>
      <c r="IRW59" s="127"/>
      <c r="IRX59" s="121"/>
      <c r="IRY59" s="5"/>
      <c r="IRZ59" s="5"/>
      <c r="ISA59" s="124"/>
      <c r="ISB59" s="121"/>
      <c r="ISC59" s="125"/>
      <c r="ISD59" s="5"/>
      <c r="ISE59" s="117"/>
      <c r="ISF59" s="4"/>
      <c r="ISG59" s="126"/>
      <c r="ISH59" s="127"/>
      <c r="ISI59" s="121"/>
      <c r="ISJ59" s="5"/>
      <c r="ISK59" s="5"/>
      <c r="ISL59" s="124"/>
      <c r="ISM59" s="121"/>
      <c r="ISN59" s="125"/>
      <c r="ISO59" s="5"/>
      <c r="ISP59" s="117"/>
      <c r="ISQ59" s="4"/>
      <c r="ISR59" s="126"/>
      <c r="ISS59" s="127"/>
      <c r="IST59" s="121"/>
      <c r="ISU59" s="5"/>
      <c r="ISV59" s="5"/>
      <c r="ISW59" s="124"/>
      <c r="ISX59" s="121"/>
      <c r="ISY59" s="125"/>
      <c r="ISZ59" s="5"/>
      <c r="ITA59" s="117"/>
      <c r="ITB59" s="4"/>
      <c r="ITC59" s="126"/>
      <c r="ITD59" s="127"/>
      <c r="ITE59" s="121"/>
      <c r="ITF59" s="5"/>
      <c r="ITG59" s="5"/>
      <c r="ITH59" s="124"/>
      <c r="ITI59" s="121"/>
      <c r="ITJ59" s="125"/>
      <c r="ITK59" s="5"/>
      <c r="ITL59" s="117"/>
      <c r="ITM59" s="4"/>
      <c r="ITN59" s="126"/>
      <c r="ITO59" s="127"/>
      <c r="ITP59" s="121"/>
      <c r="ITQ59" s="5"/>
      <c r="ITR59" s="5"/>
      <c r="ITS59" s="124"/>
      <c r="ITT59" s="121"/>
      <c r="ITU59" s="125"/>
      <c r="ITV59" s="5"/>
      <c r="ITW59" s="117"/>
      <c r="ITX59" s="4"/>
      <c r="ITY59" s="126"/>
      <c r="ITZ59" s="127"/>
      <c r="IUA59" s="121"/>
      <c r="IUB59" s="5"/>
      <c r="IUC59" s="5"/>
      <c r="IUD59" s="124"/>
      <c r="IUE59" s="121"/>
      <c r="IUF59" s="125"/>
      <c r="IUG59" s="5"/>
      <c r="IUH59" s="117"/>
      <c r="IUI59" s="4"/>
      <c r="IUJ59" s="126"/>
      <c r="IUK59" s="127"/>
      <c r="IUL59" s="121"/>
      <c r="IUM59" s="5"/>
      <c r="IUN59" s="5"/>
      <c r="IUO59" s="124"/>
      <c r="IUP59" s="121"/>
      <c r="IUQ59" s="125"/>
      <c r="IUR59" s="5"/>
      <c r="IUS59" s="117"/>
      <c r="IUT59" s="4"/>
      <c r="IUU59" s="126"/>
      <c r="IUV59" s="127"/>
      <c r="IUW59" s="121"/>
      <c r="IUX59" s="5"/>
      <c r="IUY59" s="5"/>
      <c r="IUZ59" s="124"/>
      <c r="IVA59" s="121"/>
      <c r="IVB59" s="125"/>
      <c r="IVC59" s="5"/>
      <c r="IVD59" s="117"/>
      <c r="IVE59" s="4"/>
      <c r="IVF59" s="126"/>
      <c r="IVG59" s="127"/>
      <c r="IVH59" s="121"/>
      <c r="IVI59" s="5"/>
      <c r="IVJ59" s="5"/>
      <c r="IVK59" s="124"/>
      <c r="IVL59" s="121"/>
      <c r="IVM59" s="125"/>
      <c r="IVN59" s="5"/>
      <c r="IVO59" s="117"/>
      <c r="IVP59" s="4"/>
      <c r="IVQ59" s="126"/>
      <c r="IVR59" s="127"/>
      <c r="IVS59" s="121"/>
      <c r="IVT59" s="5"/>
      <c r="IVU59" s="5"/>
      <c r="IVV59" s="124"/>
      <c r="IVW59" s="121"/>
      <c r="IVX59" s="125"/>
      <c r="IVY59" s="5"/>
      <c r="IVZ59" s="117"/>
      <c r="IWA59" s="4"/>
      <c r="IWB59" s="126"/>
      <c r="IWC59" s="127"/>
      <c r="IWD59" s="121"/>
      <c r="IWE59" s="5"/>
      <c r="IWF59" s="5"/>
      <c r="IWG59" s="124"/>
      <c r="IWH59" s="121"/>
      <c r="IWI59" s="125"/>
      <c r="IWJ59" s="5"/>
      <c r="IWK59" s="117"/>
      <c r="IWL59" s="4"/>
      <c r="IWM59" s="126"/>
      <c r="IWN59" s="127"/>
      <c r="IWO59" s="121"/>
      <c r="IWP59" s="5"/>
      <c r="IWQ59" s="5"/>
      <c r="IWR59" s="124"/>
      <c r="IWS59" s="121"/>
      <c r="IWT59" s="125"/>
      <c r="IWU59" s="5"/>
      <c r="IWV59" s="117"/>
      <c r="IWW59" s="4"/>
      <c r="IWX59" s="126"/>
      <c r="IWY59" s="127"/>
      <c r="IWZ59" s="121"/>
      <c r="IXA59" s="5"/>
      <c r="IXB59" s="5"/>
      <c r="IXC59" s="124"/>
      <c r="IXD59" s="121"/>
      <c r="IXE59" s="125"/>
      <c r="IXF59" s="5"/>
      <c r="IXG59" s="117"/>
      <c r="IXH59" s="4"/>
      <c r="IXI59" s="126"/>
      <c r="IXJ59" s="127"/>
      <c r="IXK59" s="121"/>
      <c r="IXL59" s="5"/>
      <c r="IXM59" s="5"/>
      <c r="IXN59" s="124"/>
      <c r="IXO59" s="121"/>
      <c r="IXP59" s="125"/>
      <c r="IXQ59" s="5"/>
      <c r="IXR59" s="117"/>
      <c r="IXS59" s="4"/>
      <c r="IXT59" s="126"/>
      <c r="IXU59" s="127"/>
      <c r="IXV59" s="121"/>
      <c r="IXW59" s="5"/>
      <c r="IXX59" s="5"/>
      <c r="IXY59" s="124"/>
      <c r="IXZ59" s="121"/>
      <c r="IYA59" s="125"/>
      <c r="IYB59" s="5"/>
      <c r="IYC59" s="117"/>
      <c r="IYD59" s="4"/>
      <c r="IYE59" s="126"/>
      <c r="IYF59" s="127"/>
      <c r="IYG59" s="121"/>
      <c r="IYH59" s="5"/>
      <c r="IYI59" s="5"/>
      <c r="IYJ59" s="124"/>
      <c r="IYK59" s="121"/>
      <c r="IYL59" s="125"/>
      <c r="IYM59" s="5"/>
      <c r="IYN59" s="117"/>
      <c r="IYO59" s="4"/>
      <c r="IYP59" s="126"/>
      <c r="IYQ59" s="127"/>
      <c r="IYR59" s="121"/>
      <c r="IYS59" s="5"/>
      <c r="IYT59" s="5"/>
      <c r="IYU59" s="124"/>
      <c r="IYV59" s="121"/>
      <c r="IYW59" s="125"/>
      <c r="IYX59" s="5"/>
      <c r="IYY59" s="117"/>
      <c r="IYZ59" s="4"/>
      <c r="IZA59" s="126"/>
      <c r="IZB59" s="127"/>
      <c r="IZC59" s="121"/>
      <c r="IZD59" s="5"/>
      <c r="IZE59" s="5"/>
      <c r="IZF59" s="124"/>
      <c r="IZG59" s="121"/>
      <c r="IZH59" s="125"/>
      <c r="IZI59" s="5"/>
      <c r="IZJ59" s="117"/>
      <c r="IZK59" s="4"/>
      <c r="IZL59" s="126"/>
      <c r="IZM59" s="127"/>
      <c r="IZN59" s="121"/>
      <c r="IZO59" s="5"/>
      <c r="IZP59" s="5"/>
      <c r="IZQ59" s="124"/>
      <c r="IZR59" s="121"/>
      <c r="IZS59" s="125"/>
      <c r="IZT59" s="5"/>
      <c r="IZU59" s="117"/>
      <c r="IZV59" s="4"/>
      <c r="IZW59" s="126"/>
      <c r="IZX59" s="127"/>
      <c r="IZY59" s="121"/>
      <c r="IZZ59" s="5"/>
      <c r="JAA59" s="5"/>
      <c r="JAB59" s="124"/>
      <c r="JAC59" s="121"/>
      <c r="JAD59" s="125"/>
      <c r="JAE59" s="5"/>
      <c r="JAF59" s="117"/>
      <c r="JAG59" s="4"/>
      <c r="JAH59" s="126"/>
      <c r="JAI59" s="127"/>
      <c r="JAJ59" s="121"/>
      <c r="JAK59" s="5"/>
      <c r="JAL59" s="5"/>
      <c r="JAM59" s="124"/>
      <c r="JAN59" s="121"/>
      <c r="JAO59" s="125"/>
      <c r="JAP59" s="5"/>
      <c r="JAQ59" s="117"/>
      <c r="JAR59" s="4"/>
      <c r="JAS59" s="126"/>
      <c r="JAT59" s="127"/>
      <c r="JAU59" s="121"/>
      <c r="JAV59" s="5"/>
      <c r="JAW59" s="5"/>
      <c r="JAX59" s="124"/>
      <c r="JAY59" s="121"/>
      <c r="JAZ59" s="125"/>
      <c r="JBA59" s="5"/>
      <c r="JBB59" s="117"/>
      <c r="JBC59" s="4"/>
      <c r="JBD59" s="126"/>
      <c r="JBE59" s="127"/>
      <c r="JBF59" s="121"/>
      <c r="JBG59" s="5"/>
      <c r="JBH59" s="5"/>
      <c r="JBI59" s="124"/>
      <c r="JBJ59" s="121"/>
      <c r="JBK59" s="125"/>
      <c r="JBL59" s="5"/>
      <c r="JBM59" s="117"/>
      <c r="JBN59" s="4"/>
      <c r="JBO59" s="126"/>
      <c r="JBP59" s="127"/>
      <c r="JBQ59" s="121"/>
      <c r="JBR59" s="5"/>
      <c r="JBS59" s="5"/>
      <c r="JBT59" s="124"/>
      <c r="JBU59" s="121"/>
      <c r="JBV59" s="125"/>
      <c r="JBW59" s="5"/>
      <c r="JBX59" s="117"/>
      <c r="JBY59" s="4"/>
      <c r="JBZ59" s="126"/>
      <c r="JCA59" s="127"/>
      <c r="JCB59" s="121"/>
      <c r="JCC59" s="5"/>
      <c r="JCD59" s="5"/>
      <c r="JCE59" s="124"/>
      <c r="JCF59" s="121"/>
      <c r="JCG59" s="125"/>
      <c r="JCH59" s="5"/>
      <c r="JCI59" s="117"/>
      <c r="JCJ59" s="4"/>
      <c r="JCK59" s="126"/>
      <c r="JCL59" s="127"/>
      <c r="JCM59" s="121"/>
      <c r="JCN59" s="5"/>
      <c r="JCO59" s="5"/>
      <c r="JCP59" s="124"/>
      <c r="JCQ59" s="121"/>
      <c r="JCR59" s="125"/>
      <c r="JCS59" s="5"/>
      <c r="JCT59" s="117"/>
      <c r="JCU59" s="4"/>
      <c r="JCV59" s="126"/>
      <c r="JCW59" s="127"/>
      <c r="JCX59" s="121"/>
      <c r="JCY59" s="5"/>
      <c r="JCZ59" s="5"/>
      <c r="JDA59" s="124"/>
      <c r="JDB59" s="121"/>
      <c r="JDC59" s="125"/>
      <c r="JDD59" s="5"/>
      <c r="JDE59" s="117"/>
      <c r="JDF59" s="4"/>
      <c r="JDG59" s="126"/>
      <c r="JDH59" s="127"/>
      <c r="JDI59" s="121"/>
      <c r="JDJ59" s="5"/>
      <c r="JDK59" s="5"/>
      <c r="JDL59" s="124"/>
      <c r="JDM59" s="121"/>
      <c r="JDN59" s="125"/>
      <c r="JDO59" s="5"/>
      <c r="JDP59" s="117"/>
      <c r="JDQ59" s="4"/>
      <c r="JDR59" s="126"/>
      <c r="JDS59" s="127"/>
      <c r="JDT59" s="121"/>
      <c r="JDU59" s="5"/>
      <c r="JDV59" s="5"/>
      <c r="JDW59" s="124"/>
      <c r="JDX59" s="121"/>
      <c r="JDY59" s="125"/>
      <c r="JDZ59" s="5"/>
      <c r="JEA59" s="117"/>
      <c r="JEB59" s="4"/>
      <c r="JEC59" s="126"/>
      <c r="JED59" s="127"/>
      <c r="JEE59" s="121"/>
      <c r="JEF59" s="5"/>
      <c r="JEG59" s="5"/>
      <c r="JEH59" s="124"/>
      <c r="JEI59" s="121"/>
      <c r="JEJ59" s="125"/>
      <c r="JEK59" s="5"/>
      <c r="JEL59" s="117"/>
      <c r="JEM59" s="4"/>
      <c r="JEN59" s="126"/>
      <c r="JEO59" s="127"/>
      <c r="JEP59" s="121"/>
      <c r="JEQ59" s="5"/>
      <c r="JER59" s="5"/>
      <c r="JES59" s="124"/>
      <c r="JET59" s="121"/>
      <c r="JEU59" s="125"/>
      <c r="JEV59" s="5"/>
      <c r="JEW59" s="117"/>
      <c r="JEX59" s="4"/>
      <c r="JEY59" s="126"/>
      <c r="JEZ59" s="127"/>
      <c r="JFA59" s="121"/>
      <c r="JFB59" s="5"/>
      <c r="JFC59" s="5"/>
      <c r="JFD59" s="124"/>
      <c r="JFE59" s="121"/>
      <c r="JFF59" s="125"/>
      <c r="JFG59" s="5"/>
      <c r="JFH59" s="117"/>
      <c r="JFI59" s="4"/>
      <c r="JFJ59" s="126"/>
      <c r="JFK59" s="127"/>
      <c r="JFL59" s="121"/>
      <c r="JFM59" s="5"/>
      <c r="JFN59" s="5"/>
      <c r="JFO59" s="124"/>
      <c r="JFP59" s="121"/>
      <c r="JFQ59" s="125"/>
      <c r="JFR59" s="5"/>
      <c r="JFS59" s="117"/>
      <c r="JFT59" s="4"/>
      <c r="JFU59" s="126"/>
      <c r="JFV59" s="127"/>
      <c r="JFW59" s="121"/>
      <c r="JFX59" s="5"/>
      <c r="JFY59" s="5"/>
      <c r="JFZ59" s="124"/>
      <c r="JGA59" s="121"/>
      <c r="JGB59" s="125"/>
      <c r="JGC59" s="5"/>
      <c r="JGD59" s="117"/>
      <c r="JGE59" s="4"/>
      <c r="JGF59" s="126"/>
      <c r="JGG59" s="127"/>
      <c r="JGH59" s="121"/>
      <c r="JGI59" s="5"/>
      <c r="JGJ59" s="5"/>
      <c r="JGK59" s="124"/>
      <c r="JGL59" s="121"/>
      <c r="JGM59" s="125"/>
      <c r="JGN59" s="5"/>
      <c r="JGO59" s="117"/>
      <c r="JGP59" s="4"/>
      <c r="JGQ59" s="126"/>
      <c r="JGR59" s="127"/>
      <c r="JGS59" s="121"/>
      <c r="JGT59" s="5"/>
      <c r="JGU59" s="5"/>
      <c r="JGV59" s="124"/>
      <c r="JGW59" s="121"/>
      <c r="JGX59" s="125"/>
      <c r="JGY59" s="5"/>
      <c r="JGZ59" s="117"/>
      <c r="JHA59" s="4"/>
      <c r="JHB59" s="126"/>
      <c r="JHC59" s="127"/>
      <c r="JHD59" s="121"/>
      <c r="JHE59" s="5"/>
      <c r="JHF59" s="5"/>
      <c r="JHG59" s="124"/>
      <c r="JHH59" s="121"/>
      <c r="JHI59" s="125"/>
      <c r="JHJ59" s="5"/>
      <c r="JHK59" s="117"/>
      <c r="JHL59" s="4"/>
      <c r="JHM59" s="126"/>
      <c r="JHN59" s="127"/>
      <c r="JHO59" s="121"/>
      <c r="JHP59" s="5"/>
      <c r="JHQ59" s="5"/>
      <c r="JHR59" s="124"/>
      <c r="JHS59" s="121"/>
      <c r="JHT59" s="125"/>
      <c r="JHU59" s="5"/>
      <c r="JHV59" s="117"/>
      <c r="JHW59" s="4"/>
      <c r="JHX59" s="126"/>
      <c r="JHY59" s="127"/>
      <c r="JHZ59" s="121"/>
      <c r="JIA59" s="5"/>
      <c r="JIB59" s="5"/>
      <c r="JIC59" s="124"/>
      <c r="JID59" s="121"/>
      <c r="JIE59" s="125"/>
      <c r="JIF59" s="5"/>
      <c r="JIG59" s="117"/>
      <c r="JIH59" s="4"/>
      <c r="JII59" s="126"/>
      <c r="JIJ59" s="127"/>
      <c r="JIK59" s="121"/>
      <c r="JIL59" s="5"/>
      <c r="JIM59" s="5"/>
      <c r="JIN59" s="124"/>
      <c r="JIO59" s="121"/>
      <c r="JIP59" s="125"/>
      <c r="JIQ59" s="5"/>
      <c r="JIR59" s="117"/>
      <c r="JIS59" s="4"/>
      <c r="JIT59" s="126"/>
      <c r="JIU59" s="127"/>
      <c r="JIV59" s="121"/>
      <c r="JIW59" s="5"/>
      <c r="JIX59" s="5"/>
      <c r="JIY59" s="124"/>
      <c r="JIZ59" s="121"/>
      <c r="JJA59" s="125"/>
      <c r="JJB59" s="5"/>
      <c r="JJC59" s="117"/>
      <c r="JJD59" s="4"/>
      <c r="JJE59" s="126"/>
      <c r="JJF59" s="127"/>
      <c r="JJG59" s="121"/>
      <c r="JJH59" s="5"/>
      <c r="JJI59" s="5"/>
      <c r="JJJ59" s="124"/>
      <c r="JJK59" s="121"/>
      <c r="JJL59" s="125"/>
      <c r="JJM59" s="5"/>
      <c r="JJN59" s="117"/>
      <c r="JJO59" s="4"/>
      <c r="JJP59" s="126"/>
      <c r="JJQ59" s="127"/>
      <c r="JJR59" s="121"/>
      <c r="JJS59" s="5"/>
      <c r="JJT59" s="5"/>
      <c r="JJU59" s="124"/>
      <c r="JJV59" s="121"/>
      <c r="JJW59" s="125"/>
      <c r="JJX59" s="5"/>
      <c r="JJY59" s="117"/>
      <c r="JJZ59" s="4"/>
      <c r="JKA59" s="126"/>
      <c r="JKB59" s="127"/>
      <c r="JKC59" s="121"/>
      <c r="JKD59" s="5"/>
      <c r="JKE59" s="5"/>
      <c r="JKF59" s="124"/>
      <c r="JKG59" s="121"/>
      <c r="JKH59" s="125"/>
      <c r="JKI59" s="5"/>
      <c r="JKJ59" s="117"/>
      <c r="JKK59" s="4"/>
      <c r="JKL59" s="126"/>
      <c r="JKM59" s="127"/>
      <c r="JKN59" s="121"/>
      <c r="JKO59" s="5"/>
      <c r="JKP59" s="5"/>
      <c r="JKQ59" s="124"/>
      <c r="JKR59" s="121"/>
      <c r="JKS59" s="125"/>
      <c r="JKT59" s="5"/>
      <c r="JKU59" s="117"/>
      <c r="JKV59" s="4"/>
      <c r="JKW59" s="126"/>
      <c r="JKX59" s="127"/>
      <c r="JKY59" s="121"/>
      <c r="JKZ59" s="5"/>
      <c r="JLA59" s="5"/>
      <c r="JLB59" s="124"/>
      <c r="JLC59" s="121"/>
      <c r="JLD59" s="125"/>
      <c r="JLE59" s="5"/>
      <c r="JLF59" s="117"/>
      <c r="JLG59" s="4"/>
      <c r="JLH59" s="126"/>
      <c r="JLI59" s="127"/>
      <c r="JLJ59" s="121"/>
      <c r="JLK59" s="5"/>
      <c r="JLL59" s="5"/>
      <c r="JLM59" s="124"/>
      <c r="JLN59" s="121"/>
      <c r="JLO59" s="125"/>
      <c r="JLP59" s="5"/>
      <c r="JLQ59" s="117"/>
      <c r="JLR59" s="4"/>
      <c r="JLS59" s="126"/>
      <c r="JLT59" s="127"/>
      <c r="JLU59" s="121"/>
      <c r="JLV59" s="5"/>
      <c r="JLW59" s="5"/>
      <c r="JLX59" s="124"/>
      <c r="JLY59" s="121"/>
      <c r="JLZ59" s="125"/>
      <c r="JMA59" s="5"/>
      <c r="JMB59" s="117"/>
      <c r="JMC59" s="4"/>
      <c r="JMD59" s="126"/>
      <c r="JME59" s="127"/>
      <c r="JMF59" s="121"/>
      <c r="JMG59" s="5"/>
      <c r="JMH59" s="5"/>
      <c r="JMI59" s="124"/>
      <c r="JMJ59" s="121"/>
      <c r="JMK59" s="125"/>
      <c r="JML59" s="5"/>
      <c r="JMM59" s="117"/>
      <c r="JMN59" s="4"/>
      <c r="JMO59" s="126"/>
      <c r="JMP59" s="127"/>
      <c r="JMQ59" s="121"/>
      <c r="JMR59" s="5"/>
      <c r="JMS59" s="5"/>
      <c r="JMT59" s="124"/>
      <c r="JMU59" s="121"/>
      <c r="JMV59" s="125"/>
      <c r="JMW59" s="5"/>
      <c r="JMX59" s="117"/>
      <c r="JMY59" s="4"/>
      <c r="JMZ59" s="126"/>
      <c r="JNA59" s="127"/>
      <c r="JNB59" s="121"/>
      <c r="JNC59" s="5"/>
      <c r="JND59" s="5"/>
      <c r="JNE59" s="124"/>
      <c r="JNF59" s="121"/>
      <c r="JNG59" s="125"/>
      <c r="JNH59" s="5"/>
      <c r="JNI59" s="117"/>
      <c r="JNJ59" s="4"/>
      <c r="JNK59" s="126"/>
      <c r="JNL59" s="127"/>
      <c r="JNM59" s="121"/>
      <c r="JNN59" s="5"/>
      <c r="JNO59" s="5"/>
      <c r="JNP59" s="124"/>
      <c r="JNQ59" s="121"/>
      <c r="JNR59" s="125"/>
      <c r="JNS59" s="5"/>
      <c r="JNT59" s="117"/>
      <c r="JNU59" s="4"/>
      <c r="JNV59" s="126"/>
      <c r="JNW59" s="127"/>
      <c r="JNX59" s="121"/>
      <c r="JNY59" s="5"/>
      <c r="JNZ59" s="5"/>
      <c r="JOA59" s="124"/>
      <c r="JOB59" s="121"/>
      <c r="JOC59" s="125"/>
      <c r="JOD59" s="5"/>
      <c r="JOE59" s="117"/>
      <c r="JOF59" s="4"/>
      <c r="JOG59" s="126"/>
      <c r="JOH59" s="127"/>
      <c r="JOI59" s="121"/>
      <c r="JOJ59" s="5"/>
      <c r="JOK59" s="5"/>
      <c r="JOL59" s="124"/>
      <c r="JOM59" s="121"/>
      <c r="JON59" s="125"/>
      <c r="JOO59" s="5"/>
      <c r="JOP59" s="117"/>
      <c r="JOQ59" s="4"/>
      <c r="JOR59" s="126"/>
      <c r="JOS59" s="127"/>
      <c r="JOT59" s="121"/>
      <c r="JOU59" s="5"/>
      <c r="JOV59" s="5"/>
      <c r="JOW59" s="124"/>
      <c r="JOX59" s="121"/>
      <c r="JOY59" s="125"/>
      <c r="JOZ59" s="5"/>
      <c r="JPA59" s="117"/>
      <c r="JPB59" s="4"/>
      <c r="JPC59" s="126"/>
      <c r="JPD59" s="127"/>
      <c r="JPE59" s="121"/>
      <c r="JPF59" s="5"/>
      <c r="JPG59" s="5"/>
      <c r="JPH59" s="124"/>
      <c r="JPI59" s="121"/>
      <c r="JPJ59" s="125"/>
      <c r="JPK59" s="5"/>
      <c r="JPL59" s="117"/>
      <c r="JPM59" s="4"/>
      <c r="JPN59" s="126"/>
      <c r="JPO59" s="127"/>
      <c r="JPP59" s="121"/>
      <c r="JPQ59" s="5"/>
      <c r="JPR59" s="5"/>
      <c r="JPS59" s="124"/>
      <c r="JPT59" s="121"/>
      <c r="JPU59" s="125"/>
      <c r="JPV59" s="5"/>
      <c r="JPW59" s="117"/>
      <c r="JPX59" s="4"/>
      <c r="JPY59" s="126"/>
      <c r="JPZ59" s="127"/>
      <c r="JQA59" s="121"/>
      <c r="JQB59" s="5"/>
      <c r="JQC59" s="5"/>
      <c r="JQD59" s="124"/>
      <c r="JQE59" s="121"/>
      <c r="JQF59" s="125"/>
      <c r="JQG59" s="5"/>
      <c r="JQH59" s="117"/>
      <c r="JQI59" s="4"/>
      <c r="JQJ59" s="126"/>
      <c r="JQK59" s="127"/>
      <c r="JQL59" s="121"/>
      <c r="JQM59" s="5"/>
      <c r="JQN59" s="5"/>
      <c r="JQO59" s="124"/>
      <c r="JQP59" s="121"/>
      <c r="JQQ59" s="125"/>
      <c r="JQR59" s="5"/>
      <c r="JQS59" s="117"/>
      <c r="JQT59" s="4"/>
      <c r="JQU59" s="126"/>
      <c r="JQV59" s="127"/>
      <c r="JQW59" s="121"/>
      <c r="JQX59" s="5"/>
      <c r="JQY59" s="5"/>
      <c r="JQZ59" s="124"/>
      <c r="JRA59" s="121"/>
      <c r="JRB59" s="125"/>
      <c r="JRC59" s="5"/>
      <c r="JRD59" s="117"/>
      <c r="JRE59" s="4"/>
      <c r="JRF59" s="126"/>
      <c r="JRG59" s="127"/>
      <c r="JRH59" s="121"/>
      <c r="JRI59" s="5"/>
      <c r="JRJ59" s="5"/>
      <c r="JRK59" s="124"/>
      <c r="JRL59" s="121"/>
      <c r="JRM59" s="125"/>
      <c r="JRN59" s="5"/>
      <c r="JRO59" s="117"/>
      <c r="JRP59" s="4"/>
      <c r="JRQ59" s="126"/>
      <c r="JRR59" s="127"/>
      <c r="JRS59" s="121"/>
      <c r="JRT59" s="5"/>
      <c r="JRU59" s="5"/>
      <c r="JRV59" s="124"/>
      <c r="JRW59" s="121"/>
      <c r="JRX59" s="125"/>
      <c r="JRY59" s="5"/>
      <c r="JRZ59" s="117"/>
      <c r="JSA59" s="4"/>
      <c r="JSB59" s="126"/>
      <c r="JSC59" s="127"/>
      <c r="JSD59" s="121"/>
      <c r="JSE59" s="5"/>
      <c r="JSF59" s="5"/>
      <c r="JSG59" s="124"/>
      <c r="JSH59" s="121"/>
      <c r="JSI59" s="125"/>
      <c r="JSJ59" s="5"/>
      <c r="JSK59" s="117"/>
      <c r="JSL59" s="4"/>
      <c r="JSM59" s="126"/>
      <c r="JSN59" s="127"/>
      <c r="JSO59" s="121"/>
      <c r="JSP59" s="5"/>
      <c r="JSQ59" s="5"/>
      <c r="JSR59" s="124"/>
      <c r="JSS59" s="121"/>
      <c r="JST59" s="125"/>
      <c r="JSU59" s="5"/>
      <c r="JSV59" s="117"/>
      <c r="JSW59" s="4"/>
      <c r="JSX59" s="126"/>
      <c r="JSY59" s="127"/>
      <c r="JSZ59" s="121"/>
      <c r="JTA59" s="5"/>
      <c r="JTB59" s="5"/>
      <c r="JTC59" s="124"/>
      <c r="JTD59" s="121"/>
      <c r="JTE59" s="125"/>
      <c r="JTF59" s="5"/>
      <c r="JTG59" s="117"/>
      <c r="JTH59" s="4"/>
      <c r="JTI59" s="126"/>
      <c r="JTJ59" s="127"/>
      <c r="JTK59" s="121"/>
      <c r="JTL59" s="5"/>
      <c r="JTM59" s="5"/>
      <c r="JTN59" s="124"/>
      <c r="JTO59" s="121"/>
      <c r="JTP59" s="125"/>
      <c r="JTQ59" s="5"/>
      <c r="JTR59" s="117"/>
      <c r="JTS59" s="4"/>
      <c r="JTT59" s="126"/>
      <c r="JTU59" s="127"/>
      <c r="JTV59" s="121"/>
      <c r="JTW59" s="5"/>
      <c r="JTX59" s="5"/>
      <c r="JTY59" s="124"/>
      <c r="JTZ59" s="121"/>
      <c r="JUA59" s="125"/>
      <c r="JUB59" s="5"/>
      <c r="JUC59" s="117"/>
      <c r="JUD59" s="4"/>
      <c r="JUE59" s="126"/>
      <c r="JUF59" s="127"/>
      <c r="JUG59" s="121"/>
      <c r="JUH59" s="5"/>
      <c r="JUI59" s="5"/>
      <c r="JUJ59" s="124"/>
      <c r="JUK59" s="121"/>
      <c r="JUL59" s="125"/>
      <c r="JUM59" s="5"/>
      <c r="JUN59" s="117"/>
      <c r="JUO59" s="4"/>
      <c r="JUP59" s="126"/>
      <c r="JUQ59" s="127"/>
      <c r="JUR59" s="121"/>
      <c r="JUS59" s="5"/>
      <c r="JUT59" s="5"/>
      <c r="JUU59" s="124"/>
      <c r="JUV59" s="121"/>
      <c r="JUW59" s="125"/>
      <c r="JUX59" s="5"/>
      <c r="JUY59" s="117"/>
      <c r="JUZ59" s="4"/>
      <c r="JVA59" s="126"/>
      <c r="JVB59" s="127"/>
      <c r="JVC59" s="121"/>
      <c r="JVD59" s="5"/>
      <c r="JVE59" s="5"/>
      <c r="JVF59" s="124"/>
      <c r="JVG59" s="121"/>
      <c r="JVH59" s="125"/>
      <c r="JVI59" s="5"/>
      <c r="JVJ59" s="117"/>
      <c r="JVK59" s="4"/>
      <c r="JVL59" s="126"/>
      <c r="JVM59" s="127"/>
      <c r="JVN59" s="121"/>
      <c r="JVO59" s="5"/>
      <c r="JVP59" s="5"/>
      <c r="JVQ59" s="124"/>
      <c r="JVR59" s="121"/>
      <c r="JVS59" s="125"/>
      <c r="JVT59" s="5"/>
      <c r="JVU59" s="117"/>
      <c r="JVV59" s="4"/>
      <c r="JVW59" s="126"/>
      <c r="JVX59" s="127"/>
      <c r="JVY59" s="121"/>
      <c r="JVZ59" s="5"/>
      <c r="JWA59" s="5"/>
      <c r="JWB59" s="124"/>
      <c r="JWC59" s="121"/>
      <c r="JWD59" s="125"/>
      <c r="JWE59" s="5"/>
      <c r="JWF59" s="117"/>
      <c r="JWG59" s="4"/>
      <c r="JWH59" s="126"/>
      <c r="JWI59" s="127"/>
      <c r="JWJ59" s="121"/>
      <c r="JWK59" s="5"/>
      <c r="JWL59" s="5"/>
      <c r="JWM59" s="124"/>
      <c r="JWN59" s="121"/>
      <c r="JWO59" s="125"/>
      <c r="JWP59" s="5"/>
      <c r="JWQ59" s="117"/>
      <c r="JWR59" s="4"/>
      <c r="JWS59" s="126"/>
      <c r="JWT59" s="127"/>
      <c r="JWU59" s="121"/>
      <c r="JWV59" s="5"/>
      <c r="JWW59" s="5"/>
      <c r="JWX59" s="124"/>
      <c r="JWY59" s="121"/>
      <c r="JWZ59" s="125"/>
      <c r="JXA59" s="5"/>
      <c r="JXB59" s="117"/>
      <c r="JXC59" s="4"/>
      <c r="JXD59" s="126"/>
      <c r="JXE59" s="127"/>
      <c r="JXF59" s="121"/>
      <c r="JXG59" s="5"/>
      <c r="JXH59" s="5"/>
      <c r="JXI59" s="124"/>
      <c r="JXJ59" s="121"/>
      <c r="JXK59" s="125"/>
      <c r="JXL59" s="5"/>
      <c r="JXM59" s="117"/>
      <c r="JXN59" s="4"/>
      <c r="JXO59" s="126"/>
      <c r="JXP59" s="127"/>
      <c r="JXQ59" s="121"/>
      <c r="JXR59" s="5"/>
      <c r="JXS59" s="5"/>
      <c r="JXT59" s="124"/>
      <c r="JXU59" s="121"/>
      <c r="JXV59" s="125"/>
      <c r="JXW59" s="5"/>
      <c r="JXX59" s="117"/>
      <c r="JXY59" s="4"/>
      <c r="JXZ59" s="126"/>
      <c r="JYA59" s="127"/>
      <c r="JYB59" s="121"/>
      <c r="JYC59" s="5"/>
      <c r="JYD59" s="5"/>
      <c r="JYE59" s="124"/>
      <c r="JYF59" s="121"/>
      <c r="JYG59" s="125"/>
      <c r="JYH59" s="5"/>
      <c r="JYI59" s="117"/>
      <c r="JYJ59" s="4"/>
      <c r="JYK59" s="126"/>
      <c r="JYL59" s="127"/>
      <c r="JYM59" s="121"/>
      <c r="JYN59" s="5"/>
      <c r="JYO59" s="5"/>
      <c r="JYP59" s="124"/>
      <c r="JYQ59" s="121"/>
      <c r="JYR59" s="125"/>
      <c r="JYS59" s="5"/>
      <c r="JYT59" s="117"/>
      <c r="JYU59" s="4"/>
      <c r="JYV59" s="126"/>
      <c r="JYW59" s="127"/>
      <c r="JYX59" s="121"/>
      <c r="JYY59" s="5"/>
      <c r="JYZ59" s="5"/>
      <c r="JZA59" s="124"/>
      <c r="JZB59" s="121"/>
      <c r="JZC59" s="125"/>
      <c r="JZD59" s="5"/>
      <c r="JZE59" s="117"/>
      <c r="JZF59" s="4"/>
      <c r="JZG59" s="126"/>
      <c r="JZH59" s="127"/>
      <c r="JZI59" s="121"/>
      <c r="JZJ59" s="5"/>
      <c r="JZK59" s="5"/>
      <c r="JZL59" s="124"/>
      <c r="JZM59" s="121"/>
      <c r="JZN59" s="125"/>
      <c r="JZO59" s="5"/>
      <c r="JZP59" s="117"/>
      <c r="JZQ59" s="4"/>
      <c r="JZR59" s="126"/>
      <c r="JZS59" s="127"/>
      <c r="JZT59" s="121"/>
      <c r="JZU59" s="5"/>
      <c r="JZV59" s="5"/>
      <c r="JZW59" s="124"/>
      <c r="JZX59" s="121"/>
      <c r="JZY59" s="125"/>
      <c r="JZZ59" s="5"/>
      <c r="KAA59" s="117"/>
      <c r="KAB59" s="4"/>
      <c r="KAC59" s="126"/>
      <c r="KAD59" s="127"/>
      <c r="KAE59" s="121"/>
      <c r="KAF59" s="5"/>
      <c r="KAG59" s="5"/>
      <c r="KAH59" s="124"/>
      <c r="KAI59" s="121"/>
      <c r="KAJ59" s="125"/>
      <c r="KAK59" s="5"/>
      <c r="KAL59" s="117"/>
      <c r="KAM59" s="4"/>
      <c r="KAN59" s="126"/>
      <c r="KAO59" s="127"/>
      <c r="KAP59" s="121"/>
      <c r="KAQ59" s="5"/>
      <c r="KAR59" s="5"/>
      <c r="KAS59" s="124"/>
      <c r="KAT59" s="121"/>
      <c r="KAU59" s="125"/>
      <c r="KAV59" s="5"/>
      <c r="KAW59" s="117"/>
      <c r="KAX59" s="4"/>
      <c r="KAY59" s="126"/>
      <c r="KAZ59" s="127"/>
      <c r="KBA59" s="121"/>
      <c r="KBB59" s="5"/>
      <c r="KBC59" s="5"/>
      <c r="KBD59" s="124"/>
      <c r="KBE59" s="121"/>
      <c r="KBF59" s="125"/>
      <c r="KBG59" s="5"/>
      <c r="KBH59" s="117"/>
      <c r="KBI59" s="4"/>
      <c r="KBJ59" s="126"/>
      <c r="KBK59" s="127"/>
      <c r="KBL59" s="121"/>
      <c r="KBM59" s="5"/>
      <c r="KBN59" s="5"/>
      <c r="KBO59" s="124"/>
      <c r="KBP59" s="121"/>
      <c r="KBQ59" s="125"/>
      <c r="KBR59" s="5"/>
      <c r="KBS59" s="117"/>
      <c r="KBT59" s="4"/>
      <c r="KBU59" s="126"/>
      <c r="KBV59" s="127"/>
      <c r="KBW59" s="121"/>
      <c r="KBX59" s="5"/>
      <c r="KBY59" s="5"/>
      <c r="KBZ59" s="124"/>
      <c r="KCA59" s="121"/>
      <c r="KCB59" s="125"/>
      <c r="KCC59" s="5"/>
      <c r="KCD59" s="117"/>
      <c r="KCE59" s="4"/>
      <c r="KCF59" s="126"/>
      <c r="KCG59" s="127"/>
      <c r="KCH59" s="121"/>
      <c r="KCI59" s="5"/>
      <c r="KCJ59" s="5"/>
      <c r="KCK59" s="124"/>
      <c r="KCL59" s="121"/>
      <c r="KCM59" s="125"/>
      <c r="KCN59" s="5"/>
      <c r="KCO59" s="117"/>
      <c r="KCP59" s="4"/>
      <c r="KCQ59" s="126"/>
      <c r="KCR59" s="127"/>
      <c r="KCS59" s="121"/>
      <c r="KCT59" s="5"/>
      <c r="KCU59" s="5"/>
      <c r="KCV59" s="124"/>
      <c r="KCW59" s="121"/>
      <c r="KCX59" s="125"/>
      <c r="KCY59" s="5"/>
      <c r="KCZ59" s="117"/>
      <c r="KDA59" s="4"/>
      <c r="KDB59" s="126"/>
      <c r="KDC59" s="127"/>
      <c r="KDD59" s="121"/>
      <c r="KDE59" s="5"/>
      <c r="KDF59" s="5"/>
      <c r="KDG59" s="124"/>
      <c r="KDH59" s="121"/>
      <c r="KDI59" s="125"/>
      <c r="KDJ59" s="5"/>
      <c r="KDK59" s="117"/>
      <c r="KDL59" s="4"/>
      <c r="KDM59" s="126"/>
      <c r="KDN59" s="127"/>
      <c r="KDO59" s="121"/>
      <c r="KDP59" s="5"/>
      <c r="KDQ59" s="5"/>
      <c r="KDR59" s="124"/>
      <c r="KDS59" s="121"/>
      <c r="KDT59" s="125"/>
      <c r="KDU59" s="5"/>
      <c r="KDV59" s="117"/>
      <c r="KDW59" s="4"/>
      <c r="KDX59" s="126"/>
      <c r="KDY59" s="127"/>
      <c r="KDZ59" s="121"/>
      <c r="KEA59" s="5"/>
      <c r="KEB59" s="5"/>
      <c r="KEC59" s="124"/>
      <c r="KED59" s="121"/>
      <c r="KEE59" s="125"/>
      <c r="KEF59" s="5"/>
      <c r="KEG59" s="117"/>
      <c r="KEH59" s="4"/>
      <c r="KEI59" s="126"/>
      <c r="KEJ59" s="127"/>
      <c r="KEK59" s="121"/>
      <c r="KEL59" s="5"/>
      <c r="KEM59" s="5"/>
      <c r="KEN59" s="124"/>
      <c r="KEO59" s="121"/>
      <c r="KEP59" s="125"/>
      <c r="KEQ59" s="5"/>
      <c r="KER59" s="117"/>
      <c r="KES59" s="4"/>
      <c r="KET59" s="126"/>
      <c r="KEU59" s="127"/>
      <c r="KEV59" s="121"/>
      <c r="KEW59" s="5"/>
      <c r="KEX59" s="5"/>
      <c r="KEY59" s="124"/>
      <c r="KEZ59" s="121"/>
      <c r="KFA59" s="125"/>
      <c r="KFB59" s="5"/>
      <c r="KFC59" s="117"/>
      <c r="KFD59" s="4"/>
      <c r="KFE59" s="126"/>
      <c r="KFF59" s="127"/>
      <c r="KFG59" s="121"/>
      <c r="KFH59" s="5"/>
      <c r="KFI59" s="5"/>
      <c r="KFJ59" s="124"/>
      <c r="KFK59" s="121"/>
      <c r="KFL59" s="125"/>
      <c r="KFM59" s="5"/>
      <c r="KFN59" s="117"/>
      <c r="KFO59" s="4"/>
      <c r="KFP59" s="126"/>
      <c r="KFQ59" s="127"/>
      <c r="KFR59" s="121"/>
      <c r="KFS59" s="5"/>
      <c r="KFT59" s="5"/>
      <c r="KFU59" s="124"/>
      <c r="KFV59" s="121"/>
      <c r="KFW59" s="125"/>
      <c r="KFX59" s="5"/>
      <c r="KFY59" s="117"/>
      <c r="KFZ59" s="4"/>
      <c r="KGA59" s="126"/>
      <c r="KGB59" s="127"/>
      <c r="KGC59" s="121"/>
      <c r="KGD59" s="5"/>
      <c r="KGE59" s="5"/>
      <c r="KGF59" s="124"/>
      <c r="KGG59" s="121"/>
      <c r="KGH59" s="125"/>
      <c r="KGI59" s="5"/>
      <c r="KGJ59" s="117"/>
      <c r="KGK59" s="4"/>
      <c r="KGL59" s="126"/>
      <c r="KGM59" s="127"/>
      <c r="KGN59" s="121"/>
      <c r="KGO59" s="5"/>
      <c r="KGP59" s="5"/>
      <c r="KGQ59" s="124"/>
      <c r="KGR59" s="121"/>
      <c r="KGS59" s="125"/>
      <c r="KGT59" s="5"/>
      <c r="KGU59" s="117"/>
      <c r="KGV59" s="4"/>
      <c r="KGW59" s="126"/>
      <c r="KGX59" s="127"/>
      <c r="KGY59" s="121"/>
      <c r="KGZ59" s="5"/>
      <c r="KHA59" s="5"/>
      <c r="KHB59" s="124"/>
      <c r="KHC59" s="121"/>
      <c r="KHD59" s="125"/>
      <c r="KHE59" s="5"/>
      <c r="KHF59" s="117"/>
      <c r="KHG59" s="4"/>
      <c r="KHH59" s="126"/>
      <c r="KHI59" s="127"/>
      <c r="KHJ59" s="121"/>
      <c r="KHK59" s="5"/>
      <c r="KHL59" s="5"/>
      <c r="KHM59" s="124"/>
      <c r="KHN59" s="121"/>
      <c r="KHO59" s="125"/>
      <c r="KHP59" s="5"/>
      <c r="KHQ59" s="117"/>
      <c r="KHR59" s="4"/>
      <c r="KHS59" s="126"/>
      <c r="KHT59" s="127"/>
      <c r="KHU59" s="121"/>
      <c r="KHV59" s="5"/>
      <c r="KHW59" s="5"/>
      <c r="KHX59" s="124"/>
      <c r="KHY59" s="121"/>
      <c r="KHZ59" s="125"/>
      <c r="KIA59" s="5"/>
      <c r="KIB59" s="117"/>
      <c r="KIC59" s="4"/>
      <c r="KID59" s="126"/>
      <c r="KIE59" s="127"/>
      <c r="KIF59" s="121"/>
      <c r="KIG59" s="5"/>
      <c r="KIH59" s="5"/>
      <c r="KII59" s="124"/>
      <c r="KIJ59" s="121"/>
      <c r="KIK59" s="125"/>
      <c r="KIL59" s="5"/>
      <c r="KIM59" s="117"/>
      <c r="KIN59" s="4"/>
      <c r="KIO59" s="126"/>
      <c r="KIP59" s="127"/>
      <c r="KIQ59" s="121"/>
      <c r="KIR59" s="5"/>
      <c r="KIS59" s="5"/>
      <c r="KIT59" s="124"/>
      <c r="KIU59" s="121"/>
      <c r="KIV59" s="125"/>
      <c r="KIW59" s="5"/>
      <c r="KIX59" s="117"/>
      <c r="KIY59" s="4"/>
      <c r="KIZ59" s="126"/>
      <c r="KJA59" s="127"/>
      <c r="KJB59" s="121"/>
      <c r="KJC59" s="5"/>
      <c r="KJD59" s="5"/>
      <c r="KJE59" s="124"/>
      <c r="KJF59" s="121"/>
      <c r="KJG59" s="125"/>
      <c r="KJH59" s="5"/>
      <c r="KJI59" s="117"/>
      <c r="KJJ59" s="4"/>
      <c r="KJK59" s="126"/>
      <c r="KJL59" s="127"/>
      <c r="KJM59" s="121"/>
      <c r="KJN59" s="5"/>
      <c r="KJO59" s="5"/>
      <c r="KJP59" s="124"/>
      <c r="KJQ59" s="121"/>
      <c r="KJR59" s="125"/>
      <c r="KJS59" s="5"/>
      <c r="KJT59" s="117"/>
      <c r="KJU59" s="4"/>
      <c r="KJV59" s="126"/>
      <c r="KJW59" s="127"/>
      <c r="KJX59" s="121"/>
      <c r="KJY59" s="5"/>
      <c r="KJZ59" s="5"/>
      <c r="KKA59" s="124"/>
      <c r="KKB59" s="121"/>
      <c r="KKC59" s="125"/>
      <c r="KKD59" s="5"/>
      <c r="KKE59" s="117"/>
      <c r="KKF59" s="4"/>
      <c r="KKG59" s="126"/>
      <c r="KKH59" s="127"/>
      <c r="KKI59" s="121"/>
      <c r="KKJ59" s="5"/>
      <c r="KKK59" s="5"/>
      <c r="KKL59" s="124"/>
      <c r="KKM59" s="121"/>
      <c r="KKN59" s="125"/>
      <c r="KKO59" s="5"/>
      <c r="KKP59" s="117"/>
      <c r="KKQ59" s="4"/>
      <c r="KKR59" s="126"/>
      <c r="KKS59" s="127"/>
      <c r="KKT59" s="121"/>
      <c r="KKU59" s="5"/>
      <c r="KKV59" s="5"/>
      <c r="KKW59" s="124"/>
      <c r="KKX59" s="121"/>
      <c r="KKY59" s="125"/>
      <c r="KKZ59" s="5"/>
      <c r="KLA59" s="117"/>
      <c r="KLB59" s="4"/>
      <c r="KLC59" s="126"/>
      <c r="KLD59" s="127"/>
      <c r="KLE59" s="121"/>
      <c r="KLF59" s="5"/>
      <c r="KLG59" s="5"/>
      <c r="KLH59" s="124"/>
      <c r="KLI59" s="121"/>
      <c r="KLJ59" s="125"/>
      <c r="KLK59" s="5"/>
      <c r="KLL59" s="117"/>
      <c r="KLM59" s="4"/>
      <c r="KLN59" s="126"/>
      <c r="KLO59" s="127"/>
      <c r="KLP59" s="121"/>
      <c r="KLQ59" s="5"/>
      <c r="KLR59" s="5"/>
      <c r="KLS59" s="124"/>
      <c r="KLT59" s="121"/>
      <c r="KLU59" s="125"/>
      <c r="KLV59" s="5"/>
      <c r="KLW59" s="117"/>
      <c r="KLX59" s="4"/>
      <c r="KLY59" s="126"/>
      <c r="KLZ59" s="127"/>
      <c r="KMA59" s="121"/>
      <c r="KMB59" s="5"/>
      <c r="KMC59" s="5"/>
      <c r="KMD59" s="124"/>
      <c r="KME59" s="121"/>
      <c r="KMF59" s="125"/>
      <c r="KMG59" s="5"/>
      <c r="KMH59" s="117"/>
      <c r="KMI59" s="4"/>
      <c r="KMJ59" s="126"/>
      <c r="KMK59" s="127"/>
      <c r="KML59" s="121"/>
      <c r="KMM59" s="5"/>
      <c r="KMN59" s="5"/>
      <c r="KMO59" s="124"/>
      <c r="KMP59" s="121"/>
      <c r="KMQ59" s="125"/>
      <c r="KMR59" s="5"/>
      <c r="KMS59" s="117"/>
      <c r="KMT59" s="4"/>
      <c r="KMU59" s="126"/>
      <c r="KMV59" s="127"/>
      <c r="KMW59" s="121"/>
      <c r="KMX59" s="5"/>
      <c r="KMY59" s="5"/>
      <c r="KMZ59" s="124"/>
      <c r="KNA59" s="121"/>
      <c r="KNB59" s="125"/>
      <c r="KNC59" s="5"/>
      <c r="KND59" s="117"/>
      <c r="KNE59" s="4"/>
      <c r="KNF59" s="126"/>
      <c r="KNG59" s="127"/>
      <c r="KNH59" s="121"/>
      <c r="KNI59" s="5"/>
      <c r="KNJ59" s="5"/>
      <c r="KNK59" s="124"/>
      <c r="KNL59" s="121"/>
      <c r="KNM59" s="125"/>
      <c r="KNN59" s="5"/>
      <c r="KNO59" s="117"/>
      <c r="KNP59" s="4"/>
      <c r="KNQ59" s="126"/>
      <c r="KNR59" s="127"/>
      <c r="KNS59" s="121"/>
      <c r="KNT59" s="5"/>
      <c r="KNU59" s="5"/>
      <c r="KNV59" s="124"/>
      <c r="KNW59" s="121"/>
      <c r="KNX59" s="125"/>
      <c r="KNY59" s="5"/>
      <c r="KNZ59" s="117"/>
      <c r="KOA59" s="4"/>
      <c r="KOB59" s="126"/>
      <c r="KOC59" s="127"/>
      <c r="KOD59" s="121"/>
      <c r="KOE59" s="5"/>
      <c r="KOF59" s="5"/>
      <c r="KOG59" s="124"/>
      <c r="KOH59" s="121"/>
      <c r="KOI59" s="125"/>
      <c r="KOJ59" s="5"/>
      <c r="KOK59" s="117"/>
      <c r="KOL59" s="4"/>
      <c r="KOM59" s="126"/>
      <c r="KON59" s="127"/>
      <c r="KOO59" s="121"/>
      <c r="KOP59" s="5"/>
      <c r="KOQ59" s="5"/>
      <c r="KOR59" s="124"/>
      <c r="KOS59" s="121"/>
      <c r="KOT59" s="125"/>
      <c r="KOU59" s="5"/>
      <c r="KOV59" s="117"/>
      <c r="KOW59" s="4"/>
      <c r="KOX59" s="126"/>
      <c r="KOY59" s="127"/>
      <c r="KOZ59" s="121"/>
      <c r="KPA59" s="5"/>
      <c r="KPB59" s="5"/>
      <c r="KPC59" s="124"/>
      <c r="KPD59" s="121"/>
      <c r="KPE59" s="125"/>
      <c r="KPF59" s="5"/>
      <c r="KPG59" s="117"/>
      <c r="KPH59" s="4"/>
      <c r="KPI59" s="126"/>
      <c r="KPJ59" s="127"/>
      <c r="KPK59" s="121"/>
      <c r="KPL59" s="5"/>
      <c r="KPM59" s="5"/>
      <c r="KPN59" s="124"/>
      <c r="KPO59" s="121"/>
      <c r="KPP59" s="125"/>
      <c r="KPQ59" s="5"/>
      <c r="KPR59" s="117"/>
      <c r="KPS59" s="4"/>
      <c r="KPT59" s="126"/>
      <c r="KPU59" s="127"/>
      <c r="KPV59" s="121"/>
      <c r="KPW59" s="5"/>
      <c r="KPX59" s="5"/>
      <c r="KPY59" s="124"/>
      <c r="KPZ59" s="121"/>
      <c r="KQA59" s="125"/>
      <c r="KQB59" s="5"/>
      <c r="KQC59" s="117"/>
      <c r="KQD59" s="4"/>
      <c r="KQE59" s="126"/>
      <c r="KQF59" s="127"/>
      <c r="KQG59" s="121"/>
      <c r="KQH59" s="5"/>
      <c r="KQI59" s="5"/>
      <c r="KQJ59" s="124"/>
      <c r="KQK59" s="121"/>
      <c r="KQL59" s="125"/>
      <c r="KQM59" s="5"/>
      <c r="KQN59" s="117"/>
      <c r="KQO59" s="4"/>
      <c r="KQP59" s="126"/>
      <c r="KQQ59" s="127"/>
      <c r="KQR59" s="121"/>
      <c r="KQS59" s="5"/>
      <c r="KQT59" s="5"/>
      <c r="KQU59" s="124"/>
      <c r="KQV59" s="121"/>
      <c r="KQW59" s="125"/>
      <c r="KQX59" s="5"/>
      <c r="KQY59" s="117"/>
      <c r="KQZ59" s="4"/>
      <c r="KRA59" s="126"/>
      <c r="KRB59" s="127"/>
      <c r="KRC59" s="121"/>
      <c r="KRD59" s="5"/>
      <c r="KRE59" s="5"/>
      <c r="KRF59" s="124"/>
      <c r="KRG59" s="121"/>
      <c r="KRH59" s="125"/>
      <c r="KRI59" s="5"/>
      <c r="KRJ59" s="117"/>
      <c r="KRK59" s="4"/>
      <c r="KRL59" s="126"/>
      <c r="KRM59" s="127"/>
      <c r="KRN59" s="121"/>
      <c r="KRO59" s="5"/>
      <c r="KRP59" s="5"/>
      <c r="KRQ59" s="124"/>
      <c r="KRR59" s="121"/>
      <c r="KRS59" s="125"/>
      <c r="KRT59" s="5"/>
      <c r="KRU59" s="117"/>
      <c r="KRV59" s="4"/>
      <c r="KRW59" s="126"/>
      <c r="KRX59" s="127"/>
      <c r="KRY59" s="121"/>
      <c r="KRZ59" s="5"/>
      <c r="KSA59" s="5"/>
      <c r="KSB59" s="124"/>
      <c r="KSC59" s="121"/>
      <c r="KSD59" s="125"/>
      <c r="KSE59" s="5"/>
      <c r="KSF59" s="117"/>
      <c r="KSG59" s="4"/>
      <c r="KSH59" s="126"/>
      <c r="KSI59" s="127"/>
      <c r="KSJ59" s="121"/>
      <c r="KSK59" s="5"/>
      <c r="KSL59" s="5"/>
      <c r="KSM59" s="124"/>
      <c r="KSN59" s="121"/>
      <c r="KSO59" s="125"/>
      <c r="KSP59" s="5"/>
      <c r="KSQ59" s="117"/>
      <c r="KSR59" s="4"/>
      <c r="KSS59" s="126"/>
      <c r="KST59" s="127"/>
      <c r="KSU59" s="121"/>
      <c r="KSV59" s="5"/>
      <c r="KSW59" s="5"/>
      <c r="KSX59" s="124"/>
      <c r="KSY59" s="121"/>
      <c r="KSZ59" s="125"/>
      <c r="KTA59" s="5"/>
      <c r="KTB59" s="117"/>
      <c r="KTC59" s="4"/>
      <c r="KTD59" s="126"/>
      <c r="KTE59" s="127"/>
      <c r="KTF59" s="121"/>
      <c r="KTG59" s="5"/>
      <c r="KTH59" s="5"/>
      <c r="KTI59" s="124"/>
      <c r="KTJ59" s="121"/>
      <c r="KTK59" s="125"/>
      <c r="KTL59" s="5"/>
      <c r="KTM59" s="117"/>
      <c r="KTN59" s="4"/>
      <c r="KTO59" s="126"/>
      <c r="KTP59" s="127"/>
      <c r="KTQ59" s="121"/>
      <c r="KTR59" s="5"/>
      <c r="KTS59" s="5"/>
      <c r="KTT59" s="124"/>
      <c r="KTU59" s="121"/>
      <c r="KTV59" s="125"/>
      <c r="KTW59" s="5"/>
      <c r="KTX59" s="117"/>
      <c r="KTY59" s="4"/>
      <c r="KTZ59" s="126"/>
      <c r="KUA59" s="127"/>
      <c r="KUB59" s="121"/>
      <c r="KUC59" s="5"/>
      <c r="KUD59" s="5"/>
      <c r="KUE59" s="124"/>
      <c r="KUF59" s="121"/>
      <c r="KUG59" s="125"/>
      <c r="KUH59" s="5"/>
      <c r="KUI59" s="117"/>
      <c r="KUJ59" s="4"/>
      <c r="KUK59" s="126"/>
      <c r="KUL59" s="127"/>
      <c r="KUM59" s="121"/>
      <c r="KUN59" s="5"/>
      <c r="KUO59" s="5"/>
      <c r="KUP59" s="124"/>
      <c r="KUQ59" s="121"/>
      <c r="KUR59" s="125"/>
      <c r="KUS59" s="5"/>
      <c r="KUT59" s="117"/>
      <c r="KUU59" s="4"/>
      <c r="KUV59" s="126"/>
      <c r="KUW59" s="127"/>
      <c r="KUX59" s="121"/>
      <c r="KUY59" s="5"/>
      <c r="KUZ59" s="5"/>
      <c r="KVA59" s="124"/>
      <c r="KVB59" s="121"/>
      <c r="KVC59" s="125"/>
      <c r="KVD59" s="5"/>
      <c r="KVE59" s="117"/>
      <c r="KVF59" s="4"/>
      <c r="KVG59" s="126"/>
      <c r="KVH59" s="127"/>
      <c r="KVI59" s="121"/>
      <c r="KVJ59" s="5"/>
      <c r="KVK59" s="5"/>
      <c r="KVL59" s="124"/>
      <c r="KVM59" s="121"/>
      <c r="KVN59" s="125"/>
      <c r="KVO59" s="5"/>
      <c r="KVP59" s="117"/>
      <c r="KVQ59" s="4"/>
      <c r="KVR59" s="126"/>
      <c r="KVS59" s="127"/>
      <c r="KVT59" s="121"/>
      <c r="KVU59" s="5"/>
      <c r="KVV59" s="5"/>
      <c r="KVW59" s="124"/>
      <c r="KVX59" s="121"/>
      <c r="KVY59" s="125"/>
      <c r="KVZ59" s="5"/>
      <c r="KWA59" s="117"/>
      <c r="KWB59" s="4"/>
      <c r="KWC59" s="126"/>
      <c r="KWD59" s="127"/>
      <c r="KWE59" s="121"/>
      <c r="KWF59" s="5"/>
      <c r="KWG59" s="5"/>
      <c r="KWH59" s="124"/>
      <c r="KWI59" s="121"/>
      <c r="KWJ59" s="125"/>
      <c r="KWK59" s="5"/>
      <c r="KWL59" s="117"/>
      <c r="KWM59" s="4"/>
      <c r="KWN59" s="126"/>
      <c r="KWO59" s="127"/>
      <c r="KWP59" s="121"/>
      <c r="KWQ59" s="5"/>
      <c r="KWR59" s="5"/>
      <c r="KWS59" s="124"/>
      <c r="KWT59" s="121"/>
      <c r="KWU59" s="125"/>
      <c r="KWV59" s="5"/>
      <c r="KWW59" s="117"/>
      <c r="KWX59" s="4"/>
      <c r="KWY59" s="126"/>
      <c r="KWZ59" s="127"/>
      <c r="KXA59" s="121"/>
      <c r="KXB59" s="5"/>
      <c r="KXC59" s="5"/>
      <c r="KXD59" s="124"/>
      <c r="KXE59" s="121"/>
      <c r="KXF59" s="125"/>
      <c r="KXG59" s="5"/>
      <c r="KXH59" s="117"/>
      <c r="KXI59" s="4"/>
      <c r="KXJ59" s="126"/>
      <c r="KXK59" s="127"/>
      <c r="KXL59" s="121"/>
      <c r="KXM59" s="5"/>
      <c r="KXN59" s="5"/>
      <c r="KXO59" s="124"/>
      <c r="KXP59" s="121"/>
      <c r="KXQ59" s="125"/>
      <c r="KXR59" s="5"/>
      <c r="KXS59" s="117"/>
      <c r="KXT59" s="4"/>
      <c r="KXU59" s="126"/>
      <c r="KXV59" s="127"/>
      <c r="KXW59" s="121"/>
      <c r="KXX59" s="5"/>
      <c r="KXY59" s="5"/>
      <c r="KXZ59" s="124"/>
      <c r="KYA59" s="121"/>
      <c r="KYB59" s="125"/>
      <c r="KYC59" s="5"/>
      <c r="KYD59" s="117"/>
      <c r="KYE59" s="4"/>
      <c r="KYF59" s="126"/>
      <c r="KYG59" s="127"/>
      <c r="KYH59" s="121"/>
      <c r="KYI59" s="5"/>
      <c r="KYJ59" s="5"/>
      <c r="KYK59" s="124"/>
      <c r="KYL59" s="121"/>
      <c r="KYM59" s="125"/>
      <c r="KYN59" s="5"/>
      <c r="KYO59" s="117"/>
      <c r="KYP59" s="4"/>
      <c r="KYQ59" s="126"/>
      <c r="KYR59" s="127"/>
      <c r="KYS59" s="121"/>
      <c r="KYT59" s="5"/>
      <c r="KYU59" s="5"/>
      <c r="KYV59" s="124"/>
      <c r="KYW59" s="121"/>
      <c r="KYX59" s="125"/>
      <c r="KYY59" s="5"/>
      <c r="KYZ59" s="117"/>
      <c r="KZA59" s="4"/>
      <c r="KZB59" s="126"/>
      <c r="KZC59" s="127"/>
      <c r="KZD59" s="121"/>
      <c r="KZE59" s="5"/>
      <c r="KZF59" s="5"/>
      <c r="KZG59" s="124"/>
      <c r="KZH59" s="121"/>
      <c r="KZI59" s="125"/>
      <c r="KZJ59" s="5"/>
      <c r="KZK59" s="117"/>
      <c r="KZL59" s="4"/>
      <c r="KZM59" s="126"/>
      <c r="KZN59" s="127"/>
      <c r="KZO59" s="121"/>
      <c r="KZP59" s="5"/>
      <c r="KZQ59" s="5"/>
      <c r="KZR59" s="124"/>
      <c r="KZS59" s="121"/>
      <c r="KZT59" s="125"/>
      <c r="KZU59" s="5"/>
      <c r="KZV59" s="117"/>
      <c r="KZW59" s="4"/>
      <c r="KZX59" s="126"/>
      <c r="KZY59" s="127"/>
      <c r="KZZ59" s="121"/>
      <c r="LAA59" s="5"/>
      <c r="LAB59" s="5"/>
      <c r="LAC59" s="124"/>
      <c r="LAD59" s="121"/>
      <c r="LAE59" s="125"/>
      <c r="LAF59" s="5"/>
      <c r="LAG59" s="117"/>
      <c r="LAH59" s="4"/>
      <c r="LAI59" s="126"/>
      <c r="LAJ59" s="127"/>
      <c r="LAK59" s="121"/>
      <c r="LAL59" s="5"/>
      <c r="LAM59" s="5"/>
      <c r="LAN59" s="124"/>
      <c r="LAO59" s="121"/>
      <c r="LAP59" s="125"/>
      <c r="LAQ59" s="5"/>
      <c r="LAR59" s="117"/>
      <c r="LAS59" s="4"/>
      <c r="LAT59" s="126"/>
      <c r="LAU59" s="127"/>
      <c r="LAV59" s="121"/>
      <c r="LAW59" s="5"/>
      <c r="LAX59" s="5"/>
      <c r="LAY59" s="124"/>
      <c r="LAZ59" s="121"/>
      <c r="LBA59" s="125"/>
      <c r="LBB59" s="5"/>
      <c r="LBC59" s="117"/>
      <c r="LBD59" s="4"/>
      <c r="LBE59" s="126"/>
      <c r="LBF59" s="127"/>
      <c r="LBG59" s="121"/>
      <c r="LBH59" s="5"/>
      <c r="LBI59" s="5"/>
      <c r="LBJ59" s="124"/>
      <c r="LBK59" s="121"/>
      <c r="LBL59" s="125"/>
      <c r="LBM59" s="5"/>
      <c r="LBN59" s="117"/>
      <c r="LBO59" s="4"/>
      <c r="LBP59" s="126"/>
      <c r="LBQ59" s="127"/>
      <c r="LBR59" s="121"/>
      <c r="LBS59" s="5"/>
      <c r="LBT59" s="5"/>
      <c r="LBU59" s="124"/>
      <c r="LBV59" s="121"/>
      <c r="LBW59" s="125"/>
      <c r="LBX59" s="5"/>
      <c r="LBY59" s="117"/>
      <c r="LBZ59" s="4"/>
      <c r="LCA59" s="126"/>
      <c r="LCB59" s="127"/>
      <c r="LCC59" s="121"/>
      <c r="LCD59" s="5"/>
      <c r="LCE59" s="5"/>
      <c r="LCF59" s="124"/>
      <c r="LCG59" s="121"/>
      <c r="LCH59" s="125"/>
      <c r="LCI59" s="5"/>
      <c r="LCJ59" s="117"/>
      <c r="LCK59" s="4"/>
      <c r="LCL59" s="126"/>
      <c r="LCM59" s="127"/>
      <c r="LCN59" s="121"/>
      <c r="LCO59" s="5"/>
      <c r="LCP59" s="5"/>
      <c r="LCQ59" s="124"/>
      <c r="LCR59" s="121"/>
      <c r="LCS59" s="125"/>
      <c r="LCT59" s="5"/>
      <c r="LCU59" s="117"/>
      <c r="LCV59" s="4"/>
      <c r="LCW59" s="126"/>
      <c r="LCX59" s="127"/>
      <c r="LCY59" s="121"/>
      <c r="LCZ59" s="5"/>
      <c r="LDA59" s="5"/>
      <c r="LDB59" s="124"/>
      <c r="LDC59" s="121"/>
      <c r="LDD59" s="125"/>
      <c r="LDE59" s="5"/>
      <c r="LDF59" s="117"/>
      <c r="LDG59" s="4"/>
      <c r="LDH59" s="126"/>
      <c r="LDI59" s="127"/>
      <c r="LDJ59" s="121"/>
      <c r="LDK59" s="5"/>
      <c r="LDL59" s="5"/>
      <c r="LDM59" s="124"/>
      <c r="LDN59" s="121"/>
      <c r="LDO59" s="125"/>
      <c r="LDP59" s="5"/>
      <c r="LDQ59" s="117"/>
      <c r="LDR59" s="4"/>
      <c r="LDS59" s="126"/>
      <c r="LDT59" s="127"/>
      <c r="LDU59" s="121"/>
      <c r="LDV59" s="5"/>
      <c r="LDW59" s="5"/>
      <c r="LDX59" s="124"/>
      <c r="LDY59" s="121"/>
      <c r="LDZ59" s="125"/>
      <c r="LEA59" s="5"/>
      <c r="LEB59" s="117"/>
      <c r="LEC59" s="4"/>
      <c r="LED59" s="126"/>
      <c r="LEE59" s="127"/>
      <c r="LEF59" s="121"/>
      <c r="LEG59" s="5"/>
      <c r="LEH59" s="5"/>
      <c r="LEI59" s="124"/>
      <c r="LEJ59" s="121"/>
      <c r="LEK59" s="125"/>
      <c r="LEL59" s="5"/>
      <c r="LEM59" s="117"/>
      <c r="LEN59" s="4"/>
      <c r="LEO59" s="126"/>
      <c r="LEP59" s="127"/>
      <c r="LEQ59" s="121"/>
      <c r="LER59" s="5"/>
      <c r="LES59" s="5"/>
      <c r="LET59" s="124"/>
      <c r="LEU59" s="121"/>
      <c r="LEV59" s="125"/>
      <c r="LEW59" s="5"/>
      <c r="LEX59" s="117"/>
      <c r="LEY59" s="4"/>
      <c r="LEZ59" s="126"/>
      <c r="LFA59" s="127"/>
      <c r="LFB59" s="121"/>
      <c r="LFC59" s="5"/>
      <c r="LFD59" s="5"/>
      <c r="LFE59" s="124"/>
      <c r="LFF59" s="121"/>
      <c r="LFG59" s="125"/>
      <c r="LFH59" s="5"/>
      <c r="LFI59" s="117"/>
      <c r="LFJ59" s="4"/>
      <c r="LFK59" s="126"/>
      <c r="LFL59" s="127"/>
      <c r="LFM59" s="121"/>
      <c r="LFN59" s="5"/>
      <c r="LFO59" s="5"/>
      <c r="LFP59" s="124"/>
      <c r="LFQ59" s="121"/>
      <c r="LFR59" s="125"/>
      <c r="LFS59" s="5"/>
      <c r="LFT59" s="117"/>
      <c r="LFU59" s="4"/>
      <c r="LFV59" s="126"/>
      <c r="LFW59" s="127"/>
      <c r="LFX59" s="121"/>
      <c r="LFY59" s="5"/>
      <c r="LFZ59" s="5"/>
      <c r="LGA59" s="124"/>
      <c r="LGB59" s="121"/>
      <c r="LGC59" s="125"/>
      <c r="LGD59" s="5"/>
      <c r="LGE59" s="117"/>
      <c r="LGF59" s="4"/>
      <c r="LGG59" s="126"/>
      <c r="LGH59" s="127"/>
      <c r="LGI59" s="121"/>
      <c r="LGJ59" s="5"/>
      <c r="LGK59" s="5"/>
      <c r="LGL59" s="124"/>
      <c r="LGM59" s="121"/>
      <c r="LGN59" s="125"/>
      <c r="LGO59" s="5"/>
      <c r="LGP59" s="117"/>
      <c r="LGQ59" s="4"/>
      <c r="LGR59" s="126"/>
      <c r="LGS59" s="127"/>
      <c r="LGT59" s="121"/>
      <c r="LGU59" s="5"/>
      <c r="LGV59" s="5"/>
      <c r="LGW59" s="124"/>
      <c r="LGX59" s="121"/>
      <c r="LGY59" s="125"/>
      <c r="LGZ59" s="5"/>
      <c r="LHA59" s="117"/>
      <c r="LHB59" s="4"/>
      <c r="LHC59" s="126"/>
      <c r="LHD59" s="127"/>
      <c r="LHE59" s="121"/>
      <c r="LHF59" s="5"/>
      <c r="LHG59" s="5"/>
      <c r="LHH59" s="124"/>
      <c r="LHI59" s="121"/>
      <c r="LHJ59" s="125"/>
      <c r="LHK59" s="5"/>
      <c r="LHL59" s="117"/>
      <c r="LHM59" s="4"/>
      <c r="LHN59" s="126"/>
      <c r="LHO59" s="127"/>
      <c r="LHP59" s="121"/>
      <c r="LHQ59" s="5"/>
      <c r="LHR59" s="5"/>
      <c r="LHS59" s="124"/>
      <c r="LHT59" s="121"/>
      <c r="LHU59" s="125"/>
      <c r="LHV59" s="5"/>
      <c r="LHW59" s="117"/>
      <c r="LHX59" s="4"/>
      <c r="LHY59" s="126"/>
      <c r="LHZ59" s="127"/>
      <c r="LIA59" s="121"/>
      <c r="LIB59" s="5"/>
      <c r="LIC59" s="5"/>
      <c r="LID59" s="124"/>
      <c r="LIE59" s="121"/>
      <c r="LIF59" s="125"/>
      <c r="LIG59" s="5"/>
      <c r="LIH59" s="117"/>
      <c r="LII59" s="4"/>
      <c r="LIJ59" s="126"/>
      <c r="LIK59" s="127"/>
      <c r="LIL59" s="121"/>
      <c r="LIM59" s="5"/>
      <c r="LIN59" s="5"/>
      <c r="LIO59" s="124"/>
      <c r="LIP59" s="121"/>
      <c r="LIQ59" s="125"/>
      <c r="LIR59" s="5"/>
      <c r="LIS59" s="117"/>
      <c r="LIT59" s="4"/>
      <c r="LIU59" s="126"/>
      <c r="LIV59" s="127"/>
      <c r="LIW59" s="121"/>
      <c r="LIX59" s="5"/>
      <c r="LIY59" s="5"/>
      <c r="LIZ59" s="124"/>
      <c r="LJA59" s="121"/>
      <c r="LJB59" s="125"/>
      <c r="LJC59" s="5"/>
      <c r="LJD59" s="117"/>
      <c r="LJE59" s="4"/>
      <c r="LJF59" s="126"/>
      <c r="LJG59" s="127"/>
      <c r="LJH59" s="121"/>
      <c r="LJI59" s="5"/>
      <c r="LJJ59" s="5"/>
      <c r="LJK59" s="124"/>
      <c r="LJL59" s="121"/>
      <c r="LJM59" s="125"/>
      <c r="LJN59" s="5"/>
      <c r="LJO59" s="117"/>
      <c r="LJP59" s="4"/>
      <c r="LJQ59" s="126"/>
      <c r="LJR59" s="127"/>
      <c r="LJS59" s="121"/>
      <c r="LJT59" s="5"/>
      <c r="LJU59" s="5"/>
      <c r="LJV59" s="124"/>
      <c r="LJW59" s="121"/>
      <c r="LJX59" s="125"/>
      <c r="LJY59" s="5"/>
      <c r="LJZ59" s="117"/>
      <c r="LKA59" s="4"/>
      <c r="LKB59" s="126"/>
      <c r="LKC59" s="127"/>
      <c r="LKD59" s="121"/>
      <c r="LKE59" s="5"/>
      <c r="LKF59" s="5"/>
      <c r="LKG59" s="124"/>
      <c r="LKH59" s="121"/>
      <c r="LKI59" s="125"/>
      <c r="LKJ59" s="5"/>
      <c r="LKK59" s="117"/>
      <c r="LKL59" s="4"/>
      <c r="LKM59" s="126"/>
      <c r="LKN59" s="127"/>
      <c r="LKO59" s="121"/>
      <c r="LKP59" s="5"/>
      <c r="LKQ59" s="5"/>
      <c r="LKR59" s="124"/>
      <c r="LKS59" s="121"/>
      <c r="LKT59" s="125"/>
      <c r="LKU59" s="5"/>
      <c r="LKV59" s="117"/>
      <c r="LKW59" s="4"/>
      <c r="LKX59" s="126"/>
      <c r="LKY59" s="127"/>
      <c r="LKZ59" s="121"/>
      <c r="LLA59" s="5"/>
      <c r="LLB59" s="5"/>
      <c r="LLC59" s="124"/>
      <c r="LLD59" s="121"/>
      <c r="LLE59" s="125"/>
      <c r="LLF59" s="5"/>
      <c r="LLG59" s="117"/>
      <c r="LLH59" s="4"/>
      <c r="LLI59" s="126"/>
      <c r="LLJ59" s="127"/>
      <c r="LLK59" s="121"/>
      <c r="LLL59" s="5"/>
      <c r="LLM59" s="5"/>
      <c r="LLN59" s="124"/>
      <c r="LLO59" s="121"/>
      <c r="LLP59" s="125"/>
      <c r="LLQ59" s="5"/>
      <c r="LLR59" s="117"/>
      <c r="LLS59" s="4"/>
      <c r="LLT59" s="126"/>
      <c r="LLU59" s="127"/>
      <c r="LLV59" s="121"/>
      <c r="LLW59" s="5"/>
      <c r="LLX59" s="5"/>
      <c r="LLY59" s="124"/>
      <c r="LLZ59" s="121"/>
      <c r="LMA59" s="125"/>
      <c r="LMB59" s="5"/>
      <c r="LMC59" s="117"/>
      <c r="LMD59" s="4"/>
      <c r="LME59" s="126"/>
      <c r="LMF59" s="127"/>
      <c r="LMG59" s="121"/>
      <c r="LMH59" s="5"/>
      <c r="LMI59" s="5"/>
      <c r="LMJ59" s="124"/>
      <c r="LMK59" s="121"/>
      <c r="LML59" s="125"/>
      <c r="LMM59" s="5"/>
      <c r="LMN59" s="117"/>
      <c r="LMO59" s="4"/>
      <c r="LMP59" s="126"/>
      <c r="LMQ59" s="127"/>
      <c r="LMR59" s="121"/>
      <c r="LMS59" s="5"/>
      <c r="LMT59" s="5"/>
      <c r="LMU59" s="124"/>
      <c r="LMV59" s="121"/>
      <c r="LMW59" s="125"/>
      <c r="LMX59" s="5"/>
      <c r="LMY59" s="117"/>
      <c r="LMZ59" s="4"/>
      <c r="LNA59" s="126"/>
      <c r="LNB59" s="127"/>
      <c r="LNC59" s="121"/>
      <c r="LND59" s="5"/>
      <c r="LNE59" s="5"/>
      <c r="LNF59" s="124"/>
      <c r="LNG59" s="121"/>
      <c r="LNH59" s="125"/>
      <c r="LNI59" s="5"/>
      <c r="LNJ59" s="117"/>
      <c r="LNK59" s="4"/>
      <c r="LNL59" s="126"/>
      <c r="LNM59" s="127"/>
      <c r="LNN59" s="121"/>
      <c r="LNO59" s="5"/>
      <c r="LNP59" s="5"/>
      <c r="LNQ59" s="124"/>
      <c r="LNR59" s="121"/>
      <c r="LNS59" s="125"/>
      <c r="LNT59" s="5"/>
      <c r="LNU59" s="117"/>
      <c r="LNV59" s="4"/>
      <c r="LNW59" s="126"/>
      <c r="LNX59" s="127"/>
      <c r="LNY59" s="121"/>
      <c r="LNZ59" s="5"/>
      <c r="LOA59" s="5"/>
      <c r="LOB59" s="124"/>
      <c r="LOC59" s="121"/>
      <c r="LOD59" s="125"/>
      <c r="LOE59" s="5"/>
      <c r="LOF59" s="117"/>
      <c r="LOG59" s="4"/>
      <c r="LOH59" s="126"/>
      <c r="LOI59" s="127"/>
      <c r="LOJ59" s="121"/>
      <c r="LOK59" s="5"/>
      <c r="LOL59" s="5"/>
      <c r="LOM59" s="124"/>
      <c r="LON59" s="121"/>
      <c r="LOO59" s="125"/>
      <c r="LOP59" s="5"/>
      <c r="LOQ59" s="117"/>
      <c r="LOR59" s="4"/>
      <c r="LOS59" s="126"/>
      <c r="LOT59" s="127"/>
      <c r="LOU59" s="121"/>
      <c r="LOV59" s="5"/>
      <c r="LOW59" s="5"/>
      <c r="LOX59" s="124"/>
      <c r="LOY59" s="121"/>
      <c r="LOZ59" s="125"/>
      <c r="LPA59" s="5"/>
      <c r="LPB59" s="117"/>
      <c r="LPC59" s="4"/>
      <c r="LPD59" s="126"/>
      <c r="LPE59" s="127"/>
      <c r="LPF59" s="121"/>
      <c r="LPG59" s="5"/>
      <c r="LPH59" s="5"/>
      <c r="LPI59" s="124"/>
      <c r="LPJ59" s="121"/>
      <c r="LPK59" s="125"/>
      <c r="LPL59" s="5"/>
      <c r="LPM59" s="117"/>
      <c r="LPN59" s="4"/>
      <c r="LPO59" s="126"/>
      <c r="LPP59" s="127"/>
      <c r="LPQ59" s="121"/>
      <c r="LPR59" s="5"/>
      <c r="LPS59" s="5"/>
      <c r="LPT59" s="124"/>
      <c r="LPU59" s="121"/>
      <c r="LPV59" s="125"/>
      <c r="LPW59" s="5"/>
      <c r="LPX59" s="117"/>
      <c r="LPY59" s="4"/>
      <c r="LPZ59" s="126"/>
      <c r="LQA59" s="127"/>
      <c r="LQB59" s="121"/>
      <c r="LQC59" s="5"/>
      <c r="LQD59" s="5"/>
      <c r="LQE59" s="124"/>
      <c r="LQF59" s="121"/>
      <c r="LQG59" s="125"/>
      <c r="LQH59" s="5"/>
      <c r="LQI59" s="117"/>
      <c r="LQJ59" s="4"/>
      <c r="LQK59" s="126"/>
      <c r="LQL59" s="127"/>
      <c r="LQM59" s="121"/>
      <c r="LQN59" s="5"/>
      <c r="LQO59" s="5"/>
      <c r="LQP59" s="124"/>
      <c r="LQQ59" s="121"/>
      <c r="LQR59" s="125"/>
      <c r="LQS59" s="5"/>
      <c r="LQT59" s="117"/>
      <c r="LQU59" s="4"/>
      <c r="LQV59" s="126"/>
      <c r="LQW59" s="127"/>
      <c r="LQX59" s="121"/>
      <c r="LQY59" s="5"/>
      <c r="LQZ59" s="5"/>
      <c r="LRA59" s="124"/>
      <c r="LRB59" s="121"/>
      <c r="LRC59" s="125"/>
      <c r="LRD59" s="5"/>
      <c r="LRE59" s="117"/>
      <c r="LRF59" s="4"/>
      <c r="LRG59" s="126"/>
      <c r="LRH59" s="127"/>
      <c r="LRI59" s="121"/>
      <c r="LRJ59" s="5"/>
      <c r="LRK59" s="5"/>
      <c r="LRL59" s="124"/>
      <c r="LRM59" s="121"/>
      <c r="LRN59" s="125"/>
      <c r="LRO59" s="5"/>
      <c r="LRP59" s="117"/>
      <c r="LRQ59" s="4"/>
      <c r="LRR59" s="126"/>
      <c r="LRS59" s="127"/>
      <c r="LRT59" s="121"/>
      <c r="LRU59" s="5"/>
      <c r="LRV59" s="5"/>
      <c r="LRW59" s="124"/>
      <c r="LRX59" s="121"/>
      <c r="LRY59" s="125"/>
      <c r="LRZ59" s="5"/>
      <c r="LSA59" s="117"/>
      <c r="LSB59" s="4"/>
      <c r="LSC59" s="126"/>
      <c r="LSD59" s="127"/>
      <c r="LSE59" s="121"/>
      <c r="LSF59" s="5"/>
      <c r="LSG59" s="5"/>
      <c r="LSH59" s="124"/>
      <c r="LSI59" s="121"/>
      <c r="LSJ59" s="125"/>
      <c r="LSK59" s="5"/>
      <c r="LSL59" s="117"/>
      <c r="LSM59" s="4"/>
      <c r="LSN59" s="126"/>
      <c r="LSO59" s="127"/>
      <c r="LSP59" s="121"/>
      <c r="LSQ59" s="5"/>
      <c r="LSR59" s="5"/>
      <c r="LSS59" s="124"/>
      <c r="LST59" s="121"/>
      <c r="LSU59" s="125"/>
      <c r="LSV59" s="5"/>
      <c r="LSW59" s="117"/>
      <c r="LSX59" s="4"/>
      <c r="LSY59" s="126"/>
      <c r="LSZ59" s="127"/>
      <c r="LTA59" s="121"/>
      <c r="LTB59" s="5"/>
      <c r="LTC59" s="5"/>
      <c r="LTD59" s="124"/>
      <c r="LTE59" s="121"/>
      <c r="LTF59" s="125"/>
      <c r="LTG59" s="5"/>
      <c r="LTH59" s="117"/>
      <c r="LTI59" s="4"/>
      <c r="LTJ59" s="126"/>
      <c r="LTK59" s="127"/>
      <c r="LTL59" s="121"/>
      <c r="LTM59" s="5"/>
      <c r="LTN59" s="5"/>
      <c r="LTO59" s="124"/>
      <c r="LTP59" s="121"/>
      <c r="LTQ59" s="125"/>
      <c r="LTR59" s="5"/>
      <c r="LTS59" s="117"/>
      <c r="LTT59" s="4"/>
      <c r="LTU59" s="126"/>
      <c r="LTV59" s="127"/>
      <c r="LTW59" s="121"/>
      <c r="LTX59" s="5"/>
      <c r="LTY59" s="5"/>
      <c r="LTZ59" s="124"/>
      <c r="LUA59" s="121"/>
      <c r="LUB59" s="125"/>
      <c r="LUC59" s="5"/>
      <c r="LUD59" s="117"/>
      <c r="LUE59" s="4"/>
      <c r="LUF59" s="126"/>
      <c r="LUG59" s="127"/>
      <c r="LUH59" s="121"/>
      <c r="LUI59" s="5"/>
      <c r="LUJ59" s="5"/>
      <c r="LUK59" s="124"/>
      <c r="LUL59" s="121"/>
      <c r="LUM59" s="125"/>
      <c r="LUN59" s="5"/>
      <c r="LUO59" s="117"/>
      <c r="LUP59" s="4"/>
      <c r="LUQ59" s="126"/>
      <c r="LUR59" s="127"/>
      <c r="LUS59" s="121"/>
      <c r="LUT59" s="5"/>
      <c r="LUU59" s="5"/>
      <c r="LUV59" s="124"/>
      <c r="LUW59" s="121"/>
      <c r="LUX59" s="125"/>
      <c r="LUY59" s="5"/>
      <c r="LUZ59" s="117"/>
      <c r="LVA59" s="4"/>
      <c r="LVB59" s="126"/>
      <c r="LVC59" s="127"/>
      <c r="LVD59" s="121"/>
      <c r="LVE59" s="5"/>
      <c r="LVF59" s="5"/>
      <c r="LVG59" s="124"/>
      <c r="LVH59" s="121"/>
      <c r="LVI59" s="125"/>
      <c r="LVJ59" s="5"/>
      <c r="LVK59" s="117"/>
      <c r="LVL59" s="4"/>
      <c r="LVM59" s="126"/>
      <c r="LVN59" s="127"/>
      <c r="LVO59" s="121"/>
      <c r="LVP59" s="5"/>
      <c r="LVQ59" s="5"/>
      <c r="LVR59" s="124"/>
      <c r="LVS59" s="121"/>
      <c r="LVT59" s="125"/>
      <c r="LVU59" s="5"/>
      <c r="LVV59" s="117"/>
      <c r="LVW59" s="4"/>
      <c r="LVX59" s="126"/>
      <c r="LVY59" s="127"/>
      <c r="LVZ59" s="121"/>
      <c r="LWA59" s="5"/>
      <c r="LWB59" s="5"/>
      <c r="LWC59" s="124"/>
      <c r="LWD59" s="121"/>
      <c r="LWE59" s="125"/>
      <c r="LWF59" s="5"/>
      <c r="LWG59" s="117"/>
      <c r="LWH59" s="4"/>
      <c r="LWI59" s="126"/>
      <c r="LWJ59" s="127"/>
      <c r="LWK59" s="121"/>
      <c r="LWL59" s="5"/>
      <c r="LWM59" s="5"/>
      <c r="LWN59" s="124"/>
      <c r="LWO59" s="121"/>
      <c r="LWP59" s="125"/>
      <c r="LWQ59" s="5"/>
      <c r="LWR59" s="117"/>
      <c r="LWS59" s="4"/>
      <c r="LWT59" s="126"/>
      <c r="LWU59" s="127"/>
      <c r="LWV59" s="121"/>
      <c r="LWW59" s="5"/>
      <c r="LWX59" s="5"/>
      <c r="LWY59" s="124"/>
      <c r="LWZ59" s="121"/>
      <c r="LXA59" s="125"/>
      <c r="LXB59" s="5"/>
      <c r="LXC59" s="117"/>
      <c r="LXD59" s="4"/>
      <c r="LXE59" s="126"/>
      <c r="LXF59" s="127"/>
      <c r="LXG59" s="121"/>
      <c r="LXH59" s="5"/>
      <c r="LXI59" s="5"/>
      <c r="LXJ59" s="124"/>
      <c r="LXK59" s="121"/>
      <c r="LXL59" s="125"/>
      <c r="LXM59" s="5"/>
      <c r="LXN59" s="117"/>
      <c r="LXO59" s="4"/>
      <c r="LXP59" s="126"/>
      <c r="LXQ59" s="127"/>
      <c r="LXR59" s="121"/>
      <c r="LXS59" s="5"/>
      <c r="LXT59" s="5"/>
      <c r="LXU59" s="124"/>
      <c r="LXV59" s="121"/>
      <c r="LXW59" s="125"/>
      <c r="LXX59" s="5"/>
      <c r="LXY59" s="117"/>
      <c r="LXZ59" s="4"/>
      <c r="LYA59" s="126"/>
      <c r="LYB59" s="127"/>
      <c r="LYC59" s="121"/>
      <c r="LYD59" s="5"/>
      <c r="LYE59" s="5"/>
      <c r="LYF59" s="124"/>
      <c r="LYG59" s="121"/>
      <c r="LYH59" s="125"/>
      <c r="LYI59" s="5"/>
      <c r="LYJ59" s="117"/>
      <c r="LYK59" s="4"/>
      <c r="LYL59" s="126"/>
      <c r="LYM59" s="127"/>
      <c r="LYN59" s="121"/>
      <c r="LYO59" s="5"/>
      <c r="LYP59" s="5"/>
      <c r="LYQ59" s="124"/>
      <c r="LYR59" s="121"/>
      <c r="LYS59" s="125"/>
      <c r="LYT59" s="5"/>
      <c r="LYU59" s="117"/>
      <c r="LYV59" s="4"/>
      <c r="LYW59" s="126"/>
      <c r="LYX59" s="127"/>
      <c r="LYY59" s="121"/>
      <c r="LYZ59" s="5"/>
      <c r="LZA59" s="5"/>
      <c r="LZB59" s="124"/>
      <c r="LZC59" s="121"/>
      <c r="LZD59" s="125"/>
      <c r="LZE59" s="5"/>
      <c r="LZF59" s="117"/>
      <c r="LZG59" s="4"/>
      <c r="LZH59" s="126"/>
      <c r="LZI59" s="127"/>
      <c r="LZJ59" s="121"/>
      <c r="LZK59" s="5"/>
      <c r="LZL59" s="5"/>
      <c r="LZM59" s="124"/>
      <c r="LZN59" s="121"/>
      <c r="LZO59" s="125"/>
      <c r="LZP59" s="5"/>
      <c r="LZQ59" s="117"/>
      <c r="LZR59" s="4"/>
      <c r="LZS59" s="126"/>
      <c r="LZT59" s="127"/>
      <c r="LZU59" s="121"/>
      <c r="LZV59" s="5"/>
      <c r="LZW59" s="5"/>
      <c r="LZX59" s="124"/>
      <c r="LZY59" s="121"/>
      <c r="LZZ59" s="125"/>
      <c r="MAA59" s="5"/>
      <c r="MAB59" s="117"/>
      <c r="MAC59" s="4"/>
      <c r="MAD59" s="126"/>
      <c r="MAE59" s="127"/>
      <c r="MAF59" s="121"/>
      <c r="MAG59" s="5"/>
      <c r="MAH59" s="5"/>
      <c r="MAI59" s="124"/>
      <c r="MAJ59" s="121"/>
      <c r="MAK59" s="125"/>
      <c r="MAL59" s="5"/>
      <c r="MAM59" s="117"/>
      <c r="MAN59" s="4"/>
      <c r="MAO59" s="126"/>
      <c r="MAP59" s="127"/>
      <c r="MAQ59" s="121"/>
      <c r="MAR59" s="5"/>
      <c r="MAS59" s="5"/>
      <c r="MAT59" s="124"/>
      <c r="MAU59" s="121"/>
      <c r="MAV59" s="125"/>
      <c r="MAW59" s="5"/>
      <c r="MAX59" s="117"/>
      <c r="MAY59" s="4"/>
      <c r="MAZ59" s="126"/>
      <c r="MBA59" s="127"/>
      <c r="MBB59" s="121"/>
      <c r="MBC59" s="5"/>
      <c r="MBD59" s="5"/>
      <c r="MBE59" s="124"/>
      <c r="MBF59" s="121"/>
      <c r="MBG59" s="125"/>
      <c r="MBH59" s="5"/>
      <c r="MBI59" s="117"/>
      <c r="MBJ59" s="4"/>
      <c r="MBK59" s="126"/>
      <c r="MBL59" s="127"/>
      <c r="MBM59" s="121"/>
      <c r="MBN59" s="5"/>
      <c r="MBO59" s="5"/>
      <c r="MBP59" s="124"/>
      <c r="MBQ59" s="121"/>
      <c r="MBR59" s="125"/>
      <c r="MBS59" s="5"/>
      <c r="MBT59" s="117"/>
      <c r="MBU59" s="4"/>
      <c r="MBV59" s="126"/>
      <c r="MBW59" s="127"/>
      <c r="MBX59" s="121"/>
      <c r="MBY59" s="5"/>
      <c r="MBZ59" s="5"/>
      <c r="MCA59" s="124"/>
      <c r="MCB59" s="121"/>
      <c r="MCC59" s="125"/>
      <c r="MCD59" s="5"/>
      <c r="MCE59" s="117"/>
      <c r="MCF59" s="4"/>
      <c r="MCG59" s="126"/>
      <c r="MCH59" s="127"/>
      <c r="MCI59" s="121"/>
      <c r="MCJ59" s="5"/>
      <c r="MCK59" s="5"/>
      <c r="MCL59" s="124"/>
      <c r="MCM59" s="121"/>
      <c r="MCN59" s="125"/>
      <c r="MCO59" s="5"/>
      <c r="MCP59" s="117"/>
      <c r="MCQ59" s="4"/>
      <c r="MCR59" s="126"/>
      <c r="MCS59" s="127"/>
      <c r="MCT59" s="121"/>
      <c r="MCU59" s="5"/>
      <c r="MCV59" s="5"/>
      <c r="MCW59" s="124"/>
      <c r="MCX59" s="121"/>
      <c r="MCY59" s="125"/>
      <c r="MCZ59" s="5"/>
      <c r="MDA59" s="117"/>
      <c r="MDB59" s="4"/>
      <c r="MDC59" s="126"/>
      <c r="MDD59" s="127"/>
      <c r="MDE59" s="121"/>
      <c r="MDF59" s="5"/>
      <c r="MDG59" s="5"/>
      <c r="MDH59" s="124"/>
      <c r="MDI59" s="121"/>
      <c r="MDJ59" s="125"/>
      <c r="MDK59" s="5"/>
      <c r="MDL59" s="117"/>
      <c r="MDM59" s="4"/>
      <c r="MDN59" s="126"/>
      <c r="MDO59" s="127"/>
      <c r="MDP59" s="121"/>
      <c r="MDQ59" s="5"/>
      <c r="MDR59" s="5"/>
      <c r="MDS59" s="124"/>
      <c r="MDT59" s="121"/>
      <c r="MDU59" s="125"/>
      <c r="MDV59" s="5"/>
      <c r="MDW59" s="117"/>
      <c r="MDX59" s="4"/>
      <c r="MDY59" s="126"/>
      <c r="MDZ59" s="127"/>
      <c r="MEA59" s="121"/>
      <c r="MEB59" s="5"/>
      <c r="MEC59" s="5"/>
      <c r="MED59" s="124"/>
      <c r="MEE59" s="121"/>
      <c r="MEF59" s="125"/>
      <c r="MEG59" s="5"/>
      <c r="MEH59" s="117"/>
      <c r="MEI59" s="4"/>
      <c r="MEJ59" s="126"/>
      <c r="MEK59" s="127"/>
      <c r="MEL59" s="121"/>
      <c r="MEM59" s="5"/>
      <c r="MEN59" s="5"/>
      <c r="MEO59" s="124"/>
      <c r="MEP59" s="121"/>
      <c r="MEQ59" s="125"/>
      <c r="MER59" s="5"/>
      <c r="MES59" s="117"/>
      <c r="MET59" s="4"/>
      <c r="MEU59" s="126"/>
      <c r="MEV59" s="127"/>
      <c r="MEW59" s="121"/>
      <c r="MEX59" s="5"/>
      <c r="MEY59" s="5"/>
      <c r="MEZ59" s="124"/>
      <c r="MFA59" s="121"/>
      <c r="MFB59" s="125"/>
      <c r="MFC59" s="5"/>
      <c r="MFD59" s="117"/>
      <c r="MFE59" s="4"/>
      <c r="MFF59" s="126"/>
      <c r="MFG59" s="127"/>
      <c r="MFH59" s="121"/>
      <c r="MFI59" s="5"/>
      <c r="MFJ59" s="5"/>
      <c r="MFK59" s="124"/>
      <c r="MFL59" s="121"/>
      <c r="MFM59" s="125"/>
      <c r="MFN59" s="5"/>
      <c r="MFO59" s="117"/>
      <c r="MFP59" s="4"/>
      <c r="MFQ59" s="126"/>
      <c r="MFR59" s="127"/>
      <c r="MFS59" s="121"/>
      <c r="MFT59" s="5"/>
      <c r="MFU59" s="5"/>
      <c r="MFV59" s="124"/>
      <c r="MFW59" s="121"/>
      <c r="MFX59" s="125"/>
      <c r="MFY59" s="5"/>
      <c r="MFZ59" s="117"/>
      <c r="MGA59" s="4"/>
      <c r="MGB59" s="126"/>
      <c r="MGC59" s="127"/>
      <c r="MGD59" s="121"/>
      <c r="MGE59" s="5"/>
      <c r="MGF59" s="5"/>
      <c r="MGG59" s="124"/>
      <c r="MGH59" s="121"/>
      <c r="MGI59" s="125"/>
      <c r="MGJ59" s="5"/>
      <c r="MGK59" s="117"/>
      <c r="MGL59" s="4"/>
      <c r="MGM59" s="126"/>
      <c r="MGN59" s="127"/>
      <c r="MGO59" s="121"/>
      <c r="MGP59" s="5"/>
      <c r="MGQ59" s="5"/>
      <c r="MGR59" s="124"/>
      <c r="MGS59" s="121"/>
      <c r="MGT59" s="125"/>
      <c r="MGU59" s="5"/>
      <c r="MGV59" s="117"/>
      <c r="MGW59" s="4"/>
      <c r="MGX59" s="126"/>
      <c r="MGY59" s="127"/>
      <c r="MGZ59" s="121"/>
      <c r="MHA59" s="5"/>
      <c r="MHB59" s="5"/>
      <c r="MHC59" s="124"/>
      <c r="MHD59" s="121"/>
      <c r="MHE59" s="125"/>
      <c r="MHF59" s="5"/>
      <c r="MHG59" s="117"/>
      <c r="MHH59" s="4"/>
      <c r="MHI59" s="126"/>
      <c r="MHJ59" s="127"/>
      <c r="MHK59" s="121"/>
      <c r="MHL59" s="5"/>
      <c r="MHM59" s="5"/>
      <c r="MHN59" s="124"/>
      <c r="MHO59" s="121"/>
      <c r="MHP59" s="125"/>
      <c r="MHQ59" s="5"/>
      <c r="MHR59" s="117"/>
      <c r="MHS59" s="4"/>
      <c r="MHT59" s="126"/>
      <c r="MHU59" s="127"/>
      <c r="MHV59" s="121"/>
      <c r="MHW59" s="5"/>
      <c r="MHX59" s="5"/>
      <c r="MHY59" s="124"/>
      <c r="MHZ59" s="121"/>
      <c r="MIA59" s="125"/>
      <c r="MIB59" s="5"/>
      <c r="MIC59" s="117"/>
      <c r="MID59" s="4"/>
      <c r="MIE59" s="126"/>
      <c r="MIF59" s="127"/>
      <c r="MIG59" s="121"/>
      <c r="MIH59" s="5"/>
      <c r="MII59" s="5"/>
      <c r="MIJ59" s="124"/>
      <c r="MIK59" s="121"/>
      <c r="MIL59" s="125"/>
      <c r="MIM59" s="5"/>
      <c r="MIN59" s="117"/>
      <c r="MIO59" s="4"/>
      <c r="MIP59" s="126"/>
      <c r="MIQ59" s="127"/>
      <c r="MIR59" s="121"/>
      <c r="MIS59" s="5"/>
      <c r="MIT59" s="5"/>
      <c r="MIU59" s="124"/>
      <c r="MIV59" s="121"/>
      <c r="MIW59" s="125"/>
      <c r="MIX59" s="5"/>
      <c r="MIY59" s="117"/>
      <c r="MIZ59" s="4"/>
      <c r="MJA59" s="126"/>
      <c r="MJB59" s="127"/>
      <c r="MJC59" s="121"/>
      <c r="MJD59" s="5"/>
      <c r="MJE59" s="5"/>
      <c r="MJF59" s="124"/>
      <c r="MJG59" s="121"/>
      <c r="MJH59" s="125"/>
      <c r="MJI59" s="5"/>
      <c r="MJJ59" s="117"/>
      <c r="MJK59" s="4"/>
      <c r="MJL59" s="126"/>
      <c r="MJM59" s="127"/>
      <c r="MJN59" s="121"/>
      <c r="MJO59" s="5"/>
      <c r="MJP59" s="5"/>
      <c r="MJQ59" s="124"/>
      <c r="MJR59" s="121"/>
      <c r="MJS59" s="125"/>
      <c r="MJT59" s="5"/>
      <c r="MJU59" s="117"/>
      <c r="MJV59" s="4"/>
      <c r="MJW59" s="126"/>
      <c r="MJX59" s="127"/>
      <c r="MJY59" s="121"/>
      <c r="MJZ59" s="5"/>
      <c r="MKA59" s="5"/>
      <c r="MKB59" s="124"/>
      <c r="MKC59" s="121"/>
      <c r="MKD59" s="125"/>
      <c r="MKE59" s="5"/>
      <c r="MKF59" s="117"/>
      <c r="MKG59" s="4"/>
      <c r="MKH59" s="126"/>
      <c r="MKI59" s="127"/>
      <c r="MKJ59" s="121"/>
      <c r="MKK59" s="5"/>
      <c r="MKL59" s="5"/>
      <c r="MKM59" s="124"/>
      <c r="MKN59" s="121"/>
      <c r="MKO59" s="125"/>
      <c r="MKP59" s="5"/>
      <c r="MKQ59" s="117"/>
      <c r="MKR59" s="4"/>
      <c r="MKS59" s="126"/>
      <c r="MKT59" s="127"/>
      <c r="MKU59" s="121"/>
      <c r="MKV59" s="5"/>
      <c r="MKW59" s="5"/>
      <c r="MKX59" s="124"/>
      <c r="MKY59" s="121"/>
      <c r="MKZ59" s="125"/>
      <c r="MLA59" s="5"/>
      <c r="MLB59" s="117"/>
      <c r="MLC59" s="4"/>
      <c r="MLD59" s="126"/>
      <c r="MLE59" s="127"/>
      <c r="MLF59" s="121"/>
      <c r="MLG59" s="5"/>
      <c r="MLH59" s="5"/>
      <c r="MLI59" s="124"/>
      <c r="MLJ59" s="121"/>
      <c r="MLK59" s="125"/>
      <c r="MLL59" s="5"/>
      <c r="MLM59" s="117"/>
      <c r="MLN59" s="4"/>
      <c r="MLO59" s="126"/>
      <c r="MLP59" s="127"/>
      <c r="MLQ59" s="121"/>
      <c r="MLR59" s="5"/>
      <c r="MLS59" s="5"/>
      <c r="MLT59" s="124"/>
      <c r="MLU59" s="121"/>
      <c r="MLV59" s="125"/>
      <c r="MLW59" s="5"/>
      <c r="MLX59" s="117"/>
      <c r="MLY59" s="4"/>
      <c r="MLZ59" s="126"/>
      <c r="MMA59" s="127"/>
      <c r="MMB59" s="121"/>
      <c r="MMC59" s="5"/>
      <c r="MMD59" s="5"/>
      <c r="MME59" s="124"/>
      <c r="MMF59" s="121"/>
      <c r="MMG59" s="125"/>
      <c r="MMH59" s="5"/>
      <c r="MMI59" s="117"/>
      <c r="MMJ59" s="4"/>
      <c r="MMK59" s="126"/>
      <c r="MML59" s="127"/>
      <c r="MMM59" s="121"/>
      <c r="MMN59" s="5"/>
      <c r="MMO59" s="5"/>
      <c r="MMP59" s="124"/>
      <c r="MMQ59" s="121"/>
      <c r="MMR59" s="125"/>
      <c r="MMS59" s="5"/>
      <c r="MMT59" s="117"/>
      <c r="MMU59" s="4"/>
      <c r="MMV59" s="126"/>
      <c r="MMW59" s="127"/>
      <c r="MMX59" s="121"/>
      <c r="MMY59" s="5"/>
      <c r="MMZ59" s="5"/>
      <c r="MNA59" s="124"/>
      <c r="MNB59" s="121"/>
      <c r="MNC59" s="125"/>
      <c r="MND59" s="5"/>
      <c r="MNE59" s="117"/>
      <c r="MNF59" s="4"/>
      <c r="MNG59" s="126"/>
      <c r="MNH59" s="127"/>
      <c r="MNI59" s="121"/>
      <c r="MNJ59" s="5"/>
      <c r="MNK59" s="5"/>
      <c r="MNL59" s="124"/>
      <c r="MNM59" s="121"/>
      <c r="MNN59" s="125"/>
      <c r="MNO59" s="5"/>
      <c r="MNP59" s="117"/>
      <c r="MNQ59" s="4"/>
      <c r="MNR59" s="126"/>
      <c r="MNS59" s="127"/>
      <c r="MNT59" s="121"/>
      <c r="MNU59" s="5"/>
      <c r="MNV59" s="5"/>
      <c r="MNW59" s="124"/>
      <c r="MNX59" s="121"/>
      <c r="MNY59" s="125"/>
      <c r="MNZ59" s="5"/>
      <c r="MOA59" s="117"/>
      <c r="MOB59" s="4"/>
      <c r="MOC59" s="126"/>
      <c r="MOD59" s="127"/>
      <c r="MOE59" s="121"/>
      <c r="MOF59" s="5"/>
      <c r="MOG59" s="5"/>
      <c r="MOH59" s="124"/>
      <c r="MOI59" s="121"/>
      <c r="MOJ59" s="125"/>
      <c r="MOK59" s="5"/>
      <c r="MOL59" s="117"/>
      <c r="MOM59" s="4"/>
      <c r="MON59" s="126"/>
      <c r="MOO59" s="127"/>
      <c r="MOP59" s="121"/>
      <c r="MOQ59" s="5"/>
      <c r="MOR59" s="5"/>
      <c r="MOS59" s="124"/>
      <c r="MOT59" s="121"/>
      <c r="MOU59" s="125"/>
      <c r="MOV59" s="5"/>
      <c r="MOW59" s="117"/>
      <c r="MOX59" s="4"/>
      <c r="MOY59" s="126"/>
      <c r="MOZ59" s="127"/>
      <c r="MPA59" s="121"/>
      <c r="MPB59" s="5"/>
      <c r="MPC59" s="5"/>
      <c r="MPD59" s="124"/>
      <c r="MPE59" s="121"/>
      <c r="MPF59" s="125"/>
      <c r="MPG59" s="5"/>
      <c r="MPH59" s="117"/>
      <c r="MPI59" s="4"/>
      <c r="MPJ59" s="126"/>
      <c r="MPK59" s="127"/>
      <c r="MPL59" s="121"/>
      <c r="MPM59" s="5"/>
      <c r="MPN59" s="5"/>
      <c r="MPO59" s="124"/>
      <c r="MPP59" s="121"/>
      <c r="MPQ59" s="125"/>
      <c r="MPR59" s="5"/>
      <c r="MPS59" s="117"/>
      <c r="MPT59" s="4"/>
      <c r="MPU59" s="126"/>
      <c r="MPV59" s="127"/>
      <c r="MPW59" s="121"/>
      <c r="MPX59" s="5"/>
      <c r="MPY59" s="5"/>
      <c r="MPZ59" s="124"/>
      <c r="MQA59" s="121"/>
      <c r="MQB59" s="125"/>
      <c r="MQC59" s="5"/>
      <c r="MQD59" s="117"/>
      <c r="MQE59" s="4"/>
      <c r="MQF59" s="126"/>
      <c r="MQG59" s="127"/>
      <c r="MQH59" s="121"/>
      <c r="MQI59" s="5"/>
      <c r="MQJ59" s="5"/>
      <c r="MQK59" s="124"/>
      <c r="MQL59" s="121"/>
      <c r="MQM59" s="125"/>
      <c r="MQN59" s="5"/>
      <c r="MQO59" s="117"/>
      <c r="MQP59" s="4"/>
      <c r="MQQ59" s="126"/>
      <c r="MQR59" s="127"/>
      <c r="MQS59" s="121"/>
      <c r="MQT59" s="5"/>
      <c r="MQU59" s="5"/>
      <c r="MQV59" s="124"/>
      <c r="MQW59" s="121"/>
      <c r="MQX59" s="125"/>
      <c r="MQY59" s="5"/>
      <c r="MQZ59" s="117"/>
      <c r="MRA59" s="4"/>
      <c r="MRB59" s="126"/>
      <c r="MRC59" s="127"/>
      <c r="MRD59" s="121"/>
      <c r="MRE59" s="5"/>
      <c r="MRF59" s="5"/>
      <c r="MRG59" s="124"/>
      <c r="MRH59" s="121"/>
      <c r="MRI59" s="125"/>
      <c r="MRJ59" s="5"/>
      <c r="MRK59" s="117"/>
      <c r="MRL59" s="4"/>
      <c r="MRM59" s="126"/>
      <c r="MRN59" s="127"/>
      <c r="MRO59" s="121"/>
      <c r="MRP59" s="5"/>
      <c r="MRQ59" s="5"/>
      <c r="MRR59" s="124"/>
      <c r="MRS59" s="121"/>
      <c r="MRT59" s="125"/>
      <c r="MRU59" s="5"/>
      <c r="MRV59" s="117"/>
      <c r="MRW59" s="4"/>
      <c r="MRX59" s="126"/>
      <c r="MRY59" s="127"/>
      <c r="MRZ59" s="121"/>
      <c r="MSA59" s="5"/>
      <c r="MSB59" s="5"/>
      <c r="MSC59" s="124"/>
      <c r="MSD59" s="121"/>
      <c r="MSE59" s="125"/>
      <c r="MSF59" s="5"/>
      <c r="MSG59" s="117"/>
      <c r="MSH59" s="4"/>
      <c r="MSI59" s="126"/>
      <c r="MSJ59" s="127"/>
      <c r="MSK59" s="121"/>
      <c r="MSL59" s="5"/>
      <c r="MSM59" s="5"/>
      <c r="MSN59" s="124"/>
      <c r="MSO59" s="121"/>
      <c r="MSP59" s="125"/>
      <c r="MSQ59" s="5"/>
      <c r="MSR59" s="117"/>
      <c r="MSS59" s="4"/>
      <c r="MST59" s="126"/>
      <c r="MSU59" s="127"/>
      <c r="MSV59" s="121"/>
      <c r="MSW59" s="5"/>
      <c r="MSX59" s="5"/>
      <c r="MSY59" s="124"/>
      <c r="MSZ59" s="121"/>
      <c r="MTA59" s="125"/>
      <c r="MTB59" s="5"/>
      <c r="MTC59" s="117"/>
      <c r="MTD59" s="4"/>
      <c r="MTE59" s="126"/>
      <c r="MTF59" s="127"/>
      <c r="MTG59" s="121"/>
      <c r="MTH59" s="5"/>
      <c r="MTI59" s="5"/>
      <c r="MTJ59" s="124"/>
      <c r="MTK59" s="121"/>
      <c r="MTL59" s="125"/>
      <c r="MTM59" s="5"/>
      <c r="MTN59" s="117"/>
      <c r="MTO59" s="4"/>
      <c r="MTP59" s="126"/>
      <c r="MTQ59" s="127"/>
      <c r="MTR59" s="121"/>
      <c r="MTS59" s="5"/>
      <c r="MTT59" s="5"/>
      <c r="MTU59" s="124"/>
      <c r="MTV59" s="121"/>
      <c r="MTW59" s="125"/>
      <c r="MTX59" s="5"/>
      <c r="MTY59" s="117"/>
      <c r="MTZ59" s="4"/>
      <c r="MUA59" s="126"/>
      <c r="MUB59" s="127"/>
      <c r="MUC59" s="121"/>
      <c r="MUD59" s="5"/>
      <c r="MUE59" s="5"/>
      <c r="MUF59" s="124"/>
      <c r="MUG59" s="121"/>
      <c r="MUH59" s="125"/>
      <c r="MUI59" s="5"/>
      <c r="MUJ59" s="117"/>
      <c r="MUK59" s="4"/>
      <c r="MUL59" s="126"/>
      <c r="MUM59" s="127"/>
      <c r="MUN59" s="121"/>
      <c r="MUO59" s="5"/>
      <c r="MUP59" s="5"/>
      <c r="MUQ59" s="124"/>
      <c r="MUR59" s="121"/>
      <c r="MUS59" s="125"/>
      <c r="MUT59" s="5"/>
      <c r="MUU59" s="117"/>
      <c r="MUV59" s="4"/>
      <c r="MUW59" s="126"/>
      <c r="MUX59" s="127"/>
      <c r="MUY59" s="121"/>
      <c r="MUZ59" s="5"/>
      <c r="MVA59" s="5"/>
      <c r="MVB59" s="124"/>
      <c r="MVC59" s="121"/>
      <c r="MVD59" s="125"/>
      <c r="MVE59" s="5"/>
      <c r="MVF59" s="117"/>
      <c r="MVG59" s="4"/>
      <c r="MVH59" s="126"/>
      <c r="MVI59" s="127"/>
      <c r="MVJ59" s="121"/>
      <c r="MVK59" s="5"/>
      <c r="MVL59" s="5"/>
      <c r="MVM59" s="124"/>
      <c r="MVN59" s="121"/>
      <c r="MVO59" s="125"/>
      <c r="MVP59" s="5"/>
      <c r="MVQ59" s="117"/>
      <c r="MVR59" s="4"/>
      <c r="MVS59" s="126"/>
      <c r="MVT59" s="127"/>
      <c r="MVU59" s="121"/>
      <c r="MVV59" s="5"/>
      <c r="MVW59" s="5"/>
      <c r="MVX59" s="124"/>
      <c r="MVY59" s="121"/>
      <c r="MVZ59" s="125"/>
      <c r="MWA59" s="5"/>
      <c r="MWB59" s="117"/>
      <c r="MWC59" s="4"/>
      <c r="MWD59" s="126"/>
      <c r="MWE59" s="127"/>
      <c r="MWF59" s="121"/>
      <c r="MWG59" s="5"/>
      <c r="MWH59" s="5"/>
      <c r="MWI59" s="124"/>
      <c r="MWJ59" s="121"/>
      <c r="MWK59" s="125"/>
      <c r="MWL59" s="5"/>
      <c r="MWM59" s="117"/>
      <c r="MWN59" s="4"/>
      <c r="MWO59" s="126"/>
      <c r="MWP59" s="127"/>
      <c r="MWQ59" s="121"/>
      <c r="MWR59" s="5"/>
      <c r="MWS59" s="5"/>
      <c r="MWT59" s="124"/>
      <c r="MWU59" s="121"/>
      <c r="MWV59" s="125"/>
      <c r="MWW59" s="5"/>
      <c r="MWX59" s="117"/>
      <c r="MWY59" s="4"/>
      <c r="MWZ59" s="126"/>
      <c r="MXA59" s="127"/>
      <c r="MXB59" s="121"/>
      <c r="MXC59" s="5"/>
      <c r="MXD59" s="5"/>
      <c r="MXE59" s="124"/>
      <c r="MXF59" s="121"/>
      <c r="MXG59" s="125"/>
      <c r="MXH59" s="5"/>
      <c r="MXI59" s="117"/>
      <c r="MXJ59" s="4"/>
      <c r="MXK59" s="126"/>
      <c r="MXL59" s="127"/>
      <c r="MXM59" s="121"/>
      <c r="MXN59" s="5"/>
      <c r="MXO59" s="5"/>
      <c r="MXP59" s="124"/>
      <c r="MXQ59" s="121"/>
      <c r="MXR59" s="125"/>
      <c r="MXS59" s="5"/>
      <c r="MXT59" s="117"/>
      <c r="MXU59" s="4"/>
      <c r="MXV59" s="126"/>
      <c r="MXW59" s="127"/>
      <c r="MXX59" s="121"/>
      <c r="MXY59" s="5"/>
      <c r="MXZ59" s="5"/>
      <c r="MYA59" s="124"/>
      <c r="MYB59" s="121"/>
      <c r="MYC59" s="125"/>
      <c r="MYD59" s="5"/>
      <c r="MYE59" s="117"/>
      <c r="MYF59" s="4"/>
      <c r="MYG59" s="126"/>
      <c r="MYH59" s="127"/>
      <c r="MYI59" s="121"/>
      <c r="MYJ59" s="5"/>
      <c r="MYK59" s="5"/>
      <c r="MYL59" s="124"/>
      <c r="MYM59" s="121"/>
      <c r="MYN59" s="125"/>
      <c r="MYO59" s="5"/>
      <c r="MYP59" s="117"/>
      <c r="MYQ59" s="4"/>
      <c r="MYR59" s="126"/>
      <c r="MYS59" s="127"/>
      <c r="MYT59" s="121"/>
      <c r="MYU59" s="5"/>
      <c r="MYV59" s="5"/>
      <c r="MYW59" s="124"/>
      <c r="MYX59" s="121"/>
      <c r="MYY59" s="125"/>
      <c r="MYZ59" s="5"/>
      <c r="MZA59" s="117"/>
      <c r="MZB59" s="4"/>
      <c r="MZC59" s="126"/>
      <c r="MZD59" s="127"/>
      <c r="MZE59" s="121"/>
      <c r="MZF59" s="5"/>
      <c r="MZG59" s="5"/>
      <c r="MZH59" s="124"/>
      <c r="MZI59" s="121"/>
      <c r="MZJ59" s="125"/>
      <c r="MZK59" s="5"/>
      <c r="MZL59" s="117"/>
      <c r="MZM59" s="4"/>
      <c r="MZN59" s="126"/>
      <c r="MZO59" s="127"/>
      <c r="MZP59" s="121"/>
      <c r="MZQ59" s="5"/>
      <c r="MZR59" s="5"/>
      <c r="MZS59" s="124"/>
      <c r="MZT59" s="121"/>
      <c r="MZU59" s="125"/>
      <c r="MZV59" s="5"/>
      <c r="MZW59" s="117"/>
      <c r="MZX59" s="4"/>
      <c r="MZY59" s="126"/>
      <c r="MZZ59" s="127"/>
      <c r="NAA59" s="121"/>
      <c r="NAB59" s="5"/>
      <c r="NAC59" s="5"/>
      <c r="NAD59" s="124"/>
      <c r="NAE59" s="121"/>
      <c r="NAF59" s="125"/>
      <c r="NAG59" s="5"/>
      <c r="NAH59" s="117"/>
      <c r="NAI59" s="4"/>
      <c r="NAJ59" s="126"/>
      <c r="NAK59" s="127"/>
      <c r="NAL59" s="121"/>
      <c r="NAM59" s="5"/>
      <c r="NAN59" s="5"/>
      <c r="NAO59" s="124"/>
      <c r="NAP59" s="121"/>
      <c r="NAQ59" s="125"/>
      <c r="NAR59" s="5"/>
      <c r="NAS59" s="117"/>
      <c r="NAT59" s="4"/>
      <c r="NAU59" s="126"/>
      <c r="NAV59" s="127"/>
      <c r="NAW59" s="121"/>
      <c r="NAX59" s="5"/>
      <c r="NAY59" s="5"/>
      <c r="NAZ59" s="124"/>
      <c r="NBA59" s="121"/>
      <c r="NBB59" s="125"/>
      <c r="NBC59" s="5"/>
      <c r="NBD59" s="117"/>
      <c r="NBE59" s="4"/>
      <c r="NBF59" s="126"/>
      <c r="NBG59" s="127"/>
      <c r="NBH59" s="121"/>
      <c r="NBI59" s="5"/>
      <c r="NBJ59" s="5"/>
      <c r="NBK59" s="124"/>
      <c r="NBL59" s="121"/>
      <c r="NBM59" s="125"/>
      <c r="NBN59" s="5"/>
      <c r="NBO59" s="117"/>
      <c r="NBP59" s="4"/>
      <c r="NBQ59" s="126"/>
      <c r="NBR59" s="127"/>
      <c r="NBS59" s="121"/>
      <c r="NBT59" s="5"/>
      <c r="NBU59" s="5"/>
      <c r="NBV59" s="124"/>
      <c r="NBW59" s="121"/>
      <c r="NBX59" s="125"/>
      <c r="NBY59" s="5"/>
      <c r="NBZ59" s="117"/>
      <c r="NCA59" s="4"/>
      <c r="NCB59" s="126"/>
      <c r="NCC59" s="127"/>
      <c r="NCD59" s="121"/>
      <c r="NCE59" s="5"/>
      <c r="NCF59" s="5"/>
      <c r="NCG59" s="124"/>
      <c r="NCH59" s="121"/>
      <c r="NCI59" s="125"/>
      <c r="NCJ59" s="5"/>
      <c r="NCK59" s="117"/>
      <c r="NCL59" s="4"/>
      <c r="NCM59" s="126"/>
      <c r="NCN59" s="127"/>
      <c r="NCO59" s="121"/>
      <c r="NCP59" s="5"/>
      <c r="NCQ59" s="5"/>
      <c r="NCR59" s="124"/>
      <c r="NCS59" s="121"/>
      <c r="NCT59" s="125"/>
      <c r="NCU59" s="5"/>
      <c r="NCV59" s="117"/>
      <c r="NCW59" s="4"/>
      <c r="NCX59" s="126"/>
      <c r="NCY59" s="127"/>
      <c r="NCZ59" s="121"/>
      <c r="NDA59" s="5"/>
      <c r="NDB59" s="5"/>
      <c r="NDC59" s="124"/>
      <c r="NDD59" s="121"/>
      <c r="NDE59" s="125"/>
      <c r="NDF59" s="5"/>
      <c r="NDG59" s="117"/>
      <c r="NDH59" s="4"/>
      <c r="NDI59" s="126"/>
      <c r="NDJ59" s="127"/>
      <c r="NDK59" s="121"/>
      <c r="NDL59" s="5"/>
      <c r="NDM59" s="5"/>
      <c r="NDN59" s="124"/>
      <c r="NDO59" s="121"/>
      <c r="NDP59" s="125"/>
      <c r="NDQ59" s="5"/>
      <c r="NDR59" s="117"/>
      <c r="NDS59" s="4"/>
      <c r="NDT59" s="126"/>
      <c r="NDU59" s="127"/>
      <c r="NDV59" s="121"/>
      <c r="NDW59" s="5"/>
      <c r="NDX59" s="5"/>
      <c r="NDY59" s="124"/>
      <c r="NDZ59" s="121"/>
      <c r="NEA59" s="125"/>
      <c r="NEB59" s="5"/>
      <c r="NEC59" s="117"/>
      <c r="NED59" s="4"/>
      <c r="NEE59" s="126"/>
      <c r="NEF59" s="127"/>
      <c r="NEG59" s="121"/>
      <c r="NEH59" s="5"/>
      <c r="NEI59" s="5"/>
      <c r="NEJ59" s="124"/>
      <c r="NEK59" s="121"/>
      <c r="NEL59" s="125"/>
      <c r="NEM59" s="5"/>
      <c r="NEN59" s="117"/>
      <c r="NEO59" s="4"/>
      <c r="NEP59" s="126"/>
      <c r="NEQ59" s="127"/>
      <c r="NER59" s="121"/>
      <c r="NES59" s="5"/>
      <c r="NET59" s="5"/>
      <c r="NEU59" s="124"/>
      <c r="NEV59" s="121"/>
      <c r="NEW59" s="125"/>
      <c r="NEX59" s="5"/>
      <c r="NEY59" s="117"/>
      <c r="NEZ59" s="4"/>
      <c r="NFA59" s="126"/>
      <c r="NFB59" s="127"/>
      <c r="NFC59" s="121"/>
      <c r="NFD59" s="5"/>
      <c r="NFE59" s="5"/>
      <c r="NFF59" s="124"/>
      <c r="NFG59" s="121"/>
      <c r="NFH59" s="125"/>
      <c r="NFI59" s="5"/>
      <c r="NFJ59" s="117"/>
      <c r="NFK59" s="4"/>
      <c r="NFL59" s="126"/>
      <c r="NFM59" s="127"/>
      <c r="NFN59" s="121"/>
      <c r="NFO59" s="5"/>
      <c r="NFP59" s="5"/>
      <c r="NFQ59" s="124"/>
      <c r="NFR59" s="121"/>
      <c r="NFS59" s="125"/>
      <c r="NFT59" s="5"/>
      <c r="NFU59" s="117"/>
      <c r="NFV59" s="4"/>
      <c r="NFW59" s="126"/>
      <c r="NFX59" s="127"/>
      <c r="NFY59" s="121"/>
      <c r="NFZ59" s="5"/>
      <c r="NGA59" s="5"/>
      <c r="NGB59" s="124"/>
      <c r="NGC59" s="121"/>
      <c r="NGD59" s="125"/>
      <c r="NGE59" s="5"/>
      <c r="NGF59" s="117"/>
      <c r="NGG59" s="4"/>
      <c r="NGH59" s="126"/>
      <c r="NGI59" s="127"/>
      <c r="NGJ59" s="121"/>
      <c r="NGK59" s="5"/>
      <c r="NGL59" s="5"/>
      <c r="NGM59" s="124"/>
      <c r="NGN59" s="121"/>
      <c r="NGO59" s="125"/>
      <c r="NGP59" s="5"/>
      <c r="NGQ59" s="117"/>
      <c r="NGR59" s="4"/>
      <c r="NGS59" s="126"/>
      <c r="NGT59" s="127"/>
      <c r="NGU59" s="121"/>
      <c r="NGV59" s="5"/>
      <c r="NGW59" s="5"/>
      <c r="NGX59" s="124"/>
      <c r="NGY59" s="121"/>
      <c r="NGZ59" s="125"/>
      <c r="NHA59" s="5"/>
      <c r="NHB59" s="117"/>
      <c r="NHC59" s="4"/>
      <c r="NHD59" s="126"/>
      <c r="NHE59" s="127"/>
      <c r="NHF59" s="121"/>
      <c r="NHG59" s="5"/>
      <c r="NHH59" s="5"/>
      <c r="NHI59" s="124"/>
      <c r="NHJ59" s="121"/>
      <c r="NHK59" s="125"/>
      <c r="NHL59" s="5"/>
      <c r="NHM59" s="117"/>
      <c r="NHN59" s="4"/>
      <c r="NHO59" s="126"/>
      <c r="NHP59" s="127"/>
      <c r="NHQ59" s="121"/>
      <c r="NHR59" s="5"/>
      <c r="NHS59" s="5"/>
      <c r="NHT59" s="124"/>
      <c r="NHU59" s="121"/>
      <c r="NHV59" s="125"/>
      <c r="NHW59" s="5"/>
      <c r="NHX59" s="117"/>
      <c r="NHY59" s="4"/>
      <c r="NHZ59" s="126"/>
      <c r="NIA59" s="127"/>
      <c r="NIB59" s="121"/>
      <c r="NIC59" s="5"/>
      <c r="NID59" s="5"/>
      <c r="NIE59" s="124"/>
      <c r="NIF59" s="121"/>
      <c r="NIG59" s="125"/>
      <c r="NIH59" s="5"/>
      <c r="NII59" s="117"/>
      <c r="NIJ59" s="4"/>
      <c r="NIK59" s="126"/>
      <c r="NIL59" s="127"/>
      <c r="NIM59" s="121"/>
      <c r="NIN59" s="5"/>
      <c r="NIO59" s="5"/>
      <c r="NIP59" s="124"/>
      <c r="NIQ59" s="121"/>
      <c r="NIR59" s="125"/>
      <c r="NIS59" s="5"/>
      <c r="NIT59" s="117"/>
      <c r="NIU59" s="4"/>
      <c r="NIV59" s="126"/>
      <c r="NIW59" s="127"/>
      <c r="NIX59" s="121"/>
      <c r="NIY59" s="5"/>
      <c r="NIZ59" s="5"/>
      <c r="NJA59" s="124"/>
      <c r="NJB59" s="121"/>
      <c r="NJC59" s="125"/>
      <c r="NJD59" s="5"/>
      <c r="NJE59" s="117"/>
      <c r="NJF59" s="4"/>
      <c r="NJG59" s="126"/>
      <c r="NJH59" s="127"/>
      <c r="NJI59" s="121"/>
      <c r="NJJ59" s="5"/>
      <c r="NJK59" s="5"/>
      <c r="NJL59" s="124"/>
      <c r="NJM59" s="121"/>
      <c r="NJN59" s="125"/>
      <c r="NJO59" s="5"/>
      <c r="NJP59" s="117"/>
      <c r="NJQ59" s="4"/>
      <c r="NJR59" s="126"/>
      <c r="NJS59" s="127"/>
      <c r="NJT59" s="121"/>
      <c r="NJU59" s="5"/>
      <c r="NJV59" s="5"/>
      <c r="NJW59" s="124"/>
      <c r="NJX59" s="121"/>
      <c r="NJY59" s="125"/>
      <c r="NJZ59" s="5"/>
      <c r="NKA59" s="117"/>
      <c r="NKB59" s="4"/>
      <c r="NKC59" s="126"/>
      <c r="NKD59" s="127"/>
      <c r="NKE59" s="121"/>
      <c r="NKF59" s="5"/>
      <c r="NKG59" s="5"/>
      <c r="NKH59" s="124"/>
      <c r="NKI59" s="121"/>
      <c r="NKJ59" s="125"/>
      <c r="NKK59" s="5"/>
      <c r="NKL59" s="117"/>
      <c r="NKM59" s="4"/>
      <c r="NKN59" s="126"/>
      <c r="NKO59" s="127"/>
      <c r="NKP59" s="121"/>
      <c r="NKQ59" s="5"/>
      <c r="NKR59" s="5"/>
      <c r="NKS59" s="124"/>
      <c r="NKT59" s="121"/>
      <c r="NKU59" s="125"/>
      <c r="NKV59" s="5"/>
      <c r="NKW59" s="117"/>
      <c r="NKX59" s="4"/>
      <c r="NKY59" s="126"/>
      <c r="NKZ59" s="127"/>
      <c r="NLA59" s="121"/>
      <c r="NLB59" s="5"/>
      <c r="NLC59" s="5"/>
      <c r="NLD59" s="124"/>
      <c r="NLE59" s="121"/>
      <c r="NLF59" s="125"/>
      <c r="NLG59" s="5"/>
      <c r="NLH59" s="117"/>
      <c r="NLI59" s="4"/>
      <c r="NLJ59" s="126"/>
      <c r="NLK59" s="127"/>
      <c r="NLL59" s="121"/>
      <c r="NLM59" s="5"/>
      <c r="NLN59" s="5"/>
      <c r="NLO59" s="124"/>
      <c r="NLP59" s="121"/>
      <c r="NLQ59" s="125"/>
      <c r="NLR59" s="5"/>
      <c r="NLS59" s="117"/>
      <c r="NLT59" s="4"/>
      <c r="NLU59" s="126"/>
      <c r="NLV59" s="127"/>
      <c r="NLW59" s="121"/>
      <c r="NLX59" s="5"/>
      <c r="NLY59" s="5"/>
      <c r="NLZ59" s="124"/>
      <c r="NMA59" s="121"/>
      <c r="NMB59" s="125"/>
      <c r="NMC59" s="5"/>
      <c r="NMD59" s="117"/>
      <c r="NME59" s="4"/>
      <c r="NMF59" s="126"/>
      <c r="NMG59" s="127"/>
      <c r="NMH59" s="121"/>
      <c r="NMI59" s="5"/>
      <c r="NMJ59" s="5"/>
      <c r="NMK59" s="124"/>
      <c r="NML59" s="121"/>
      <c r="NMM59" s="125"/>
      <c r="NMN59" s="5"/>
      <c r="NMO59" s="117"/>
      <c r="NMP59" s="4"/>
      <c r="NMQ59" s="126"/>
      <c r="NMR59" s="127"/>
      <c r="NMS59" s="121"/>
      <c r="NMT59" s="5"/>
      <c r="NMU59" s="5"/>
      <c r="NMV59" s="124"/>
      <c r="NMW59" s="121"/>
      <c r="NMX59" s="125"/>
      <c r="NMY59" s="5"/>
      <c r="NMZ59" s="117"/>
      <c r="NNA59" s="4"/>
      <c r="NNB59" s="126"/>
      <c r="NNC59" s="127"/>
      <c r="NND59" s="121"/>
      <c r="NNE59" s="5"/>
      <c r="NNF59" s="5"/>
      <c r="NNG59" s="124"/>
      <c r="NNH59" s="121"/>
      <c r="NNI59" s="125"/>
      <c r="NNJ59" s="5"/>
      <c r="NNK59" s="117"/>
      <c r="NNL59" s="4"/>
      <c r="NNM59" s="126"/>
      <c r="NNN59" s="127"/>
      <c r="NNO59" s="121"/>
      <c r="NNP59" s="5"/>
      <c r="NNQ59" s="5"/>
      <c r="NNR59" s="124"/>
      <c r="NNS59" s="121"/>
      <c r="NNT59" s="125"/>
      <c r="NNU59" s="5"/>
      <c r="NNV59" s="117"/>
      <c r="NNW59" s="4"/>
      <c r="NNX59" s="126"/>
      <c r="NNY59" s="127"/>
      <c r="NNZ59" s="121"/>
      <c r="NOA59" s="5"/>
      <c r="NOB59" s="5"/>
      <c r="NOC59" s="124"/>
      <c r="NOD59" s="121"/>
      <c r="NOE59" s="125"/>
      <c r="NOF59" s="5"/>
      <c r="NOG59" s="117"/>
      <c r="NOH59" s="4"/>
      <c r="NOI59" s="126"/>
      <c r="NOJ59" s="127"/>
      <c r="NOK59" s="121"/>
      <c r="NOL59" s="5"/>
      <c r="NOM59" s="5"/>
      <c r="NON59" s="124"/>
      <c r="NOO59" s="121"/>
      <c r="NOP59" s="125"/>
      <c r="NOQ59" s="5"/>
      <c r="NOR59" s="117"/>
      <c r="NOS59" s="4"/>
      <c r="NOT59" s="126"/>
      <c r="NOU59" s="127"/>
      <c r="NOV59" s="121"/>
      <c r="NOW59" s="5"/>
      <c r="NOX59" s="5"/>
      <c r="NOY59" s="124"/>
      <c r="NOZ59" s="121"/>
      <c r="NPA59" s="125"/>
      <c r="NPB59" s="5"/>
      <c r="NPC59" s="117"/>
      <c r="NPD59" s="4"/>
      <c r="NPE59" s="126"/>
      <c r="NPF59" s="127"/>
      <c r="NPG59" s="121"/>
      <c r="NPH59" s="5"/>
      <c r="NPI59" s="5"/>
      <c r="NPJ59" s="124"/>
      <c r="NPK59" s="121"/>
      <c r="NPL59" s="125"/>
      <c r="NPM59" s="5"/>
      <c r="NPN59" s="117"/>
      <c r="NPO59" s="4"/>
      <c r="NPP59" s="126"/>
      <c r="NPQ59" s="127"/>
      <c r="NPR59" s="121"/>
      <c r="NPS59" s="5"/>
      <c r="NPT59" s="5"/>
      <c r="NPU59" s="124"/>
      <c r="NPV59" s="121"/>
      <c r="NPW59" s="125"/>
      <c r="NPX59" s="5"/>
      <c r="NPY59" s="117"/>
      <c r="NPZ59" s="4"/>
      <c r="NQA59" s="126"/>
      <c r="NQB59" s="127"/>
      <c r="NQC59" s="121"/>
      <c r="NQD59" s="5"/>
      <c r="NQE59" s="5"/>
      <c r="NQF59" s="124"/>
      <c r="NQG59" s="121"/>
      <c r="NQH59" s="125"/>
      <c r="NQI59" s="5"/>
      <c r="NQJ59" s="117"/>
      <c r="NQK59" s="4"/>
      <c r="NQL59" s="126"/>
      <c r="NQM59" s="127"/>
      <c r="NQN59" s="121"/>
      <c r="NQO59" s="5"/>
      <c r="NQP59" s="5"/>
      <c r="NQQ59" s="124"/>
      <c r="NQR59" s="121"/>
      <c r="NQS59" s="125"/>
      <c r="NQT59" s="5"/>
      <c r="NQU59" s="117"/>
      <c r="NQV59" s="4"/>
      <c r="NQW59" s="126"/>
      <c r="NQX59" s="127"/>
      <c r="NQY59" s="121"/>
      <c r="NQZ59" s="5"/>
      <c r="NRA59" s="5"/>
      <c r="NRB59" s="124"/>
      <c r="NRC59" s="121"/>
      <c r="NRD59" s="125"/>
      <c r="NRE59" s="5"/>
      <c r="NRF59" s="117"/>
      <c r="NRG59" s="4"/>
      <c r="NRH59" s="126"/>
      <c r="NRI59" s="127"/>
      <c r="NRJ59" s="121"/>
      <c r="NRK59" s="5"/>
      <c r="NRL59" s="5"/>
      <c r="NRM59" s="124"/>
      <c r="NRN59" s="121"/>
      <c r="NRO59" s="125"/>
      <c r="NRP59" s="5"/>
      <c r="NRQ59" s="117"/>
      <c r="NRR59" s="4"/>
      <c r="NRS59" s="126"/>
      <c r="NRT59" s="127"/>
      <c r="NRU59" s="121"/>
      <c r="NRV59" s="5"/>
      <c r="NRW59" s="5"/>
      <c r="NRX59" s="124"/>
      <c r="NRY59" s="121"/>
      <c r="NRZ59" s="125"/>
      <c r="NSA59" s="5"/>
      <c r="NSB59" s="117"/>
      <c r="NSC59" s="4"/>
      <c r="NSD59" s="126"/>
      <c r="NSE59" s="127"/>
      <c r="NSF59" s="121"/>
      <c r="NSG59" s="5"/>
      <c r="NSH59" s="5"/>
      <c r="NSI59" s="124"/>
      <c r="NSJ59" s="121"/>
      <c r="NSK59" s="125"/>
      <c r="NSL59" s="5"/>
      <c r="NSM59" s="117"/>
      <c r="NSN59" s="4"/>
      <c r="NSO59" s="126"/>
      <c r="NSP59" s="127"/>
      <c r="NSQ59" s="121"/>
      <c r="NSR59" s="5"/>
      <c r="NSS59" s="5"/>
      <c r="NST59" s="124"/>
      <c r="NSU59" s="121"/>
      <c r="NSV59" s="125"/>
      <c r="NSW59" s="5"/>
      <c r="NSX59" s="117"/>
      <c r="NSY59" s="4"/>
      <c r="NSZ59" s="126"/>
      <c r="NTA59" s="127"/>
      <c r="NTB59" s="121"/>
      <c r="NTC59" s="5"/>
      <c r="NTD59" s="5"/>
      <c r="NTE59" s="124"/>
      <c r="NTF59" s="121"/>
      <c r="NTG59" s="125"/>
      <c r="NTH59" s="5"/>
      <c r="NTI59" s="117"/>
      <c r="NTJ59" s="4"/>
      <c r="NTK59" s="126"/>
      <c r="NTL59" s="127"/>
      <c r="NTM59" s="121"/>
      <c r="NTN59" s="5"/>
      <c r="NTO59" s="5"/>
      <c r="NTP59" s="124"/>
      <c r="NTQ59" s="121"/>
      <c r="NTR59" s="125"/>
      <c r="NTS59" s="5"/>
      <c r="NTT59" s="117"/>
      <c r="NTU59" s="4"/>
      <c r="NTV59" s="126"/>
      <c r="NTW59" s="127"/>
      <c r="NTX59" s="121"/>
      <c r="NTY59" s="5"/>
      <c r="NTZ59" s="5"/>
      <c r="NUA59" s="124"/>
      <c r="NUB59" s="121"/>
      <c r="NUC59" s="125"/>
      <c r="NUD59" s="5"/>
      <c r="NUE59" s="117"/>
      <c r="NUF59" s="4"/>
      <c r="NUG59" s="126"/>
      <c r="NUH59" s="127"/>
      <c r="NUI59" s="121"/>
      <c r="NUJ59" s="5"/>
      <c r="NUK59" s="5"/>
      <c r="NUL59" s="124"/>
      <c r="NUM59" s="121"/>
      <c r="NUN59" s="125"/>
      <c r="NUO59" s="5"/>
      <c r="NUP59" s="117"/>
      <c r="NUQ59" s="4"/>
      <c r="NUR59" s="126"/>
      <c r="NUS59" s="127"/>
      <c r="NUT59" s="121"/>
      <c r="NUU59" s="5"/>
      <c r="NUV59" s="5"/>
      <c r="NUW59" s="124"/>
      <c r="NUX59" s="121"/>
      <c r="NUY59" s="125"/>
      <c r="NUZ59" s="5"/>
      <c r="NVA59" s="117"/>
      <c r="NVB59" s="4"/>
      <c r="NVC59" s="126"/>
      <c r="NVD59" s="127"/>
      <c r="NVE59" s="121"/>
      <c r="NVF59" s="5"/>
      <c r="NVG59" s="5"/>
      <c r="NVH59" s="124"/>
      <c r="NVI59" s="121"/>
      <c r="NVJ59" s="125"/>
      <c r="NVK59" s="5"/>
      <c r="NVL59" s="117"/>
      <c r="NVM59" s="4"/>
      <c r="NVN59" s="126"/>
      <c r="NVO59" s="127"/>
      <c r="NVP59" s="121"/>
      <c r="NVQ59" s="5"/>
      <c r="NVR59" s="5"/>
      <c r="NVS59" s="124"/>
      <c r="NVT59" s="121"/>
      <c r="NVU59" s="125"/>
      <c r="NVV59" s="5"/>
      <c r="NVW59" s="117"/>
      <c r="NVX59" s="4"/>
      <c r="NVY59" s="126"/>
      <c r="NVZ59" s="127"/>
      <c r="NWA59" s="121"/>
      <c r="NWB59" s="5"/>
      <c r="NWC59" s="5"/>
      <c r="NWD59" s="124"/>
      <c r="NWE59" s="121"/>
      <c r="NWF59" s="125"/>
      <c r="NWG59" s="5"/>
      <c r="NWH59" s="117"/>
      <c r="NWI59" s="4"/>
      <c r="NWJ59" s="126"/>
      <c r="NWK59" s="127"/>
      <c r="NWL59" s="121"/>
      <c r="NWM59" s="5"/>
      <c r="NWN59" s="5"/>
      <c r="NWO59" s="124"/>
      <c r="NWP59" s="121"/>
      <c r="NWQ59" s="125"/>
      <c r="NWR59" s="5"/>
      <c r="NWS59" s="117"/>
      <c r="NWT59" s="4"/>
      <c r="NWU59" s="126"/>
      <c r="NWV59" s="127"/>
      <c r="NWW59" s="121"/>
      <c r="NWX59" s="5"/>
      <c r="NWY59" s="5"/>
      <c r="NWZ59" s="124"/>
      <c r="NXA59" s="121"/>
      <c r="NXB59" s="125"/>
      <c r="NXC59" s="5"/>
      <c r="NXD59" s="117"/>
      <c r="NXE59" s="4"/>
      <c r="NXF59" s="126"/>
      <c r="NXG59" s="127"/>
      <c r="NXH59" s="121"/>
      <c r="NXI59" s="5"/>
      <c r="NXJ59" s="5"/>
      <c r="NXK59" s="124"/>
      <c r="NXL59" s="121"/>
      <c r="NXM59" s="125"/>
      <c r="NXN59" s="5"/>
      <c r="NXO59" s="117"/>
      <c r="NXP59" s="4"/>
      <c r="NXQ59" s="126"/>
      <c r="NXR59" s="127"/>
      <c r="NXS59" s="121"/>
      <c r="NXT59" s="5"/>
      <c r="NXU59" s="5"/>
      <c r="NXV59" s="124"/>
      <c r="NXW59" s="121"/>
      <c r="NXX59" s="125"/>
      <c r="NXY59" s="5"/>
      <c r="NXZ59" s="117"/>
      <c r="NYA59" s="4"/>
      <c r="NYB59" s="126"/>
      <c r="NYC59" s="127"/>
      <c r="NYD59" s="121"/>
      <c r="NYE59" s="5"/>
      <c r="NYF59" s="5"/>
      <c r="NYG59" s="124"/>
      <c r="NYH59" s="121"/>
      <c r="NYI59" s="125"/>
      <c r="NYJ59" s="5"/>
      <c r="NYK59" s="117"/>
      <c r="NYL59" s="4"/>
      <c r="NYM59" s="126"/>
      <c r="NYN59" s="127"/>
      <c r="NYO59" s="121"/>
      <c r="NYP59" s="5"/>
      <c r="NYQ59" s="5"/>
      <c r="NYR59" s="124"/>
      <c r="NYS59" s="121"/>
      <c r="NYT59" s="125"/>
      <c r="NYU59" s="5"/>
      <c r="NYV59" s="117"/>
      <c r="NYW59" s="4"/>
      <c r="NYX59" s="126"/>
      <c r="NYY59" s="127"/>
      <c r="NYZ59" s="121"/>
      <c r="NZA59" s="5"/>
      <c r="NZB59" s="5"/>
      <c r="NZC59" s="124"/>
      <c r="NZD59" s="121"/>
      <c r="NZE59" s="125"/>
      <c r="NZF59" s="5"/>
      <c r="NZG59" s="117"/>
      <c r="NZH59" s="4"/>
      <c r="NZI59" s="126"/>
      <c r="NZJ59" s="127"/>
      <c r="NZK59" s="121"/>
      <c r="NZL59" s="5"/>
      <c r="NZM59" s="5"/>
      <c r="NZN59" s="124"/>
      <c r="NZO59" s="121"/>
      <c r="NZP59" s="125"/>
      <c r="NZQ59" s="5"/>
      <c r="NZR59" s="117"/>
      <c r="NZS59" s="4"/>
      <c r="NZT59" s="126"/>
      <c r="NZU59" s="127"/>
      <c r="NZV59" s="121"/>
      <c r="NZW59" s="5"/>
      <c r="NZX59" s="5"/>
      <c r="NZY59" s="124"/>
      <c r="NZZ59" s="121"/>
      <c r="OAA59" s="125"/>
      <c r="OAB59" s="5"/>
      <c r="OAC59" s="117"/>
      <c r="OAD59" s="4"/>
      <c r="OAE59" s="126"/>
      <c r="OAF59" s="127"/>
      <c r="OAG59" s="121"/>
      <c r="OAH59" s="5"/>
      <c r="OAI59" s="5"/>
      <c r="OAJ59" s="124"/>
      <c r="OAK59" s="121"/>
      <c r="OAL59" s="125"/>
      <c r="OAM59" s="5"/>
      <c r="OAN59" s="117"/>
      <c r="OAO59" s="4"/>
      <c r="OAP59" s="126"/>
      <c r="OAQ59" s="127"/>
      <c r="OAR59" s="121"/>
      <c r="OAS59" s="5"/>
      <c r="OAT59" s="5"/>
      <c r="OAU59" s="124"/>
      <c r="OAV59" s="121"/>
      <c r="OAW59" s="125"/>
      <c r="OAX59" s="5"/>
      <c r="OAY59" s="117"/>
      <c r="OAZ59" s="4"/>
      <c r="OBA59" s="126"/>
      <c r="OBB59" s="127"/>
      <c r="OBC59" s="121"/>
      <c r="OBD59" s="5"/>
      <c r="OBE59" s="5"/>
      <c r="OBF59" s="124"/>
      <c r="OBG59" s="121"/>
      <c r="OBH59" s="125"/>
      <c r="OBI59" s="5"/>
      <c r="OBJ59" s="117"/>
      <c r="OBK59" s="4"/>
      <c r="OBL59" s="126"/>
      <c r="OBM59" s="127"/>
      <c r="OBN59" s="121"/>
      <c r="OBO59" s="5"/>
      <c r="OBP59" s="5"/>
      <c r="OBQ59" s="124"/>
      <c r="OBR59" s="121"/>
      <c r="OBS59" s="125"/>
      <c r="OBT59" s="5"/>
      <c r="OBU59" s="117"/>
      <c r="OBV59" s="4"/>
      <c r="OBW59" s="126"/>
      <c r="OBX59" s="127"/>
      <c r="OBY59" s="121"/>
      <c r="OBZ59" s="5"/>
      <c r="OCA59" s="5"/>
      <c r="OCB59" s="124"/>
      <c r="OCC59" s="121"/>
      <c r="OCD59" s="125"/>
      <c r="OCE59" s="5"/>
      <c r="OCF59" s="117"/>
      <c r="OCG59" s="4"/>
      <c r="OCH59" s="126"/>
      <c r="OCI59" s="127"/>
      <c r="OCJ59" s="121"/>
      <c r="OCK59" s="5"/>
      <c r="OCL59" s="5"/>
      <c r="OCM59" s="124"/>
      <c r="OCN59" s="121"/>
      <c r="OCO59" s="125"/>
      <c r="OCP59" s="5"/>
      <c r="OCQ59" s="117"/>
      <c r="OCR59" s="4"/>
      <c r="OCS59" s="126"/>
      <c r="OCT59" s="127"/>
      <c r="OCU59" s="121"/>
      <c r="OCV59" s="5"/>
      <c r="OCW59" s="5"/>
      <c r="OCX59" s="124"/>
      <c r="OCY59" s="121"/>
      <c r="OCZ59" s="125"/>
      <c r="ODA59" s="5"/>
      <c r="ODB59" s="117"/>
      <c r="ODC59" s="4"/>
      <c r="ODD59" s="126"/>
      <c r="ODE59" s="127"/>
      <c r="ODF59" s="121"/>
      <c r="ODG59" s="5"/>
      <c r="ODH59" s="5"/>
      <c r="ODI59" s="124"/>
      <c r="ODJ59" s="121"/>
      <c r="ODK59" s="125"/>
      <c r="ODL59" s="5"/>
      <c r="ODM59" s="117"/>
      <c r="ODN59" s="4"/>
      <c r="ODO59" s="126"/>
      <c r="ODP59" s="127"/>
      <c r="ODQ59" s="121"/>
      <c r="ODR59" s="5"/>
      <c r="ODS59" s="5"/>
      <c r="ODT59" s="124"/>
      <c r="ODU59" s="121"/>
      <c r="ODV59" s="125"/>
      <c r="ODW59" s="5"/>
      <c r="ODX59" s="117"/>
      <c r="ODY59" s="4"/>
      <c r="ODZ59" s="126"/>
      <c r="OEA59" s="127"/>
      <c r="OEB59" s="121"/>
      <c r="OEC59" s="5"/>
      <c r="OED59" s="5"/>
      <c r="OEE59" s="124"/>
      <c r="OEF59" s="121"/>
      <c r="OEG59" s="125"/>
      <c r="OEH59" s="5"/>
      <c r="OEI59" s="117"/>
      <c r="OEJ59" s="4"/>
      <c r="OEK59" s="126"/>
      <c r="OEL59" s="127"/>
      <c r="OEM59" s="121"/>
      <c r="OEN59" s="5"/>
      <c r="OEO59" s="5"/>
      <c r="OEP59" s="124"/>
      <c r="OEQ59" s="121"/>
      <c r="OER59" s="125"/>
      <c r="OES59" s="5"/>
      <c r="OET59" s="117"/>
      <c r="OEU59" s="4"/>
      <c r="OEV59" s="126"/>
      <c r="OEW59" s="127"/>
      <c r="OEX59" s="121"/>
      <c r="OEY59" s="5"/>
      <c r="OEZ59" s="5"/>
      <c r="OFA59" s="124"/>
      <c r="OFB59" s="121"/>
      <c r="OFC59" s="125"/>
      <c r="OFD59" s="5"/>
      <c r="OFE59" s="117"/>
      <c r="OFF59" s="4"/>
      <c r="OFG59" s="126"/>
      <c r="OFH59" s="127"/>
      <c r="OFI59" s="121"/>
      <c r="OFJ59" s="5"/>
      <c r="OFK59" s="5"/>
      <c r="OFL59" s="124"/>
      <c r="OFM59" s="121"/>
      <c r="OFN59" s="125"/>
      <c r="OFO59" s="5"/>
      <c r="OFP59" s="117"/>
      <c r="OFQ59" s="4"/>
      <c r="OFR59" s="126"/>
      <c r="OFS59" s="127"/>
      <c r="OFT59" s="121"/>
      <c r="OFU59" s="5"/>
      <c r="OFV59" s="5"/>
      <c r="OFW59" s="124"/>
      <c r="OFX59" s="121"/>
      <c r="OFY59" s="125"/>
      <c r="OFZ59" s="5"/>
      <c r="OGA59" s="117"/>
      <c r="OGB59" s="4"/>
      <c r="OGC59" s="126"/>
      <c r="OGD59" s="127"/>
      <c r="OGE59" s="121"/>
      <c r="OGF59" s="5"/>
      <c r="OGG59" s="5"/>
      <c r="OGH59" s="124"/>
      <c r="OGI59" s="121"/>
      <c r="OGJ59" s="125"/>
      <c r="OGK59" s="5"/>
      <c r="OGL59" s="117"/>
      <c r="OGM59" s="4"/>
      <c r="OGN59" s="126"/>
      <c r="OGO59" s="127"/>
      <c r="OGP59" s="121"/>
      <c r="OGQ59" s="5"/>
      <c r="OGR59" s="5"/>
      <c r="OGS59" s="124"/>
      <c r="OGT59" s="121"/>
      <c r="OGU59" s="125"/>
      <c r="OGV59" s="5"/>
      <c r="OGW59" s="117"/>
      <c r="OGX59" s="4"/>
      <c r="OGY59" s="126"/>
      <c r="OGZ59" s="127"/>
      <c r="OHA59" s="121"/>
      <c r="OHB59" s="5"/>
      <c r="OHC59" s="5"/>
      <c r="OHD59" s="124"/>
      <c r="OHE59" s="121"/>
      <c r="OHF59" s="125"/>
      <c r="OHG59" s="5"/>
      <c r="OHH59" s="117"/>
      <c r="OHI59" s="4"/>
      <c r="OHJ59" s="126"/>
      <c r="OHK59" s="127"/>
      <c r="OHL59" s="121"/>
      <c r="OHM59" s="5"/>
      <c r="OHN59" s="5"/>
      <c r="OHO59" s="124"/>
      <c r="OHP59" s="121"/>
      <c r="OHQ59" s="125"/>
      <c r="OHR59" s="5"/>
      <c r="OHS59" s="117"/>
      <c r="OHT59" s="4"/>
      <c r="OHU59" s="126"/>
      <c r="OHV59" s="127"/>
      <c r="OHW59" s="121"/>
      <c r="OHX59" s="5"/>
      <c r="OHY59" s="5"/>
      <c r="OHZ59" s="124"/>
      <c r="OIA59" s="121"/>
      <c r="OIB59" s="125"/>
      <c r="OIC59" s="5"/>
      <c r="OID59" s="117"/>
      <c r="OIE59" s="4"/>
      <c r="OIF59" s="126"/>
      <c r="OIG59" s="127"/>
      <c r="OIH59" s="121"/>
      <c r="OII59" s="5"/>
      <c r="OIJ59" s="5"/>
      <c r="OIK59" s="124"/>
      <c r="OIL59" s="121"/>
      <c r="OIM59" s="125"/>
      <c r="OIN59" s="5"/>
      <c r="OIO59" s="117"/>
      <c r="OIP59" s="4"/>
      <c r="OIQ59" s="126"/>
      <c r="OIR59" s="127"/>
      <c r="OIS59" s="121"/>
      <c r="OIT59" s="5"/>
      <c r="OIU59" s="5"/>
      <c r="OIV59" s="124"/>
      <c r="OIW59" s="121"/>
      <c r="OIX59" s="125"/>
      <c r="OIY59" s="5"/>
      <c r="OIZ59" s="117"/>
      <c r="OJA59" s="4"/>
      <c r="OJB59" s="126"/>
      <c r="OJC59" s="127"/>
      <c r="OJD59" s="121"/>
      <c r="OJE59" s="5"/>
      <c r="OJF59" s="5"/>
      <c r="OJG59" s="124"/>
      <c r="OJH59" s="121"/>
      <c r="OJI59" s="125"/>
      <c r="OJJ59" s="5"/>
      <c r="OJK59" s="117"/>
      <c r="OJL59" s="4"/>
      <c r="OJM59" s="126"/>
      <c r="OJN59" s="127"/>
      <c r="OJO59" s="121"/>
      <c r="OJP59" s="5"/>
      <c r="OJQ59" s="5"/>
      <c r="OJR59" s="124"/>
      <c r="OJS59" s="121"/>
      <c r="OJT59" s="125"/>
      <c r="OJU59" s="5"/>
      <c r="OJV59" s="117"/>
      <c r="OJW59" s="4"/>
      <c r="OJX59" s="126"/>
      <c r="OJY59" s="127"/>
      <c r="OJZ59" s="121"/>
      <c r="OKA59" s="5"/>
      <c r="OKB59" s="5"/>
      <c r="OKC59" s="124"/>
      <c r="OKD59" s="121"/>
      <c r="OKE59" s="125"/>
      <c r="OKF59" s="5"/>
      <c r="OKG59" s="117"/>
      <c r="OKH59" s="4"/>
      <c r="OKI59" s="126"/>
      <c r="OKJ59" s="127"/>
      <c r="OKK59" s="121"/>
      <c r="OKL59" s="5"/>
      <c r="OKM59" s="5"/>
      <c r="OKN59" s="124"/>
      <c r="OKO59" s="121"/>
      <c r="OKP59" s="125"/>
      <c r="OKQ59" s="5"/>
      <c r="OKR59" s="117"/>
      <c r="OKS59" s="4"/>
      <c r="OKT59" s="126"/>
      <c r="OKU59" s="127"/>
      <c r="OKV59" s="121"/>
      <c r="OKW59" s="5"/>
      <c r="OKX59" s="5"/>
      <c r="OKY59" s="124"/>
      <c r="OKZ59" s="121"/>
      <c r="OLA59" s="125"/>
      <c r="OLB59" s="5"/>
      <c r="OLC59" s="117"/>
      <c r="OLD59" s="4"/>
      <c r="OLE59" s="126"/>
      <c r="OLF59" s="127"/>
      <c r="OLG59" s="121"/>
      <c r="OLH59" s="5"/>
      <c r="OLI59" s="5"/>
      <c r="OLJ59" s="124"/>
      <c r="OLK59" s="121"/>
      <c r="OLL59" s="125"/>
      <c r="OLM59" s="5"/>
      <c r="OLN59" s="117"/>
      <c r="OLO59" s="4"/>
      <c r="OLP59" s="126"/>
      <c r="OLQ59" s="127"/>
      <c r="OLR59" s="121"/>
      <c r="OLS59" s="5"/>
      <c r="OLT59" s="5"/>
      <c r="OLU59" s="124"/>
      <c r="OLV59" s="121"/>
      <c r="OLW59" s="125"/>
      <c r="OLX59" s="5"/>
      <c r="OLY59" s="117"/>
      <c r="OLZ59" s="4"/>
      <c r="OMA59" s="126"/>
      <c r="OMB59" s="127"/>
      <c r="OMC59" s="121"/>
      <c r="OMD59" s="5"/>
      <c r="OME59" s="5"/>
      <c r="OMF59" s="124"/>
      <c r="OMG59" s="121"/>
      <c r="OMH59" s="125"/>
      <c r="OMI59" s="5"/>
      <c r="OMJ59" s="117"/>
      <c r="OMK59" s="4"/>
      <c r="OML59" s="126"/>
      <c r="OMM59" s="127"/>
      <c r="OMN59" s="121"/>
      <c r="OMO59" s="5"/>
      <c r="OMP59" s="5"/>
      <c r="OMQ59" s="124"/>
      <c r="OMR59" s="121"/>
      <c r="OMS59" s="125"/>
      <c r="OMT59" s="5"/>
      <c r="OMU59" s="117"/>
      <c r="OMV59" s="4"/>
      <c r="OMW59" s="126"/>
      <c r="OMX59" s="127"/>
      <c r="OMY59" s="121"/>
      <c r="OMZ59" s="5"/>
      <c r="ONA59" s="5"/>
      <c r="ONB59" s="124"/>
      <c r="ONC59" s="121"/>
      <c r="OND59" s="125"/>
      <c r="ONE59" s="5"/>
      <c r="ONF59" s="117"/>
      <c r="ONG59" s="4"/>
      <c r="ONH59" s="126"/>
      <c r="ONI59" s="127"/>
      <c r="ONJ59" s="121"/>
      <c r="ONK59" s="5"/>
      <c r="ONL59" s="5"/>
      <c r="ONM59" s="124"/>
      <c r="ONN59" s="121"/>
      <c r="ONO59" s="125"/>
      <c r="ONP59" s="5"/>
      <c r="ONQ59" s="117"/>
      <c r="ONR59" s="4"/>
      <c r="ONS59" s="126"/>
      <c r="ONT59" s="127"/>
      <c r="ONU59" s="121"/>
      <c r="ONV59" s="5"/>
      <c r="ONW59" s="5"/>
      <c r="ONX59" s="124"/>
      <c r="ONY59" s="121"/>
      <c r="ONZ59" s="125"/>
      <c r="OOA59" s="5"/>
      <c r="OOB59" s="117"/>
      <c r="OOC59" s="4"/>
      <c r="OOD59" s="126"/>
      <c r="OOE59" s="127"/>
      <c r="OOF59" s="121"/>
      <c r="OOG59" s="5"/>
      <c r="OOH59" s="5"/>
      <c r="OOI59" s="124"/>
      <c r="OOJ59" s="121"/>
      <c r="OOK59" s="125"/>
      <c r="OOL59" s="5"/>
      <c r="OOM59" s="117"/>
      <c r="OON59" s="4"/>
      <c r="OOO59" s="126"/>
      <c r="OOP59" s="127"/>
      <c r="OOQ59" s="121"/>
      <c r="OOR59" s="5"/>
      <c r="OOS59" s="5"/>
      <c r="OOT59" s="124"/>
      <c r="OOU59" s="121"/>
      <c r="OOV59" s="125"/>
      <c r="OOW59" s="5"/>
      <c r="OOX59" s="117"/>
      <c r="OOY59" s="4"/>
      <c r="OOZ59" s="126"/>
      <c r="OPA59" s="127"/>
      <c r="OPB59" s="121"/>
      <c r="OPC59" s="5"/>
      <c r="OPD59" s="5"/>
      <c r="OPE59" s="124"/>
      <c r="OPF59" s="121"/>
      <c r="OPG59" s="125"/>
      <c r="OPH59" s="5"/>
      <c r="OPI59" s="117"/>
      <c r="OPJ59" s="4"/>
      <c r="OPK59" s="126"/>
      <c r="OPL59" s="127"/>
      <c r="OPM59" s="121"/>
      <c r="OPN59" s="5"/>
      <c r="OPO59" s="5"/>
      <c r="OPP59" s="124"/>
      <c r="OPQ59" s="121"/>
      <c r="OPR59" s="125"/>
      <c r="OPS59" s="5"/>
      <c r="OPT59" s="117"/>
      <c r="OPU59" s="4"/>
      <c r="OPV59" s="126"/>
      <c r="OPW59" s="127"/>
      <c r="OPX59" s="121"/>
      <c r="OPY59" s="5"/>
      <c r="OPZ59" s="5"/>
      <c r="OQA59" s="124"/>
      <c r="OQB59" s="121"/>
      <c r="OQC59" s="125"/>
      <c r="OQD59" s="5"/>
      <c r="OQE59" s="117"/>
      <c r="OQF59" s="4"/>
      <c r="OQG59" s="126"/>
      <c r="OQH59" s="127"/>
      <c r="OQI59" s="121"/>
      <c r="OQJ59" s="5"/>
      <c r="OQK59" s="5"/>
      <c r="OQL59" s="124"/>
      <c r="OQM59" s="121"/>
      <c r="OQN59" s="125"/>
      <c r="OQO59" s="5"/>
      <c r="OQP59" s="117"/>
      <c r="OQQ59" s="4"/>
      <c r="OQR59" s="126"/>
      <c r="OQS59" s="127"/>
      <c r="OQT59" s="121"/>
      <c r="OQU59" s="5"/>
      <c r="OQV59" s="5"/>
      <c r="OQW59" s="124"/>
      <c r="OQX59" s="121"/>
      <c r="OQY59" s="125"/>
      <c r="OQZ59" s="5"/>
      <c r="ORA59" s="117"/>
      <c r="ORB59" s="4"/>
      <c r="ORC59" s="126"/>
      <c r="ORD59" s="127"/>
      <c r="ORE59" s="121"/>
      <c r="ORF59" s="5"/>
      <c r="ORG59" s="5"/>
      <c r="ORH59" s="124"/>
      <c r="ORI59" s="121"/>
      <c r="ORJ59" s="125"/>
      <c r="ORK59" s="5"/>
      <c r="ORL59" s="117"/>
      <c r="ORM59" s="4"/>
      <c r="ORN59" s="126"/>
      <c r="ORO59" s="127"/>
      <c r="ORP59" s="121"/>
      <c r="ORQ59" s="5"/>
      <c r="ORR59" s="5"/>
      <c r="ORS59" s="124"/>
      <c r="ORT59" s="121"/>
      <c r="ORU59" s="125"/>
      <c r="ORV59" s="5"/>
      <c r="ORW59" s="117"/>
      <c r="ORX59" s="4"/>
      <c r="ORY59" s="126"/>
      <c r="ORZ59" s="127"/>
      <c r="OSA59" s="121"/>
      <c r="OSB59" s="5"/>
      <c r="OSC59" s="5"/>
      <c r="OSD59" s="124"/>
      <c r="OSE59" s="121"/>
      <c r="OSF59" s="125"/>
      <c r="OSG59" s="5"/>
      <c r="OSH59" s="117"/>
      <c r="OSI59" s="4"/>
      <c r="OSJ59" s="126"/>
      <c r="OSK59" s="127"/>
      <c r="OSL59" s="121"/>
      <c r="OSM59" s="5"/>
      <c r="OSN59" s="5"/>
      <c r="OSO59" s="124"/>
      <c r="OSP59" s="121"/>
      <c r="OSQ59" s="125"/>
      <c r="OSR59" s="5"/>
      <c r="OSS59" s="117"/>
      <c r="OST59" s="4"/>
      <c r="OSU59" s="126"/>
      <c r="OSV59" s="127"/>
      <c r="OSW59" s="121"/>
      <c r="OSX59" s="5"/>
      <c r="OSY59" s="5"/>
      <c r="OSZ59" s="124"/>
      <c r="OTA59" s="121"/>
      <c r="OTB59" s="125"/>
      <c r="OTC59" s="5"/>
      <c r="OTD59" s="117"/>
      <c r="OTE59" s="4"/>
      <c r="OTF59" s="126"/>
      <c r="OTG59" s="127"/>
      <c r="OTH59" s="121"/>
      <c r="OTI59" s="5"/>
      <c r="OTJ59" s="5"/>
      <c r="OTK59" s="124"/>
      <c r="OTL59" s="121"/>
      <c r="OTM59" s="125"/>
      <c r="OTN59" s="5"/>
      <c r="OTO59" s="117"/>
      <c r="OTP59" s="4"/>
      <c r="OTQ59" s="126"/>
      <c r="OTR59" s="127"/>
      <c r="OTS59" s="121"/>
      <c r="OTT59" s="5"/>
      <c r="OTU59" s="5"/>
      <c r="OTV59" s="124"/>
      <c r="OTW59" s="121"/>
      <c r="OTX59" s="125"/>
      <c r="OTY59" s="5"/>
      <c r="OTZ59" s="117"/>
      <c r="OUA59" s="4"/>
      <c r="OUB59" s="126"/>
      <c r="OUC59" s="127"/>
      <c r="OUD59" s="121"/>
      <c r="OUE59" s="5"/>
      <c r="OUF59" s="5"/>
      <c r="OUG59" s="124"/>
      <c r="OUH59" s="121"/>
      <c r="OUI59" s="125"/>
      <c r="OUJ59" s="5"/>
      <c r="OUK59" s="117"/>
      <c r="OUL59" s="4"/>
      <c r="OUM59" s="126"/>
      <c r="OUN59" s="127"/>
      <c r="OUO59" s="121"/>
      <c r="OUP59" s="5"/>
      <c r="OUQ59" s="5"/>
      <c r="OUR59" s="124"/>
      <c r="OUS59" s="121"/>
      <c r="OUT59" s="125"/>
      <c r="OUU59" s="5"/>
      <c r="OUV59" s="117"/>
      <c r="OUW59" s="4"/>
      <c r="OUX59" s="126"/>
      <c r="OUY59" s="127"/>
      <c r="OUZ59" s="121"/>
      <c r="OVA59" s="5"/>
      <c r="OVB59" s="5"/>
      <c r="OVC59" s="124"/>
      <c r="OVD59" s="121"/>
      <c r="OVE59" s="125"/>
      <c r="OVF59" s="5"/>
      <c r="OVG59" s="117"/>
      <c r="OVH59" s="4"/>
      <c r="OVI59" s="126"/>
      <c r="OVJ59" s="127"/>
      <c r="OVK59" s="121"/>
      <c r="OVL59" s="5"/>
      <c r="OVM59" s="5"/>
      <c r="OVN59" s="124"/>
      <c r="OVO59" s="121"/>
      <c r="OVP59" s="125"/>
      <c r="OVQ59" s="5"/>
      <c r="OVR59" s="117"/>
      <c r="OVS59" s="4"/>
      <c r="OVT59" s="126"/>
      <c r="OVU59" s="127"/>
      <c r="OVV59" s="121"/>
      <c r="OVW59" s="5"/>
      <c r="OVX59" s="5"/>
      <c r="OVY59" s="124"/>
      <c r="OVZ59" s="121"/>
      <c r="OWA59" s="125"/>
      <c r="OWB59" s="5"/>
      <c r="OWC59" s="117"/>
      <c r="OWD59" s="4"/>
      <c r="OWE59" s="126"/>
      <c r="OWF59" s="127"/>
      <c r="OWG59" s="121"/>
      <c r="OWH59" s="5"/>
      <c r="OWI59" s="5"/>
      <c r="OWJ59" s="124"/>
      <c r="OWK59" s="121"/>
      <c r="OWL59" s="125"/>
      <c r="OWM59" s="5"/>
      <c r="OWN59" s="117"/>
      <c r="OWO59" s="4"/>
      <c r="OWP59" s="126"/>
      <c r="OWQ59" s="127"/>
      <c r="OWR59" s="121"/>
      <c r="OWS59" s="5"/>
      <c r="OWT59" s="5"/>
      <c r="OWU59" s="124"/>
      <c r="OWV59" s="121"/>
      <c r="OWW59" s="125"/>
      <c r="OWX59" s="5"/>
      <c r="OWY59" s="117"/>
      <c r="OWZ59" s="4"/>
      <c r="OXA59" s="126"/>
      <c r="OXB59" s="127"/>
      <c r="OXC59" s="121"/>
      <c r="OXD59" s="5"/>
      <c r="OXE59" s="5"/>
      <c r="OXF59" s="124"/>
      <c r="OXG59" s="121"/>
      <c r="OXH59" s="125"/>
      <c r="OXI59" s="5"/>
      <c r="OXJ59" s="117"/>
      <c r="OXK59" s="4"/>
      <c r="OXL59" s="126"/>
      <c r="OXM59" s="127"/>
      <c r="OXN59" s="121"/>
      <c r="OXO59" s="5"/>
      <c r="OXP59" s="5"/>
      <c r="OXQ59" s="124"/>
      <c r="OXR59" s="121"/>
      <c r="OXS59" s="125"/>
      <c r="OXT59" s="5"/>
      <c r="OXU59" s="117"/>
      <c r="OXV59" s="4"/>
      <c r="OXW59" s="126"/>
      <c r="OXX59" s="127"/>
      <c r="OXY59" s="121"/>
      <c r="OXZ59" s="5"/>
      <c r="OYA59" s="5"/>
      <c r="OYB59" s="124"/>
      <c r="OYC59" s="121"/>
      <c r="OYD59" s="125"/>
      <c r="OYE59" s="5"/>
      <c r="OYF59" s="117"/>
      <c r="OYG59" s="4"/>
      <c r="OYH59" s="126"/>
      <c r="OYI59" s="127"/>
      <c r="OYJ59" s="121"/>
      <c r="OYK59" s="5"/>
      <c r="OYL59" s="5"/>
      <c r="OYM59" s="124"/>
      <c r="OYN59" s="121"/>
      <c r="OYO59" s="125"/>
      <c r="OYP59" s="5"/>
      <c r="OYQ59" s="117"/>
      <c r="OYR59" s="4"/>
      <c r="OYS59" s="126"/>
      <c r="OYT59" s="127"/>
      <c r="OYU59" s="121"/>
      <c r="OYV59" s="5"/>
      <c r="OYW59" s="5"/>
      <c r="OYX59" s="124"/>
      <c r="OYY59" s="121"/>
      <c r="OYZ59" s="125"/>
      <c r="OZA59" s="5"/>
      <c r="OZB59" s="117"/>
      <c r="OZC59" s="4"/>
      <c r="OZD59" s="126"/>
      <c r="OZE59" s="127"/>
      <c r="OZF59" s="121"/>
      <c r="OZG59" s="5"/>
      <c r="OZH59" s="5"/>
      <c r="OZI59" s="124"/>
      <c r="OZJ59" s="121"/>
      <c r="OZK59" s="125"/>
      <c r="OZL59" s="5"/>
      <c r="OZM59" s="117"/>
      <c r="OZN59" s="4"/>
      <c r="OZO59" s="126"/>
      <c r="OZP59" s="127"/>
      <c r="OZQ59" s="121"/>
      <c r="OZR59" s="5"/>
      <c r="OZS59" s="5"/>
      <c r="OZT59" s="124"/>
      <c r="OZU59" s="121"/>
      <c r="OZV59" s="125"/>
      <c r="OZW59" s="5"/>
      <c r="OZX59" s="117"/>
      <c r="OZY59" s="4"/>
      <c r="OZZ59" s="126"/>
      <c r="PAA59" s="127"/>
      <c r="PAB59" s="121"/>
      <c r="PAC59" s="5"/>
      <c r="PAD59" s="5"/>
      <c r="PAE59" s="124"/>
      <c r="PAF59" s="121"/>
      <c r="PAG59" s="125"/>
      <c r="PAH59" s="5"/>
      <c r="PAI59" s="117"/>
      <c r="PAJ59" s="4"/>
      <c r="PAK59" s="126"/>
      <c r="PAL59" s="127"/>
      <c r="PAM59" s="121"/>
      <c r="PAN59" s="5"/>
      <c r="PAO59" s="5"/>
      <c r="PAP59" s="124"/>
      <c r="PAQ59" s="121"/>
      <c r="PAR59" s="125"/>
      <c r="PAS59" s="5"/>
      <c r="PAT59" s="117"/>
      <c r="PAU59" s="4"/>
      <c r="PAV59" s="126"/>
      <c r="PAW59" s="127"/>
      <c r="PAX59" s="121"/>
      <c r="PAY59" s="5"/>
      <c r="PAZ59" s="5"/>
      <c r="PBA59" s="124"/>
      <c r="PBB59" s="121"/>
      <c r="PBC59" s="125"/>
      <c r="PBD59" s="5"/>
      <c r="PBE59" s="117"/>
      <c r="PBF59" s="4"/>
      <c r="PBG59" s="126"/>
      <c r="PBH59" s="127"/>
      <c r="PBI59" s="121"/>
      <c r="PBJ59" s="5"/>
      <c r="PBK59" s="5"/>
      <c r="PBL59" s="124"/>
      <c r="PBM59" s="121"/>
      <c r="PBN59" s="125"/>
      <c r="PBO59" s="5"/>
      <c r="PBP59" s="117"/>
      <c r="PBQ59" s="4"/>
      <c r="PBR59" s="126"/>
      <c r="PBS59" s="127"/>
      <c r="PBT59" s="121"/>
      <c r="PBU59" s="5"/>
      <c r="PBV59" s="5"/>
      <c r="PBW59" s="124"/>
      <c r="PBX59" s="121"/>
      <c r="PBY59" s="125"/>
      <c r="PBZ59" s="5"/>
      <c r="PCA59" s="117"/>
      <c r="PCB59" s="4"/>
      <c r="PCC59" s="126"/>
      <c r="PCD59" s="127"/>
      <c r="PCE59" s="121"/>
      <c r="PCF59" s="5"/>
      <c r="PCG59" s="5"/>
      <c r="PCH59" s="124"/>
      <c r="PCI59" s="121"/>
      <c r="PCJ59" s="125"/>
      <c r="PCK59" s="5"/>
      <c r="PCL59" s="117"/>
      <c r="PCM59" s="4"/>
      <c r="PCN59" s="126"/>
      <c r="PCO59" s="127"/>
      <c r="PCP59" s="121"/>
      <c r="PCQ59" s="5"/>
      <c r="PCR59" s="5"/>
      <c r="PCS59" s="124"/>
      <c r="PCT59" s="121"/>
      <c r="PCU59" s="125"/>
      <c r="PCV59" s="5"/>
      <c r="PCW59" s="117"/>
      <c r="PCX59" s="4"/>
      <c r="PCY59" s="126"/>
      <c r="PCZ59" s="127"/>
      <c r="PDA59" s="121"/>
      <c r="PDB59" s="5"/>
      <c r="PDC59" s="5"/>
      <c r="PDD59" s="124"/>
      <c r="PDE59" s="121"/>
      <c r="PDF59" s="125"/>
      <c r="PDG59" s="5"/>
      <c r="PDH59" s="117"/>
      <c r="PDI59" s="4"/>
      <c r="PDJ59" s="126"/>
      <c r="PDK59" s="127"/>
      <c r="PDL59" s="121"/>
      <c r="PDM59" s="5"/>
      <c r="PDN59" s="5"/>
      <c r="PDO59" s="124"/>
      <c r="PDP59" s="121"/>
      <c r="PDQ59" s="125"/>
      <c r="PDR59" s="5"/>
      <c r="PDS59" s="117"/>
      <c r="PDT59" s="4"/>
      <c r="PDU59" s="126"/>
      <c r="PDV59" s="127"/>
      <c r="PDW59" s="121"/>
      <c r="PDX59" s="5"/>
      <c r="PDY59" s="5"/>
      <c r="PDZ59" s="124"/>
      <c r="PEA59" s="121"/>
      <c r="PEB59" s="125"/>
      <c r="PEC59" s="5"/>
      <c r="PED59" s="117"/>
      <c r="PEE59" s="4"/>
      <c r="PEF59" s="126"/>
      <c r="PEG59" s="127"/>
      <c r="PEH59" s="121"/>
      <c r="PEI59" s="5"/>
      <c r="PEJ59" s="5"/>
      <c r="PEK59" s="124"/>
      <c r="PEL59" s="121"/>
      <c r="PEM59" s="125"/>
      <c r="PEN59" s="5"/>
      <c r="PEO59" s="117"/>
      <c r="PEP59" s="4"/>
      <c r="PEQ59" s="126"/>
      <c r="PER59" s="127"/>
      <c r="PES59" s="121"/>
      <c r="PET59" s="5"/>
      <c r="PEU59" s="5"/>
      <c r="PEV59" s="124"/>
      <c r="PEW59" s="121"/>
      <c r="PEX59" s="125"/>
      <c r="PEY59" s="5"/>
      <c r="PEZ59" s="117"/>
      <c r="PFA59" s="4"/>
      <c r="PFB59" s="126"/>
      <c r="PFC59" s="127"/>
      <c r="PFD59" s="121"/>
      <c r="PFE59" s="5"/>
      <c r="PFF59" s="5"/>
      <c r="PFG59" s="124"/>
      <c r="PFH59" s="121"/>
      <c r="PFI59" s="125"/>
      <c r="PFJ59" s="5"/>
      <c r="PFK59" s="117"/>
      <c r="PFL59" s="4"/>
      <c r="PFM59" s="126"/>
      <c r="PFN59" s="127"/>
      <c r="PFO59" s="121"/>
      <c r="PFP59" s="5"/>
      <c r="PFQ59" s="5"/>
      <c r="PFR59" s="124"/>
      <c r="PFS59" s="121"/>
      <c r="PFT59" s="125"/>
      <c r="PFU59" s="5"/>
      <c r="PFV59" s="117"/>
      <c r="PFW59" s="4"/>
      <c r="PFX59" s="126"/>
      <c r="PFY59" s="127"/>
      <c r="PFZ59" s="121"/>
      <c r="PGA59" s="5"/>
      <c r="PGB59" s="5"/>
      <c r="PGC59" s="124"/>
      <c r="PGD59" s="121"/>
      <c r="PGE59" s="125"/>
      <c r="PGF59" s="5"/>
      <c r="PGG59" s="117"/>
      <c r="PGH59" s="4"/>
      <c r="PGI59" s="126"/>
      <c r="PGJ59" s="127"/>
      <c r="PGK59" s="121"/>
      <c r="PGL59" s="5"/>
      <c r="PGM59" s="5"/>
      <c r="PGN59" s="124"/>
      <c r="PGO59" s="121"/>
      <c r="PGP59" s="125"/>
      <c r="PGQ59" s="5"/>
      <c r="PGR59" s="117"/>
      <c r="PGS59" s="4"/>
      <c r="PGT59" s="126"/>
      <c r="PGU59" s="127"/>
      <c r="PGV59" s="121"/>
      <c r="PGW59" s="5"/>
      <c r="PGX59" s="5"/>
      <c r="PGY59" s="124"/>
      <c r="PGZ59" s="121"/>
      <c r="PHA59" s="125"/>
      <c r="PHB59" s="5"/>
      <c r="PHC59" s="117"/>
      <c r="PHD59" s="4"/>
      <c r="PHE59" s="126"/>
      <c r="PHF59" s="127"/>
      <c r="PHG59" s="121"/>
      <c r="PHH59" s="5"/>
      <c r="PHI59" s="5"/>
      <c r="PHJ59" s="124"/>
      <c r="PHK59" s="121"/>
      <c r="PHL59" s="125"/>
      <c r="PHM59" s="5"/>
      <c r="PHN59" s="117"/>
      <c r="PHO59" s="4"/>
      <c r="PHP59" s="126"/>
      <c r="PHQ59" s="127"/>
      <c r="PHR59" s="121"/>
      <c r="PHS59" s="5"/>
      <c r="PHT59" s="5"/>
      <c r="PHU59" s="124"/>
      <c r="PHV59" s="121"/>
      <c r="PHW59" s="125"/>
      <c r="PHX59" s="5"/>
      <c r="PHY59" s="117"/>
      <c r="PHZ59" s="4"/>
      <c r="PIA59" s="126"/>
      <c r="PIB59" s="127"/>
      <c r="PIC59" s="121"/>
      <c r="PID59" s="5"/>
      <c r="PIE59" s="5"/>
      <c r="PIF59" s="124"/>
      <c r="PIG59" s="121"/>
      <c r="PIH59" s="125"/>
      <c r="PII59" s="5"/>
      <c r="PIJ59" s="117"/>
      <c r="PIK59" s="4"/>
      <c r="PIL59" s="126"/>
      <c r="PIM59" s="127"/>
      <c r="PIN59" s="121"/>
      <c r="PIO59" s="5"/>
      <c r="PIP59" s="5"/>
      <c r="PIQ59" s="124"/>
      <c r="PIR59" s="121"/>
      <c r="PIS59" s="125"/>
      <c r="PIT59" s="5"/>
      <c r="PIU59" s="117"/>
      <c r="PIV59" s="4"/>
      <c r="PIW59" s="126"/>
      <c r="PIX59" s="127"/>
      <c r="PIY59" s="121"/>
      <c r="PIZ59" s="5"/>
      <c r="PJA59" s="5"/>
      <c r="PJB59" s="124"/>
      <c r="PJC59" s="121"/>
      <c r="PJD59" s="125"/>
      <c r="PJE59" s="5"/>
      <c r="PJF59" s="117"/>
      <c r="PJG59" s="4"/>
      <c r="PJH59" s="126"/>
      <c r="PJI59" s="127"/>
      <c r="PJJ59" s="121"/>
      <c r="PJK59" s="5"/>
      <c r="PJL59" s="5"/>
      <c r="PJM59" s="124"/>
      <c r="PJN59" s="121"/>
      <c r="PJO59" s="125"/>
      <c r="PJP59" s="5"/>
      <c r="PJQ59" s="117"/>
      <c r="PJR59" s="4"/>
      <c r="PJS59" s="126"/>
      <c r="PJT59" s="127"/>
      <c r="PJU59" s="121"/>
      <c r="PJV59" s="5"/>
      <c r="PJW59" s="5"/>
      <c r="PJX59" s="124"/>
      <c r="PJY59" s="121"/>
      <c r="PJZ59" s="125"/>
      <c r="PKA59" s="5"/>
      <c r="PKB59" s="117"/>
      <c r="PKC59" s="4"/>
      <c r="PKD59" s="126"/>
      <c r="PKE59" s="127"/>
      <c r="PKF59" s="121"/>
      <c r="PKG59" s="5"/>
      <c r="PKH59" s="5"/>
      <c r="PKI59" s="124"/>
      <c r="PKJ59" s="121"/>
      <c r="PKK59" s="125"/>
      <c r="PKL59" s="5"/>
      <c r="PKM59" s="117"/>
      <c r="PKN59" s="4"/>
      <c r="PKO59" s="126"/>
      <c r="PKP59" s="127"/>
      <c r="PKQ59" s="121"/>
      <c r="PKR59" s="5"/>
      <c r="PKS59" s="5"/>
      <c r="PKT59" s="124"/>
      <c r="PKU59" s="121"/>
      <c r="PKV59" s="125"/>
      <c r="PKW59" s="5"/>
      <c r="PKX59" s="117"/>
      <c r="PKY59" s="4"/>
      <c r="PKZ59" s="126"/>
      <c r="PLA59" s="127"/>
      <c r="PLB59" s="121"/>
      <c r="PLC59" s="5"/>
      <c r="PLD59" s="5"/>
      <c r="PLE59" s="124"/>
      <c r="PLF59" s="121"/>
      <c r="PLG59" s="125"/>
      <c r="PLH59" s="5"/>
      <c r="PLI59" s="117"/>
      <c r="PLJ59" s="4"/>
      <c r="PLK59" s="126"/>
      <c r="PLL59" s="127"/>
      <c r="PLM59" s="121"/>
      <c r="PLN59" s="5"/>
      <c r="PLO59" s="5"/>
      <c r="PLP59" s="124"/>
      <c r="PLQ59" s="121"/>
      <c r="PLR59" s="125"/>
      <c r="PLS59" s="5"/>
      <c r="PLT59" s="117"/>
      <c r="PLU59" s="4"/>
      <c r="PLV59" s="126"/>
      <c r="PLW59" s="127"/>
      <c r="PLX59" s="121"/>
      <c r="PLY59" s="5"/>
      <c r="PLZ59" s="5"/>
      <c r="PMA59" s="124"/>
      <c r="PMB59" s="121"/>
      <c r="PMC59" s="125"/>
      <c r="PMD59" s="5"/>
      <c r="PME59" s="117"/>
      <c r="PMF59" s="4"/>
      <c r="PMG59" s="126"/>
      <c r="PMH59" s="127"/>
      <c r="PMI59" s="121"/>
      <c r="PMJ59" s="5"/>
      <c r="PMK59" s="5"/>
      <c r="PML59" s="124"/>
      <c r="PMM59" s="121"/>
      <c r="PMN59" s="125"/>
      <c r="PMO59" s="5"/>
      <c r="PMP59" s="117"/>
      <c r="PMQ59" s="4"/>
      <c r="PMR59" s="126"/>
      <c r="PMS59" s="127"/>
      <c r="PMT59" s="121"/>
      <c r="PMU59" s="5"/>
      <c r="PMV59" s="5"/>
      <c r="PMW59" s="124"/>
      <c r="PMX59" s="121"/>
      <c r="PMY59" s="125"/>
      <c r="PMZ59" s="5"/>
      <c r="PNA59" s="117"/>
      <c r="PNB59" s="4"/>
      <c r="PNC59" s="126"/>
      <c r="PND59" s="127"/>
      <c r="PNE59" s="121"/>
      <c r="PNF59" s="5"/>
      <c r="PNG59" s="5"/>
      <c r="PNH59" s="124"/>
      <c r="PNI59" s="121"/>
      <c r="PNJ59" s="125"/>
      <c r="PNK59" s="5"/>
      <c r="PNL59" s="117"/>
      <c r="PNM59" s="4"/>
      <c r="PNN59" s="126"/>
      <c r="PNO59" s="127"/>
      <c r="PNP59" s="121"/>
      <c r="PNQ59" s="5"/>
      <c r="PNR59" s="5"/>
      <c r="PNS59" s="124"/>
      <c r="PNT59" s="121"/>
      <c r="PNU59" s="125"/>
      <c r="PNV59" s="5"/>
      <c r="PNW59" s="117"/>
      <c r="PNX59" s="4"/>
      <c r="PNY59" s="126"/>
      <c r="PNZ59" s="127"/>
      <c r="POA59" s="121"/>
      <c r="POB59" s="5"/>
      <c r="POC59" s="5"/>
      <c r="POD59" s="124"/>
      <c r="POE59" s="121"/>
      <c r="POF59" s="125"/>
      <c r="POG59" s="5"/>
      <c r="POH59" s="117"/>
      <c r="POI59" s="4"/>
      <c r="POJ59" s="126"/>
      <c r="POK59" s="127"/>
      <c r="POL59" s="121"/>
      <c r="POM59" s="5"/>
      <c r="PON59" s="5"/>
      <c r="POO59" s="124"/>
      <c r="POP59" s="121"/>
      <c r="POQ59" s="125"/>
      <c r="POR59" s="5"/>
      <c r="POS59" s="117"/>
      <c r="POT59" s="4"/>
      <c r="POU59" s="126"/>
      <c r="POV59" s="127"/>
      <c r="POW59" s="121"/>
      <c r="POX59" s="5"/>
      <c r="POY59" s="5"/>
      <c r="POZ59" s="124"/>
      <c r="PPA59" s="121"/>
      <c r="PPB59" s="125"/>
      <c r="PPC59" s="5"/>
      <c r="PPD59" s="117"/>
      <c r="PPE59" s="4"/>
      <c r="PPF59" s="126"/>
      <c r="PPG59" s="127"/>
      <c r="PPH59" s="121"/>
      <c r="PPI59" s="5"/>
      <c r="PPJ59" s="5"/>
      <c r="PPK59" s="124"/>
      <c r="PPL59" s="121"/>
      <c r="PPM59" s="125"/>
      <c r="PPN59" s="5"/>
      <c r="PPO59" s="117"/>
      <c r="PPP59" s="4"/>
      <c r="PPQ59" s="126"/>
      <c r="PPR59" s="127"/>
      <c r="PPS59" s="121"/>
      <c r="PPT59" s="5"/>
      <c r="PPU59" s="5"/>
      <c r="PPV59" s="124"/>
      <c r="PPW59" s="121"/>
      <c r="PPX59" s="125"/>
      <c r="PPY59" s="5"/>
      <c r="PPZ59" s="117"/>
      <c r="PQA59" s="4"/>
      <c r="PQB59" s="126"/>
      <c r="PQC59" s="127"/>
      <c r="PQD59" s="121"/>
      <c r="PQE59" s="5"/>
      <c r="PQF59" s="5"/>
      <c r="PQG59" s="124"/>
      <c r="PQH59" s="121"/>
      <c r="PQI59" s="125"/>
      <c r="PQJ59" s="5"/>
      <c r="PQK59" s="117"/>
      <c r="PQL59" s="4"/>
      <c r="PQM59" s="126"/>
      <c r="PQN59" s="127"/>
      <c r="PQO59" s="121"/>
      <c r="PQP59" s="5"/>
      <c r="PQQ59" s="5"/>
      <c r="PQR59" s="124"/>
      <c r="PQS59" s="121"/>
      <c r="PQT59" s="125"/>
      <c r="PQU59" s="5"/>
      <c r="PQV59" s="117"/>
      <c r="PQW59" s="4"/>
      <c r="PQX59" s="126"/>
      <c r="PQY59" s="127"/>
      <c r="PQZ59" s="121"/>
      <c r="PRA59" s="5"/>
      <c r="PRB59" s="5"/>
      <c r="PRC59" s="124"/>
      <c r="PRD59" s="121"/>
      <c r="PRE59" s="125"/>
      <c r="PRF59" s="5"/>
      <c r="PRG59" s="117"/>
      <c r="PRH59" s="4"/>
      <c r="PRI59" s="126"/>
      <c r="PRJ59" s="127"/>
      <c r="PRK59" s="121"/>
      <c r="PRL59" s="5"/>
      <c r="PRM59" s="5"/>
      <c r="PRN59" s="124"/>
      <c r="PRO59" s="121"/>
      <c r="PRP59" s="125"/>
      <c r="PRQ59" s="5"/>
      <c r="PRR59" s="117"/>
      <c r="PRS59" s="4"/>
      <c r="PRT59" s="126"/>
      <c r="PRU59" s="127"/>
      <c r="PRV59" s="121"/>
      <c r="PRW59" s="5"/>
      <c r="PRX59" s="5"/>
      <c r="PRY59" s="124"/>
      <c r="PRZ59" s="121"/>
      <c r="PSA59" s="125"/>
      <c r="PSB59" s="5"/>
      <c r="PSC59" s="117"/>
      <c r="PSD59" s="4"/>
      <c r="PSE59" s="126"/>
      <c r="PSF59" s="127"/>
      <c r="PSG59" s="121"/>
      <c r="PSH59" s="5"/>
      <c r="PSI59" s="5"/>
      <c r="PSJ59" s="124"/>
      <c r="PSK59" s="121"/>
      <c r="PSL59" s="125"/>
      <c r="PSM59" s="5"/>
      <c r="PSN59" s="117"/>
      <c r="PSO59" s="4"/>
      <c r="PSP59" s="126"/>
      <c r="PSQ59" s="127"/>
      <c r="PSR59" s="121"/>
      <c r="PSS59" s="5"/>
      <c r="PST59" s="5"/>
      <c r="PSU59" s="124"/>
      <c r="PSV59" s="121"/>
      <c r="PSW59" s="125"/>
      <c r="PSX59" s="5"/>
      <c r="PSY59" s="117"/>
      <c r="PSZ59" s="4"/>
      <c r="PTA59" s="126"/>
      <c r="PTB59" s="127"/>
      <c r="PTC59" s="121"/>
      <c r="PTD59" s="5"/>
      <c r="PTE59" s="5"/>
      <c r="PTF59" s="124"/>
      <c r="PTG59" s="121"/>
      <c r="PTH59" s="125"/>
      <c r="PTI59" s="5"/>
      <c r="PTJ59" s="117"/>
      <c r="PTK59" s="4"/>
      <c r="PTL59" s="126"/>
      <c r="PTM59" s="127"/>
      <c r="PTN59" s="121"/>
      <c r="PTO59" s="5"/>
      <c r="PTP59" s="5"/>
      <c r="PTQ59" s="124"/>
      <c r="PTR59" s="121"/>
      <c r="PTS59" s="125"/>
      <c r="PTT59" s="5"/>
      <c r="PTU59" s="117"/>
      <c r="PTV59" s="4"/>
      <c r="PTW59" s="126"/>
      <c r="PTX59" s="127"/>
      <c r="PTY59" s="121"/>
      <c r="PTZ59" s="5"/>
      <c r="PUA59" s="5"/>
      <c r="PUB59" s="124"/>
      <c r="PUC59" s="121"/>
      <c r="PUD59" s="125"/>
      <c r="PUE59" s="5"/>
      <c r="PUF59" s="117"/>
      <c r="PUG59" s="4"/>
      <c r="PUH59" s="126"/>
      <c r="PUI59" s="127"/>
      <c r="PUJ59" s="121"/>
      <c r="PUK59" s="5"/>
      <c r="PUL59" s="5"/>
      <c r="PUM59" s="124"/>
      <c r="PUN59" s="121"/>
      <c r="PUO59" s="125"/>
      <c r="PUP59" s="5"/>
      <c r="PUQ59" s="117"/>
      <c r="PUR59" s="4"/>
      <c r="PUS59" s="126"/>
      <c r="PUT59" s="127"/>
      <c r="PUU59" s="121"/>
      <c r="PUV59" s="5"/>
      <c r="PUW59" s="5"/>
      <c r="PUX59" s="124"/>
      <c r="PUY59" s="121"/>
      <c r="PUZ59" s="125"/>
      <c r="PVA59" s="5"/>
      <c r="PVB59" s="117"/>
      <c r="PVC59" s="4"/>
      <c r="PVD59" s="126"/>
      <c r="PVE59" s="127"/>
      <c r="PVF59" s="121"/>
      <c r="PVG59" s="5"/>
      <c r="PVH59" s="5"/>
      <c r="PVI59" s="124"/>
      <c r="PVJ59" s="121"/>
      <c r="PVK59" s="125"/>
      <c r="PVL59" s="5"/>
      <c r="PVM59" s="117"/>
      <c r="PVN59" s="4"/>
      <c r="PVO59" s="126"/>
      <c r="PVP59" s="127"/>
      <c r="PVQ59" s="121"/>
      <c r="PVR59" s="5"/>
      <c r="PVS59" s="5"/>
      <c r="PVT59" s="124"/>
      <c r="PVU59" s="121"/>
      <c r="PVV59" s="125"/>
      <c r="PVW59" s="5"/>
      <c r="PVX59" s="117"/>
      <c r="PVY59" s="4"/>
      <c r="PVZ59" s="126"/>
      <c r="PWA59" s="127"/>
      <c r="PWB59" s="121"/>
      <c r="PWC59" s="5"/>
      <c r="PWD59" s="5"/>
      <c r="PWE59" s="124"/>
      <c r="PWF59" s="121"/>
      <c r="PWG59" s="125"/>
      <c r="PWH59" s="5"/>
      <c r="PWI59" s="117"/>
      <c r="PWJ59" s="4"/>
      <c r="PWK59" s="126"/>
      <c r="PWL59" s="127"/>
      <c r="PWM59" s="121"/>
      <c r="PWN59" s="5"/>
      <c r="PWO59" s="5"/>
      <c r="PWP59" s="124"/>
      <c r="PWQ59" s="121"/>
      <c r="PWR59" s="125"/>
      <c r="PWS59" s="5"/>
      <c r="PWT59" s="117"/>
      <c r="PWU59" s="4"/>
      <c r="PWV59" s="126"/>
      <c r="PWW59" s="127"/>
      <c r="PWX59" s="121"/>
      <c r="PWY59" s="5"/>
      <c r="PWZ59" s="5"/>
      <c r="PXA59" s="124"/>
      <c r="PXB59" s="121"/>
      <c r="PXC59" s="125"/>
      <c r="PXD59" s="5"/>
      <c r="PXE59" s="117"/>
      <c r="PXF59" s="4"/>
      <c r="PXG59" s="126"/>
      <c r="PXH59" s="127"/>
      <c r="PXI59" s="121"/>
      <c r="PXJ59" s="5"/>
      <c r="PXK59" s="5"/>
      <c r="PXL59" s="124"/>
      <c r="PXM59" s="121"/>
      <c r="PXN59" s="125"/>
      <c r="PXO59" s="5"/>
      <c r="PXP59" s="117"/>
      <c r="PXQ59" s="4"/>
      <c r="PXR59" s="126"/>
      <c r="PXS59" s="127"/>
      <c r="PXT59" s="121"/>
      <c r="PXU59" s="5"/>
      <c r="PXV59" s="5"/>
      <c r="PXW59" s="124"/>
      <c r="PXX59" s="121"/>
      <c r="PXY59" s="125"/>
      <c r="PXZ59" s="5"/>
      <c r="PYA59" s="117"/>
      <c r="PYB59" s="4"/>
      <c r="PYC59" s="126"/>
      <c r="PYD59" s="127"/>
      <c r="PYE59" s="121"/>
      <c r="PYF59" s="5"/>
      <c r="PYG59" s="5"/>
      <c r="PYH59" s="124"/>
      <c r="PYI59" s="121"/>
      <c r="PYJ59" s="125"/>
      <c r="PYK59" s="5"/>
      <c r="PYL59" s="117"/>
      <c r="PYM59" s="4"/>
      <c r="PYN59" s="126"/>
      <c r="PYO59" s="127"/>
      <c r="PYP59" s="121"/>
      <c r="PYQ59" s="5"/>
      <c r="PYR59" s="5"/>
      <c r="PYS59" s="124"/>
      <c r="PYT59" s="121"/>
      <c r="PYU59" s="125"/>
      <c r="PYV59" s="5"/>
      <c r="PYW59" s="117"/>
      <c r="PYX59" s="4"/>
      <c r="PYY59" s="126"/>
      <c r="PYZ59" s="127"/>
      <c r="PZA59" s="121"/>
      <c r="PZB59" s="5"/>
      <c r="PZC59" s="5"/>
      <c r="PZD59" s="124"/>
      <c r="PZE59" s="121"/>
      <c r="PZF59" s="125"/>
      <c r="PZG59" s="5"/>
      <c r="PZH59" s="117"/>
      <c r="PZI59" s="4"/>
      <c r="PZJ59" s="126"/>
      <c r="PZK59" s="127"/>
      <c r="PZL59" s="121"/>
      <c r="PZM59" s="5"/>
      <c r="PZN59" s="5"/>
      <c r="PZO59" s="124"/>
      <c r="PZP59" s="121"/>
      <c r="PZQ59" s="125"/>
      <c r="PZR59" s="5"/>
      <c r="PZS59" s="117"/>
      <c r="PZT59" s="4"/>
      <c r="PZU59" s="126"/>
      <c r="PZV59" s="127"/>
      <c r="PZW59" s="121"/>
      <c r="PZX59" s="5"/>
      <c r="PZY59" s="5"/>
      <c r="PZZ59" s="124"/>
      <c r="QAA59" s="121"/>
      <c r="QAB59" s="125"/>
      <c r="QAC59" s="5"/>
      <c r="QAD59" s="117"/>
      <c r="QAE59" s="4"/>
      <c r="QAF59" s="126"/>
      <c r="QAG59" s="127"/>
      <c r="QAH59" s="121"/>
      <c r="QAI59" s="5"/>
      <c r="QAJ59" s="5"/>
      <c r="QAK59" s="124"/>
      <c r="QAL59" s="121"/>
      <c r="QAM59" s="125"/>
      <c r="QAN59" s="5"/>
      <c r="QAO59" s="117"/>
      <c r="QAP59" s="4"/>
      <c r="QAQ59" s="126"/>
      <c r="QAR59" s="127"/>
      <c r="QAS59" s="121"/>
      <c r="QAT59" s="5"/>
      <c r="QAU59" s="5"/>
      <c r="QAV59" s="124"/>
      <c r="QAW59" s="121"/>
      <c r="QAX59" s="125"/>
      <c r="QAY59" s="5"/>
      <c r="QAZ59" s="117"/>
      <c r="QBA59" s="4"/>
      <c r="QBB59" s="126"/>
      <c r="QBC59" s="127"/>
      <c r="QBD59" s="121"/>
      <c r="QBE59" s="5"/>
      <c r="QBF59" s="5"/>
      <c r="QBG59" s="124"/>
      <c r="QBH59" s="121"/>
      <c r="QBI59" s="125"/>
      <c r="QBJ59" s="5"/>
      <c r="QBK59" s="117"/>
      <c r="QBL59" s="4"/>
      <c r="QBM59" s="126"/>
      <c r="QBN59" s="127"/>
      <c r="QBO59" s="121"/>
      <c r="QBP59" s="5"/>
      <c r="QBQ59" s="5"/>
      <c r="QBR59" s="124"/>
      <c r="QBS59" s="121"/>
      <c r="QBT59" s="125"/>
      <c r="QBU59" s="5"/>
      <c r="QBV59" s="117"/>
      <c r="QBW59" s="4"/>
      <c r="QBX59" s="126"/>
      <c r="QBY59" s="127"/>
      <c r="QBZ59" s="121"/>
      <c r="QCA59" s="5"/>
      <c r="QCB59" s="5"/>
      <c r="QCC59" s="124"/>
      <c r="QCD59" s="121"/>
      <c r="QCE59" s="125"/>
      <c r="QCF59" s="5"/>
      <c r="QCG59" s="117"/>
      <c r="QCH59" s="4"/>
      <c r="QCI59" s="126"/>
      <c r="QCJ59" s="127"/>
      <c r="QCK59" s="121"/>
      <c r="QCL59" s="5"/>
      <c r="QCM59" s="5"/>
      <c r="QCN59" s="124"/>
      <c r="QCO59" s="121"/>
      <c r="QCP59" s="125"/>
      <c r="QCQ59" s="5"/>
      <c r="QCR59" s="117"/>
      <c r="QCS59" s="4"/>
      <c r="QCT59" s="126"/>
      <c r="QCU59" s="127"/>
      <c r="QCV59" s="121"/>
      <c r="QCW59" s="5"/>
      <c r="QCX59" s="5"/>
      <c r="QCY59" s="124"/>
      <c r="QCZ59" s="121"/>
      <c r="QDA59" s="125"/>
      <c r="QDB59" s="5"/>
      <c r="QDC59" s="117"/>
      <c r="QDD59" s="4"/>
      <c r="QDE59" s="126"/>
      <c r="QDF59" s="127"/>
      <c r="QDG59" s="121"/>
      <c r="QDH59" s="5"/>
      <c r="QDI59" s="5"/>
      <c r="QDJ59" s="124"/>
      <c r="QDK59" s="121"/>
      <c r="QDL59" s="125"/>
      <c r="QDM59" s="5"/>
      <c r="QDN59" s="117"/>
      <c r="QDO59" s="4"/>
      <c r="QDP59" s="126"/>
      <c r="QDQ59" s="127"/>
      <c r="QDR59" s="121"/>
      <c r="QDS59" s="5"/>
      <c r="QDT59" s="5"/>
      <c r="QDU59" s="124"/>
      <c r="QDV59" s="121"/>
      <c r="QDW59" s="125"/>
      <c r="QDX59" s="5"/>
      <c r="QDY59" s="117"/>
      <c r="QDZ59" s="4"/>
      <c r="QEA59" s="126"/>
      <c r="QEB59" s="127"/>
      <c r="QEC59" s="121"/>
      <c r="QED59" s="5"/>
      <c r="QEE59" s="5"/>
      <c r="QEF59" s="124"/>
      <c r="QEG59" s="121"/>
      <c r="QEH59" s="125"/>
      <c r="QEI59" s="5"/>
      <c r="QEJ59" s="117"/>
      <c r="QEK59" s="4"/>
      <c r="QEL59" s="126"/>
      <c r="QEM59" s="127"/>
      <c r="QEN59" s="121"/>
      <c r="QEO59" s="5"/>
      <c r="QEP59" s="5"/>
      <c r="QEQ59" s="124"/>
      <c r="QER59" s="121"/>
      <c r="QES59" s="125"/>
      <c r="QET59" s="5"/>
      <c r="QEU59" s="117"/>
      <c r="QEV59" s="4"/>
      <c r="QEW59" s="126"/>
      <c r="QEX59" s="127"/>
      <c r="QEY59" s="121"/>
      <c r="QEZ59" s="5"/>
      <c r="QFA59" s="5"/>
      <c r="QFB59" s="124"/>
      <c r="QFC59" s="121"/>
      <c r="QFD59" s="125"/>
      <c r="QFE59" s="5"/>
      <c r="QFF59" s="117"/>
      <c r="QFG59" s="4"/>
      <c r="QFH59" s="126"/>
      <c r="QFI59" s="127"/>
      <c r="QFJ59" s="121"/>
      <c r="QFK59" s="5"/>
      <c r="QFL59" s="5"/>
      <c r="QFM59" s="124"/>
      <c r="QFN59" s="121"/>
      <c r="QFO59" s="125"/>
      <c r="QFP59" s="5"/>
      <c r="QFQ59" s="117"/>
      <c r="QFR59" s="4"/>
      <c r="QFS59" s="126"/>
      <c r="QFT59" s="127"/>
      <c r="QFU59" s="121"/>
      <c r="QFV59" s="5"/>
      <c r="QFW59" s="5"/>
      <c r="QFX59" s="124"/>
      <c r="QFY59" s="121"/>
      <c r="QFZ59" s="125"/>
      <c r="QGA59" s="5"/>
      <c r="QGB59" s="117"/>
      <c r="QGC59" s="4"/>
      <c r="QGD59" s="126"/>
      <c r="QGE59" s="127"/>
      <c r="QGF59" s="121"/>
      <c r="QGG59" s="5"/>
      <c r="QGH59" s="5"/>
      <c r="QGI59" s="124"/>
      <c r="QGJ59" s="121"/>
      <c r="QGK59" s="125"/>
      <c r="QGL59" s="5"/>
      <c r="QGM59" s="117"/>
      <c r="QGN59" s="4"/>
      <c r="QGO59" s="126"/>
      <c r="QGP59" s="127"/>
      <c r="QGQ59" s="121"/>
      <c r="QGR59" s="5"/>
      <c r="QGS59" s="5"/>
      <c r="QGT59" s="124"/>
      <c r="QGU59" s="121"/>
      <c r="QGV59" s="125"/>
      <c r="QGW59" s="5"/>
      <c r="QGX59" s="117"/>
      <c r="QGY59" s="4"/>
      <c r="QGZ59" s="126"/>
      <c r="QHA59" s="127"/>
      <c r="QHB59" s="121"/>
      <c r="QHC59" s="5"/>
      <c r="QHD59" s="5"/>
      <c r="QHE59" s="124"/>
      <c r="QHF59" s="121"/>
      <c r="QHG59" s="125"/>
      <c r="QHH59" s="5"/>
      <c r="QHI59" s="117"/>
      <c r="QHJ59" s="4"/>
      <c r="QHK59" s="126"/>
      <c r="QHL59" s="127"/>
      <c r="QHM59" s="121"/>
      <c r="QHN59" s="5"/>
      <c r="QHO59" s="5"/>
      <c r="QHP59" s="124"/>
      <c r="QHQ59" s="121"/>
      <c r="QHR59" s="125"/>
      <c r="QHS59" s="5"/>
      <c r="QHT59" s="117"/>
      <c r="QHU59" s="4"/>
      <c r="QHV59" s="126"/>
      <c r="QHW59" s="127"/>
      <c r="QHX59" s="121"/>
      <c r="QHY59" s="5"/>
      <c r="QHZ59" s="5"/>
      <c r="QIA59" s="124"/>
      <c r="QIB59" s="121"/>
      <c r="QIC59" s="125"/>
      <c r="QID59" s="5"/>
      <c r="QIE59" s="117"/>
      <c r="QIF59" s="4"/>
      <c r="QIG59" s="126"/>
      <c r="QIH59" s="127"/>
      <c r="QII59" s="121"/>
      <c r="QIJ59" s="5"/>
      <c r="QIK59" s="5"/>
      <c r="QIL59" s="124"/>
      <c r="QIM59" s="121"/>
      <c r="QIN59" s="125"/>
      <c r="QIO59" s="5"/>
      <c r="QIP59" s="117"/>
      <c r="QIQ59" s="4"/>
      <c r="QIR59" s="126"/>
      <c r="QIS59" s="127"/>
      <c r="QIT59" s="121"/>
      <c r="QIU59" s="5"/>
      <c r="QIV59" s="5"/>
      <c r="QIW59" s="124"/>
      <c r="QIX59" s="121"/>
      <c r="QIY59" s="125"/>
      <c r="QIZ59" s="5"/>
      <c r="QJA59" s="117"/>
      <c r="QJB59" s="4"/>
      <c r="QJC59" s="126"/>
      <c r="QJD59" s="127"/>
      <c r="QJE59" s="121"/>
      <c r="QJF59" s="5"/>
      <c r="QJG59" s="5"/>
      <c r="QJH59" s="124"/>
      <c r="QJI59" s="121"/>
      <c r="QJJ59" s="125"/>
      <c r="QJK59" s="5"/>
      <c r="QJL59" s="117"/>
      <c r="QJM59" s="4"/>
      <c r="QJN59" s="126"/>
      <c r="QJO59" s="127"/>
      <c r="QJP59" s="121"/>
      <c r="QJQ59" s="5"/>
      <c r="QJR59" s="5"/>
      <c r="QJS59" s="124"/>
      <c r="QJT59" s="121"/>
      <c r="QJU59" s="125"/>
      <c r="QJV59" s="5"/>
      <c r="QJW59" s="117"/>
      <c r="QJX59" s="4"/>
      <c r="QJY59" s="126"/>
      <c r="QJZ59" s="127"/>
      <c r="QKA59" s="121"/>
      <c r="QKB59" s="5"/>
      <c r="QKC59" s="5"/>
      <c r="QKD59" s="124"/>
      <c r="QKE59" s="121"/>
      <c r="QKF59" s="125"/>
      <c r="QKG59" s="5"/>
      <c r="QKH59" s="117"/>
      <c r="QKI59" s="4"/>
      <c r="QKJ59" s="126"/>
      <c r="QKK59" s="127"/>
      <c r="QKL59" s="121"/>
      <c r="QKM59" s="5"/>
      <c r="QKN59" s="5"/>
      <c r="QKO59" s="124"/>
      <c r="QKP59" s="121"/>
      <c r="QKQ59" s="125"/>
      <c r="QKR59" s="5"/>
      <c r="QKS59" s="117"/>
      <c r="QKT59" s="4"/>
      <c r="QKU59" s="126"/>
      <c r="QKV59" s="127"/>
      <c r="QKW59" s="121"/>
      <c r="QKX59" s="5"/>
      <c r="QKY59" s="5"/>
      <c r="QKZ59" s="124"/>
      <c r="QLA59" s="121"/>
      <c r="QLB59" s="125"/>
      <c r="QLC59" s="5"/>
      <c r="QLD59" s="117"/>
      <c r="QLE59" s="4"/>
      <c r="QLF59" s="126"/>
      <c r="QLG59" s="127"/>
      <c r="QLH59" s="121"/>
      <c r="QLI59" s="5"/>
      <c r="QLJ59" s="5"/>
      <c r="QLK59" s="124"/>
      <c r="QLL59" s="121"/>
      <c r="QLM59" s="125"/>
      <c r="QLN59" s="5"/>
      <c r="QLO59" s="117"/>
      <c r="QLP59" s="4"/>
      <c r="QLQ59" s="126"/>
      <c r="QLR59" s="127"/>
      <c r="QLS59" s="121"/>
      <c r="QLT59" s="5"/>
      <c r="QLU59" s="5"/>
      <c r="QLV59" s="124"/>
      <c r="QLW59" s="121"/>
      <c r="QLX59" s="125"/>
      <c r="QLY59" s="5"/>
      <c r="QLZ59" s="117"/>
      <c r="QMA59" s="4"/>
      <c r="QMB59" s="126"/>
      <c r="QMC59" s="127"/>
      <c r="QMD59" s="121"/>
      <c r="QME59" s="5"/>
      <c r="QMF59" s="5"/>
      <c r="QMG59" s="124"/>
      <c r="QMH59" s="121"/>
      <c r="QMI59" s="125"/>
      <c r="QMJ59" s="5"/>
      <c r="QMK59" s="117"/>
      <c r="QML59" s="4"/>
      <c r="QMM59" s="126"/>
      <c r="QMN59" s="127"/>
      <c r="QMO59" s="121"/>
      <c r="QMP59" s="5"/>
      <c r="QMQ59" s="5"/>
      <c r="QMR59" s="124"/>
      <c r="QMS59" s="121"/>
      <c r="QMT59" s="125"/>
      <c r="QMU59" s="5"/>
      <c r="QMV59" s="117"/>
      <c r="QMW59" s="4"/>
      <c r="QMX59" s="126"/>
      <c r="QMY59" s="127"/>
      <c r="QMZ59" s="121"/>
      <c r="QNA59" s="5"/>
      <c r="QNB59" s="5"/>
      <c r="QNC59" s="124"/>
      <c r="QND59" s="121"/>
      <c r="QNE59" s="125"/>
      <c r="QNF59" s="5"/>
      <c r="QNG59" s="117"/>
      <c r="QNH59" s="4"/>
      <c r="QNI59" s="126"/>
      <c r="QNJ59" s="127"/>
      <c r="QNK59" s="121"/>
      <c r="QNL59" s="5"/>
      <c r="QNM59" s="5"/>
      <c r="QNN59" s="124"/>
      <c r="QNO59" s="121"/>
      <c r="QNP59" s="125"/>
      <c r="QNQ59" s="5"/>
      <c r="QNR59" s="117"/>
      <c r="QNS59" s="4"/>
      <c r="QNT59" s="126"/>
      <c r="QNU59" s="127"/>
      <c r="QNV59" s="121"/>
      <c r="QNW59" s="5"/>
      <c r="QNX59" s="5"/>
      <c r="QNY59" s="124"/>
      <c r="QNZ59" s="121"/>
      <c r="QOA59" s="125"/>
      <c r="QOB59" s="5"/>
      <c r="QOC59" s="117"/>
      <c r="QOD59" s="4"/>
      <c r="QOE59" s="126"/>
      <c r="QOF59" s="127"/>
      <c r="QOG59" s="121"/>
      <c r="QOH59" s="5"/>
      <c r="QOI59" s="5"/>
      <c r="QOJ59" s="124"/>
      <c r="QOK59" s="121"/>
      <c r="QOL59" s="125"/>
      <c r="QOM59" s="5"/>
      <c r="QON59" s="117"/>
      <c r="QOO59" s="4"/>
      <c r="QOP59" s="126"/>
      <c r="QOQ59" s="127"/>
      <c r="QOR59" s="121"/>
      <c r="QOS59" s="5"/>
      <c r="QOT59" s="5"/>
      <c r="QOU59" s="124"/>
      <c r="QOV59" s="121"/>
      <c r="QOW59" s="125"/>
      <c r="QOX59" s="5"/>
      <c r="QOY59" s="117"/>
      <c r="QOZ59" s="4"/>
      <c r="QPA59" s="126"/>
      <c r="QPB59" s="127"/>
      <c r="QPC59" s="121"/>
      <c r="QPD59" s="5"/>
      <c r="QPE59" s="5"/>
      <c r="QPF59" s="124"/>
      <c r="QPG59" s="121"/>
      <c r="QPH59" s="125"/>
      <c r="QPI59" s="5"/>
      <c r="QPJ59" s="117"/>
      <c r="QPK59" s="4"/>
      <c r="QPL59" s="126"/>
      <c r="QPM59" s="127"/>
      <c r="QPN59" s="121"/>
      <c r="QPO59" s="5"/>
      <c r="QPP59" s="5"/>
      <c r="QPQ59" s="124"/>
      <c r="QPR59" s="121"/>
      <c r="QPS59" s="125"/>
      <c r="QPT59" s="5"/>
      <c r="QPU59" s="117"/>
      <c r="QPV59" s="4"/>
      <c r="QPW59" s="126"/>
      <c r="QPX59" s="127"/>
      <c r="QPY59" s="121"/>
      <c r="QPZ59" s="5"/>
      <c r="QQA59" s="5"/>
      <c r="QQB59" s="124"/>
      <c r="QQC59" s="121"/>
      <c r="QQD59" s="125"/>
      <c r="QQE59" s="5"/>
      <c r="QQF59" s="117"/>
      <c r="QQG59" s="4"/>
      <c r="QQH59" s="126"/>
      <c r="QQI59" s="127"/>
      <c r="QQJ59" s="121"/>
      <c r="QQK59" s="5"/>
      <c r="QQL59" s="5"/>
      <c r="QQM59" s="124"/>
      <c r="QQN59" s="121"/>
      <c r="QQO59" s="125"/>
      <c r="QQP59" s="5"/>
      <c r="QQQ59" s="117"/>
      <c r="QQR59" s="4"/>
      <c r="QQS59" s="126"/>
      <c r="QQT59" s="127"/>
      <c r="QQU59" s="121"/>
      <c r="QQV59" s="5"/>
      <c r="QQW59" s="5"/>
      <c r="QQX59" s="124"/>
      <c r="QQY59" s="121"/>
      <c r="QQZ59" s="125"/>
      <c r="QRA59" s="5"/>
      <c r="QRB59" s="117"/>
      <c r="QRC59" s="4"/>
      <c r="QRD59" s="126"/>
      <c r="QRE59" s="127"/>
      <c r="QRF59" s="121"/>
      <c r="QRG59" s="5"/>
      <c r="QRH59" s="5"/>
      <c r="QRI59" s="124"/>
      <c r="QRJ59" s="121"/>
      <c r="QRK59" s="125"/>
      <c r="QRL59" s="5"/>
      <c r="QRM59" s="117"/>
      <c r="QRN59" s="4"/>
      <c r="QRO59" s="126"/>
      <c r="QRP59" s="127"/>
      <c r="QRQ59" s="121"/>
      <c r="QRR59" s="5"/>
      <c r="QRS59" s="5"/>
      <c r="QRT59" s="124"/>
      <c r="QRU59" s="121"/>
      <c r="QRV59" s="125"/>
      <c r="QRW59" s="5"/>
      <c r="QRX59" s="117"/>
      <c r="QRY59" s="4"/>
      <c r="QRZ59" s="126"/>
      <c r="QSA59" s="127"/>
      <c r="QSB59" s="121"/>
      <c r="QSC59" s="5"/>
      <c r="QSD59" s="5"/>
      <c r="QSE59" s="124"/>
      <c r="QSF59" s="121"/>
      <c r="QSG59" s="125"/>
      <c r="QSH59" s="5"/>
      <c r="QSI59" s="117"/>
      <c r="QSJ59" s="4"/>
      <c r="QSK59" s="126"/>
      <c r="QSL59" s="127"/>
      <c r="QSM59" s="121"/>
      <c r="QSN59" s="5"/>
      <c r="QSO59" s="5"/>
      <c r="QSP59" s="124"/>
      <c r="QSQ59" s="121"/>
      <c r="QSR59" s="125"/>
      <c r="QSS59" s="5"/>
      <c r="QST59" s="117"/>
      <c r="QSU59" s="4"/>
      <c r="QSV59" s="126"/>
      <c r="QSW59" s="127"/>
      <c r="QSX59" s="121"/>
      <c r="QSY59" s="5"/>
      <c r="QSZ59" s="5"/>
      <c r="QTA59" s="124"/>
      <c r="QTB59" s="121"/>
      <c r="QTC59" s="125"/>
      <c r="QTD59" s="5"/>
      <c r="QTE59" s="117"/>
      <c r="QTF59" s="4"/>
      <c r="QTG59" s="126"/>
      <c r="QTH59" s="127"/>
      <c r="QTI59" s="121"/>
      <c r="QTJ59" s="5"/>
      <c r="QTK59" s="5"/>
      <c r="QTL59" s="124"/>
      <c r="QTM59" s="121"/>
      <c r="QTN59" s="125"/>
      <c r="QTO59" s="5"/>
      <c r="QTP59" s="117"/>
      <c r="QTQ59" s="4"/>
      <c r="QTR59" s="126"/>
      <c r="QTS59" s="127"/>
      <c r="QTT59" s="121"/>
      <c r="QTU59" s="5"/>
      <c r="QTV59" s="5"/>
      <c r="QTW59" s="124"/>
      <c r="QTX59" s="121"/>
      <c r="QTY59" s="125"/>
      <c r="QTZ59" s="5"/>
      <c r="QUA59" s="117"/>
      <c r="QUB59" s="4"/>
      <c r="QUC59" s="126"/>
      <c r="QUD59" s="127"/>
      <c r="QUE59" s="121"/>
      <c r="QUF59" s="5"/>
      <c r="QUG59" s="5"/>
      <c r="QUH59" s="124"/>
      <c r="QUI59" s="121"/>
      <c r="QUJ59" s="125"/>
      <c r="QUK59" s="5"/>
      <c r="QUL59" s="117"/>
      <c r="QUM59" s="4"/>
      <c r="QUN59" s="126"/>
      <c r="QUO59" s="127"/>
      <c r="QUP59" s="121"/>
      <c r="QUQ59" s="5"/>
      <c r="QUR59" s="5"/>
      <c r="QUS59" s="124"/>
      <c r="QUT59" s="121"/>
      <c r="QUU59" s="125"/>
      <c r="QUV59" s="5"/>
      <c r="QUW59" s="117"/>
      <c r="QUX59" s="4"/>
      <c r="QUY59" s="126"/>
      <c r="QUZ59" s="127"/>
      <c r="QVA59" s="121"/>
      <c r="QVB59" s="5"/>
      <c r="QVC59" s="5"/>
      <c r="QVD59" s="124"/>
      <c r="QVE59" s="121"/>
      <c r="QVF59" s="125"/>
      <c r="QVG59" s="5"/>
      <c r="QVH59" s="117"/>
      <c r="QVI59" s="4"/>
      <c r="QVJ59" s="126"/>
      <c r="QVK59" s="127"/>
      <c r="QVL59" s="121"/>
      <c r="QVM59" s="5"/>
      <c r="QVN59" s="5"/>
      <c r="QVO59" s="124"/>
      <c r="QVP59" s="121"/>
      <c r="QVQ59" s="125"/>
      <c r="QVR59" s="5"/>
      <c r="QVS59" s="117"/>
      <c r="QVT59" s="4"/>
      <c r="QVU59" s="126"/>
      <c r="QVV59" s="127"/>
      <c r="QVW59" s="121"/>
      <c r="QVX59" s="5"/>
      <c r="QVY59" s="5"/>
      <c r="QVZ59" s="124"/>
      <c r="QWA59" s="121"/>
      <c r="QWB59" s="125"/>
      <c r="QWC59" s="5"/>
      <c r="QWD59" s="117"/>
      <c r="QWE59" s="4"/>
      <c r="QWF59" s="126"/>
      <c r="QWG59" s="127"/>
      <c r="QWH59" s="121"/>
      <c r="QWI59" s="5"/>
      <c r="QWJ59" s="5"/>
      <c r="QWK59" s="124"/>
      <c r="QWL59" s="121"/>
      <c r="QWM59" s="125"/>
      <c r="QWN59" s="5"/>
      <c r="QWO59" s="117"/>
      <c r="QWP59" s="4"/>
      <c r="QWQ59" s="126"/>
      <c r="QWR59" s="127"/>
      <c r="QWS59" s="121"/>
      <c r="QWT59" s="5"/>
      <c r="QWU59" s="5"/>
      <c r="QWV59" s="124"/>
      <c r="QWW59" s="121"/>
      <c r="QWX59" s="125"/>
      <c r="QWY59" s="5"/>
      <c r="QWZ59" s="117"/>
      <c r="QXA59" s="4"/>
      <c r="QXB59" s="126"/>
      <c r="QXC59" s="127"/>
      <c r="QXD59" s="121"/>
      <c r="QXE59" s="5"/>
      <c r="QXF59" s="5"/>
      <c r="QXG59" s="124"/>
      <c r="QXH59" s="121"/>
      <c r="QXI59" s="125"/>
      <c r="QXJ59" s="5"/>
      <c r="QXK59" s="117"/>
      <c r="QXL59" s="4"/>
      <c r="QXM59" s="126"/>
      <c r="QXN59" s="127"/>
      <c r="QXO59" s="121"/>
      <c r="QXP59" s="5"/>
      <c r="QXQ59" s="5"/>
      <c r="QXR59" s="124"/>
      <c r="QXS59" s="121"/>
      <c r="QXT59" s="125"/>
      <c r="QXU59" s="5"/>
      <c r="QXV59" s="117"/>
      <c r="QXW59" s="4"/>
      <c r="QXX59" s="126"/>
      <c r="QXY59" s="127"/>
      <c r="QXZ59" s="121"/>
      <c r="QYA59" s="5"/>
      <c r="QYB59" s="5"/>
      <c r="QYC59" s="124"/>
      <c r="QYD59" s="121"/>
      <c r="QYE59" s="125"/>
      <c r="QYF59" s="5"/>
      <c r="QYG59" s="117"/>
      <c r="QYH59" s="4"/>
      <c r="QYI59" s="126"/>
      <c r="QYJ59" s="127"/>
      <c r="QYK59" s="121"/>
      <c r="QYL59" s="5"/>
      <c r="QYM59" s="5"/>
      <c r="QYN59" s="124"/>
      <c r="QYO59" s="121"/>
      <c r="QYP59" s="125"/>
      <c r="QYQ59" s="5"/>
      <c r="QYR59" s="117"/>
      <c r="QYS59" s="4"/>
      <c r="QYT59" s="126"/>
      <c r="QYU59" s="127"/>
      <c r="QYV59" s="121"/>
      <c r="QYW59" s="5"/>
      <c r="QYX59" s="5"/>
      <c r="QYY59" s="124"/>
      <c r="QYZ59" s="121"/>
      <c r="QZA59" s="125"/>
      <c r="QZB59" s="5"/>
      <c r="QZC59" s="117"/>
      <c r="QZD59" s="4"/>
      <c r="QZE59" s="126"/>
      <c r="QZF59" s="127"/>
      <c r="QZG59" s="121"/>
      <c r="QZH59" s="5"/>
      <c r="QZI59" s="5"/>
      <c r="QZJ59" s="124"/>
      <c r="QZK59" s="121"/>
      <c r="QZL59" s="125"/>
      <c r="QZM59" s="5"/>
      <c r="QZN59" s="117"/>
      <c r="QZO59" s="4"/>
      <c r="QZP59" s="126"/>
      <c r="QZQ59" s="127"/>
      <c r="QZR59" s="121"/>
      <c r="QZS59" s="5"/>
      <c r="QZT59" s="5"/>
      <c r="QZU59" s="124"/>
      <c r="QZV59" s="121"/>
      <c r="QZW59" s="125"/>
      <c r="QZX59" s="5"/>
      <c r="QZY59" s="117"/>
      <c r="QZZ59" s="4"/>
      <c r="RAA59" s="126"/>
      <c r="RAB59" s="127"/>
      <c r="RAC59" s="121"/>
      <c r="RAD59" s="5"/>
      <c r="RAE59" s="5"/>
      <c r="RAF59" s="124"/>
      <c r="RAG59" s="121"/>
      <c r="RAH59" s="125"/>
      <c r="RAI59" s="5"/>
      <c r="RAJ59" s="117"/>
      <c r="RAK59" s="4"/>
      <c r="RAL59" s="126"/>
      <c r="RAM59" s="127"/>
      <c r="RAN59" s="121"/>
      <c r="RAO59" s="5"/>
      <c r="RAP59" s="5"/>
      <c r="RAQ59" s="124"/>
      <c r="RAR59" s="121"/>
      <c r="RAS59" s="125"/>
      <c r="RAT59" s="5"/>
      <c r="RAU59" s="117"/>
      <c r="RAV59" s="4"/>
      <c r="RAW59" s="126"/>
      <c r="RAX59" s="127"/>
      <c r="RAY59" s="121"/>
      <c r="RAZ59" s="5"/>
      <c r="RBA59" s="5"/>
      <c r="RBB59" s="124"/>
      <c r="RBC59" s="121"/>
      <c r="RBD59" s="125"/>
      <c r="RBE59" s="5"/>
      <c r="RBF59" s="117"/>
      <c r="RBG59" s="4"/>
      <c r="RBH59" s="126"/>
      <c r="RBI59" s="127"/>
      <c r="RBJ59" s="121"/>
      <c r="RBK59" s="5"/>
      <c r="RBL59" s="5"/>
      <c r="RBM59" s="124"/>
      <c r="RBN59" s="121"/>
      <c r="RBO59" s="125"/>
      <c r="RBP59" s="5"/>
      <c r="RBQ59" s="117"/>
      <c r="RBR59" s="4"/>
      <c r="RBS59" s="126"/>
      <c r="RBT59" s="127"/>
      <c r="RBU59" s="121"/>
      <c r="RBV59" s="5"/>
      <c r="RBW59" s="5"/>
      <c r="RBX59" s="124"/>
      <c r="RBY59" s="121"/>
      <c r="RBZ59" s="125"/>
      <c r="RCA59" s="5"/>
      <c r="RCB59" s="117"/>
      <c r="RCC59" s="4"/>
      <c r="RCD59" s="126"/>
      <c r="RCE59" s="127"/>
      <c r="RCF59" s="121"/>
      <c r="RCG59" s="5"/>
      <c r="RCH59" s="5"/>
      <c r="RCI59" s="124"/>
      <c r="RCJ59" s="121"/>
      <c r="RCK59" s="125"/>
      <c r="RCL59" s="5"/>
      <c r="RCM59" s="117"/>
      <c r="RCN59" s="4"/>
      <c r="RCO59" s="126"/>
      <c r="RCP59" s="127"/>
      <c r="RCQ59" s="121"/>
      <c r="RCR59" s="5"/>
      <c r="RCS59" s="5"/>
      <c r="RCT59" s="124"/>
      <c r="RCU59" s="121"/>
      <c r="RCV59" s="125"/>
      <c r="RCW59" s="5"/>
      <c r="RCX59" s="117"/>
      <c r="RCY59" s="4"/>
      <c r="RCZ59" s="126"/>
      <c r="RDA59" s="127"/>
      <c r="RDB59" s="121"/>
      <c r="RDC59" s="5"/>
      <c r="RDD59" s="5"/>
      <c r="RDE59" s="124"/>
      <c r="RDF59" s="121"/>
      <c r="RDG59" s="125"/>
      <c r="RDH59" s="5"/>
      <c r="RDI59" s="117"/>
      <c r="RDJ59" s="4"/>
      <c r="RDK59" s="126"/>
      <c r="RDL59" s="127"/>
      <c r="RDM59" s="121"/>
      <c r="RDN59" s="5"/>
      <c r="RDO59" s="5"/>
      <c r="RDP59" s="124"/>
      <c r="RDQ59" s="121"/>
      <c r="RDR59" s="125"/>
      <c r="RDS59" s="5"/>
      <c r="RDT59" s="117"/>
      <c r="RDU59" s="4"/>
      <c r="RDV59" s="126"/>
      <c r="RDW59" s="127"/>
      <c r="RDX59" s="121"/>
      <c r="RDY59" s="5"/>
      <c r="RDZ59" s="5"/>
      <c r="REA59" s="124"/>
      <c r="REB59" s="121"/>
      <c r="REC59" s="125"/>
      <c r="RED59" s="5"/>
      <c r="REE59" s="117"/>
      <c r="REF59" s="4"/>
      <c r="REG59" s="126"/>
      <c r="REH59" s="127"/>
      <c r="REI59" s="121"/>
      <c r="REJ59" s="5"/>
      <c r="REK59" s="5"/>
      <c r="REL59" s="124"/>
      <c r="REM59" s="121"/>
      <c r="REN59" s="125"/>
      <c r="REO59" s="5"/>
      <c r="REP59" s="117"/>
      <c r="REQ59" s="4"/>
      <c r="RER59" s="126"/>
      <c r="RES59" s="127"/>
      <c r="RET59" s="121"/>
      <c r="REU59" s="5"/>
      <c r="REV59" s="5"/>
      <c r="REW59" s="124"/>
      <c r="REX59" s="121"/>
      <c r="REY59" s="125"/>
      <c r="REZ59" s="5"/>
      <c r="RFA59" s="117"/>
      <c r="RFB59" s="4"/>
      <c r="RFC59" s="126"/>
      <c r="RFD59" s="127"/>
      <c r="RFE59" s="121"/>
      <c r="RFF59" s="5"/>
      <c r="RFG59" s="5"/>
      <c r="RFH59" s="124"/>
      <c r="RFI59" s="121"/>
      <c r="RFJ59" s="125"/>
      <c r="RFK59" s="5"/>
      <c r="RFL59" s="117"/>
      <c r="RFM59" s="4"/>
      <c r="RFN59" s="126"/>
      <c r="RFO59" s="127"/>
      <c r="RFP59" s="121"/>
      <c r="RFQ59" s="5"/>
      <c r="RFR59" s="5"/>
      <c r="RFS59" s="124"/>
      <c r="RFT59" s="121"/>
      <c r="RFU59" s="125"/>
      <c r="RFV59" s="5"/>
      <c r="RFW59" s="117"/>
      <c r="RFX59" s="4"/>
      <c r="RFY59" s="126"/>
      <c r="RFZ59" s="127"/>
      <c r="RGA59" s="121"/>
      <c r="RGB59" s="5"/>
      <c r="RGC59" s="5"/>
      <c r="RGD59" s="124"/>
      <c r="RGE59" s="121"/>
      <c r="RGF59" s="125"/>
      <c r="RGG59" s="5"/>
      <c r="RGH59" s="117"/>
      <c r="RGI59" s="4"/>
      <c r="RGJ59" s="126"/>
      <c r="RGK59" s="127"/>
      <c r="RGL59" s="121"/>
      <c r="RGM59" s="5"/>
      <c r="RGN59" s="5"/>
      <c r="RGO59" s="124"/>
      <c r="RGP59" s="121"/>
      <c r="RGQ59" s="125"/>
      <c r="RGR59" s="5"/>
      <c r="RGS59" s="117"/>
      <c r="RGT59" s="4"/>
      <c r="RGU59" s="126"/>
      <c r="RGV59" s="127"/>
      <c r="RGW59" s="121"/>
      <c r="RGX59" s="5"/>
      <c r="RGY59" s="5"/>
      <c r="RGZ59" s="124"/>
      <c r="RHA59" s="121"/>
      <c r="RHB59" s="125"/>
      <c r="RHC59" s="5"/>
      <c r="RHD59" s="117"/>
      <c r="RHE59" s="4"/>
      <c r="RHF59" s="126"/>
      <c r="RHG59" s="127"/>
      <c r="RHH59" s="121"/>
      <c r="RHI59" s="5"/>
      <c r="RHJ59" s="5"/>
      <c r="RHK59" s="124"/>
      <c r="RHL59" s="121"/>
      <c r="RHM59" s="125"/>
      <c r="RHN59" s="5"/>
      <c r="RHO59" s="117"/>
      <c r="RHP59" s="4"/>
      <c r="RHQ59" s="126"/>
      <c r="RHR59" s="127"/>
      <c r="RHS59" s="121"/>
      <c r="RHT59" s="5"/>
      <c r="RHU59" s="5"/>
      <c r="RHV59" s="124"/>
      <c r="RHW59" s="121"/>
      <c r="RHX59" s="125"/>
      <c r="RHY59" s="5"/>
      <c r="RHZ59" s="117"/>
      <c r="RIA59" s="4"/>
      <c r="RIB59" s="126"/>
      <c r="RIC59" s="127"/>
      <c r="RID59" s="121"/>
      <c r="RIE59" s="5"/>
      <c r="RIF59" s="5"/>
      <c r="RIG59" s="124"/>
      <c r="RIH59" s="121"/>
      <c r="RII59" s="125"/>
      <c r="RIJ59" s="5"/>
      <c r="RIK59" s="117"/>
      <c r="RIL59" s="4"/>
      <c r="RIM59" s="126"/>
      <c r="RIN59" s="127"/>
      <c r="RIO59" s="121"/>
      <c r="RIP59" s="5"/>
      <c r="RIQ59" s="5"/>
      <c r="RIR59" s="124"/>
      <c r="RIS59" s="121"/>
      <c r="RIT59" s="125"/>
      <c r="RIU59" s="5"/>
      <c r="RIV59" s="117"/>
      <c r="RIW59" s="4"/>
      <c r="RIX59" s="126"/>
      <c r="RIY59" s="127"/>
      <c r="RIZ59" s="121"/>
      <c r="RJA59" s="5"/>
      <c r="RJB59" s="5"/>
      <c r="RJC59" s="124"/>
      <c r="RJD59" s="121"/>
      <c r="RJE59" s="125"/>
      <c r="RJF59" s="5"/>
      <c r="RJG59" s="117"/>
      <c r="RJH59" s="4"/>
      <c r="RJI59" s="126"/>
      <c r="RJJ59" s="127"/>
      <c r="RJK59" s="121"/>
      <c r="RJL59" s="5"/>
      <c r="RJM59" s="5"/>
      <c r="RJN59" s="124"/>
      <c r="RJO59" s="121"/>
      <c r="RJP59" s="125"/>
      <c r="RJQ59" s="5"/>
      <c r="RJR59" s="117"/>
      <c r="RJS59" s="4"/>
      <c r="RJT59" s="126"/>
      <c r="RJU59" s="127"/>
      <c r="RJV59" s="121"/>
      <c r="RJW59" s="5"/>
      <c r="RJX59" s="5"/>
      <c r="RJY59" s="124"/>
      <c r="RJZ59" s="121"/>
      <c r="RKA59" s="125"/>
      <c r="RKB59" s="5"/>
      <c r="RKC59" s="117"/>
      <c r="RKD59" s="4"/>
      <c r="RKE59" s="126"/>
      <c r="RKF59" s="127"/>
      <c r="RKG59" s="121"/>
      <c r="RKH59" s="5"/>
      <c r="RKI59" s="5"/>
      <c r="RKJ59" s="124"/>
      <c r="RKK59" s="121"/>
      <c r="RKL59" s="125"/>
      <c r="RKM59" s="5"/>
      <c r="RKN59" s="117"/>
      <c r="RKO59" s="4"/>
      <c r="RKP59" s="126"/>
      <c r="RKQ59" s="127"/>
      <c r="RKR59" s="121"/>
      <c r="RKS59" s="5"/>
      <c r="RKT59" s="5"/>
      <c r="RKU59" s="124"/>
      <c r="RKV59" s="121"/>
      <c r="RKW59" s="125"/>
      <c r="RKX59" s="5"/>
      <c r="RKY59" s="117"/>
      <c r="RKZ59" s="4"/>
      <c r="RLA59" s="126"/>
      <c r="RLB59" s="127"/>
      <c r="RLC59" s="121"/>
      <c r="RLD59" s="5"/>
      <c r="RLE59" s="5"/>
      <c r="RLF59" s="124"/>
      <c r="RLG59" s="121"/>
      <c r="RLH59" s="125"/>
      <c r="RLI59" s="5"/>
      <c r="RLJ59" s="117"/>
      <c r="RLK59" s="4"/>
      <c r="RLL59" s="126"/>
      <c r="RLM59" s="127"/>
      <c r="RLN59" s="121"/>
      <c r="RLO59" s="5"/>
      <c r="RLP59" s="5"/>
      <c r="RLQ59" s="124"/>
      <c r="RLR59" s="121"/>
      <c r="RLS59" s="125"/>
      <c r="RLT59" s="5"/>
      <c r="RLU59" s="117"/>
      <c r="RLV59" s="4"/>
      <c r="RLW59" s="126"/>
      <c r="RLX59" s="127"/>
      <c r="RLY59" s="121"/>
      <c r="RLZ59" s="5"/>
      <c r="RMA59" s="5"/>
      <c r="RMB59" s="124"/>
      <c r="RMC59" s="121"/>
      <c r="RMD59" s="125"/>
      <c r="RME59" s="5"/>
      <c r="RMF59" s="117"/>
      <c r="RMG59" s="4"/>
      <c r="RMH59" s="126"/>
      <c r="RMI59" s="127"/>
      <c r="RMJ59" s="121"/>
      <c r="RMK59" s="5"/>
      <c r="RML59" s="5"/>
      <c r="RMM59" s="124"/>
      <c r="RMN59" s="121"/>
      <c r="RMO59" s="125"/>
      <c r="RMP59" s="5"/>
      <c r="RMQ59" s="117"/>
      <c r="RMR59" s="4"/>
      <c r="RMS59" s="126"/>
      <c r="RMT59" s="127"/>
      <c r="RMU59" s="121"/>
      <c r="RMV59" s="5"/>
      <c r="RMW59" s="5"/>
      <c r="RMX59" s="124"/>
      <c r="RMY59" s="121"/>
      <c r="RMZ59" s="125"/>
      <c r="RNA59" s="5"/>
      <c r="RNB59" s="117"/>
      <c r="RNC59" s="4"/>
      <c r="RND59" s="126"/>
      <c r="RNE59" s="127"/>
      <c r="RNF59" s="121"/>
      <c r="RNG59" s="5"/>
      <c r="RNH59" s="5"/>
      <c r="RNI59" s="124"/>
      <c r="RNJ59" s="121"/>
      <c r="RNK59" s="125"/>
      <c r="RNL59" s="5"/>
      <c r="RNM59" s="117"/>
      <c r="RNN59" s="4"/>
      <c r="RNO59" s="126"/>
      <c r="RNP59" s="127"/>
      <c r="RNQ59" s="121"/>
      <c r="RNR59" s="5"/>
      <c r="RNS59" s="5"/>
      <c r="RNT59" s="124"/>
      <c r="RNU59" s="121"/>
      <c r="RNV59" s="125"/>
      <c r="RNW59" s="5"/>
      <c r="RNX59" s="117"/>
      <c r="RNY59" s="4"/>
      <c r="RNZ59" s="126"/>
      <c r="ROA59" s="127"/>
      <c r="ROB59" s="121"/>
      <c r="ROC59" s="5"/>
      <c r="ROD59" s="5"/>
      <c r="ROE59" s="124"/>
      <c r="ROF59" s="121"/>
      <c r="ROG59" s="125"/>
      <c r="ROH59" s="5"/>
      <c r="ROI59" s="117"/>
      <c r="ROJ59" s="4"/>
      <c r="ROK59" s="126"/>
      <c r="ROL59" s="127"/>
      <c r="ROM59" s="121"/>
      <c r="RON59" s="5"/>
      <c r="ROO59" s="5"/>
      <c r="ROP59" s="124"/>
      <c r="ROQ59" s="121"/>
      <c r="ROR59" s="125"/>
      <c r="ROS59" s="5"/>
      <c r="ROT59" s="117"/>
      <c r="ROU59" s="4"/>
      <c r="ROV59" s="126"/>
      <c r="ROW59" s="127"/>
      <c r="ROX59" s="121"/>
      <c r="ROY59" s="5"/>
      <c r="ROZ59" s="5"/>
      <c r="RPA59" s="124"/>
      <c r="RPB59" s="121"/>
      <c r="RPC59" s="125"/>
      <c r="RPD59" s="5"/>
      <c r="RPE59" s="117"/>
      <c r="RPF59" s="4"/>
      <c r="RPG59" s="126"/>
      <c r="RPH59" s="127"/>
      <c r="RPI59" s="121"/>
      <c r="RPJ59" s="5"/>
      <c r="RPK59" s="5"/>
      <c r="RPL59" s="124"/>
      <c r="RPM59" s="121"/>
      <c r="RPN59" s="125"/>
      <c r="RPO59" s="5"/>
      <c r="RPP59" s="117"/>
      <c r="RPQ59" s="4"/>
      <c r="RPR59" s="126"/>
      <c r="RPS59" s="127"/>
      <c r="RPT59" s="121"/>
      <c r="RPU59" s="5"/>
      <c r="RPV59" s="5"/>
      <c r="RPW59" s="124"/>
      <c r="RPX59" s="121"/>
      <c r="RPY59" s="125"/>
      <c r="RPZ59" s="5"/>
      <c r="RQA59" s="117"/>
      <c r="RQB59" s="4"/>
      <c r="RQC59" s="126"/>
      <c r="RQD59" s="127"/>
      <c r="RQE59" s="121"/>
      <c r="RQF59" s="5"/>
      <c r="RQG59" s="5"/>
      <c r="RQH59" s="124"/>
      <c r="RQI59" s="121"/>
      <c r="RQJ59" s="125"/>
      <c r="RQK59" s="5"/>
      <c r="RQL59" s="117"/>
      <c r="RQM59" s="4"/>
      <c r="RQN59" s="126"/>
      <c r="RQO59" s="127"/>
      <c r="RQP59" s="121"/>
      <c r="RQQ59" s="5"/>
      <c r="RQR59" s="5"/>
      <c r="RQS59" s="124"/>
      <c r="RQT59" s="121"/>
      <c r="RQU59" s="125"/>
      <c r="RQV59" s="5"/>
      <c r="RQW59" s="117"/>
      <c r="RQX59" s="4"/>
      <c r="RQY59" s="126"/>
      <c r="RQZ59" s="127"/>
      <c r="RRA59" s="121"/>
      <c r="RRB59" s="5"/>
      <c r="RRC59" s="5"/>
      <c r="RRD59" s="124"/>
      <c r="RRE59" s="121"/>
      <c r="RRF59" s="125"/>
      <c r="RRG59" s="5"/>
      <c r="RRH59" s="117"/>
      <c r="RRI59" s="4"/>
      <c r="RRJ59" s="126"/>
      <c r="RRK59" s="127"/>
      <c r="RRL59" s="121"/>
      <c r="RRM59" s="5"/>
      <c r="RRN59" s="5"/>
      <c r="RRO59" s="124"/>
      <c r="RRP59" s="121"/>
      <c r="RRQ59" s="125"/>
      <c r="RRR59" s="5"/>
      <c r="RRS59" s="117"/>
      <c r="RRT59" s="4"/>
      <c r="RRU59" s="126"/>
      <c r="RRV59" s="127"/>
      <c r="RRW59" s="121"/>
      <c r="RRX59" s="5"/>
      <c r="RRY59" s="5"/>
      <c r="RRZ59" s="124"/>
      <c r="RSA59" s="121"/>
      <c r="RSB59" s="125"/>
      <c r="RSC59" s="5"/>
      <c r="RSD59" s="117"/>
      <c r="RSE59" s="4"/>
      <c r="RSF59" s="126"/>
      <c r="RSG59" s="127"/>
      <c r="RSH59" s="121"/>
      <c r="RSI59" s="5"/>
      <c r="RSJ59" s="5"/>
      <c r="RSK59" s="124"/>
      <c r="RSL59" s="121"/>
      <c r="RSM59" s="125"/>
      <c r="RSN59" s="5"/>
      <c r="RSO59" s="117"/>
      <c r="RSP59" s="4"/>
      <c r="RSQ59" s="126"/>
      <c r="RSR59" s="127"/>
      <c r="RSS59" s="121"/>
      <c r="RST59" s="5"/>
      <c r="RSU59" s="5"/>
      <c r="RSV59" s="124"/>
      <c r="RSW59" s="121"/>
      <c r="RSX59" s="125"/>
      <c r="RSY59" s="5"/>
      <c r="RSZ59" s="117"/>
      <c r="RTA59" s="4"/>
      <c r="RTB59" s="126"/>
      <c r="RTC59" s="127"/>
      <c r="RTD59" s="121"/>
      <c r="RTE59" s="5"/>
      <c r="RTF59" s="5"/>
      <c r="RTG59" s="124"/>
      <c r="RTH59" s="121"/>
      <c r="RTI59" s="125"/>
      <c r="RTJ59" s="5"/>
      <c r="RTK59" s="117"/>
      <c r="RTL59" s="4"/>
      <c r="RTM59" s="126"/>
      <c r="RTN59" s="127"/>
      <c r="RTO59" s="121"/>
      <c r="RTP59" s="5"/>
      <c r="RTQ59" s="5"/>
      <c r="RTR59" s="124"/>
      <c r="RTS59" s="121"/>
      <c r="RTT59" s="125"/>
      <c r="RTU59" s="5"/>
      <c r="RTV59" s="117"/>
      <c r="RTW59" s="4"/>
      <c r="RTX59" s="126"/>
      <c r="RTY59" s="127"/>
      <c r="RTZ59" s="121"/>
      <c r="RUA59" s="5"/>
      <c r="RUB59" s="5"/>
      <c r="RUC59" s="124"/>
      <c r="RUD59" s="121"/>
      <c r="RUE59" s="125"/>
      <c r="RUF59" s="5"/>
      <c r="RUG59" s="117"/>
      <c r="RUH59" s="4"/>
      <c r="RUI59" s="126"/>
      <c r="RUJ59" s="127"/>
      <c r="RUK59" s="121"/>
      <c r="RUL59" s="5"/>
      <c r="RUM59" s="5"/>
      <c r="RUN59" s="124"/>
      <c r="RUO59" s="121"/>
      <c r="RUP59" s="125"/>
      <c r="RUQ59" s="5"/>
      <c r="RUR59" s="117"/>
      <c r="RUS59" s="4"/>
      <c r="RUT59" s="126"/>
      <c r="RUU59" s="127"/>
      <c r="RUV59" s="121"/>
      <c r="RUW59" s="5"/>
      <c r="RUX59" s="5"/>
      <c r="RUY59" s="124"/>
      <c r="RUZ59" s="121"/>
      <c r="RVA59" s="125"/>
      <c r="RVB59" s="5"/>
      <c r="RVC59" s="117"/>
      <c r="RVD59" s="4"/>
      <c r="RVE59" s="126"/>
      <c r="RVF59" s="127"/>
      <c r="RVG59" s="121"/>
      <c r="RVH59" s="5"/>
      <c r="RVI59" s="5"/>
      <c r="RVJ59" s="124"/>
      <c r="RVK59" s="121"/>
      <c r="RVL59" s="125"/>
      <c r="RVM59" s="5"/>
      <c r="RVN59" s="117"/>
      <c r="RVO59" s="4"/>
      <c r="RVP59" s="126"/>
      <c r="RVQ59" s="127"/>
      <c r="RVR59" s="121"/>
      <c r="RVS59" s="5"/>
      <c r="RVT59" s="5"/>
      <c r="RVU59" s="124"/>
      <c r="RVV59" s="121"/>
      <c r="RVW59" s="125"/>
      <c r="RVX59" s="5"/>
      <c r="RVY59" s="117"/>
      <c r="RVZ59" s="4"/>
      <c r="RWA59" s="126"/>
      <c r="RWB59" s="127"/>
      <c r="RWC59" s="121"/>
      <c r="RWD59" s="5"/>
      <c r="RWE59" s="5"/>
      <c r="RWF59" s="124"/>
      <c r="RWG59" s="121"/>
      <c r="RWH59" s="125"/>
      <c r="RWI59" s="5"/>
      <c r="RWJ59" s="117"/>
      <c r="RWK59" s="4"/>
      <c r="RWL59" s="126"/>
      <c r="RWM59" s="127"/>
      <c r="RWN59" s="121"/>
      <c r="RWO59" s="5"/>
      <c r="RWP59" s="5"/>
      <c r="RWQ59" s="124"/>
      <c r="RWR59" s="121"/>
      <c r="RWS59" s="125"/>
      <c r="RWT59" s="5"/>
      <c r="RWU59" s="117"/>
      <c r="RWV59" s="4"/>
      <c r="RWW59" s="126"/>
      <c r="RWX59" s="127"/>
      <c r="RWY59" s="121"/>
      <c r="RWZ59" s="5"/>
      <c r="RXA59" s="5"/>
      <c r="RXB59" s="124"/>
      <c r="RXC59" s="121"/>
      <c r="RXD59" s="125"/>
      <c r="RXE59" s="5"/>
      <c r="RXF59" s="117"/>
      <c r="RXG59" s="4"/>
      <c r="RXH59" s="126"/>
      <c r="RXI59" s="127"/>
      <c r="RXJ59" s="121"/>
      <c r="RXK59" s="5"/>
      <c r="RXL59" s="5"/>
      <c r="RXM59" s="124"/>
      <c r="RXN59" s="121"/>
      <c r="RXO59" s="125"/>
      <c r="RXP59" s="5"/>
      <c r="RXQ59" s="117"/>
      <c r="RXR59" s="4"/>
      <c r="RXS59" s="126"/>
      <c r="RXT59" s="127"/>
      <c r="RXU59" s="121"/>
      <c r="RXV59" s="5"/>
      <c r="RXW59" s="5"/>
      <c r="RXX59" s="124"/>
      <c r="RXY59" s="121"/>
      <c r="RXZ59" s="125"/>
      <c r="RYA59" s="5"/>
      <c r="RYB59" s="117"/>
      <c r="RYC59" s="4"/>
      <c r="RYD59" s="126"/>
      <c r="RYE59" s="127"/>
      <c r="RYF59" s="121"/>
      <c r="RYG59" s="5"/>
      <c r="RYH59" s="5"/>
      <c r="RYI59" s="124"/>
      <c r="RYJ59" s="121"/>
      <c r="RYK59" s="125"/>
      <c r="RYL59" s="5"/>
      <c r="RYM59" s="117"/>
      <c r="RYN59" s="4"/>
      <c r="RYO59" s="126"/>
      <c r="RYP59" s="127"/>
      <c r="RYQ59" s="121"/>
      <c r="RYR59" s="5"/>
      <c r="RYS59" s="5"/>
      <c r="RYT59" s="124"/>
      <c r="RYU59" s="121"/>
      <c r="RYV59" s="125"/>
      <c r="RYW59" s="5"/>
      <c r="RYX59" s="117"/>
      <c r="RYY59" s="4"/>
      <c r="RYZ59" s="126"/>
      <c r="RZA59" s="127"/>
      <c r="RZB59" s="121"/>
      <c r="RZC59" s="5"/>
      <c r="RZD59" s="5"/>
      <c r="RZE59" s="124"/>
      <c r="RZF59" s="121"/>
      <c r="RZG59" s="125"/>
      <c r="RZH59" s="5"/>
      <c r="RZI59" s="117"/>
      <c r="RZJ59" s="4"/>
      <c r="RZK59" s="126"/>
      <c r="RZL59" s="127"/>
      <c r="RZM59" s="121"/>
      <c r="RZN59" s="5"/>
      <c r="RZO59" s="5"/>
      <c r="RZP59" s="124"/>
      <c r="RZQ59" s="121"/>
      <c r="RZR59" s="125"/>
      <c r="RZS59" s="5"/>
      <c r="RZT59" s="117"/>
      <c r="RZU59" s="4"/>
      <c r="RZV59" s="126"/>
      <c r="RZW59" s="127"/>
      <c r="RZX59" s="121"/>
      <c r="RZY59" s="5"/>
      <c r="RZZ59" s="5"/>
      <c r="SAA59" s="124"/>
      <c r="SAB59" s="121"/>
      <c r="SAC59" s="125"/>
      <c r="SAD59" s="5"/>
      <c r="SAE59" s="117"/>
      <c r="SAF59" s="4"/>
      <c r="SAG59" s="126"/>
      <c r="SAH59" s="127"/>
      <c r="SAI59" s="121"/>
      <c r="SAJ59" s="5"/>
      <c r="SAK59" s="5"/>
      <c r="SAL59" s="124"/>
      <c r="SAM59" s="121"/>
      <c r="SAN59" s="125"/>
      <c r="SAO59" s="5"/>
      <c r="SAP59" s="117"/>
      <c r="SAQ59" s="4"/>
      <c r="SAR59" s="126"/>
      <c r="SAS59" s="127"/>
      <c r="SAT59" s="121"/>
      <c r="SAU59" s="5"/>
      <c r="SAV59" s="5"/>
      <c r="SAW59" s="124"/>
      <c r="SAX59" s="121"/>
      <c r="SAY59" s="125"/>
      <c r="SAZ59" s="5"/>
      <c r="SBA59" s="117"/>
      <c r="SBB59" s="4"/>
      <c r="SBC59" s="126"/>
      <c r="SBD59" s="127"/>
      <c r="SBE59" s="121"/>
      <c r="SBF59" s="5"/>
      <c r="SBG59" s="5"/>
      <c r="SBH59" s="124"/>
      <c r="SBI59" s="121"/>
      <c r="SBJ59" s="125"/>
      <c r="SBK59" s="5"/>
      <c r="SBL59" s="117"/>
      <c r="SBM59" s="4"/>
      <c r="SBN59" s="126"/>
      <c r="SBO59" s="127"/>
      <c r="SBP59" s="121"/>
      <c r="SBQ59" s="5"/>
      <c r="SBR59" s="5"/>
      <c r="SBS59" s="124"/>
      <c r="SBT59" s="121"/>
      <c r="SBU59" s="125"/>
      <c r="SBV59" s="5"/>
      <c r="SBW59" s="117"/>
      <c r="SBX59" s="4"/>
      <c r="SBY59" s="126"/>
      <c r="SBZ59" s="127"/>
      <c r="SCA59" s="121"/>
      <c r="SCB59" s="5"/>
      <c r="SCC59" s="5"/>
      <c r="SCD59" s="124"/>
      <c r="SCE59" s="121"/>
      <c r="SCF59" s="125"/>
      <c r="SCG59" s="5"/>
      <c r="SCH59" s="117"/>
      <c r="SCI59" s="4"/>
      <c r="SCJ59" s="126"/>
      <c r="SCK59" s="127"/>
      <c r="SCL59" s="121"/>
      <c r="SCM59" s="5"/>
      <c r="SCN59" s="5"/>
      <c r="SCO59" s="124"/>
      <c r="SCP59" s="121"/>
      <c r="SCQ59" s="125"/>
      <c r="SCR59" s="5"/>
      <c r="SCS59" s="117"/>
      <c r="SCT59" s="4"/>
      <c r="SCU59" s="126"/>
      <c r="SCV59" s="127"/>
      <c r="SCW59" s="121"/>
      <c r="SCX59" s="5"/>
      <c r="SCY59" s="5"/>
      <c r="SCZ59" s="124"/>
      <c r="SDA59" s="121"/>
      <c r="SDB59" s="125"/>
      <c r="SDC59" s="5"/>
      <c r="SDD59" s="117"/>
      <c r="SDE59" s="4"/>
      <c r="SDF59" s="126"/>
      <c r="SDG59" s="127"/>
      <c r="SDH59" s="121"/>
      <c r="SDI59" s="5"/>
      <c r="SDJ59" s="5"/>
      <c r="SDK59" s="124"/>
      <c r="SDL59" s="121"/>
      <c r="SDM59" s="125"/>
      <c r="SDN59" s="5"/>
      <c r="SDO59" s="117"/>
      <c r="SDP59" s="4"/>
      <c r="SDQ59" s="126"/>
      <c r="SDR59" s="127"/>
      <c r="SDS59" s="121"/>
      <c r="SDT59" s="5"/>
      <c r="SDU59" s="5"/>
      <c r="SDV59" s="124"/>
      <c r="SDW59" s="121"/>
      <c r="SDX59" s="125"/>
      <c r="SDY59" s="5"/>
      <c r="SDZ59" s="117"/>
      <c r="SEA59" s="4"/>
      <c r="SEB59" s="126"/>
      <c r="SEC59" s="127"/>
      <c r="SED59" s="121"/>
      <c r="SEE59" s="5"/>
      <c r="SEF59" s="5"/>
      <c r="SEG59" s="124"/>
      <c r="SEH59" s="121"/>
      <c r="SEI59" s="125"/>
      <c r="SEJ59" s="5"/>
      <c r="SEK59" s="117"/>
      <c r="SEL59" s="4"/>
      <c r="SEM59" s="126"/>
      <c r="SEN59" s="127"/>
      <c r="SEO59" s="121"/>
      <c r="SEP59" s="5"/>
      <c r="SEQ59" s="5"/>
      <c r="SER59" s="124"/>
      <c r="SES59" s="121"/>
      <c r="SET59" s="125"/>
      <c r="SEU59" s="5"/>
      <c r="SEV59" s="117"/>
      <c r="SEW59" s="4"/>
      <c r="SEX59" s="126"/>
      <c r="SEY59" s="127"/>
      <c r="SEZ59" s="121"/>
      <c r="SFA59" s="5"/>
      <c r="SFB59" s="5"/>
      <c r="SFC59" s="124"/>
      <c r="SFD59" s="121"/>
      <c r="SFE59" s="125"/>
      <c r="SFF59" s="5"/>
      <c r="SFG59" s="117"/>
      <c r="SFH59" s="4"/>
      <c r="SFI59" s="126"/>
      <c r="SFJ59" s="127"/>
      <c r="SFK59" s="121"/>
      <c r="SFL59" s="5"/>
      <c r="SFM59" s="5"/>
      <c r="SFN59" s="124"/>
      <c r="SFO59" s="121"/>
      <c r="SFP59" s="125"/>
      <c r="SFQ59" s="5"/>
      <c r="SFR59" s="117"/>
      <c r="SFS59" s="4"/>
      <c r="SFT59" s="126"/>
      <c r="SFU59" s="127"/>
      <c r="SFV59" s="121"/>
      <c r="SFW59" s="5"/>
      <c r="SFX59" s="5"/>
      <c r="SFY59" s="124"/>
      <c r="SFZ59" s="121"/>
      <c r="SGA59" s="125"/>
      <c r="SGB59" s="5"/>
      <c r="SGC59" s="117"/>
      <c r="SGD59" s="4"/>
      <c r="SGE59" s="126"/>
      <c r="SGF59" s="127"/>
      <c r="SGG59" s="121"/>
      <c r="SGH59" s="5"/>
      <c r="SGI59" s="5"/>
      <c r="SGJ59" s="124"/>
      <c r="SGK59" s="121"/>
      <c r="SGL59" s="125"/>
      <c r="SGM59" s="5"/>
      <c r="SGN59" s="117"/>
      <c r="SGO59" s="4"/>
      <c r="SGP59" s="126"/>
      <c r="SGQ59" s="127"/>
      <c r="SGR59" s="121"/>
      <c r="SGS59" s="5"/>
      <c r="SGT59" s="5"/>
      <c r="SGU59" s="124"/>
      <c r="SGV59" s="121"/>
      <c r="SGW59" s="125"/>
      <c r="SGX59" s="5"/>
      <c r="SGY59" s="117"/>
      <c r="SGZ59" s="4"/>
      <c r="SHA59" s="126"/>
      <c r="SHB59" s="127"/>
      <c r="SHC59" s="121"/>
      <c r="SHD59" s="5"/>
      <c r="SHE59" s="5"/>
      <c r="SHF59" s="124"/>
      <c r="SHG59" s="121"/>
      <c r="SHH59" s="125"/>
      <c r="SHI59" s="5"/>
      <c r="SHJ59" s="117"/>
      <c r="SHK59" s="4"/>
      <c r="SHL59" s="126"/>
      <c r="SHM59" s="127"/>
      <c r="SHN59" s="121"/>
      <c r="SHO59" s="5"/>
      <c r="SHP59" s="5"/>
      <c r="SHQ59" s="124"/>
      <c r="SHR59" s="121"/>
      <c r="SHS59" s="125"/>
      <c r="SHT59" s="5"/>
      <c r="SHU59" s="117"/>
      <c r="SHV59" s="4"/>
      <c r="SHW59" s="126"/>
      <c r="SHX59" s="127"/>
      <c r="SHY59" s="121"/>
      <c r="SHZ59" s="5"/>
      <c r="SIA59" s="5"/>
      <c r="SIB59" s="124"/>
      <c r="SIC59" s="121"/>
      <c r="SID59" s="125"/>
      <c r="SIE59" s="5"/>
      <c r="SIF59" s="117"/>
      <c r="SIG59" s="4"/>
      <c r="SIH59" s="126"/>
      <c r="SII59" s="127"/>
      <c r="SIJ59" s="121"/>
      <c r="SIK59" s="5"/>
      <c r="SIL59" s="5"/>
      <c r="SIM59" s="124"/>
      <c r="SIN59" s="121"/>
      <c r="SIO59" s="125"/>
      <c r="SIP59" s="5"/>
      <c r="SIQ59" s="117"/>
      <c r="SIR59" s="4"/>
      <c r="SIS59" s="126"/>
      <c r="SIT59" s="127"/>
      <c r="SIU59" s="121"/>
      <c r="SIV59" s="5"/>
      <c r="SIW59" s="5"/>
      <c r="SIX59" s="124"/>
      <c r="SIY59" s="121"/>
      <c r="SIZ59" s="125"/>
      <c r="SJA59" s="5"/>
      <c r="SJB59" s="117"/>
      <c r="SJC59" s="4"/>
      <c r="SJD59" s="126"/>
      <c r="SJE59" s="127"/>
      <c r="SJF59" s="121"/>
      <c r="SJG59" s="5"/>
      <c r="SJH59" s="5"/>
      <c r="SJI59" s="124"/>
      <c r="SJJ59" s="121"/>
      <c r="SJK59" s="125"/>
      <c r="SJL59" s="5"/>
      <c r="SJM59" s="117"/>
      <c r="SJN59" s="4"/>
      <c r="SJO59" s="126"/>
      <c r="SJP59" s="127"/>
      <c r="SJQ59" s="121"/>
      <c r="SJR59" s="5"/>
      <c r="SJS59" s="5"/>
      <c r="SJT59" s="124"/>
      <c r="SJU59" s="121"/>
      <c r="SJV59" s="125"/>
      <c r="SJW59" s="5"/>
      <c r="SJX59" s="117"/>
      <c r="SJY59" s="4"/>
      <c r="SJZ59" s="126"/>
      <c r="SKA59" s="127"/>
      <c r="SKB59" s="121"/>
      <c r="SKC59" s="5"/>
      <c r="SKD59" s="5"/>
      <c r="SKE59" s="124"/>
      <c r="SKF59" s="121"/>
      <c r="SKG59" s="125"/>
      <c r="SKH59" s="5"/>
      <c r="SKI59" s="117"/>
      <c r="SKJ59" s="4"/>
      <c r="SKK59" s="126"/>
      <c r="SKL59" s="127"/>
      <c r="SKM59" s="121"/>
      <c r="SKN59" s="5"/>
      <c r="SKO59" s="5"/>
      <c r="SKP59" s="124"/>
      <c r="SKQ59" s="121"/>
      <c r="SKR59" s="125"/>
      <c r="SKS59" s="5"/>
      <c r="SKT59" s="117"/>
      <c r="SKU59" s="4"/>
      <c r="SKV59" s="126"/>
      <c r="SKW59" s="127"/>
      <c r="SKX59" s="121"/>
      <c r="SKY59" s="5"/>
      <c r="SKZ59" s="5"/>
      <c r="SLA59" s="124"/>
      <c r="SLB59" s="121"/>
      <c r="SLC59" s="125"/>
      <c r="SLD59" s="5"/>
      <c r="SLE59" s="117"/>
      <c r="SLF59" s="4"/>
      <c r="SLG59" s="126"/>
      <c r="SLH59" s="127"/>
      <c r="SLI59" s="121"/>
      <c r="SLJ59" s="5"/>
      <c r="SLK59" s="5"/>
      <c r="SLL59" s="124"/>
      <c r="SLM59" s="121"/>
      <c r="SLN59" s="125"/>
      <c r="SLO59" s="5"/>
      <c r="SLP59" s="117"/>
      <c r="SLQ59" s="4"/>
      <c r="SLR59" s="126"/>
      <c r="SLS59" s="127"/>
      <c r="SLT59" s="121"/>
      <c r="SLU59" s="5"/>
      <c r="SLV59" s="5"/>
      <c r="SLW59" s="124"/>
      <c r="SLX59" s="121"/>
      <c r="SLY59" s="125"/>
      <c r="SLZ59" s="5"/>
      <c r="SMA59" s="117"/>
      <c r="SMB59" s="4"/>
      <c r="SMC59" s="126"/>
      <c r="SMD59" s="127"/>
      <c r="SME59" s="121"/>
      <c r="SMF59" s="5"/>
      <c r="SMG59" s="5"/>
      <c r="SMH59" s="124"/>
      <c r="SMI59" s="121"/>
      <c r="SMJ59" s="125"/>
      <c r="SMK59" s="5"/>
      <c r="SML59" s="117"/>
      <c r="SMM59" s="4"/>
      <c r="SMN59" s="126"/>
      <c r="SMO59" s="127"/>
      <c r="SMP59" s="121"/>
      <c r="SMQ59" s="5"/>
      <c r="SMR59" s="5"/>
      <c r="SMS59" s="124"/>
      <c r="SMT59" s="121"/>
      <c r="SMU59" s="125"/>
      <c r="SMV59" s="5"/>
      <c r="SMW59" s="117"/>
      <c r="SMX59" s="4"/>
      <c r="SMY59" s="126"/>
      <c r="SMZ59" s="127"/>
      <c r="SNA59" s="121"/>
      <c r="SNB59" s="5"/>
      <c r="SNC59" s="5"/>
      <c r="SND59" s="124"/>
      <c r="SNE59" s="121"/>
      <c r="SNF59" s="125"/>
      <c r="SNG59" s="5"/>
      <c r="SNH59" s="117"/>
      <c r="SNI59" s="4"/>
      <c r="SNJ59" s="126"/>
      <c r="SNK59" s="127"/>
      <c r="SNL59" s="121"/>
      <c r="SNM59" s="5"/>
      <c r="SNN59" s="5"/>
      <c r="SNO59" s="124"/>
      <c r="SNP59" s="121"/>
      <c r="SNQ59" s="125"/>
      <c r="SNR59" s="5"/>
      <c r="SNS59" s="117"/>
      <c r="SNT59" s="4"/>
      <c r="SNU59" s="126"/>
      <c r="SNV59" s="127"/>
      <c r="SNW59" s="121"/>
      <c r="SNX59" s="5"/>
      <c r="SNY59" s="5"/>
      <c r="SNZ59" s="124"/>
      <c r="SOA59" s="121"/>
      <c r="SOB59" s="125"/>
      <c r="SOC59" s="5"/>
      <c r="SOD59" s="117"/>
      <c r="SOE59" s="4"/>
      <c r="SOF59" s="126"/>
      <c r="SOG59" s="127"/>
      <c r="SOH59" s="121"/>
      <c r="SOI59" s="5"/>
      <c r="SOJ59" s="5"/>
      <c r="SOK59" s="124"/>
      <c r="SOL59" s="121"/>
      <c r="SOM59" s="125"/>
      <c r="SON59" s="5"/>
      <c r="SOO59" s="117"/>
      <c r="SOP59" s="4"/>
      <c r="SOQ59" s="126"/>
      <c r="SOR59" s="127"/>
      <c r="SOS59" s="121"/>
      <c r="SOT59" s="5"/>
      <c r="SOU59" s="5"/>
      <c r="SOV59" s="124"/>
      <c r="SOW59" s="121"/>
      <c r="SOX59" s="125"/>
      <c r="SOY59" s="5"/>
      <c r="SOZ59" s="117"/>
      <c r="SPA59" s="4"/>
      <c r="SPB59" s="126"/>
      <c r="SPC59" s="127"/>
      <c r="SPD59" s="121"/>
      <c r="SPE59" s="5"/>
      <c r="SPF59" s="5"/>
      <c r="SPG59" s="124"/>
      <c r="SPH59" s="121"/>
      <c r="SPI59" s="125"/>
      <c r="SPJ59" s="5"/>
      <c r="SPK59" s="117"/>
      <c r="SPL59" s="4"/>
      <c r="SPM59" s="126"/>
      <c r="SPN59" s="127"/>
      <c r="SPO59" s="121"/>
      <c r="SPP59" s="5"/>
      <c r="SPQ59" s="5"/>
      <c r="SPR59" s="124"/>
      <c r="SPS59" s="121"/>
      <c r="SPT59" s="125"/>
      <c r="SPU59" s="5"/>
      <c r="SPV59" s="117"/>
      <c r="SPW59" s="4"/>
      <c r="SPX59" s="126"/>
      <c r="SPY59" s="127"/>
      <c r="SPZ59" s="121"/>
      <c r="SQA59" s="5"/>
      <c r="SQB59" s="5"/>
      <c r="SQC59" s="124"/>
      <c r="SQD59" s="121"/>
      <c r="SQE59" s="125"/>
      <c r="SQF59" s="5"/>
      <c r="SQG59" s="117"/>
      <c r="SQH59" s="4"/>
      <c r="SQI59" s="126"/>
      <c r="SQJ59" s="127"/>
      <c r="SQK59" s="121"/>
      <c r="SQL59" s="5"/>
      <c r="SQM59" s="5"/>
      <c r="SQN59" s="124"/>
      <c r="SQO59" s="121"/>
      <c r="SQP59" s="125"/>
      <c r="SQQ59" s="5"/>
      <c r="SQR59" s="117"/>
      <c r="SQS59" s="4"/>
      <c r="SQT59" s="126"/>
      <c r="SQU59" s="127"/>
      <c r="SQV59" s="121"/>
      <c r="SQW59" s="5"/>
      <c r="SQX59" s="5"/>
      <c r="SQY59" s="124"/>
      <c r="SQZ59" s="121"/>
      <c r="SRA59" s="125"/>
      <c r="SRB59" s="5"/>
      <c r="SRC59" s="117"/>
      <c r="SRD59" s="4"/>
      <c r="SRE59" s="126"/>
      <c r="SRF59" s="127"/>
      <c r="SRG59" s="121"/>
      <c r="SRH59" s="5"/>
      <c r="SRI59" s="5"/>
      <c r="SRJ59" s="124"/>
      <c r="SRK59" s="121"/>
      <c r="SRL59" s="125"/>
      <c r="SRM59" s="5"/>
      <c r="SRN59" s="117"/>
      <c r="SRO59" s="4"/>
      <c r="SRP59" s="126"/>
      <c r="SRQ59" s="127"/>
      <c r="SRR59" s="121"/>
      <c r="SRS59" s="5"/>
      <c r="SRT59" s="5"/>
      <c r="SRU59" s="124"/>
      <c r="SRV59" s="121"/>
      <c r="SRW59" s="125"/>
      <c r="SRX59" s="5"/>
      <c r="SRY59" s="117"/>
      <c r="SRZ59" s="4"/>
      <c r="SSA59" s="126"/>
      <c r="SSB59" s="127"/>
      <c r="SSC59" s="121"/>
      <c r="SSD59" s="5"/>
      <c r="SSE59" s="5"/>
      <c r="SSF59" s="124"/>
      <c r="SSG59" s="121"/>
      <c r="SSH59" s="125"/>
      <c r="SSI59" s="5"/>
      <c r="SSJ59" s="117"/>
      <c r="SSK59" s="4"/>
      <c r="SSL59" s="126"/>
      <c r="SSM59" s="127"/>
      <c r="SSN59" s="121"/>
      <c r="SSO59" s="5"/>
      <c r="SSP59" s="5"/>
      <c r="SSQ59" s="124"/>
      <c r="SSR59" s="121"/>
      <c r="SSS59" s="125"/>
      <c r="SST59" s="5"/>
      <c r="SSU59" s="117"/>
      <c r="SSV59" s="4"/>
      <c r="SSW59" s="126"/>
      <c r="SSX59" s="127"/>
      <c r="SSY59" s="121"/>
      <c r="SSZ59" s="5"/>
      <c r="STA59" s="5"/>
      <c r="STB59" s="124"/>
      <c r="STC59" s="121"/>
      <c r="STD59" s="125"/>
      <c r="STE59" s="5"/>
      <c r="STF59" s="117"/>
      <c r="STG59" s="4"/>
      <c r="STH59" s="126"/>
      <c r="STI59" s="127"/>
      <c r="STJ59" s="121"/>
      <c r="STK59" s="5"/>
      <c r="STL59" s="5"/>
      <c r="STM59" s="124"/>
      <c r="STN59" s="121"/>
      <c r="STO59" s="125"/>
      <c r="STP59" s="5"/>
      <c r="STQ59" s="117"/>
      <c r="STR59" s="4"/>
      <c r="STS59" s="126"/>
      <c r="STT59" s="127"/>
      <c r="STU59" s="121"/>
      <c r="STV59" s="5"/>
      <c r="STW59" s="5"/>
      <c r="STX59" s="124"/>
      <c r="STY59" s="121"/>
      <c r="STZ59" s="125"/>
      <c r="SUA59" s="5"/>
      <c r="SUB59" s="117"/>
      <c r="SUC59" s="4"/>
      <c r="SUD59" s="126"/>
      <c r="SUE59" s="127"/>
      <c r="SUF59" s="121"/>
      <c r="SUG59" s="5"/>
      <c r="SUH59" s="5"/>
      <c r="SUI59" s="124"/>
      <c r="SUJ59" s="121"/>
      <c r="SUK59" s="125"/>
      <c r="SUL59" s="5"/>
      <c r="SUM59" s="117"/>
      <c r="SUN59" s="4"/>
      <c r="SUO59" s="126"/>
      <c r="SUP59" s="127"/>
      <c r="SUQ59" s="121"/>
      <c r="SUR59" s="5"/>
      <c r="SUS59" s="5"/>
      <c r="SUT59" s="124"/>
      <c r="SUU59" s="121"/>
      <c r="SUV59" s="125"/>
      <c r="SUW59" s="5"/>
      <c r="SUX59" s="117"/>
      <c r="SUY59" s="4"/>
      <c r="SUZ59" s="126"/>
      <c r="SVA59" s="127"/>
      <c r="SVB59" s="121"/>
      <c r="SVC59" s="5"/>
      <c r="SVD59" s="5"/>
      <c r="SVE59" s="124"/>
      <c r="SVF59" s="121"/>
      <c r="SVG59" s="125"/>
      <c r="SVH59" s="5"/>
      <c r="SVI59" s="117"/>
      <c r="SVJ59" s="4"/>
      <c r="SVK59" s="126"/>
      <c r="SVL59" s="127"/>
      <c r="SVM59" s="121"/>
      <c r="SVN59" s="5"/>
      <c r="SVO59" s="5"/>
      <c r="SVP59" s="124"/>
      <c r="SVQ59" s="121"/>
      <c r="SVR59" s="125"/>
      <c r="SVS59" s="5"/>
      <c r="SVT59" s="117"/>
      <c r="SVU59" s="4"/>
      <c r="SVV59" s="126"/>
      <c r="SVW59" s="127"/>
      <c r="SVX59" s="121"/>
      <c r="SVY59" s="5"/>
      <c r="SVZ59" s="5"/>
      <c r="SWA59" s="124"/>
      <c r="SWB59" s="121"/>
      <c r="SWC59" s="125"/>
      <c r="SWD59" s="5"/>
      <c r="SWE59" s="117"/>
      <c r="SWF59" s="4"/>
      <c r="SWG59" s="126"/>
      <c r="SWH59" s="127"/>
      <c r="SWI59" s="121"/>
      <c r="SWJ59" s="5"/>
      <c r="SWK59" s="5"/>
      <c r="SWL59" s="124"/>
      <c r="SWM59" s="121"/>
      <c r="SWN59" s="125"/>
      <c r="SWO59" s="5"/>
      <c r="SWP59" s="117"/>
      <c r="SWQ59" s="4"/>
      <c r="SWR59" s="126"/>
      <c r="SWS59" s="127"/>
      <c r="SWT59" s="121"/>
      <c r="SWU59" s="5"/>
      <c r="SWV59" s="5"/>
      <c r="SWW59" s="124"/>
      <c r="SWX59" s="121"/>
      <c r="SWY59" s="125"/>
      <c r="SWZ59" s="5"/>
      <c r="SXA59" s="117"/>
      <c r="SXB59" s="4"/>
      <c r="SXC59" s="126"/>
      <c r="SXD59" s="127"/>
      <c r="SXE59" s="121"/>
      <c r="SXF59" s="5"/>
      <c r="SXG59" s="5"/>
      <c r="SXH59" s="124"/>
      <c r="SXI59" s="121"/>
      <c r="SXJ59" s="125"/>
      <c r="SXK59" s="5"/>
      <c r="SXL59" s="117"/>
      <c r="SXM59" s="4"/>
      <c r="SXN59" s="126"/>
      <c r="SXO59" s="127"/>
      <c r="SXP59" s="121"/>
      <c r="SXQ59" s="5"/>
      <c r="SXR59" s="5"/>
      <c r="SXS59" s="124"/>
      <c r="SXT59" s="121"/>
      <c r="SXU59" s="125"/>
      <c r="SXV59" s="5"/>
      <c r="SXW59" s="117"/>
      <c r="SXX59" s="4"/>
      <c r="SXY59" s="126"/>
      <c r="SXZ59" s="127"/>
      <c r="SYA59" s="121"/>
      <c r="SYB59" s="5"/>
      <c r="SYC59" s="5"/>
      <c r="SYD59" s="124"/>
      <c r="SYE59" s="121"/>
      <c r="SYF59" s="125"/>
      <c r="SYG59" s="5"/>
      <c r="SYH59" s="117"/>
      <c r="SYI59" s="4"/>
      <c r="SYJ59" s="126"/>
      <c r="SYK59" s="127"/>
      <c r="SYL59" s="121"/>
      <c r="SYM59" s="5"/>
      <c r="SYN59" s="5"/>
      <c r="SYO59" s="124"/>
      <c r="SYP59" s="121"/>
      <c r="SYQ59" s="125"/>
      <c r="SYR59" s="5"/>
      <c r="SYS59" s="117"/>
      <c r="SYT59" s="4"/>
      <c r="SYU59" s="126"/>
      <c r="SYV59" s="127"/>
      <c r="SYW59" s="121"/>
      <c r="SYX59" s="5"/>
      <c r="SYY59" s="5"/>
      <c r="SYZ59" s="124"/>
      <c r="SZA59" s="121"/>
      <c r="SZB59" s="125"/>
      <c r="SZC59" s="5"/>
      <c r="SZD59" s="117"/>
      <c r="SZE59" s="4"/>
      <c r="SZF59" s="126"/>
      <c r="SZG59" s="127"/>
      <c r="SZH59" s="121"/>
      <c r="SZI59" s="5"/>
      <c r="SZJ59" s="5"/>
      <c r="SZK59" s="124"/>
      <c r="SZL59" s="121"/>
      <c r="SZM59" s="125"/>
      <c r="SZN59" s="5"/>
      <c r="SZO59" s="117"/>
      <c r="SZP59" s="4"/>
      <c r="SZQ59" s="126"/>
      <c r="SZR59" s="127"/>
      <c r="SZS59" s="121"/>
      <c r="SZT59" s="5"/>
      <c r="SZU59" s="5"/>
      <c r="SZV59" s="124"/>
      <c r="SZW59" s="121"/>
      <c r="SZX59" s="125"/>
      <c r="SZY59" s="5"/>
      <c r="SZZ59" s="117"/>
      <c r="TAA59" s="4"/>
      <c r="TAB59" s="126"/>
      <c r="TAC59" s="127"/>
      <c r="TAD59" s="121"/>
      <c r="TAE59" s="5"/>
      <c r="TAF59" s="5"/>
      <c r="TAG59" s="124"/>
      <c r="TAH59" s="121"/>
      <c r="TAI59" s="125"/>
      <c r="TAJ59" s="5"/>
      <c r="TAK59" s="117"/>
      <c r="TAL59" s="4"/>
      <c r="TAM59" s="126"/>
      <c r="TAN59" s="127"/>
      <c r="TAO59" s="121"/>
      <c r="TAP59" s="5"/>
      <c r="TAQ59" s="5"/>
      <c r="TAR59" s="124"/>
      <c r="TAS59" s="121"/>
      <c r="TAT59" s="125"/>
      <c r="TAU59" s="5"/>
      <c r="TAV59" s="117"/>
      <c r="TAW59" s="4"/>
      <c r="TAX59" s="126"/>
      <c r="TAY59" s="127"/>
      <c r="TAZ59" s="121"/>
      <c r="TBA59" s="5"/>
      <c r="TBB59" s="5"/>
      <c r="TBC59" s="124"/>
      <c r="TBD59" s="121"/>
      <c r="TBE59" s="125"/>
      <c r="TBF59" s="5"/>
      <c r="TBG59" s="117"/>
      <c r="TBH59" s="4"/>
      <c r="TBI59" s="126"/>
      <c r="TBJ59" s="127"/>
      <c r="TBK59" s="121"/>
      <c r="TBL59" s="5"/>
      <c r="TBM59" s="5"/>
      <c r="TBN59" s="124"/>
      <c r="TBO59" s="121"/>
      <c r="TBP59" s="125"/>
      <c r="TBQ59" s="5"/>
      <c r="TBR59" s="117"/>
      <c r="TBS59" s="4"/>
      <c r="TBT59" s="126"/>
      <c r="TBU59" s="127"/>
      <c r="TBV59" s="121"/>
      <c r="TBW59" s="5"/>
      <c r="TBX59" s="5"/>
      <c r="TBY59" s="124"/>
      <c r="TBZ59" s="121"/>
      <c r="TCA59" s="125"/>
      <c r="TCB59" s="5"/>
      <c r="TCC59" s="117"/>
      <c r="TCD59" s="4"/>
      <c r="TCE59" s="126"/>
      <c r="TCF59" s="127"/>
      <c r="TCG59" s="121"/>
      <c r="TCH59" s="5"/>
      <c r="TCI59" s="5"/>
      <c r="TCJ59" s="124"/>
      <c r="TCK59" s="121"/>
      <c r="TCL59" s="125"/>
      <c r="TCM59" s="5"/>
      <c r="TCN59" s="117"/>
      <c r="TCO59" s="4"/>
      <c r="TCP59" s="126"/>
      <c r="TCQ59" s="127"/>
      <c r="TCR59" s="121"/>
      <c r="TCS59" s="5"/>
      <c r="TCT59" s="5"/>
      <c r="TCU59" s="124"/>
      <c r="TCV59" s="121"/>
      <c r="TCW59" s="125"/>
      <c r="TCX59" s="5"/>
      <c r="TCY59" s="117"/>
      <c r="TCZ59" s="4"/>
      <c r="TDA59" s="126"/>
      <c r="TDB59" s="127"/>
      <c r="TDC59" s="121"/>
      <c r="TDD59" s="5"/>
      <c r="TDE59" s="5"/>
      <c r="TDF59" s="124"/>
      <c r="TDG59" s="121"/>
      <c r="TDH59" s="125"/>
      <c r="TDI59" s="5"/>
      <c r="TDJ59" s="117"/>
      <c r="TDK59" s="4"/>
      <c r="TDL59" s="126"/>
      <c r="TDM59" s="127"/>
      <c r="TDN59" s="121"/>
      <c r="TDO59" s="5"/>
      <c r="TDP59" s="5"/>
      <c r="TDQ59" s="124"/>
      <c r="TDR59" s="121"/>
      <c r="TDS59" s="125"/>
      <c r="TDT59" s="5"/>
      <c r="TDU59" s="117"/>
      <c r="TDV59" s="4"/>
      <c r="TDW59" s="126"/>
      <c r="TDX59" s="127"/>
      <c r="TDY59" s="121"/>
      <c r="TDZ59" s="5"/>
      <c r="TEA59" s="5"/>
      <c r="TEB59" s="124"/>
      <c r="TEC59" s="121"/>
      <c r="TED59" s="125"/>
      <c r="TEE59" s="5"/>
      <c r="TEF59" s="117"/>
      <c r="TEG59" s="4"/>
      <c r="TEH59" s="126"/>
      <c r="TEI59" s="127"/>
      <c r="TEJ59" s="121"/>
      <c r="TEK59" s="5"/>
      <c r="TEL59" s="5"/>
      <c r="TEM59" s="124"/>
      <c r="TEN59" s="121"/>
      <c r="TEO59" s="125"/>
      <c r="TEP59" s="5"/>
      <c r="TEQ59" s="117"/>
      <c r="TER59" s="4"/>
      <c r="TES59" s="126"/>
      <c r="TET59" s="127"/>
      <c r="TEU59" s="121"/>
      <c r="TEV59" s="5"/>
      <c r="TEW59" s="5"/>
      <c r="TEX59" s="124"/>
      <c r="TEY59" s="121"/>
      <c r="TEZ59" s="125"/>
      <c r="TFA59" s="5"/>
      <c r="TFB59" s="117"/>
      <c r="TFC59" s="4"/>
      <c r="TFD59" s="126"/>
      <c r="TFE59" s="127"/>
      <c r="TFF59" s="121"/>
      <c r="TFG59" s="5"/>
      <c r="TFH59" s="5"/>
      <c r="TFI59" s="124"/>
      <c r="TFJ59" s="121"/>
      <c r="TFK59" s="125"/>
      <c r="TFL59" s="5"/>
      <c r="TFM59" s="117"/>
      <c r="TFN59" s="4"/>
      <c r="TFO59" s="126"/>
      <c r="TFP59" s="127"/>
      <c r="TFQ59" s="121"/>
      <c r="TFR59" s="5"/>
      <c r="TFS59" s="5"/>
      <c r="TFT59" s="124"/>
      <c r="TFU59" s="121"/>
      <c r="TFV59" s="125"/>
      <c r="TFW59" s="5"/>
      <c r="TFX59" s="117"/>
      <c r="TFY59" s="4"/>
      <c r="TFZ59" s="126"/>
      <c r="TGA59" s="127"/>
      <c r="TGB59" s="121"/>
      <c r="TGC59" s="5"/>
      <c r="TGD59" s="5"/>
      <c r="TGE59" s="124"/>
      <c r="TGF59" s="121"/>
      <c r="TGG59" s="125"/>
      <c r="TGH59" s="5"/>
      <c r="TGI59" s="117"/>
      <c r="TGJ59" s="4"/>
      <c r="TGK59" s="126"/>
      <c r="TGL59" s="127"/>
      <c r="TGM59" s="121"/>
      <c r="TGN59" s="5"/>
      <c r="TGO59" s="5"/>
      <c r="TGP59" s="124"/>
      <c r="TGQ59" s="121"/>
      <c r="TGR59" s="125"/>
      <c r="TGS59" s="5"/>
      <c r="TGT59" s="117"/>
      <c r="TGU59" s="4"/>
      <c r="TGV59" s="126"/>
      <c r="TGW59" s="127"/>
      <c r="TGX59" s="121"/>
      <c r="TGY59" s="5"/>
      <c r="TGZ59" s="5"/>
      <c r="THA59" s="124"/>
      <c r="THB59" s="121"/>
      <c r="THC59" s="125"/>
      <c r="THD59" s="5"/>
      <c r="THE59" s="117"/>
      <c r="THF59" s="4"/>
      <c r="THG59" s="126"/>
      <c r="THH59" s="127"/>
      <c r="THI59" s="121"/>
      <c r="THJ59" s="5"/>
      <c r="THK59" s="5"/>
      <c r="THL59" s="124"/>
      <c r="THM59" s="121"/>
      <c r="THN59" s="125"/>
      <c r="THO59" s="5"/>
      <c r="THP59" s="117"/>
      <c r="THQ59" s="4"/>
      <c r="THR59" s="126"/>
      <c r="THS59" s="127"/>
      <c r="THT59" s="121"/>
      <c r="THU59" s="5"/>
      <c r="THV59" s="5"/>
      <c r="THW59" s="124"/>
      <c r="THX59" s="121"/>
      <c r="THY59" s="125"/>
      <c r="THZ59" s="5"/>
      <c r="TIA59" s="117"/>
      <c r="TIB59" s="4"/>
      <c r="TIC59" s="126"/>
      <c r="TID59" s="127"/>
      <c r="TIE59" s="121"/>
      <c r="TIF59" s="5"/>
      <c r="TIG59" s="5"/>
      <c r="TIH59" s="124"/>
      <c r="TII59" s="121"/>
      <c r="TIJ59" s="125"/>
      <c r="TIK59" s="5"/>
      <c r="TIL59" s="117"/>
      <c r="TIM59" s="4"/>
      <c r="TIN59" s="126"/>
      <c r="TIO59" s="127"/>
      <c r="TIP59" s="121"/>
      <c r="TIQ59" s="5"/>
      <c r="TIR59" s="5"/>
      <c r="TIS59" s="124"/>
      <c r="TIT59" s="121"/>
      <c r="TIU59" s="125"/>
      <c r="TIV59" s="5"/>
      <c r="TIW59" s="117"/>
      <c r="TIX59" s="4"/>
      <c r="TIY59" s="126"/>
      <c r="TIZ59" s="127"/>
      <c r="TJA59" s="121"/>
      <c r="TJB59" s="5"/>
      <c r="TJC59" s="5"/>
      <c r="TJD59" s="124"/>
      <c r="TJE59" s="121"/>
      <c r="TJF59" s="125"/>
      <c r="TJG59" s="5"/>
      <c r="TJH59" s="117"/>
      <c r="TJI59" s="4"/>
      <c r="TJJ59" s="126"/>
      <c r="TJK59" s="127"/>
      <c r="TJL59" s="121"/>
      <c r="TJM59" s="5"/>
      <c r="TJN59" s="5"/>
      <c r="TJO59" s="124"/>
      <c r="TJP59" s="121"/>
      <c r="TJQ59" s="125"/>
      <c r="TJR59" s="5"/>
      <c r="TJS59" s="117"/>
      <c r="TJT59" s="4"/>
      <c r="TJU59" s="126"/>
      <c r="TJV59" s="127"/>
      <c r="TJW59" s="121"/>
      <c r="TJX59" s="5"/>
      <c r="TJY59" s="5"/>
      <c r="TJZ59" s="124"/>
      <c r="TKA59" s="121"/>
      <c r="TKB59" s="125"/>
      <c r="TKC59" s="5"/>
      <c r="TKD59" s="117"/>
      <c r="TKE59" s="4"/>
      <c r="TKF59" s="126"/>
      <c r="TKG59" s="127"/>
      <c r="TKH59" s="121"/>
      <c r="TKI59" s="5"/>
      <c r="TKJ59" s="5"/>
      <c r="TKK59" s="124"/>
      <c r="TKL59" s="121"/>
      <c r="TKM59" s="125"/>
      <c r="TKN59" s="5"/>
      <c r="TKO59" s="117"/>
      <c r="TKP59" s="4"/>
      <c r="TKQ59" s="126"/>
      <c r="TKR59" s="127"/>
      <c r="TKS59" s="121"/>
      <c r="TKT59" s="5"/>
      <c r="TKU59" s="5"/>
      <c r="TKV59" s="124"/>
      <c r="TKW59" s="121"/>
      <c r="TKX59" s="125"/>
      <c r="TKY59" s="5"/>
      <c r="TKZ59" s="117"/>
      <c r="TLA59" s="4"/>
      <c r="TLB59" s="126"/>
      <c r="TLC59" s="127"/>
      <c r="TLD59" s="121"/>
      <c r="TLE59" s="5"/>
      <c r="TLF59" s="5"/>
      <c r="TLG59" s="124"/>
      <c r="TLH59" s="121"/>
      <c r="TLI59" s="125"/>
      <c r="TLJ59" s="5"/>
      <c r="TLK59" s="117"/>
      <c r="TLL59" s="4"/>
      <c r="TLM59" s="126"/>
      <c r="TLN59" s="127"/>
      <c r="TLO59" s="121"/>
      <c r="TLP59" s="5"/>
      <c r="TLQ59" s="5"/>
      <c r="TLR59" s="124"/>
      <c r="TLS59" s="121"/>
      <c r="TLT59" s="125"/>
      <c r="TLU59" s="5"/>
      <c r="TLV59" s="117"/>
      <c r="TLW59" s="4"/>
      <c r="TLX59" s="126"/>
      <c r="TLY59" s="127"/>
      <c r="TLZ59" s="121"/>
      <c r="TMA59" s="5"/>
      <c r="TMB59" s="5"/>
      <c r="TMC59" s="124"/>
      <c r="TMD59" s="121"/>
      <c r="TME59" s="125"/>
      <c r="TMF59" s="5"/>
      <c r="TMG59" s="117"/>
      <c r="TMH59" s="4"/>
      <c r="TMI59" s="126"/>
      <c r="TMJ59" s="127"/>
      <c r="TMK59" s="121"/>
      <c r="TML59" s="5"/>
      <c r="TMM59" s="5"/>
      <c r="TMN59" s="124"/>
      <c r="TMO59" s="121"/>
      <c r="TMP59" s="125"/>
      <c r="TMQ59" s="5"/>
      <c r="TMR59" s="117"/>
      <c r="TMS59" s="4"/>
      <c r="TMT59" s="126"/>
      <c r="TMU59" s="127"/>
      <c r="TMV59" s="121"/>
      <c r="TMW59" s="5"/>
      <c r="TMX59" s="5"/>
      <c r="TMY59" s="124"/>
      <c r="TMZ59" s="121"/>
      <c r="TNA59" s="125"/>
      <c r="TNB59" s="5"/>
      <c r="TNC59" s="117"/>
      <c r="TND59" s="4"/>
      <c r="TNE59" s="126"/>
      <c r="TNF59" s="127"/>
      <c r="TNG59" s="121"/>
      <c r="TNH59" s="5"/>
      <c r="TNI59" s="5"/>
      <c r="TNJ59" s="124"/>
      <c r="TNK59" s="121"/>
      <c r="TNL59" s="125"/>
      <c r="TNM59" s="5"/>
      <c r="TNN59" s="117"/>
      <c r="TNO59" s="4"/>
      <c r="TNP59" s="126"/>
      <c r="TNQ59" s="127"/>
      <c r="TNR59" s="121"/>
      <c r="TNS59" s="5"/>
      <c r="TNT59" s="5"/>
      <c r="TNU59" s="124"/>
      <c r="TNV59" s="121"/>
      <c r="TNW59" s="125"/>
      <c r="TNX59" s="5"/>
      <c r="TNY59" s="117"/>
      <c r="TNZ59" s="4"/>
      <c r="TOA59" s="126"/>
      <c r="TOB59" s="127"/>
      <c r="TOC59" s="121"/>
      <c r="TOD59" s="5"/>
      <c r="TOE59" s="5"/>
      <c r="TOF59" s="124"/>
      <c r="TOG59" s="121"/>
      <c r="TOH59" s="125"/>
      <c r="TOI59" s="5"/>
      <c r="TOJ59" s="117"/>
      <c r="TOK59" s="4"/>
      <c r="TOL59" s="126"/>
      <c r="TOM59" s="127"/>
      <c r="TON59" s="121"/>
      <c r="TOO59" s="5"/>
      <c r="TOP59" s="5"/>
      <c r="TOQ59" s="124"/>
      <c r="TOR59" s="121"/>
      <c r="TOS59" s="125"/>
      <c r="TOT59" s="5"/>
      <c r="TOU59" s="117"/>
      <c r="TOV59" s="4"/>
      <c r="TOW59" s="126"/>
      <c r="TOX59" s="127"/>
      <c r="TOY59" s="121"/>
      <c r="TOZ59" s="5"/>
      <c r="TPA59" s="5"/>
      <c r="TPB59" s="124"/>
      <c r="TPC59" s="121"/>
      <c r="TPD59" s="125"/>
      <c r="TPE59" s="5"/>
      <c r="TPF59" s="117"/>
      <c r="TPG59" s="4"/>
      <c r="TPH59" s="126"/>
      <c r="TPI59" s="127"/>
      <c r="TPJ59" s="121"/>
      <c r="TPK59" s="5"/>
      <c r="TPL59" s="5"/>
      <c r="TPM59" s="124"/>
      <c r="TPN59" s="121"/>
      <c r="TPO59" s="125"/>
      <c r="TPP59" s="5"/>
      <c r="TPQ59" s="117"/>
      <c r="TPR59" s="4"/>
      <c r="TPS59" s="126"/>
      <c r="TPT59" s="127"/>
      <c r="TPU59" s="121"/>
      <c r="TPV59" s="5"/>
      <c r="TPW59" s="5"/>
      <c r="TPX59" s="124"/>
      <c r="TPY59" s="121"/>
      <c r="TPZ59" s="125"/>
      <c r="TQA59" s="5"/>
      <c r="TQB59" s="117"/>
      <c r="TQC59" s="4"/>
      <c r="TQD59" s="126"/>
      <c r="TQE59" s="127"/>
      <c r="TQF59" s="121"/>
      <c r="TQG59" s="5"/>
      <c r="TQH59" s="5"/>
      <c r="TQI59" s="124"/>
      <c r="TQJ59" s="121"/>
      <c r="TQK59" s="125"/>
      <c r="TQL59" s="5"/>
      <c r="TQM59" s="117"/>
      <c r="TQN59" s="4"/>
      <c r="TQO59" s="126"/>
      <c r="TQP59" s="127"/>
      <c r="TQQ59" s="121"/>
      <c r="TQR59" s="5"/>
      <c r="TQS59" s="5"/>
      <c r="TQT59" s="124"/>
      <c r="TQU59" s="121"/>
      <c r="TQV59" s="125"/>
      <c r="TQW59" s="5"/>
      <c r="TQX59" s="117"/>
      <c r="TQY59" s="4"/>
      <c r="TQZ59" s="126"/>
      <c r="TRA59" s="127"/>
      <c r="TRB59" s="121"/>
      <c r="TRC59" s="5"/>
      <c r="TRD59" s="5"/>
      <c r="TRE59" s="124"/>
      <c r="TRF59" s="121"/>
      <c r="TRG59" s="125"/>
      <c r="TRH59" s="5"/>
      <c r="TRI59" s="117"/>
      <c r="TRJ59" s="4"/>
      <c r="TRK59" s="126"/>
      <c r="TRL59" s="127"/>
      <c r="TRM59" s="121"/>
      <c r="TRN59" s="5"/>
      <c r="TRO59" s="5"/>
      <c r="TRP59" s="124"/>
      <c r="TRQ59" s="121"/>
      <c r="TRR59" s="125"/>
      <c r="TRS59" s="5"/>
      <c r="TRT59" s="117"/>
      <c r="TRU59" s="4"/>
      <c r="TRV59" s="126"/>
      <c r="TRW59" s="127"/>
      <c r="TRX59" s="121"/>
      <c r="TRY59" s="5"/>
      <c r="TRZ59" s="5"/>
      <c r="TSA59" s="124"/>
      <c r="TSB59" s="121"/>
      <c r="TSC59" s="125"/>
      <c r="TSD59" s="5"/>
      <c r="TSE59" s="117"/>
      <c r="TSF59" s="4"/>
      <c r="TSG59" s="126"/>
      <c r="TSH59" s="127"/>
      <c r="TSI59" s="121"/>
      <c r="TSJ59" s="5"/>
      <c r="TSK59" s="5"/>
      <c r="TSL59" s="124"/>
      <c r="TSM59" s="121"/>
      <c r="TSN59" s="125"/>
      <c r="TSO59" s="5"/>
      <c r="TSP59" s="117"/>
      <c r="TSQ59" s="4"/>
      <c r="TSR59" s="126"/>
      <c r="TSS59" s="127"/>
      <c r="TST59" s="121"/>
      <c r="TSU59" s="5"/>
      <c r="TSV59" s="5"/>
      <c r="TSW59" s="124"/>
      <c r="TSX59" s="121"/>
      <c r="TSY59" s="125"/>
      <c r="TSZ59" s="5"/>
      <c r="TTA59" s="117"/>
      <c r="TTB59" s="4"/>
      <c r="TTC59" s="126"/>
      <c r="TTD59" s="127"/>
      <c r="TTE59" s="121"/>
      <c r="TTF59" s="5"/>
      <c r="TTG59" s="5"/>
      <c r="TTH59" s="124"/>
      <c r="TTI59" s="121"/>
      <c r="TTJ59" s="125"/>
      <c r="TTK59" s="5"/>
      <c r="TTL59" s="117"/>
      <c r="TTM59" s="4"/>
      <c r="TTN59" s="126"/>
      <c r="TTO59" s="127"/>
      <c r="TTP59" s="121"/>
      <c r="TTQ59" s="5"/>
      <c r="TTR59" s="5"/>
      <c r="TTS59" s="124"/>
      <c r="TTT59" s="121"/>
      <c r="TTU59" s="125"/>
      <c r="TTV59" s="5"/>
      <c r="TTW59" s="117"/>
      <c r="TTX59" s="4"/>
      <c r="TTY59" s="126"/>
      <c r="TTZ59" s="127"/>
      <c r="TUA59" s="121"/>
      <c r="TUB59" s="5"/>
      <c r="TUC59" s="5"/>
      <c r="TUD59" s="124"/>
      <c r="TUE59" s="121"/>
      <c r="TUF59" s="125"/>
      <c r="TUG59" s="5"/>
      <c r="TUH59" s="117"/>
      <c r="TUI59" s="4"/>
      <c r="TUJ59" s="126"/>
      <c r="TUK59" s="127"/>
      <c r="TUL59" s="121"/>
      <c r="TUM59" s="5"/>
      <c r="TUN59" s="5"/>
      <c r="TUO59" s="124"/>
      <c r="TUP59" s="121"/>
      <c r="TUQ59" s="125"/>
      <c r="TUR59" s="5"/>
      <c r="TUS59" s="117"/>
      <c r="TUT59" s="4"/>
      <c r="TUU59" s="126"/>
      <c r="TUV59" s="127"/>
      <c r="TUW59" s="121"/>
      <c r="TUX59" s="5"/>
      <c r="TUY59" s="5"/>
      <c r="TUZ59" s="124"/>
      <c r="TVA59" s="121"/>
      <c r="TVB59" s="125"/>
      <c r="TVC59" s="5"/>
      <c r="TVD59" s="117"/>
      <c r="TVE59" s="4"/>
      <c r="TVF59" s="126"/>
      <c r="TVG59" s="127"/>
      <c r="TVH59" s="121"/>
      <c r="TVI59" s="5"/>
      <c r="TVJ59" s="5"/>
      <c r="TVK59" s="124"/>
      <c r="TVL59" s="121"/>
      <c r="TVM59" s="125"/>
      <c r="TVN59" s="5"/>
      <c r="TVO59" s="117"/>
      <c r="TVP59" s="4"/>
      <c r="TVQ59" s="126"/>
      <c r="TVR59" s="127"/>
      <c r="TVS59" s="121"/>
      <c r="TVT59" s="5"/>
      <c r="TVU59" s="5"/>
      <c r="TVV59" s="124"/>
      <c r="TVW59" s="121"/>
      <c r="TVX59" s="125"/>
      <c r="TVY59" s="5"/>
      <c r="TVZ59" s="117"/>
      <c r="TWA59" s="4"/>
      <c r="TWB59" s="126"/>
      <c r="TWC59" s="127"/>
      <c r="TWD59" s="121"/>
      <c r="TWE59" s="5"/>
      <c r="TWF59" s="5"/>
      <c r="TWG59" s="124"/>
      <c r="TWH59" s="121"/>
      <c r="TWI59" s="125"/>
      <c r="TWJ59" s="5"/>
      <c r="TWK59" s="117"/>
      <c r="TWL59" s="4"/>
      <c r="TWM59" s="126"/>
      <c r="TWN59" s="127"/>
      <c r="TWO59" s="121"/>
      <c r="TWP59" s="5"/>
      <c r="TWQ59" s="5"/>
      <c r="TWR59" s="124"/>
      <c r="TWS59" s="121"/>
      <c r="TWT59" s="125"/>
      <c r="TWU59" s="5"/>
      <c r="TWV59" s="117"/>
      <c r="TWW59" s="4"/>
      <c r="TWX59" s="126"/>
      <c r="TWY59" s="127"/>
      <c r="TWZ59" s="121"/>
      <c r="TXA59" s="5"/>
      <c r="TXB59" s="5"/>
      <c r="TXC59" s="124"/>
      <c r="TXD59" s="121"/>
      <c r="TXE59" s="125"/>
      <c r="TXF59" s="5"/>
      <c r="TXG59" s="117"/>
      <c r="TXH59" s="4"/>
      <c r="TXI59" s="126"/>
      <c r="TXJ59" s="127"/>
      <c r="TXK59" s="121"/>
      <c r="TXL59" s="5"/>
      <c r="TXM59" s="5"/>
      <c r="TXN59" s="124"/>
      <c r="TXO59" s="121"/>
      <c r="TXP59" s="125"/>
      <c r="TXQ59" s="5"/>
      <c r="TXR59" s="117"/>
      <c r="TXS59" s="4"/>
      <c r="TXT59" s="126"/>
      <c r="TXU59" s="127"/>
      <c r="TXV59" s="121"/>
      <c r="TXW59" s="5"/>
      <c r="TXX59" s="5"/>
      <c r="TXY59" s="124"/>
      <c r="TXZ59" s="121"/>
      <c r="TYA59" s="125"/>
      <c r="TYB59" s="5"/>
      <c r="TYC59" s="117"/>
      <c r="TYD59" s="4"/>
      <c r="TYE59" s="126"/>
      <c r="TYF59" s="127"/>
      <c r="TYG59" s="121"/>
      <c r="TYH59" s="5"/>
      <c r="TYI59" s="5"/>
      <c r="TYJ59" s="124"/>
      <c r="TYK59" s="121"/>
      <c r="TYL59" s="125"/>
      <c r="TYM59" s="5"/>
      <c r="TYN59" s="117"/>
      <c r="TYO59" s="4"/>
      <c r="TYP59" s="126"/>
      <c r="TYQ59" s="127"/>
      <c r="TYR59" s="121"/>
      <c r="TYS59" s="5"/>
      <c r="TYT59" s="5"/>
      <c r="TYU59" s="124"/>
      <c r="TYV59" s="121"/>
      <c r="TYW59" s="125"/>
      <c r="TYX59" s="5"/>
      <c r="TYY59" s="117"/>
      <c r="TYZ59" s="4"/>
      <c r="TZA59" s="126"/>
      <c r="TZB59" s="127"/>
      <c r="TZC59" s="121"/>
      <c r="TZD59" s="5"/>
      <c r="TZE59" s="5"/>
      <c r="TZF59" s="124"/>
      <c r="TZG59" s="121"/>
      <c r="TZH59" s="125"/>
      <c r="TZI59" s="5"/>
      <c r="TZJ59" s="117"/>
      <c r="TZK59" s="4"/>
      <c r="TZL59" s="126"/>
      <c r="TZM59" s="127"/>
      <c r="TZN59" s="121"/>
      <c r="TZO59" s="5"/>
      <c r="TZP59" s="5"/>
      <c r="TZQ59" s="124"/>
      <c r="TZR59" s="121"/>
      <c r="TZS59" s="125"/>
      <c r="TZT59" s="5"/>
      <c r="TZU59" s="117"/>
      <c r="TZV59" s="4"/>
      <c r="TZW59" s="126"/>
      <c r="TZX59" s="127"/>
      <c r="TZY59" s="121"/>
      <c r="TZZ59" s="5"/>
      <c r="UAA59" s="5"/>
      <c r="UAB59" s="124"/>
      <c r="UAC59" s="121"/>
      <c r="UAD59" s="125"/>
      <c r="UAE59" s="5"/>
      <c r="UAF59" s="117"/>
      <c r="UAG59" s="4"/>
      <c r="UAH59" s="126"/>
      <c r="UAI59" s="127"/>
      <c r="UAJ59" s="121"/>
      <c r="UAK59" s="5"/>
      <c r="UAL59" s="5"/>
      <c r="UAM59" s="124"/>
      <c r="UAN59" s="121"/>
      <c r="UAO59" s="125"/>
      <c r="UAP59" s="5"/>
      <c r="UAQ59" s="117"/>
      <c r="UAR59" s="4"/>
      <c r="UAS59" s="126"/>
      <c r="UAT59" s="127"/>
      <c r="UAU59" s="121"/>
      <c r="UAV59" s="5"/>
      <c r="UAW59" s="5"/>
      <c r="UAX59" s="124"/>
      <c r="UAY59" s="121"/>
      <c r="UAZ59" s="125"/>
      <c r="UBA59" s="5"/>
      <c r="UBB59" s="117"/>
      <c r="UBC59" s="4"/>
      <c r="UBD59" s="126"/>
      <c r="UBE59" s="127"/>
      <c r="UBF59" s="121"/>
      <c r="UBG59" s="5"/>
      <c r="UBH59" s="5"/>
      <c r="UBI59" s="124"/>
      <c r="UBJ59" s="121"/>
      <c r="UBK59" s="125"/>
      <c r="UBL59" s="5"/>
      <c r="UBM59" s="117"/>
      <c r="UBN59" s="4"/>
      <c r="UBO59" s="126"/>
      <c r="UBP59" s="127"/>
      <c r="UBQ59" s="121"/>
      <c r="UBR59" s="5"/>
      <c r="UBS59" s="5"/>
      <c r="UBT59" s="124"/>
      <c r="UBU59" s="121"/>
      <c r="UBV59" s="125"/>
      <c r="UBW59" s="5"/>
      <c r="UBX59" s="117"/>
      <c r="UBY59" s="4"/>
      <c r="UBZ59" s="126"/>
      <c r="UCA59" s="127"/>
      <c r="UCB59" s="121"/>
      <c r="UCC59" s="5"/>
      <c r="UCD59" s="5"/>
      <c r="UCE59" s="124"/>
      <c r="UCF59" s="121"/>
      <c r="UCG59" s="125"/>
      <c r="UCH59" s="5"/>
      <c r="UCI59" s="117"/>
      <c r="UCJ59" s="4"/>
      <c r="UCK59" s="126"/>
      <c r="UCL59" s="127"/>
      <c r="UCM59" s="121"/>
      <c r="UCN59" s="5"/>
      <c r="UCO59" s="5"/>
      <c r="UCP59" s="124"/>
      <c r="UCQ59" s="121"/>
      <c r="UCR59" s="125"/>
      <c r="UCS59" s="5"/>
      <c r="UCT59" s="117"/>
      <c r="UCU59" s="4"/>
      <c r="UCV59" s="126"/>
      <c r="UCW59" s="127"/>
      <c r="UCX59" s="121"/>
      <c r="UCY59" s="5"/>
      <c r="UCZ59" s="5"/>
      <c r="UDA59" s="124"/>
      <c r="UDB59" s="121"/>
      <c r="UDC59" s="125"/>
      <c r="UDD59" s="5"/>
      <c r="UDE59" s="117"/>
      <c r="UDF59" s="4"/>
      <c r="UDG59" s="126"/>
      <c r="UDH59" s="127"/>
      <c r="UDI59" s="121"/>
      <c r="UDJ59" s="5"/>
      <c r="UDK59" s="5"/>
      <c r="UDL59" s="124"/>
      <c r="UDM59" s="121"/>
      <c r="UDN59" s="125"/>
      <c r="UDO59" s="5"/>
      <c r="UDP59" s="117"/>
      <c r="UDQ59" s="4"/>
      <c r="UDR59" s="126"/>
      <c r="UDS59" s="127"/>
      <c r="UDT59" s="121"/>
      <c r="UDU59" s="5"/>
      <c r="UDV59" s="5"/>
      <c r="UDW59" s="124"/>
      <c r="UDX59" s="121"/>
      <c r="UDY59" s="125"/>
      <c r="UDZ59" s="5"/>
      <c r="UEA59" s="117"/>
      <c r="UEB59" s="4"/>
      <c r="UEC59" s="126"/>
      <c r="UED59" s="127"/>
      <c r="UEE59" s="121"/>
      <c r="UEF59" s="5"/>
      <c r="UEG59" s="5"/>
      <c r="UEH59" s="124"/>
      <c r="UEI59" s="121"/>
      <c r="UEJ59" s="125"/>
      <c r="UEK59" s="5"/>
      <c r="UEL59" s="117"/>
      <c r="UEM59" s="4"/>
      <c r="UEN59" s="126"/>
      <c r="UEO59" s="127"/>
      <c r="UEP59" s="121"/>
      <c r="UEQ59" s="5"/>
      <c r="UER59" s="5"/>
      <c r="UES59" s="124"/>
      <c r="UET59" s="121"/>
      <c r="UEU59" s="125"/>
      <c r="UEV59" s="5"/>
      <c r="UEW59" s="117"/>
      <c r="UEX59" s="4"/>
      <c r="UEY59" s="126"/>
      <c r="UEZ59" s="127"/>
      <c r="UFA59" s="121"/>
      <c r="UFB59" s="5"/>
      <c r="UFC59" s="5"/>
      <c r="UFD59" s="124"/>
      <c r="UFE59" s="121"/>
      <c r="UFF59" s="125"/>
      <c r="UFG59" s="5"/>
      <c r="UFH59" s="117"/>
      <c r="UFI59" s="4"/>
      <c r="UFJ59" s="126"/>
      <c r="UFK59" s="127"/>
      <c r="UFL59" s="121"/>
      <c r="UFM59" s="5"/>
      <c r="UFN59" s="5"/>
      <c r="UFO59" s="124"/>
      <c r="UFP59" s="121"/>
      <c r="UFQ59" s="125"/>
      <c r="UFR59" s="5"/>
      <c r="UFS59" s="117"/>
      <c r="UFT59" s="4"/>
      <c r="UFU59" s="126"/>
      <c r="UFV59" s="127"/>
      <c r="UFW59" s="121"/>
      <c r="UFX59" s="5"/>
      <c r="UFY59" s="5"/>
      <c r="UFZ59" s="124"/>
      <c r="UGA59" s="121"/>
      <c r="UGB59" s="125"/>
      <c r="UGC59" s="5"/>
      <c r="UGD59" s="117"/>
      <c r="UGE59" s="4"/>
      <c r="UGF59" s="126"/>
      <c r="UGG59" s="127"/>
      <c r="UGH59" s="121"/>
      <c r="UGI59" s="5"/>
      <c r="UGJ59" s="5"/>
      <c r="UGK59" s="124"/>
      <c r="UGL59" s="121"/>
      <c r="UGM59" s="125"/>
      <c r="UGN59" s="5"/>
      <c r="UGO59" s="117"/>
      <c r="UGP59" s="4"/>
      <c r="UGQ59" s="126"/>
      <c r="UGR59" s="127"/>
      <c r="UGS59" s="121"/>
      <c r="UGT59" s="5"/>
      <c r="UGU59" s="5"/>
      <c r="UGV59" s="124"/>
      <c r="UGW59" s="121"/>
      <c r="UGX59" s="125"/>
      <c r="UGY59" s="5"/>
      <c r="UGZ59" s="117"/>
      <c r="UHA59" s="4"/>
      <c r="UHB59" s="126"/>
      <c r="UHC59" s="127"/>
      <c r="UHD59" s="121"/>
      <c r="UHE59" s="5"/>
      <c r="UHF59" s="5"/>
      <c r="UHG59" s="124"/>
      <c r="UHH59" s="121"/>
      <c r="UHI59" s="125"/>
      <c r="UHJ59" s="5"/>
      <c r="UHK59" s="117"/>
      <c r="UHL59" s="4"/>
      <c r="UHM59" s="126"/>
      <c r="UHN59" s="127"/>
      <c r="UHO59" s="121"/>
      <c r="UHP59" s="5"/>
      <c r="UHQ59" s="5"/>
      <c r="UHR59" s="124"/>
      <c r="UHS59" s="121"/>
      <c r="UHT59" s="125"/>
      <c r="UHU59" s="5"/>
      <c r="UHV59" s="117"/>
      <c r="UHW59" s="4"/>
      <c r="UHX59" s="126"/>
      <c r="UHY59" s="127"/>
      <c r="UHZ59" s="121"/>
      <c r="UIA59" s="5"/>
      <c r="UIB59" s="5"/>
      <c r="UIC59" s="124"/>
      <c r="UID59" s="121"/>
      <c r="UIE59" s="125"/>
      <c r="UIF59" s="5"/>
      <c r="UIG59" s="117"/>
      <c r="UIH59" s="4"/>
      <c r="UII59" s="126"/>
      <c r="UIJ59" s="127"/>
      <c r="UIK59" s="121"/>
      <c r="UIL59" s="5"/>
      <c r="UIM59" s="5"/>
      <c r="UIN59" s="124"/>
      <c r="UIO59" s="121"/>
      <c r="UIP59" s="125"/>
      <c r="UIQ59" s="5"/>
      <c r="UIR59" s="117"/>
      <c r="UIS59" s="4"/>
      <c r="UIT59" s="126"/>
      <c r="UIU59" s="127"/>
      <c r="UIV59" s="121"/>
      <c r="UIW59" s="5"/>
      <c r="UIX59" s="5"/>
      <c r="UIY59" s="124"/>
      <c r="UIZ59" s="121"/>
      <c r="UJA59" s="125"/>
      <c r="UJB59" s="5"/>
      <c r="UJC59" s="117"/>
      <c r="UJD59" s="4"/>
      <c r="UJE59" s="126"/>
      <c r="UJF59" s="127"/>
      <c r="UJG59" s="121"/>
      <c r="UJH59" s="5"/>
      <c r="UJI59" s="5"/>
      <c r="UJJ59" s="124"/>
      <c r="UJK59" s="121"/>
      <c r="UJL59" s="125"/>
      <c r="UJM59" s="5"/>
      <c r="UJN59" s="117"/>
      <c r="UJO59" s="4"/>
      <c r="UJP59" s="126"/>
      <c r="UJQ59" s="127"/>
      <c r="UJR59" s="121"/>
      <c r="UJS59" s="5"/>
      <c r="UJT59" s="5"/>
      <c r="UJU59" s="124"/>
      <c r="UJV59" s="121"/>
      <c r="UJW59" s="125"/>
      <c r="UJX59" s="5"/>
      <c r="UJY59" s="117"/>
      <c r="UJZ59" s="4"/>
      <c r="UKA59" s="126"/>
      <c r="UKB59" s="127"/>
      <c r="UKC59" s="121"/>
      <c r="UKD59" s="5"/>
      <c r="UKE59" s="5"/>
      <c r="UKF59" s="124"/>
      <c r="UKG59" s="121"/>
      <c r="UKH59" s="125"/>
      <c r="UKI59" s="5"/>
      <c r="UKJ59" s="117"/>
      <c r="UKK59" s="4"/>
      <c r="UKL59" s="126"/>
      <c r="UKM59" s="127"/>
      <c r="UKN59" s="121"/>
      <c r="UKO59" s="5"/>
      <c r="UKP59" s="5"/>
      <c r="UKQ59" s="124"/>
      <c r="UKR59" s="121"/>
      <c r="UKS59" s="125"/>
      <c r="UKT59" s="5"/>
      <c r="UKU59" s="117"/>
      <c r="UKV59" s="4"/>
      <c r="UKW59" s="126"/>
      <c r="UKX59" s="127"/>
      <c r="UKY59" s="121"/>
      <c r="UKZ59" s="5"/>
      <c r="ULA59" s="5"/>
      <c r="ULB59" s="124"/>
      <c r="ULC59" s="121"/>
      <c r="ULD59" s="125"/>
      <c r="ULE59" s="5"/>
      <c r="ULF59" s="117"/>
      <c r="ULG59" s="4"/>
      <c r="ULH59" s="126"/>
      <c r="ULI59" s="127"/>
      <c r="ULJ59" s="121"/>
      <c r="ULK59" s="5"/>
      <c r="ULL59" s="5"/>
      <c r="ULM59" s="124"/>
      <c r="ULN59" s="121"/>
      <c r="ULO59" s="125"/>
      <c r="ULP59" s="5"/>
      <c r="ULQ59" s="117"/>
      <c r="ULR59" s="4"/>
      <c r="ULS59" s="126"/>
      <c r="ULT59" s="127"/>
      <c r="ULU59" s="121"/>
      <c r="ULV59" s="5"/>
      <c r="ULW59" s="5"/>
      <c r="ULX59" s="124"/>
      <c r="ULY59" s="121"/>
      <c r="ULZ59" s="125"/>
      <c r="UMA59" s="5"/>
      <c r="UMB59" s="117"/>
      <c r="UMC59" s="4"/>
      <c r="UMD59" s="126"/>
      <c r="UME59" s="127"/>
      <c r="UMF59" s="121"/>
      <c r="UMG59" s="5"/>
      <c r="UMH59" s="5"/>
      <c r="UMI59" s="124"/>
      <c r="UMJ59" s="121"/>
      <c r="UMK59" s="125"/>
      <c r="UML59" s="5"/>
      <c r="UMM59" s="117"/>
      <c r="UMN59" s="4"/>
      <c r="UMO59" s="126"/>
      <c r="UMP59" s="127"/>
      <c r="UMQ59" s="121"/>
      <c r="UMR59" s="5"/>
      <c r="UMS59" s="5"/>
      <c r="UMT59" s="124"/>
      <c r="UMU59" s="121"/>
      <c r="UMV59" s="125"/>
      <c r="UMW59" s="5"/>
      <c r="UMX59" s="117"/>
      <c r="UMY59" s="4"/>
      <c r="UMZ59" s="126"/>
      <c r="UNA59" s="127"/>
      <c r="UNB59" s="121"/>
      <c r="UNC59" s="5"/>
      <c r="UND59" s="5"/>
      <c r="UNE59" s="124"/>
      <c r="UNF59" s="121"/>
      <c r="UNG59" s="125"/>
      <c r="UNH59" s="5"/>
      <c r="UNI59" s="117"/>
      <c r="UNJ59" s="4"/>
      <c r="UNK59" s="126"/>
      <c r="UNL59" s="127"/>
      <c r="UNM59" s="121"/>
      <c r="UNN59" s="5"/>
      <c r="UNO59" s="5"/>
      <c r="UNP59" s="124"/>
      <c r="UNQ59" s="121"/>
      <c r="UNR59" s="125"/>
      <c r="UNS59" s="5"/>
      <c r="UNT59" s="117"/>
      <c r="UNU59" s="4"/>
      <c r="UNV59" s="126"/>
      <c r="UNW59" s="127"/>
      <c r="UNX59" s="121"/>
      <c r="UNY59" s="5"/>
      <c r="UNZ59" s="5"/>
      <c r="UOA59" s="124"/>
      <c r="UOB59" s="121"/>
      <c r="UOC59" s="125"/>
      <c r="UOD59" s="5"/>
      <c r="UOE59" s="117"/>
      <c r="UOF59" s="4"/>
      <c r="UOG59" s="126"/>
      <c r="UOH59" s="127"/>
      <c r="UOI59" s="121"/>
      <c r="UOJ59" s="5"/>
      <c r="UOK59" s="5"/>
      <c r="UOL59" s="124"/>
      <c r="UOM59" s="121"/>
      <c r="UON59" s="125"/>
      <c r="UOO59" s="5"/>
      <c r="UOP59" s="117"/>
      <c r="UOQ59" s="4"/>
      <c r="UOR59" s="126"/>
      <c r="UOS59" s="127"/>
      <c r="UOT59" s="121"/>
      <c r="UOU59" s="5"/>
      <c r="UOV59" s="5"/>
      <c r="UOW59" s="124"/>
      <c r="UOX59" s="121"/>
      <c r="UOY59" s="125"/>
      <c r="UOZ59" s="5"/>
      <c r="UPA59" s="117"/>
      <c r="UPB59" s="4"/>
      <c r="UPC59" s="126"/>
      <c r="UPD59" s="127"/>
      <c r="UPE59" s="121"/>
      <c r="UPF59" s="5"/>
      <c r="UPG59" s="5"/>
      <c r="UPH59" s="124"/>
      <c r="UPI59" s="121"/>
      <c r="UPJ59" s="125"/>
      <c r="UPK59" s="5"/>
      <c r="UPL59" s="117"/>
      <c r="UPM59" s="4"/>
      <c r="UPN59" s="126"/>
      <c r="UPO59" s="127"/>
      <c r="UPP59" s="121"/>
      <c r="UPQ59" s="5"/>
      <c r="UPR59" s="5"/>
      <c r="UPS59" s="124"/>
      <c r="UPT59" s="121"/>
      <c r="UPU59" s="125"/>
      <c r="UPV59" s="5"/>
      <c r="UPW59" s="117"/>
      <c r="UPX59" s="4"/>
      <c r="UPY59" s="126"/>
      <c r="UPZ59" s="127"/>
      <c r="UQA59" s="121"/>
      <c r="UQB59" s="5"/>
      <c r="UQC59" s="5"/>
      <c r="UQD59" s="124"/>
      <c r="UQE59" s="121"/>
      <c r="UQF59" s="125"/>
      <c r="UQG59" s="5"/>
      <c r="UQH59" s="117"/>
      <c r="UQI59" s="4"/>
      <c r="UQJ59" s="126"/>
      <c r="UQK59" s="127"/>
      <c r="UQL59" s="121"/>
      <c r="UQM59" s="5"/>
      <c r="UQN59" s="5"/>
      <c r="UQO59" s="124"/>
      <c r="UQP59" s="121"/>
      <c r="UQQ59" s="125"/>
      <c r="UQR59" s="5"/>
      <c r="UQS59" s="117"/>
      <c r="UQT59" s="4"/>
      <c r="UQU59" s="126"/>
      <c r="UQV59" s="127"/>
      <c r="UQW59" s="121"/>
      <c r="UQX59" s="5"/>
      <c r="UQY59" s="5"/>
      <c r="UQZ59" s="124"/>
      <c r="URA59" s="121"/>
      <c r="URB59" s="125"/>
      <c r="URC59" s="5"/>
      <c r="URD59" s="117"/>
      <c r="URE59" s="4"/>
      <c r="URF59" s="126"/>
      <c r="URG59" s="127"/>
      <c r="URH59" s="121"/>
      <c r="URI59" s="5"/>
      <c r="URJ59" s="5"/>
      <c r="URK59" s="124"/>
      <c r="URL59" s="121"/>
      <c r="URM59" s="125"/>
      <c r="URN59" s="5"/>
      <c r="URO59" s="117"/>
      <c r="URP59" s="4"/>
      <c r="URQ59" s="126"/>
      <c r="URR59" s="127"/>
      <c r="URS59" s="121"/>
      <c r="URT59" s="5"/>
      <c r="URU59" s="5"/>
      <c r="URV59" s="124"/>
      <c r="URW59" s="121"/>
      <c r="URX59" s="125"/>
      <c r="URY59" s="5"/>
      <c r="URZ59" s="117"/>
      <c r="USA59" s="4"/>
      <c r="USB59" s="126"/>
      <c r="USC59" s="127"/>
      <c r="USD59" s="121"/>
      <c r="USE59" s="5"/>
      <c r="USF59" s="5"/>
      <c r="USG59" s="124"/>
      <c r="USH59" s="121"/>
      <c r="USI59" s="125"/>
      <c r="USJ59" s="5"/>
      <c r="USK59" s="117"/>
      <c r="USL59" s="4"/>
      <c r="USM59" s="126"/>
      <c r="USN59" s="127"/>
      <c r="USO59" s="121"/>
      <c r="USP59" s="5"/>
      <c r="USQ59" s="5"/>
      <c r="USR59" s="124"/>
      <c r="USS59" s="121"/>
      <c r="UST59" s="125"/>
      <c r="USU59" s="5"/>
      <c r="USV59" s="117"/>
      <c r="USW59" s="4"/>
      <c r="USX59" s="126"/>
      <c r="USY59" s="127"/>
      <c r="USZ59" s="121"/>
      <c r="UTA59" s="5"/>
      <c r="UTB59" s="5"/>
      <c r="UTC59" s="124"/>
      <c r="UTD59" s="121"/>
      <c r="UTE59" s="125"/>
      <c r="UTF59" s="5"/>
      <c r="UTG59" s="117"/>
      <c r="UTH59" s="4"/>
      <c r="UTI59" s="126"/>
      <c r="UTJ59" s="127"/>
      <c r="UTK59" s="121"/>
      <c r="UTL59" s="5"/>
      <c r="UTM59" s="5"/>
      <c r="UTN59" s="124"/>
      <c r="UTO59" s="121"/>
      <c r="UTP59" s="125"/>
      <c r="UTQ59" s="5"/>
      <c r="UTR59" s="117"/>
      <c r="UTS59" s="4"/>
      <c r="UTT59" s="126"/>
      <c r="UTU59" s="127"/>
      <c r="UTV59" s="121"/>
      <c r="UTW59" s="5"/>
      <c r="UTX59" s="5"/>
      <c r="UTY59" s="124"/>
      <c r="UTZ59" s="121"/>
      <c r="UUA59" s="125"/>
      <c r="UUB59" s="5"/>
      <c r="UUC59" s="117"/>
      <c r="UUD59" s="4"/>
      <c r="UUE59" s="126"/>
      <c r="UUF59" s="127"/>
      <c r="UUG59" s="121"/>
      <c r="UUH59" s="5"/>
      <c r="UUI59" s="5"/>
      <c r="UUJ59" s="124"/>
      <c r="UUK59" s="121"/>
      <c r="UUL59" s="125"/>
      <c r="UUM59" s="5"/>
      <c r="UUN59" s="117"/>
      <c r="UUO59" s="4"/>
      <c r="UUP59" s="126"/>
      <c r="UUQ59" s="127"/>
      <c r="UUR59" s="121"/>
      <c r="UUS59" s="5"/>
      <c r="UUT59" s="5"/>
      <c r="UUU59" s="124"/>
      <c r="UUV59" s="121"/>
      <c r="UUW59" s="125"/>
      <c r="UUX59" s="5"/>
      <c r="UUY59" s="117"/>
      <c r="UUZ59" s="4"/>
      <c r="UVA59" s="126"/>
      <c r="UVB59" s="127"/>
      <c r="UVC59" s="121"/>
      <c r="UVD59" s="5"/>
      <c r="UVE59" s="5"/>
      <c r="UVF59" s="124"/>
      <c r="UVG59" s="121"/>
      <c r="UVH59" s="125"/>
      <c r="UVI59" s="5"/>
      <c r="UVJ59" s="117"/>
      <c r="UVK59" s="4"/>
      <c r="UVL59" s="126"/>
      <c r="UVM59" s="127"/>
      <c r="UVN59" s="121"/>
      <c r="UVO59" s="5"/>
      <c r="UVP59" s="5"/>
      <c r="UVQ59" s="124"/>
      <c r="UVR59" s="121"/>
      <c r="UVS59" s="125"/>
      <c r="UVT59" s="5"/>
      <c r="UVU59" s="117"/>
      <c r="UVV59" s="4"/>
      <c r="UVW59" s="126"/>
      <c r="UVX59" s="127"/>
      <c r="UVY59" s="121"/>
      <c r="UVZ59" s="5"/>
      <c r="UWA59" s="5"/>
      <c r="UWB59" s="124"/>
      <c r="UWC59" s="121"/>
      <c r="UWD59" s="125"/>
      <c r="UWE59" s="5"/>
      <c r="UWF59" s="117"/>
      <c r="UWG59" s="4"/>
      <c r="UWH59" s="126"/>
      <c r="UWI59" s="127"/>
      <c r="UWJ59" s="121"/>
      <c r="UWK59" s="5"/>
      <c r="UWL59" s="5"/>
      <c r="UWM59" s="124"/>
      <c r="UWN59" s="121"/>
      <c r="UWO59" s="125"/>
      <c r="UWP59" s="5"/>
      <c r="UWQ59" s="117"/>
      <c r="UWR59" s="4"/>
      <c r="UWS59" s="126"/>
      <c r="UWT59" s="127"/>
      <c r="UWU59" s="121"/>
      <c r="UWV59" s="5"/>
      <c r="UWW59" s="5"/>
      <c r="UWX59" s="124"/>
      <c r="UWY59" s="121"/>
      <c r="UWZ59" s="125"/>
      <c r="UXA59" s="5"/>
      <c r="UXB59" s="117"/>
      <c r="UXC59" s="4"/>
      <c r="UXD59" s="126"/>
      <c r="UXE59" s="127"/>
      <c r="UXF59" s="121"/>
      <c r="UXG59" s="5"/>
      <c r="UXH59" s="5"/>
      <c r="UXI59" s="124"/>
      <c r="UXJ59" s="121"/>
      <c r="UXK59" s="125"/>
      <c r="UXL59" s="5"/>
      <c r="UXM59" s="117"/>
      <c r="UXN59" s="4"/>
      <c r="UXO59" s="126"/>
      <c r="UXP59" s="127"/>
      <c r="UXQ59" s="121"/>
      <c r="UXR59" s="5"/>
      <c r="UXS59" s="5"/>
      <c r="UXT59" s="124"/>
      <c r="UXU59" s="121"/>
      <c r="UXV59" s="125"/>
      <c r="UXW59" s="5"/>
      <c r="UXX59" s="117"/>
      <c r="UXY59" s="4"/>
      <c r="UXZ59" s="126"/>
      <c r="UYA59" s="127"/>
      <c r="UYB59" s="121"/>
      <c r="UYC59" s="5"/>
      <c r="UYD59" s="5"/>
      <c r="UYE59" s="124"/>
      <c r="UYF59" s="121"/>
      <c r="UYG59" s="125"/>
      <c r="UYH59" s="5"/>
      <c r="UYI59" s="117"/>
      <c r="UYJ59" s="4"/>
      <c r="UYK59" s="126"/>
      <c r="UYL59" s="127"/>
      <c r="UYM59" s="121"/>
      <c r="UYN59" s="5"/>
      <c r="UYO59" s="5"/>
      <c r="UYP59" s="124"/>
      <c r="UYQ59" s="121"/>
      <c r="UYR59" s="125"/>
      <c r="UYS59" s="5"/>
      <c r="UYT59" s="117"/>
      <c r="UYU59" s="4"/>
      <c r="UYV59" s="126"/>
      <c r="UYW59" s="127"/>
      <c r="UYX59" s="121"/>
      <c r="UYY59" s="5"/>
      <c r="UYZ59" s="5"/>
      <c r="UZA59" s="124"/>
      <c r="UZB59" s="121"/>
      <c r="UZC59" s="125"/>
      <c r="UZD59" s="5"/>
      <c r="UZE59" s="117"/>
      <c r="UZF59" s="4"/>
      <c r="UZG59" s="126"/>
      <c r="UZH59" s="127"/>
      <c r="UZI59" s="121"/>
      <c r="UZJ59" s="5"/>
      <c r="UZK59" s="5"/>
      <c r="UZL59" s="124"/>
      <c r="UZM59" s="121"/>
      <c r="UZN59" s="125"/>
      <c r="UZO59" s="5"/>
      <c r="UZP59" s="117"/>
      <c r="UZQ59" s="4"/>
      <c r="UZR59" s="126"/>
      <c r="UZS59" s="127"/>
      <c r="UZT59" s="121"/>
      <c r="UZU59" s="5"/>
      <c r="UZV59" s="5"/>
      <c r="UZW59" s="124"/>
      <c r="UZX59" s="121"/>
      <c r="UZY59" s="125"/>
      <c r="UZZ59" s="5"/>
      <c r="VAA59" s="117"/>
      <c r="VAB59" s="4"/>
      <c r="VAC59" s="126"/>
      <c r="VAD59" s="127"/>
      <c r="VAE59" s="121"/>
      <c r="VAF59" s="5"/>
      <c r="VAG59" s="5"/>
      <c r="VAH59" s="124"/>
      <c r="VAI59" s="121"/>
      <c r="VAJ59" s="125"/>
      <c r="VAK59" s="5"/>
      <c r="VAL59" s="117"/>
      <c r="VAM59" s="4"/>
      <c r="VAN59" s="126"/>
      <c r="VAO59" s="127"/>
      <c r="VAP59" s="121"/>
      <c r="VAQ59" s="5"/>
      <c r="VAR59" s="5"/>
      <c r="VAS59" s="124"/>
      <c r="VAT59" s="121"/>
      <c r="VAU59" s="125"/>
      <c r="VAV59" s="5"/>
      <c r="VAW59" s="117"/>
      <c r="VAX59" s="4"/>
      <c r="VAY59" s="126"/>
      <c r="VAZ59" s="127"/>
      <c r="VBA59" s="121"/>
      <c r="VBB59" s="5"/>
      <c r="VBC59" s="5"/>
      <c r="VBD59" s="124"/>
      <c r="VBE59" s="121"/>
      <c r="VBF59" s="125"/>
      <c r="VBG59" s="5"/>
      <c r="VBH59" s="117"/>
      <c r="VBI59" s="4"/>
      <c r="VBJ59" s="126"/>
      <c r="VBK59" s="127"/>
      <c r="VBL59" s="121"/>
      <c r="VBM59" s="5"/>
      <c r="VBN59" s="5"/>
      <c r="VBO59" s="124"/>
      <c r="VBP59" s="121"/>
      <c r="VBQ59" s="125"/>
      <c r="VBR59" s="5"/>
      <c r="VBS59" s="117"/>
      <c r="VBT59" s="4"/>
      <c r="VBU59" s="126"/>
      <c r="VBV59" s="127"/>
      <c r="VBW59" s="121"/>
      <c r="VBX59" s="5"/>
      <c r="VBY59" s="5"/>
      <c r="VBZ59" s="124"/>
      <c r="VCA59" s="121"/>
      <c r="VCB59" s="125"/>
      <c r="VCC59" s="5"/>
      <c r="VCD59" s="117"/>
      <c r="VCE59" s="4"/>
      <c r="VCF59" s="126"/>
      <c r="VCG59" s="127"/>
      <c r="VCH59" s="121"/>
      <c r="VCI59" s="5"/>
      <c r="VCJ59" s="5"/>
      <c r="VCK59" s="124"/>
      <c r="VCL59" s="121"/>
      <c r="VCM59" s="125"/>
      <c r="VCN59" s="5"/>
      <c r="VCO59" s="117"/>
      <c r="VCP59" s="4"/>
      <c r="VCQ59" s="126"/>
      <c r="VCR59" s="127"/>
      <c r="VCS59" s="121"/>
      <c r="VCT59" s="5"/>
      <c r="VCU59" s="5"/>
      <c r="VCV59" s="124"/>
      <c r="VCW59" s="121"/>
      <c r="VCX59" s="125"/>
      <c r="VCY59" s="5"/>
      <c r="VCZ59" s="117"/>
      <c r="VDA59" s="4"/>
      <c r="VDB59" s="126"/>
      <c r="VDC59" s="127"/>
      <c r="VDD59" s="121"/>
      <c r="VDE59" s="5"/>
      <c r="VDF59" s="5"/>
      <c r="VDG59" s="124"/>
      <c r="VDH59" s="121"/>
      <c r="VDI59" s="125"/>
      <c r="VDJ59" s="5"/>
      <c r="VDK59" s="117"/>
      <c r="VDL59" s="4"/>
      <c r="VDM59" s="126"/>
      <c r="VDN59" s="127"/>
      <c r="VDO59" s="121"/>
      <c r="VDP59" s="5"/>
      <c r="VDQ59" s="5"/>
      <c r="VDR59" s="124"/>
      <c r="VDS59" s="121"/>
      <c r="VDT59" s="125"/>
      <c r="VDU59" s="5"/>
      <c r="VDV59" s="117"/>
      <c r="VDW59" s="4"/>
      <c r="VDX59" s="126"/>
      <c r="VDY59" s="127"/>
      <c r="VDZ59" s="121"/>
      <c r="VEA59" s="5"/>
      <c r="VEB59" s="5"/>
      <c r="VEC59" s="124"/>
      <c r="VED59" s="121"/>
      <c r="VEE59" s="125"/>
      <c r="VEF59" s="5"/>
      <c r="VEG59" s="117"/>
      <c r="VEH59" s="4"/>
      <c r="VEI59" s="126"/>
      <c r="VEJ59" s="127"/>
      <c r="VEK59" s="121"/>
      <c r="VEL59" s="5"/>
      <c r="VEM59" s="5"/>
      <c r="VEN59" s="124"/>
      <c r="VEO59" s="121"/>
      <c r="VEP59" s="125"/>
      <c r="VEQ59" s="5"/>
      <c r="VER59" s="117"/>
      <c r="VES59" s="4"/>
      <c r="VET59" s="126"/>
      <c r="VEU59" s="127"/>
      <c r="VEV59" s="121"/>
      <c r="VEW59" s="5"/>
      <c r="VEX59" s="5"/>
      <c r="VEY59" s="124"/>
      <c r="VEZ59" s="121"/>
      <c r="VFA59" s="125"/>
      <c r="VFB59" s="5"/>
      <c r="VFC59" s="117"/>
      <c r="VFD59" s="4"/>
      <c r="VFE59" s="126"/>
      <c r="VFF59" s="127"/>
      <c r="VFG59" s="121"/>
      <c r="VFH59" s="5"/>
      <c r="VFI59" s="5"/>
      <c r="VFJ59" s="124"/>
      <c r="VFK59" s="121"/>
      <c r="VFL59" s="125"/>
      <c r="VFM59" s="5"/>
      <c r="VFN59" s="117"/>
      <c r="VFO59" s="4"/>
      <c r="VFP59" s="126"/>
      <c r="VFQ59" s="127"/>
      <c r="VFR59" s="121"/>
      <c r="VFS59" s="5"/>
      <c r="VFT59" s="5"/>
      <c r="VFU59" s="124"/>
      <c r="VFV59" s="121"/>
      <c r="VFW59" s="125"/>
      <c r="VFX59" s="5"/>
      <c r="VFY59" s="117"/>
      <c r="VFZ59" s="4"/>
      <c r="VGA59" s="126"/>
      <c r="VGB59" s="127"/>
      <c r="VGC59" s="121"/>
      <c r="VGD59" s="5"/>
      <c r="VGE59" s="5"/>
      <c r="VGF59" s="124"/>
      <c r="VGG59" s="121"/>
      <c r="VGH59" s="125"/>
      <c r="VGI59" s="5"/>
      <c r="VGJ59" s="117"/>
      <c r="VGK59" s="4"/>
      <c r="VGL59" s="126"/>
      <c r="VGM59" s="127"/>
      <c r="VGN59" s="121"/>
      <c r="VGO59" s="5"/>
      <c r="VGP59" s="5"/>
      <c r="VGQ59" s="124"/>
      <c r="VGR59" s="121"/>
      <c r="VGS59" s="125"/>
      <c r="VGT59" s="5"/>
      <c r="VGU59" s="117"/>
      <c r="VGV59" s="4"/>
      <c r="VGW59" s="126"/>
      <c r="VGX59" s="127"/>
      <c r="VGY59" s="121"/>
      <c r="VGZ59" s="5"/>
      <c r="VHA59" s="5"/>
      <c r="VHB59" s="124"/>
      <c r="VHC59" s="121"/>
      <c r="VHD59" s="125"/>
      <c r="VHE59" s="5"/>
      <c r="VHF59" s="117"/>
      <c r="VHG59" s="4"/>
      <c r="VHH59" s="126"/>
      <c r="VHI59" s="127"/>
      <c r="VHJ59" s="121"/>
      <c r="VHK59" s="5"/>
      <c r="VHL59" s="5"/>
      <c r="VHM59" s="124"/>
      <c r="VHN59" s="121"/>
      <c r="VHO59" s="125"/>
      <c r="VHP59" s="5"/>
      <c r="VHQ59" s="117"/>
      <c r="VHR59" s="4"/>
      <c r="VHS59" s="126"/>
      <c r="VHT59" s="127"/>
      <c r="VHU59" s="121"/>
      <c r="VHV59" s="5"/>
      <c r="VHW59" s="5"/>
      <c r="VHX59" s="124"/>
      <c r="VHY59" s="121"/>
      <c r="VHZ59" s="125"/>
      <c r="VIA59" s="5"/>
      <c r="VIB59" s="117"/>
      <c r="VIC59" s="4"/>
      <c r="VID59" s="126"/>
      <c r="VIE59" s="127"/>
      <c r="VIF59" s="121"/>
      <c r="VIG59" s="5"/>
      <c r="VIH59" s="5"/>
      <c r="VII59" s="124"/>
      <c r="VIJ59" s="121"/>
      <c r="VIK59" s="125"/>
      <c r="VIL59" s="5"/>
      <c r="VIM59" s="117"/>
      <c r="VIN59" s="4"/>
      <c r="VIO59" s="126"/>
      <c r="VIP59" s="127"/>
      <c r="VIQ59" s="121"/>
      <c r="VIR59" s="5"/>
      <c r="VIS59" s="5"/>
      <c r="VIT59" s="124"/>
      <c r="VIU59" s="121"/>
      <c r="VIV59" s="125"/>
      <c r="VIW59" s="5"/>
      <c r="VIX59" s="117"/>
      <c r="VIY59" s="4"/>
      <c r="VIZ59" s="126"/>
      <c r="VJA59" s="127"/>
      <c r="VJB59" s="121"/>
      <c r="VJC59" s="5"/>
      <c r="VJD59" s="5"/>
      <c r="VJE59" s="124"/>
      <c r="VJF59" s="121"/>
      <c r="VJG59" s="125"/>
      <c r="VJH59" s="5"/>
      <c r="VJI59" s="117"/>
      <c r="VJJ59" s="4"/>
      <c r="VJK59" s="126"/>
      <c r="VJL59" s="127"/>
      <c r="VJM59" s="121"/>
      <c r="VJN59" s="5"/>
      <c r="VJO59" s="5"/>
      <c r="VJP59" s="124"/>
      <c r="VJQ59" s="121"/>
      <c r="VJR59" s="125"/>
      <c r="VJS59" s="5"/>
      <c r="VJT59" s="117"/>
      <c r="VJU59" s="4"/>
      <c r="VJV59" s="126"/>
      <c r="VJW59" s="127"/>
      <c r="VJX59" s="121"/>
      <c r="VJY59" s="5"/>
      <c r="VJZ59" s="5"/>
      <c r="VKA59" s="124"/>
      <c r="VKB59" s="121"/>
      <c r="VKC59" s="125"/>
      <c r="VKD59" s="5"/>
      <c r="VKE59" s="117"/>
      <c r="VKF59" s="4"/>
      <c r="VKG59" s="126"/>
      <c r="VKH59" s="127"/>
      <c r="VKI59" s="121"/>
      <c r="VKJ59" s="5"/>
      <c r="VKK59" s="5"/>
      <c r="VKL59" s="124"/>
      <c r="VKM59" s="121"/>
      <c r="VKN59" s="125"/>
      <c r="VKO59" s="5"/>
      <c r="VKP59" s="117"/>
      <c r="VKQ59" s="4"/>
      <c r="VKR59" s="126"/>
      <c r="VKS59" s="127"/>
      <c r="VKT59" s="121"/>
      <c r="VKU59" s="5"/>
      <c r="VKV59" s="5"/>
      <c r="VKW59" s="124"/>
      <c r="VKX59" s="121"/>
      <c r="VKY59" s="125"/>
      <c r="VKZ59" s="5"/>
      <c r="VLA59" s="117"/>
      <c r="VLB59" s="4"/>
      <c r="VLC59" s="126"/>
      <c r="VLD59" s="127"/>
      <c r="VLE59" s="121"/>
      <c r="VLF59" s="5"/>
      <c r="VLG59" s="5"/>
      <c r="VLH59" s="124"/>
      <c r="VLI59" s="121"/>
      <c r="VLJ59" s="125"/>
      <c r="VLK59" s="5"/>
      <c r="VLL59" s="117"/>
      <c r="VLM59" s="4"/>
      <c r="VLN59" s="126"/>
      <c r="VLO59" s="127"/>
      <c r="VLP59" s="121"/>
      <c r="VLQ59" s="5"/>
      <c r="VLR59" s="5"/>
      <c r="VLS59" s="124"/>
      <c r="VLT59" s="121"/>
      <c r="VLU59" s="125"/>
      <c r="VLV59" s="5"/>
      <c r="VLW59" s="117"/>
      <c r="VLX59" s="4"/>
      <c r="VLY59" s="126"/>
      <c r="VLZ59" s="127"/>
      <c r="VMA59" s="121"/>
      <c r="VMB59" s="5"/>
      <c r="VMC59" s="5"/>
      <c r="VMD59" s="124"/>
      <c r="VME59" s="121"/>
      <c r="VMF59" s="125"/>
      <c r="VMG59" s="5"/>
      <c r="VMH59" s="117"/>
      <c r="VMI59" s="4"/>
      <c r="VMJ59" s="126"/>
      <c r="VMK59" s="127"/>
      <c r="VML59" s="121"/>
      <c r="VMM59" s="5"/>
      <c r="VMN59" s="5"/>
      <c r="VMO59" s="124"/>
      <c r="VMP59" s="121"/>
      <c r="VMQ59" s="125"/>
      <c r="VMR59" s="5"/>
      <c r="VMS59" s="117"/>
      <c r="VMT59" s="4"/>
      <c r="VMU59" s="126"/>
      <c r="VMV59" s="127"/>
      <c r="VMW59" s="121"/>
      <c r="VMX59" s="5"/>
      <c r="VMY59" s="5"/>
      <c r="VMZ59" s="124"/>
      <c r="VNA59" s="121"/>
      <c r="VNB59" s="125"/>
      <c r="VNC59" s="5"/>
      <c r="VND59" s="117"/>
      <c r="VNE59" s="4"/>
      <c r="VNF59" s="126"/>
      <c r="VNG59" s="127"/>
      <c r="VNH59" s="121"/>
      <c r="VNI59" s="5"/>
      <c r="VNJ59" s="5"/>
      <c r="VNK59" s="124"/>
      <c r="VNL59" s="121"/>
      <c r="VNM59" s="125"/>
      <c r="VNN59" s="5"/>
      <c r="VNO59" s="117"/>
      <c r="VNP59" s="4"/>
      <c r="VNQ59" s="126"/>
      <c r="VNR59" s="127"/>
      <c r="VNS59" s="121"/>
      <c r="VNT59" s="5"/>
      <c r="VNU59" s="5"/>
      <c r="VNV59" s="124"/>
      <c r="VNW59" s="121"/>
      <c r="VNX59" s="125"/>
      <c r="VNY59" s="5"/>
      <c r="VNZ59" s="117"/>
      <c r="VOA59" s="4"/>
      <c r="VOB59" s="126"/>
      <c r="VOC59" s="127"/>
      <c r="VOD59" s="121"/>
      <c r="VOE59" s="5"/>
      <c r="VOF59" s="5"/>
      <c r="VOG59" s="124"/>
      <c r="VOH59" s="121"/>
      <c r="VOI59" s="125"/>
      <c r="VOJ59" s="5"/>
      <c r="VOK59" s="117"/>
      <c r="VOL59" s="4"/>
      <c r="VOM59" s="126"/>
      <c r="VON59" s="127"/>
      <c r="VOO59" s="121"/>
      <c r="VOP59" s="5"/>
      <c r="VOQ59" s="5"/>
      <c r="VOR59" s="124"/>
      <c r="VOS59" s="121"/>
      <c r="VOT59" s="125"/>
      <c r="VOU59" s="5"/>
      <c r="VOV59" s="117"/>
      <c r="VOW59" s="4"/>
      <c r="VOX59" s="126"/>
      <c r="VOY59" s="127"/>
      <c r="VOZ59" s="121"/>
      <c r="VPA59" s="5"/>
      <c r="VPB59" s="5"/>
      <c r="VPC59" s="124"/>
      <c r="VPD59" s="121"/>
      <c r="VPE59" s="125"/>
      <c r="VPF59" s="5"/>
      <c r="VPG59" s="117"/>
      <c r="VPH59" s="4"/>
      <c r="VPI59" s="126"/>
      <c r="VPJ59" s="127"/>
      <c r="VPK59" s="121"/>
      <c r="VPL59" s="5"/>
      <c r="VPM59" s="5"/>
      <c r="VPN59" s="124"/>
      <c r="VPO59" s="121"/>
      <c r="VPP59" s="125"/>
      <c r="VPQ59" s="5"/>
      <c r="VPR59" s="117"/>
      <c r="VPS59" s="4"/>
      <c r="VPT59" s="126"/>
      <c r="VPU59" s="127"/>
      <c r="VPV59" s="121"/>
      <c r="VPW59" s="5"/>
      <c r="VPX59" s="5"/>
      <c r="VPY59" s="124"/>
      <c r="VPZ59" s="121"/>
      <c r="VQA59" s="125"/>
      <c r="VQB59" s="5"/>
      <c r="VQC59" s="117"/>
      <c r="VQD59" s="4"/>
      <c r="VQE59" s="126"/>
      <c r="VQF59" s="127"/>
      <c r="VQG59" s="121"/>
      <c r="VQH59" s="5"/>
      <c r="VQI59" s="5"/>
      <c r="VQJ59" s="124"/>
      <c r="VQK59" s="121"/>
      <c r="VQL59" s="125"/>
      <c r="VQM59" s="5"/>
      <c r="VQN59" s="117"/>
      <c r="VQO59" s="4"/>
      <c r="VQP59" s="126"/>
      <c r="VQQ59" s="127"/>
      <c r="VQR59" s="121"/>
      <c r="VQS59" s="5"/>
      <c r="VQT59" s="5"/>
      <c r="VQU59" s="124"/>
      <c r="VQV59" s="121"/>
      <c r="VQW59" s="125"/>
      <c r="VQX59" s="5"/>
      <c r="VQY59" s="117"/>
      <c r="VQZ59" s="4"/>
      <c r="VRA59" s="126"/>
      <c r="VRB59" s="127"/>
      <c r="VRC59" s="121"/>
      <c r="VRD59" s="5"/>
      <c r="VRE59" s="5"/>
      <c r="VRF59" s="124"/>
      <c r="VRG59" s="121"/>
      <c r="VRH59" s="125"/>
      <c r="VRI59" s="5"/>
      <c r="VRJ59" s="117"/>
      <c r="VRK59" s="4"/>
      <c r="VRL59" s="126"/>
      <c r="VRM59" s="127"/>
      <c r="VRN59" s="121"/>
      <c r="VRO59" s="5"/>
      <c r="VRP59" s="5"/>
      <c r="VRQ59" s="124"/>
      <c r="VRR59" s="121"/>
      <c r="VRS59" s="125"/>
      <c r="VRT59" s="5"/>
      <c r="VRU59" s="117"/>
      <c r="VRV59" s="4"/>
      <c r="VRW59" s="126"/>
      <c r="VRX59" s="127"/>
      <c r="VRY59" s="121"/>
      <c r="VRZ59" s="5"/>
      <c r="VSA59" s="5"/>
      <c r="VSB59" s="124"/>
      <c r="VSC59" s="121"/>
      <c r="VSD59" s="125"/>
      <c r="VSE59" s="5"/>
      <c r="VSF59" s="117"/>
      <c r="VSG59" s="4"/>
      <c r="VSH59" s="126"/>
      <c r="VSI59" s="127"/>
      <c r="VSJ59" s="121"/>
      <c r="VSK59" s="5"/>
      <c r="VSL59" s="5"/>
      <c r="VSM59" s="124"/>
      <c r="VSN59" s="121"/>
      <c r="VSO59" s="125"/>
      <c r="VSP59" s="5"/>
      <c r="VSQ59" s="117"/>
      <c r="VSR59" s="4"/>
      <c r="VSS59" s="126"/>
      <c r="VST59" s="127"/>
      <c r="VSU59" s="121"/>
      <c r="VSV59" s="5"/>
      <c r="VSW59" s="5"/>
      <c r="VSX59" s="124"/>
      <c r="VSY59" s="121"/>
      <c r="VSZ59" s="125"/>
      <c r="VTA59" s="5"/>
      <c r="VTB59" s="117"/>
      <c r="VTC59" s="4"/>
      <c r="VTD59" s="126"/>
      <c r="VTE59" s="127"/>
      <c r="VTF59" s="121"/>
      <c r="VTG59" s="5"/>
      <c r="VTH59" s="5"/>
      <c r="VTI59" s="124"/>
      <c r="VTJ59" s="121"/>
      <c r="VTK59" s="125"/>
      <c r="VTL59" s="5"/>
      <c r="VTM59" s="117"/>
      <c r="VTN59" s="4"/>
      <c r="VTO59" s="126"/>
      <c r="VTP59" s="127"/>
      <c r="VTQ59" s="121"/>
      <c r="VTR59" s="5"/>
      <c r="VTS59" s="5"/>
      <c r="VTT59" s="124"/>
      <c r="VTU59" s="121"/>
      <c r="VTV59" s="125"/>
      <c r="VTW59" s="5"/>
      <c r="VTX59" s="117"/>
      <c r="VTY59" s="4"/>
      <c r="VTZ59" s="126"/>
      <c r="VUA59" s="127"/>
      <c r="VUB59" s="121"/>
      <c r="VUC59" s="5"/>
      <c r="VUD59" s="5"/>
      <c r="VUE59" s="124"/>
      <c r="VUF59" s="121"/>
      <c r="VUG59" s="125"/>
      <c r="VUH59" s="5"/>
      <c r="VUI59" s="117"/>
      <c r="VUJ59" s="4"/>
      <c r="VUK59" s="126"/>
      <c r="VUL59" s="127"/>
      <c r="VUM59" s="121"/>
      <c r="VUN59" s="5"/>
      <c r="VUO59" s="5"/>
      <c r="VUP59" s="124"/>
      <c r="VUQ59" s="121"/>
      <c r="VUR59" s="125"/>
      <c r="VUS59" s="5"/>
      <c r="VUT59" s="117"/>
      <c r="VUU59" s="4"/>
      <c r="VUV59" s="126"/>
      <c r="VUW59" s="127"/>
      <c r="VUX59" s="121"/>
      <c r="VUY59" s="5"/>
      <c r="VUZ59" s="5"/>
      <c r="VVA59" s="124"/>
      <c r="VVB59" s="121"/>
      <c r="VVC59" s="125"/>
      <c r="VVD59" s="5"/>
      <c r="VVE59" s="117"/>
      <c r="VVF59" s="4"/>
      <c r="VVG59" s="126"/>
      <c r="VVH59" s="127"/>
      <c r="VVI59" s="121"/>
      <c r="VVJ59" s="5"/>
      <c r="VVK59" s="5"/>
      <c r="VVL59" s="124"/>
      <c r="VVM59" s="121"/>
      <c r="VVN59" s="125"/>
      <c r="VVO59" s="5"/>
      <c r="VVP59" s="117"/>
      <c r="VVQ59" s="4"/>
      <c r="VVR59" s="126"/>
      <c r="VVS59" s="127"/>
      <c r="VVT59" s="121"/>
      <c r="VVU59" s="5"/>
      <c r="VVV59" s="5"/>
      <c r="VVW59" s="124"/>
      <c r="VVX59" s="121"/>
      <c r="VVY59" s="125"/>
      <c r="VVZ59" s="5"/>
      <c r="VWA59" s="117"/>
      <c r="VWB59" s="4"/>
      <c r="VWC59" s="126"/>
      <c r="VWD59" s="127"/>
      <c r="VWE59" s="121"/>
      <c r="VWF59" s="5"/>
      <c r="VWG59" s="5"/>
      <c r="VWH59" s="124"/>
      <c r="VWI59" s="121"/>
      <c r="VWJ59" s="125"/>
      <c r="VWK59" s="5"/>
      <c r="VWL59" s="117"/>
      <c r="VWM59" s="4"/>
      <c r="VWN59" s="126"/>
      <c r="VWO59" s="127"/>
      <c r="VWP59" s="121"/>
      <c r="VWQ59" s="5"/>
      <c r="VWR59" s="5"/>
      <c r="VWS59" s="124"/>
      <c r="VWT59" s="121"/>
      <c r="VWU59" s="125"/>
      <c r="VWV59" s="5"/>
      <c r="VWW59" s="117"/>
      <c r="VWX59" s="4"/>
      <c r="VWY59" s="126"/>
      <c r="VWZ59" s="127"/>
      <c r="VXA59" s="121"/>
      <c r="VXB59" s="5"/>
      <c r="VXC59" s="5"/>
      <c r="VXD59" s="124"/>
      <c r="VXE59" s="121"/>
      <c r="VXF59" s="125"/>
      <c r="VXG59" s="5"/>
      <c r="VXH59" s="117"/>
      <c r="VXI59" s="4"/>
      <c r="VXJ59" s="126"/>
      <c r="VXK59" s="127"/>
      <c r="VXL59" s="121"/>
      <c r="VXM59" s="5"/>
      <c r="VXN59" s="5"/>
      <c r="VXO59" s="124"/>
      <c r="VXP59" s="121"/>
      <c r="VXQ59" s="125"/>
      <c r="VXR59" s="5"/>
      <c r="VXS59" s="117"/>
      <c r="VXT59" s="4"/>
      <c r="VXU59" s="126"/>
      <c r="VXV59" s="127"/>
      <c r="VXW59" s="121"/>
      <c r="VXX59" s="5"/>
      <c r="VXY59" s="5"/>
      <c r="VXZ59" s="124"/>
      <c r="VYA59" s="121"/>
      <c r="VYB59" s="125"/>
      <c r="VYC59" s="5"/>
      <c r="VYD59" s="117"/>
      <c r="VYE59" s="4"/>
      <c r="VYF59" s="126"/>
      <c r="VYG59" s="127"/>
      <c r="VYH59" s="121"/>
      <c r="VYI59" s="5"/>
      <c r="VYJ59" s="5"/>
      <c r="VYK59" s="124"/>
      <c r="VYL59" s="121"/>
      <c r="VYM59" s="125"/>
      <c r="VYN59" s="5"/>
      <c r="VYO59" s="117"/>
      <c r="VYP59" s="4"/>
      <c r="VYQ59" s="126"/>
      <c r="VYR59" s="127"/>
      <c r="VYS59" s="121"/>
      <c r="VYT59" s="5"/>
      <c r="VYU59" s="5"/>
      <c r="VYV59" s="124"/>
      <c r="VYW59" s="121"/>
      <c r="VYX59" s="125"/>
      <c r="VYY59" s="5"/>
      <c r="VYZ59" s="117"/>
      <c r="VZA59" s="4"/>
      <c r="VZB59" s="126"/>
      <c r="VZC59" s="127"/>
      <c r="VZD59" s="121"/>
      <c r="VZE59" s="5"/>
      <c r="VZF59" s="5"/>
      <c r="VZG59" s="124"/>
      <c r="VZH59" s="121"/>
      <c r="VZI59" s="125"/>
      <c r="VZJ59" s="5"/>
      <c r="VZK59" s="117"/>
      <c r="VZL59" s="4"/>
      <c r="VZM59" s="126"/>
      <c r="VZN59" s="127"/>
      <c r="VZO59" s="121"/>
      <c r="VZP59" s="5"/>
      <c r="VZQ59" s="5"/>
      <c r="VZR59" s="124"/>
      <c r="VZS59" s="121"/>
      <c r="VZT59" s="125"/>
      <c r="VZU59" s="5"/>
      <c r="VZV59" s="117"/>
      <c r="VZW59" s="4"/>
      <c r="VZX59" s="126"/>
      <c r="VZY59" s="127"/>
      <c r="VZZ59" s="121"/>
      <c r="WAA59" s="5"/>
      <c r="WAB59" s="5"/>
      <c r="WAC59" s="124"/>
      <c r="WAD59" s="121"/>
      <c r="WAE59" s="125"/>
      <c r="WAF59" s="5"/>
      <c r="WAG59" s="117"/>
      <c r="WAH59" s="4"/>
      <c r="WAI59" s="126"/>
      <c r="WAJ59" s="127"/>
      <c r="WAK59" s="121"/>
      <c r="WAL59" s="5"/>
      <c r="WAM59" s="5"/>
      <c r="WAN59" s="124"/>
      <c r="WAO59" s="121"/>
      <c r="WAP59" s="125"/>
      <c r="WAQ59" s="5"/>
      <c r="WAR59" s="117"/>
      <c r="WAS59" s="4"/>
      <c r="WAT59" s="126"/>
      <c r="WAU59" s="127"/>
      <c r="WAV59" s="121"/>
      <c r="WAW59" s="5"/>
      <c r="WAX59" s="5"/>
      <c r="WAY59" s="124"/>
      <c r="WAZ59" s="121"/>
      <c r="WBA59" s="125"/>
      <c r="WBB59" s="5"/>
      <c r="WBC59" s="117"/>
      <c r="WBD59" s="4"/>
      <c r="WBE59" s="126"/>
      <c r="WBF59" s="127"/>
      <c r="WBG59" s="121"/>
      <c r="WBH59" s="5"/>
      <c r="WBI59" s="5"/>
      <c r="WBJ59" s="124"/>
      <c r="WBK59" s="121"/>
      <c r="WBL59" s="125"/>
      <c r="WBM59" s="5"/>
      <c r="WBN59" s="117"/>
      <c r="WBO59" s="4"/>
      <c r="WBP59" s="126"/>
      <c r="WBQ59" s="127"/>
      <c r="WBR59" s="121"/>
      <c r="WBS59" s="5"/>
      <c r="WBT59" s="5"/>
      <c r="WBU59" s="124"/>
      <c r="WBV59" s="121"/>
      <c r="WBW59" s="125"/>
      <c r="WBX59" s="5"/>
      <c r="WBY59" s="117"/>
      <c r="WBZ59" s="4"/>
      <c r="WCA59" s="126"/>
      <c r="WCB59" s="127"/>
      <c r="WCC59" s="121"/>
      <c r="WCD59" s="5"/>
      <c r="WCE59" s="5"/>
      <c r="WCF59" s="124"/>
      <c r="WCG59" s="121"/>
      <c r="WCH59" s="125"/>
      <c r="WCI59" s="5"/>
      <c r="WCJ59" s="117"/>
      <c r="WCK59" s="4"/>
      <c r="WCL59" s="126"/>
      <c r="WCM59" s="127"/>
      <c r="WCN59" s="121"/>
      <c r="WCO59" s="5"/>
      <c r="WCP59" s="5"/>
      <c r="WCQ59" s="124"/>
      <c r="WCR59" s="121"/>
      <c r="WCS59" s="125"/>
      <c r="WCT59" s="5"/>
      <c r="WCU59" s="117"/>
      <c r="WCV59" s="4"/>
      <c r="WCW59" s="126"/>
      <c r="WCX59" s="127"/>
      <c r="WCY59" s="121"/>
      <c r="WCZ59" s="5"/>
      <c r="WDA59" s="5"/>
      <c r="WDB59" s="124"/>
      <c r="WDC59" s="121"/>
      <c r="WDD59" s="125"/>
      <c r="WDE59" s="5"/>
      <c r="WDF59" s="117"/>
      <c r="WDG59" s="4"/>
      <c r="WDH59" s="126"/>
      <c r="WDI59" s="127"/>
      <c r="WDJ59" s="121"/>
      <c r="WDK59" s="5"/>
      <c r="WDL59" s="5"/>
      <c r="WDM59" s="124"/>
      <c r="WDN59" s="121"/>
      <c r="WDO59" s="125"/>
      <c r="WDP59" s="5"/>
      <c r="WDQ59" s="117"/>
      <c r="WDR59" s="4"/>
      <c r="WDS59" s="126"/>
      <c r="WDT59" s="127"/>
      <c r="WDU59" s="121"/>
      <c r="WDV59" s="5"/>
      <c r="WDW59" s="5"/>
      <c r="WDX59" s="124"/>
      <c r="WDY59" s="121"/>
      <c r="WDZ59" s="125"/>
      <c r="WEA59" s="5"/>
      <c r="WEB59" s="117"/>
      <c r="WEC59" s="4"/>
      <c r="WED59" s="126"/>
      <c r="WEE59" s="127"/>
      <c r="WEF59" s="121"/>
      <c r="WEG59" s="5"/>
      <c r="WEH59" s="5"/>
      <c r="WEI59" s="124"/>
      <c r="WEJ59" s="121"/>
      <c r="WEK59" s="125"/>
      <c r="WEL59" s="5"/>
      <c r="WEM59" s="117"/>
      <c r="WEN59" s="4"/>
      <c r="WEO59" s="126"/>
      <c r="WEP59" s="127"/>
      <c r="WEQ59" s="121"/>
      <c r="WER59" s="5"/>
      <c r="WES59" s="5"/>
      <c r="WET59" s="124"/>
      <c r="WEU59" s="121"/>
      <c r="WEV59" s="125"/>
      <c r="WEW59" s="5"/>
      <c r="WEX59" s="117"/>
      <c r="WEY59" s="4"/>
      <c r="WEZ59" s="126"/>
      <c r="WFA59" s="127"/>
      <c r="WFB59" s="121"/>
      <c r="WFC59" s="5"/>
      <c r="WFD59" s="5"/>
      <c r="WFE59" s="124"/>
      <c r="WFF59" s="121"/>
      <c r="WFG59" s="125"/>
      <c r="WFH59" s="5"/>
      <c r="WFI59" s="117"/>
      <c r="WFJ59" s="4"/>
      <c r="WFK59" s="126"/>
      <c r="WFL59" s="127"/>
      <c r="WFM59" s="121"/>
      <c r="WFN59" s="5"/>
      <c r="WFO59" s="5"/>
      <c r="WFP59" s="124"/>
      <c r="WFQ59" s="121"/>
      <c r="WFR59" s="125"/>
      <c r="WFS59" s="5"/>
      <c r="WFT59" s="117"/>
      <c r="WFU59" s="4"/>
      <c r="WFV59" s="126"/>
      <c r="WFW59" s="127"/>
      <c r="WFX59" s="121"/>
      <c r="WFY59" s="5"/>
      <c r="WFZ59" s="5"/>
      <c r="WGA59" s="124"/>
      <c r="WGB59" s="121"/>
      <c r="WGC59" s="125"/>
      <c r="WGD59" s="5"/>
      <c r="WGE59" s="117"/>
      <c r="WGF59" s="4"/>
      <c r="WGG59" s="126"/>
      <c r="WGH59" s="127"/>
      <c r="WGI59" s="121"/>
      <c r="WGJ59" s="5"/>
      <c r="WGK59" s="5"/>
      <c r="WGL59" s="124"/>
      <c r="WGM59" s="121"/>
      <c r="WGN59" s="125"/>
      <c r="WGO59" s="5"/>
      <c r="WGP59" s="117"/>
      <c r="WGQ59" s="4"/>
      <c r="WGR59" s="126"/>
      <c r="WGS59" s="127"/>
      <c r="WGT59" s="121"/>
      <c r="WGU59" s="5"/>
      <c r="WGV59" s="5"/>
      <c r="WGW59" s="124"/>
      <c r="WGX59" s="121"/>
      <c r="WGY59" s="125"/>
      <c r="WGZ59" s="5"/>
      <c r="WHA59" s="117"/>
      <c r="WHB59" s="4"/>
      <c r="WHC59" s="126"/>
      <c r="WHD59" s="127"/>
      <c r="WHE59" s="121"/>
      <c r="WHF59" s="5"/>
      <c r="WHG59" s="5"/>
      <c r="WHH59" s="124"/>
      <c r="WHI59" s="121"/>
      <c r="WHJ59" s="125"/>
      <c r="WHK59" s="5"/>
      <c r="WHL59" s="117"/>
      <c r="WHM59" s="4"/>
      <c r="WHN59" s="126"/>
      <c r="WHO59" s="127"/>
      <c r="WHP59" s="121"/>
      <c r="WHQ59" s="5"/>
      <c r="WHR59" s="5"/>
      <c r="WHS59" s="124"/>
      <c r="WHT59" s="121"/>
      <c r="WHU59" s="125"/>
      <c r="WHV59" s="5"/>
      <c r="WHW59" s="117"/>
      <c r="WHX59" s="4"/>
      <c r="WHY59" s="126"/>
      <c r="WHZ59" s="127"/>
      <c r="WIA59" s="121"/>
      <c r="WIB59" s="5"/>
      <c r="WIC59" s="5"/>
      <c r="WID59" s="124"/>
      <c r="WIE59" s="121"/>
      <c r="WIF59" s="125"/>
      <c r="WIG59" s="5"/>
      <c r="WIH59" s="117"/>
      <c r="WII59" s="4"/>
      <c r="WIJ59" s="126"/>
      <c r="WIK59" s="127"/>
      <c r="WIL59" s="121"/>
      <c r="WIM59" s="5"/>
      <c r="WIN59" s="5"/>
      <c r="WIO59" s="124"/>
      <c r="WIP59" s="121"/>
      <c r="WIQ59" s="125"/>
      <c r="WIR59" s="5"/>
      <c r="WIS59" s="117"/>
      <c r="WIT59" s="4"/>
      <c r="WIU59" s="126"/>
      <c r="WIV59" s="127"/>
      <c r="WIW59" s="121"/>
      <c r="WIX59" s="5"/>
      <c r="WIY59" s="5"/>
      <c r="WIZ59" s="124"/>
      <c r="WJA59" s="121"/>
      <c r="WJB59" s="125"/>
      <c r="WJC59" s="5"/>
      <c r="WJD59" s="117"/>
      <c r="WJE59" s="4"/>
      <c r="WJF59" s="126"/>
      <c r="WJG59" s="127"/>
      <c r="WJH59" s="121"/>
      <c r="WJI59" s="5"/>
      <c r="WJJ59" s="5"/>
      <c r="WJK59" s="124"/>
      <c r="WJL59" s="121"/>
      <c r="WJM59" s="125"/>
      <c r="WJN59" s="5"/>
      <c r="WJO59" s="117"/>
      <c r="WJP59" s="4"/>
      <c r="WJQ59" s="126"/>
      <c r="WJR59" s="127"/>
      <c r="WJS59" s="121"/>
      <c r="WJT59" s="5"/>
      <c r="WJU59" s="5"/>
      <c r="WJV59" s="124"/>
      <c r="WJW59" s="121"/>
      <c r="WJX59" s="125"/>
      <c r="WJY59" s="5"/>
      <c r="WJZ59" s="117"/>
      <c r="WKA59" s="4"/>
      <c r="WKB59" s="126"/>
      <c r="WKC59" s="127"/>
      <c r="WKD59" s="121"/>
      <c r="WKE59" s="5"/>
      <c r="WKF59" s="5"/>
      <c r="WKG59" s="124"/>
      <c r="WKH59" s="121"/>
      <c r="WKI59" s="125"/>
      <c r="WKJ59" s="5"/>
      <c r="WKK59" s="117"/>
      <c r="WKL59" s="4"/>
      <c r="WKM59" s="126"/>
      <c r="WKN59" s="127"/>
      <c r="WKO59" s="121"/>
      <c r="WKP59" s="5"/>
      <c r="WKQ59" s="5"/>
      <c r="WKR59" s="124"/>
      <c r="WKS59" s="121"/>
      <c r="WKT59" s="125"/>
      <c r="WKU59" s="5"/>
      <c r="WKV59" s="117"/>
      <c r="WKW59" s="4"/>
      <c r="WKX59" s="126"/>
      <c r="WKY59" s="127"/>
      <c r="WKZ59" s="121"/>
      <c r="WLA59" s="5"/>
      <c r="WLB59" s="5"/>
      <c r="WLC59" s="124"/>
      <c r="WLD59" s="121"/>
      <c r="WLE59" s="125"/>
      <c r="WLF59" s="5"/>
      <c r="WLG59" s="117"/>
      <c r="WLH59" s="4"/>
      <c r="WLI59" s="126"/>
      <c r="WLJ59" s="127"/>
      <c r="WLK59" s="121"/>
      <c r="WLL59" s="5"/>
      <c r="WLM59" s="5"/>
      <c r="WLN59" s="124"/>
      <c r="WLO59" s="121"/>
      <c r="WLP59" s="125"/>
      <c r="WLQ59" s="5"/>
      <c r="WLR59" s="117"/>
      <c r="WLS59" s="4"/>
      <c r="WLT59" s="126"/>
      <c r="WLU59" s="127"/>
      <c r="WLV59" s="121"/>
      <c r="WLW59" s="5"/>
      <c r="WLX59" s="5"/>
      <c r="WLY59" s="124"/>
      <c r="WLZ59" s="121"/>
      <c r="WMA59" s="125"/>
      <c r="WMB59" s="5"/>
      <c r="WMC59" s="117"/>
      <c r="WMD59" s="4"/>
      <c r="WME59" s="126"/>
      <c r="WMF59" s="127"/>
      <c r="WMG59" s="121"/>
      <c r="WMH59" s="5"/>
      <c r="WMI59" s="5"/>
      <c r="WMJ59" s="124"/>
      <c r="WMK59" s="121"/>
      <c r="WML59" s="125"/>
      <c r="WMM59" s="5"/>
      <c r="WMN59" s="117"/>
      <c r="WMO59" s="4"/>
      <c r="WMP59" s="126"/>
      <c r="WMQ59" s="127"/>
      <c r="WMR59" s="121"/>
      <c r="WMS59" s="5"/>
      <c r="WMT59" s="5"/>
      <c r="WMU59" s="124"/>
      <c r="WMV59" s="121"/>
      <c r="WMW59" s="125"/>
      <c r="WMX59" s="5"/>
      <c r="WMY59" s="117"/>
      <c r="WMZ59" s="4"/>
      <c r="WNA59" s="126"/>
      <c r="WNB59" s="127"/>
      <c r="WNC59" s="121"/>
      <c r="WND59" s="5"/>
      <c r="WNE59" s="5"/>
      <c r="WNF59" s="124"/>
      <c r="WNG59" s="121"/>
      <c r="WNH59" s="125"/>
      <c r="WNI59" s="5"/>
      <c r="WNJ59" s="117"/>
      <c r="WNK59" s="4"/>
      <c r="WNL59" s="126"/>
      <c r="WNM59" s="127"/>
      <c r="WNN59" s="121"/>
      <c r="WNO59" s="5"/>
      <c r="WNP59" s="5"/>
      <c r="WNQ59" s="124"/>
      <c r="WNR59" s="121"/>
      <c r="WNS59" s="125"/>
      <c r="WNT59" s="5"/>
      <c r="WNU59" s="117"/>
      <c r="WNV59" s="4"/>
      <c r="WNW59" s="126"/>
      <c r="WNX59" s="127"/>
      <c r="WNY59" s="121"/>
      <c r="WNZ59" s="5"/>
      <c r="WOA59" s="5"/>
      <c r="WOB59" s="124"/>
      <c r="WOC59" s="121"/>
      <c r="WOD59" s="125"/>
      <c r="WOE59" s="5"/>
      <c r="WOF59" s="117"/>
      <c r="WOG59" s="4"/>
      <c r="WOH59" s="126"/>
      <c r="WOI59" s="127"/>
      <c r="WOJ59" s="121"/>
      <c r="WOK59" s="5"/>
      <c r="WOL59" s="5"/>
      <c r="WOM59" s="124"/>
      <c r="WON59" s="121"/>
      <c r="WOO59" s="125"/>
      <c r="WOP59" s="5"/>
      <c r="WOQ59" s="117"/>
      <c r="WOR59" s="4"/>
      <c r="WOS59" s="126"/>
      <c r="WOT59" s="127"/>
      <c r="WOU59" s="121"/>
      <c r="WOV59" s="5"/>
      <c r="WOW59" s="5"/>
      <c r="WOX59" s="124"/>
      <c r="WOY59" s="121"/>
      <c r="WOZ59" s="125"/>
      <c r="WPA59" s="5"/>
      <c r="WPB59" s="117"/>
      <c r="WPC59" s="4"/>
      <c r="WPD59" s="126"/>
      <c r="WPE59" s="127"/>
      <c r="WPF59" s="121"/>
      <c r="WPG59" s="5"/>
      <c r="WPH59" s="5"/>
      <c r="WPI59" s="124"/>
      <c r="WPJ59" s="121"/>
      <c r="WPK59" s="125"/>
      <c r="WPL59" s="5"/>
      <c r="WPM59" s="117"/>
      <c r="WPN59" s="4"/>
      <c r="WPO59" s="126"/>
      <c r="WPP59" s="127"/>
      <c r="WPQ59" s="121"/>
      <c r="WPR59" s="5"/>
      <c r="WPS59" s="5"/>
      <c r="WPT59" s="124"/>
      <c r="WPU59" s="121"/>
      <c r="WPV59" s="125"/>
      <c r="WPW59" s="5"/>
      <c r="WPX59" s="117"/>
      <c r="WPY59" s="4"/>
      <c r="WPZ59" s="126"/>
      <c r="WQA59" s="127"/>
      <c r="WQB59" s="121"/>
      <c r="WQC59" s="5"/>
      <c r="WQD59" s="5"/>
      <c r="WQE59" s="124"/>
      <c r="WQF59" s="121"/>
      <c r="WQG59" s="125"/>
      <c r="WQH59" s="5"/>
      <c r="WQI59" s="117"/>
      <c r="WQJ59" s="4"/>
      <c r="WQK59" s="126"/>
      <c r="WQL59" s="127"/>
      <c r="WQM59" s="121"/>
      <c r="WQN59" s="5"/>
      <c r="WQO59" s="5"/>
      <c r="WQP59" s="124"/>
      <c r="WQQ59" s="121"/>
      <c r="WQR59" s="125"/>
      <c r="WQS59" s="5"/>
      <c r="WQT59" s="117"/>
      <c r="WQU59" s="4"/>
      <c r="WQV59" s="126"/>
      <c r="WQW59" s="127"/>
      <c r="WQX59" s="121"/>
      <c r="WQY59" s="5"/>
      <c r="WQZ59" s="5"/>
      <c r="WRA59" s="124"/>
      <c r="WRB59" s="121"/>
      <c r="WRC59" s="125"/>
      <c r="WRD59" s="5"/>
      <c r="WRE59" s="117"/>
      <c r="WRF59" s="4"/>
      <c r="WRG59" s="126"/>
      <c r="WRH59" s="127"/>
      <c r="WRI59" s="121"/>
      <c r="WRJ59" s="5"/>
      <c r="WRK59" s="5"/>
      <c r="WRL59" s="124"/>
      <c r="WRM59" s="121"/>
      <c r="WRN59" s="125"/>
      <c r="WRO59" s="5"/>
      <c r="WRP59" s="117"/>
      <c r="WRQ59" s="4"/>
      <c r="WRR59" s="126"/>
      <c r="WRS59" s="127"/>
      <c r="WRT59" s="121"/>
      <c r="WRU59" s="5"/>
      <c r="WRV59" s="5"/>
      <c r="WRW59" s="124"/>
      <c r="WRX59" s="121"/>
      <c r="WRY59" s="125"/>
      <c r="WRZ59" s="5"/>
      <c r="WSA59" s="117"/>
      <c r="WSB59" s="4"/>
      <c r="WSC59" s="126"/>
      <c r="WSD59" s="127"/>
      <c r="WSE59" s="121"/>
      <c r="WSF59" s="5"/>
      <c r="WSG59" s="5"/>
      <c r="WSH59" s="124"/>
      <c r="WSI59" s="121"/>
      <c r="WSJ59" s="125"/>
      <c r="WSK59" s="5"/>
      <c r="WSL59" s="117"/>
      <c r="WSM59" s="4"/>
      <c r="WSN59" s="126"/>
      <c r="WSO59" s="127"/>
      <c r="WSP59" s="121"/>
      <c r="WSQ59" s="5"/>
      <c r="WSR59" s="5"/>
      <c r="WSS59" s="124"/>
      <c r="WST59" s="121"/>
      <c r="WSU59" s="125"/>
      <c r="WSV59" s="5"/>
      <c r="WSW59" s="117"/>
      <c r="WSX59" s="4"/>
      <c r="WSY59" s="126"/>
      <c r="WSZ59" s="127"/>
      <c r="WTA59" s="121"/>
      <c r="WTB59" s="5"/>
      <c r="WTC59" s="5"/>
      <c r="WTD59" s="124"/>
      <c r="WTE59" s="121"/>
      <c r="WTF59" s="125"/>
      <c r="WTG59" s="5"/>
      <c r="WTH59" s="117"/>
      <c r="WTI59" s="4"/>
      <c r="WTJ59" s="126"/>
      <c r="WTK59" s="127"/>
      <c r="WTL59" s="121"/>
      <c r="WTM59" s="5"/>
      <c r="WTN59" s="5"/>
      <c r="WTO59" s="124"/>
      <c r="WTP59" s="121"/>
      <c r="WTQ59" s="125"/>
      <c r="WTR59" s="5"/>
      <c r="WTS59" s="117"/>
      <c r="WTT59" s="4"/>
      <c r="WTU59" s="126"/>
      <c r="WTV59" s="127"/>
      <c r="WTW59" s="121"/>
      <c r="WTX59" s="5"/>
      <c r="WTY59" s="5"/>
      <c r="WTZ59" s="124"/>
      <c r="WUA59" s="121"/>
      <c r="WUB59" s="125"/>
      <c r="WUC59" s="5"/>
      <c r="WUD59" s="117"/>
      <c r="WUE59" s="4"/>
      <c r="WUF59" s="126"/>
      <c r="WUG59" s="127"/>
      <c r="WUH59" s="121"/>
      <c r="WUI59" s="5"/>
      <c r="WUJ59" s="5"/>
      <c r="WUK59" s="124"/>
      <c r="WUL59" s="121"/>
      <c r="WUM59" s="125"/>
      <c r="WUN59" s="5"/>
      <c r="WUO59" s="117"/>
      <c r="WUP59" s="4"/>
      <c r="WUQ59" s="126"/>
      <c r="WUR59" s="127"/>
      <c r="WUS59" s="121"/>
      <c r="WUT59" s="5"/>
      <c r="WUU59" s="5"/>
      <c r="WUV59" s="124"/>
      <c r="WUW59" s="121"/>
      <c r="WUX59" s="125"/>
      <c r="WUY59" s="5"/>
      <c r="WUZ59" s="117"/>
      <c r="WVA59" s="4"/>
      <c r="WVB59" s="126"/>
      <c r="WVC59" s="127"/>
      <c r="WVD59" s="121"/>
      <c r="WVE59" s="5"/>
      <c r="WVF59" s="5"/>
      <c r="WVG59" s="124"/>
      <c r="WVH59" s="121"/>
      <c r="WVI59" s="125"/>
      <c r="WVJ59" s="5"/>
      <c r="WVK59" s="117"/>
      <c r="WVL59" s="4"/>
      <c r="WVM59" s="126"/>
      <c r="WVN59" s="127"/>
      <c r="WVO59" s="121"/>
      <c r="WVP59" s="5"/>
      <c r="WVQ59" s="5"/>
      <c r="WVR59" s="124"/>
      <c r="WVS59" s="121"/>
      <c r="WVT59" s="125"/>
      <c r="WVU59" s="5"/>
      <c r="WVV59" s="117"/>
      <c r="WVW59" s="4"/>
      <c r="WVX59" s="126"/>
      <c r="WVY59" s="127"/>
      <c r="WVZ59" s="121"/>
      <c r="WWA59" s="5"/>
      <c r="WWB59" s="5"/>
      <c r="WWC59" s="124"/>
      <c r="WWD59" s="121"/>
      <c r="WWE59" s="125"/>
      <c r="WWF59" s="5"/>
      <c r="WWG59" s="117"/>
      <c r="WWH59" s="4"/>
      <c r="WWI59" s="126"/>
      <c r="WWJ59" s="127"/>
      <c r="WWK59" s="121"/>
      <c r="WWL59" s="5"/>
      <c r="WWM59" s="5"/>
      <c r="WWN59" s="124"/>
      <c r="WWO59" s="121"/>
      <c r="WWP59" s="125"/>
      <c r="WWQ59" s="5"/>
      <c r="WWR59" s="117"/>
      <c r="WWS59" s="4"/>
      <c r="WWT59" s="126"/>
      <c r="WWU59" s="127"/>
      <c r="WWV59" s="121"/>
      <c r="WWW59" s="5"/>
      <c r="WWX59" s="5"/>
      <c r="WWY59" s="124"/>
      <c r="WWZ59" s="121"/>
      <c r="WXA59" s="125"/>
      <c r="WXB59" s="5"/>
      <c r="WXC59" s="117"/>
      <c r="WXD59" s="4"/>
      <c r="WXE59" s="126"/>
      <c r="WXF59" s="127"/>
      <c r="WXG59" s="121"/>
      <c r="WXH59" s="5"/>
      <c r="WXI59" s="5"/>
      <c r="WXJ59" s="124"/>
      <c r="WXK59" s="121"/>
      <c r="WXL59" s="125"/>
      <c r="WXM59" s="5"/>
      <c r="WXN59" s="117"/>
      <c r="WXO59" s="4"/>
      <c r="WXP59" s="126"/>
      <c r="WXQ59" s="127"/>
      <c r="WXR59" s="121"/>
      <c r="WXS59" s="5"/>
      <c r="WXT59" s="5"/>
      <c r="WXU59" s="124"/>
      <c r="WXV59" s="121"/>
      <c r="WXW59" s="125"/>
      <c r="WXX59" s="5"/>
      <c r="WXY59" s="117"/>
      <c r="WXZ59" s="4"/>
      <c r="WYA59" s="126"/>
      <c r="WYB59" s="127"/>
      <c r="WYC59" s="121"/>
      <c r="WYD59" s="5"/>
      <c r="WYE59" s="5"/>
      <c r="WYF59" s="124"/>
      <c r="WYG59" s="121"/>
      <c r="WYH59" s="125"/>
      <c r="WYI59" s="5"/>
      <c r="WYJ59" s="117"/>
      <c r="WYK59" s="4"/>
      <c r="WYL59" s="126"/>
      <c r="WYM59" s="127"/>
      <c r="WYN59" s="121"/>
      <c r="WYO59" s="5"/>
      <c r="WYP59" s="5"/>
      <c r="WYQ59" s="124"/>
      <c r="WYR59" s="121"/>
      <c r="WYS59" s="125"/>
      <c r="WYT59" s="5"/>
      <c r="WYU59" s="117"/>
      <c r="WYV59" s="4"/>
      <c r="WYW59" s="126"/>
      <c r="WYX59" s="127"/>
      <c r="WYY59" s="121"/>
      <c r="WYZ59" s="5"/>
      <c r="WZA59" s="5"/>
      <c r="WZB59" s="124"/>
      <c r="WZC59" s="121"/>
      <c r="WZD59" s="125"/>
      <c r="WZE59" s="5"/>
      <c r="WZF59" s="117"/>
      <c r="WZG59" s="4"/>
      <c r="WZH59" s="126"/>
      <c r="WZI59" s="127"/>
      <c r="WZJ59" s="121"/>
      <c r="WZK59" s="5"/>
      <c r="WZL59" s="5"/>
      <c r="WZM59" s="124"/>
      <c r="WZN59" s="121"/>
      <c r="WZO59" s="125"/>
      <c r="WZP59" s="5"/>
      <c r="WZQ59" s="117"/>
      <c r="WZR59" s="4"/>
      <c r="WZS59" s="126"/>
      <c r="WZT59" s="127"/>
      <c r="WZU59" s="121"/>
      <c r="WZV59" s="5"/>
      <c r="WZW59" s="5"/>
      <c r="WZX59" s="124"/>
      <c r="WZY59" s="121"/>
      <c r="WZZ59" s="125"/>
      <c r="XAA59" s="5"/>
      <c r="XAB59" s="117"/>
      <c r="XAC59" s="4"/>
      <c r="XAD59" s="126"/>
      <c r="XAE59" s="127"/>
      <c r="XAF59" s="121"/>
      <c r="XAG59" s="5"/>
      <c r="XAH59" s="5"/>
      <c r="XAI59" s="124"/>
      <c r="XAJ59" s="121"/>
      <c r="XAK59" s="125"/>
      <c r="XAL59" s="5"/>
      <c r="XAM59" s="117"/>
      <c r="XAN59" s="4"/>
      <c r="XAO59" s="126"/>
      <c r="XAP59" s="127"/>
      <c r="XAQ59" s="121"/>
      <c r="XAR59" s="5"/>
      <c r="XAS59" s="5"/>
      <c r="XAT59" s="124"/>
      <c r="XAU59" s="121"/>
      <c r="XAV59" s="125"/>
      <c r="XAW59" s="5"/>
      <c r="XAX59" s="117"/>
      <c r="XAY59" s="4"/>
      <c r="XAZ59" s="126"/>
      <c r="XBA59" s="127"/>
      <c r="XBB59" s="121"/>
      <c r="XBC59" s="5"/>
      <c r="XBD59" s="5"/>
      <c r="XBE59" s="124"/>
      <c r="XBF59" s="121"/>
      <c r="XBG59" s="125"/>
      <c r="XBH59" s="5"/>
      <c r="XBI59" s="117"/>
      <c r="XBJ59" s="4"/>
      <c r="XBK59" s="126"/>
      <c r="XBL59" s="127"/>
      <c r="XBM59" s="121"/>
      <c r="XBN59" s="5"/>
      <c r="XBO59" s="5"/>
      <c r="XBP59" s="124"/>
      <c r="XBQ59" s="121"/>
      <c r="XBR59" s="125"/>
      <c r="XBS59" s="5"/>
      <c r="XBT59" s="117"/>
      <c r="XBU59" s="4"/>
      <c r="XBV59" s="126"/>
      <c r="XBW59" s="127"/>
      <c r="XBX59" s="121"/>
      <c r="XBY59" s="5"/>
      <c r="XBZ59" s="5"/>
      <c r="XCA59" s="124"/>
      <c r="XCB59" s="121"/>
      <c r="XCC59" s="125"/>
      <c r="XCD59" s="5"/>
      <c r="XCE59" s="117"/>
      <c r="XCF59" s="4"/>
      <c r="XCG59" s="126"/>
      <c r="XCH59" s="127"/>
      <c r="XCI59" s="121"/>
      <c r="XCJ59" s="5"/>
      <c r="XCK59" s="5"/>
      <c r="XCL59" s="124"/>
      <c r="XCM59" s="121"/>
      <c r="XCN59" s="125"/>
      <c r="XCO59" s="5"/>
      <c r="XCP59" s="117"/>
      <c r="XCQ59" s="4"/>
      <c r="XCR59" s="126"/>
      <c r="XCS59" s="127"/>
      <c r="XCT59" s="121"/>
      <c r="XCU59" s="5"/>
      <c r="XCV59" s="5"/>
      <c r="XCW59" s="124"/>
      <c r="XCX59" s="121"/>
      <c r="XCY59" s="125"/>
      <c r="XCZ59" s="5"/>
      <c r="XDA59" s="117"/>
      <c r="XDB59" s="4"/>
      <c r="XDC59" s="126"/>
      <c r="XDD59" s="127"/>
      <c r="XDE59" s="121"/>
      <c r="XDF59" s="5"/>
      <c r="XDG59" s="5"/>
      <c r="XDH59" s="124"/>
      <c r="XDI59" s="121"/>
      <c r="XDJ59" s="125"/>
      <c r="XDK59" s="5"/>
      <c r="XDL59" s="117"/>
      <c r="XDM59" s="4"/>
      <c r="XDN59" s="126"/>
      <c r="XDO59" s="127"/>
      <c r="XDP59" s="121"/>
      <c r="XDQ59" s="5"/>
      <c r="XDR59" s="5"/>
      <c r="XDS59" s="124"/>
      <c r="XDT59" s="121"/>
      <c r="XDU59" s="125"/>
      <c r="XDV59" s="5"/>
      <c r="XDW59" s="117"/>
      <c r="XDX59" s="4"/>
      <c r="XDY59" s="126"/>
      <c r="XDZ59" s="127"/>
      <c r="XEA59" s="121"/>
      <c r="XEB59" s="5"/>
      <c r="XEC59" s="5"/>
      <c r="XED59" s="124"/>
      <c r="XEE59" s="121"/>
      <c r="XEF59" s="125"/>
      <c r="XEG59" s="5"/>
      <c r="XEH59" s="117"/>
      <c r="XEI59" s="4"/>
      <c r="XEJ59" s="126"/>
      <c r="XEK59" s="127"/>
      <c r="XEL59" s="121"/>
      <c r="XEM59" s="5"/>
      <c r="XEN59" s="5"/>
      <c r="XEO59" s="124"/>
      <c r="XEP59" s="121"/>
      <c r="XEQ59" s="125"/>
      <c r="XER59" s="5"/>
      <c r="XES59" s="117"/>
      <c r="XET59" s="4"/>
      <c r="XEU59" s="126"/>
      <c r="XEV59" s="127"/>
      <c r="XEW59" s="121"/>
      <c r="XEX59" s="5"/>
      <c r="XEY59" s="5"/>
      <c r="XEZ59" s="124"/>
      <c r="XFA59" s="121"/>
      <c r="XFB59" s="125"/>
      <c r="XFC59" s="5"/>
      <c r="XFD59" s="117"/>
    </row>
    <row r="60" spans="1:16384" s="6" customFormat="1" x14ac:dyDescent="0.3">
      <c r="A60" s="99">
        <v>5</v>
      </c>
      <c r="B60" s="100" t="s">
        <v>142</v>
      </c>
      <c r="C60" s="101"/>
      <c r="D60" s="102"/>
      <c r="E60" s="103" t="s">
        <v>97</v>
      </c>
      <c r="F60" s="104">
        <f>VLOOKUP($K$3,'Data Input'!$A$6:$EQ$910,COLUMN('Data Input'!EM:EM))</f>
        <v>0</v>
      </c>
      <c r="G60" s="104">
        <f>VLOOKUP($K$3,'Data Input'!$A$6:$EQ$910,COLUMN('Data Input'!EN:EN))</f>
        <v>0</v>
      </c>
      <c r="H60" s="104">
        <f>VLOOKUP($K$3,'Data Input'!$A$6:$ES$910,COLUMN('Data Input'!ES:ES))</f>
        <v>7.5</v>
      </c>
      <c r="I60" s="105"/>
      <c r="J60" s="104">
        <f>F60*G60/360*H60%</f>
        <v>0</v>
      </c>
      <c r="K60" s="106"/>
      <c r="L60" s="124"/>
      <c r="M60" s="121"/>
      <c r="N60" s="125"/>
      <c r="O60" s="5"/>
      <c r="P60" s="120"/>
      <c r="Q60" s="4"/>
      <c r="R60" s="126"/>
      <c r="S60" s="127"/>
      <c r="T60" s="121"/>
      <c r="U60" s="123"/>
      <c r="V60" s="123"/>
      <c r="W60" s="124"/>
      <c r="X60" s="121"/>
      <c r="Y60" s="125"/>
      <c r="Z60" s="5"/>
      <c r="AA60" s="117"/>
      <c r="AB60" s="4"/>
      <c r="AC60" s="126"/>
      <c r="AD60" s="127"/>
      <c r="AE60" s="121"/>
      <c r="AF60" s="5"/>
      <c r="AG60" s="5"/>
      <c r="AH60" s="124"/>
      <c r="AI60" s="121"/>
      <c r="AJ60" s="125"/>
      <c r="AK60" s="5"/>
      <c r="AL60" s="117"/>
      <c r="AM60" s="4"/>
      <c r="AN60" s="126"/>
      <c r="AO60" s="127"/>
      <c r="AP60" s="121"/>
      <c r="AQ60" s="5"/>
      <c r="AR60" s="5"/>
      <c r="AS60" s="124"/>
      <c r="AT60" s="121"/>
      <c r="AU60" s="125"/>
      <c r="AV60" s="5"/>
      <c r="AW60" s="117"/>
      <c r="AX60" s="4"/>
      <c r="AY60" s="126"/>
      <c r="AZ60" s="127"/>
      <c r="BA60" s="121"/>
      <c r="BB60" s="5"/>
      <c r="BC60" s="5"/>
      <c r="BD60" s="124"/>
      <c r="BE60" s="121"/>
      <c r="BF60" s="125"/>
      <c r="BG60" s="5"/>
      <c r="BH60" s="117"/>
      <c r="BI60" s="4"/>
      <c r="BJ60" s="126"/>
      <c r="BK60" s="127"/>
      <c r="BL60" s="121"/>
      <c r="BM60" s="5"/>
      <c r="BN60" s="5"/>
      <c r="BO60" s="124"/>
      <c r="BP60" s="121"/>
      <c r="BQ60" s="125"/>
      <c r="BR60" s="5"/>
      <c r="BS60" s="117"/>
      <c r="BT60" s="4"/>
      <c r="BU60" s="126"/>
      <c r="BV60" s="127"/>
      <c r="BW60" s="121"/>
      <c r="BX60" s="5"/>
      <c r="BY60" s="5"/>
      <c r="BZ60" s="124"/>
      <c r="CA60" s="121"/>
      <c r="CB60" s="125"/>
      <c r="CC60" s="5"/>
      <c r="CD60" s="117"/>
      <c r="CE60" s="4"/>
      <c r="CF60" s="126"/>
      <c r="CG60" s="127"/>
      <c r="CH60" s="121"/>
      <c r="CI60" s="5"/>
      <c r="CJ60" s="5"/>
      <c r="CK60" s="124"/>
      <c r="CL60" s="121"/>
      <c r="CM60" s="125"/>
      <c r="CN60" s="5"/>
      <c r="CO60" s="117"/>
      <c r="CP60" s="4"/>
      <c r="CQ60" s="126"/>
      <c r="CR60" s="127"/>
      <c r="CS60" s="121"/>
      <c r="CT60" s="5"/>
      <c r="CU60" s="5"/>
      <c r="CV60" s="124"/>
      <c r="CW60" s="121"/>
      <c r="CX60" s="125"/>
      <c r="CY60" s="5"/>
      <c r="CZ60" s="117"/>
      <c r="DA60" s="4"/>
      <c r="DB60" s="126"/>
      <c r="DC60" s="127"/>
      <c r="DD60" s="121"/>
      <c r="DE60" s="5"/>
      <c r="DF60" s="5"/>
      <c r="DG60" s="124"/>
      <c r="DH60" s="121"/>
      <c r="DI60" s="125"/>
      <c r="DJ60" s="5"/>
      <c r="DK60" s="117"/>
      <c r="DL60" s="4"/>
      <c r="DM60" s="126"/>
      <c r="DN60" s="127"/>
      <c r="DO60" s="121"/>
      <c r="DP60" s="5"/>
      <c r="DQ60" s="5"/>
      <c r="DR60" s="124"/>
      <c r="DS60" s="121"/>
      <c r="DT60" s="125"/>
      <c r="DU60" s="5"/>
      <c r="DV60" s="117"/>
      <c r="DW60" s="4"/>
      <c r="DX60" s="126"/>
      <c r="DY60" s="127"/>
      <c r="DZ60" s="121"/>
      <c r="EA60" s="5"/>
      <c r="EB60" s="5"/>
      <c r="EC60" s="124"/>
      <c r="ED60" s="121"/>
      <c r="EE60" s="125"/>
      <c r="EF60" s="5"/>
      <c r="EG60" s="117"/>
      <c r="EH60" s="4"/>
      <c r="EI60" s="126"/>
      <c r="EJ60" s="127"/>
      <c r="EK60" s="121"/>
      <c r="EL60" s="5"/>
      <c r="EM60" s="5"/>
      <c r="EN60" s="124"/>
      <c r="EO60" s="121"/>
      <c r="EP60" s="125"/>
      <c r="EQ60" s="5"/>
      <c r="ER60" s="117"/>
      <c r="ES60" s="4"/>
      <c r="ET60" s="126"/>
      <c r="EU60" s="127"/>
      <c r="EV60" s="121"/>
      <c r="EW60" s="5"/>
      <c r="EX60" s="5"/>
      <c r="EY60" s="124"/>
      <c r="EZ60" s="121"/>
      <c r="FA60" s="125"/>
      <c r="FB60" s="5"/>
      <c r="FC60" s="117"/>
      <c r="FD60" s="4"/>
      <c r="FE60" s="126"/>
      <c r="FF60" s="127"/>
      <c r="FG60" s="121"/>
      <c r="FH60" s="5"/>
      <c r="FI60" s="5"/>
      <c r="FJ60" s="124"/>
      <c r="FK60" s="121"/>
      <c r="FL60" s="125"/>
      <c r="FM60" s="5"/>
      <c r="FN60" s="117"/>
      <c r="FO60" s="4"/>
      <c r="FP60" s="126"/>
      <c r="FQ60" s="127"/>
      <c r="FR60" s="121"/>
      <c r="FS60" s="5"/>
      <c r="FT60" s="5"/>
      <c r="FU60" s="124"/>
      <c r="FV60" s="121"/>
      <c r="FW60" s="125"/>
      <c r="FX60" s="5"/>
      <c r="FY60" s="117"/>
      <c r="FZ60" s="4"/>
      <c r="GA60" s="126"/>
      <c r="GB60" s="127"/>
      <c r="GC60" s="121"/>
      <c r="GD60" s="5"/>
      <c r="GE60" s="5"/>
      <c r="GF60" s="124"/>
      <c r="GG60" s="121"/>
      <c r="GH60" s="125"/>
      <c r="GI60" s="5"/>
      <c r="GJ60" s="117"/>
      <c r="GK60" s="4"/>
      <c r="GL60" s="126"/>
      <c r="GM60" s="127"/>
      <c r="GN60" s="121"/>
      <c r="GO60" s="5"/>
      <c r="GP60" s="5"/>
      <c r="GQ60" s="124"/>
      <c r="GR60" s="121"/>
      <c r="GS60" s="125"/>
      <c r="GT60" s="5"/>
      <c r="GU60" s="117"/>
      <c r="GV60" s="4"/>
      <c r="GW60" s="126"/>
      <c r="GX60" s="127"/>
      <c r="GY60" s="121"/>
      <c r="GZ60" s="5"/>
      <c r="HA60" s="5"/>
      <c r="HB60" s="124"/>
      <c r="HC60" s="121"/>
      <c r="HD60" s="125"/>
      <c r="HE60" s="5"/>
      <c r="HF60" s="117"/>
      <c r="HG60" s="4"/>
      <c r="HH60" s="126"/>
      <c r="HI60" s="127"/>
      <c r="HJ60" s="121"/>
      <c r="HK60" s="5"/>
      <c r="HL60" s="5"/>
      <c r="HM60" s="124"/>
      <c r="HN60" s="121"/>
      <c r="HO60" s="125"/>
      <c r="HP60" s="5"/>
      <c r="HQ60" s="117"/>
      <c r="HR60" s="4"/>
      <c r="HS60" s="126"/>
      <c r="HT60" s="127"/>
      <c r="HU60" s="121"/>
      <c r="HV60" s="5"/>
      <c r="HW60" s="5"/>
      <c r="HX60" s="124"/>
      <c r="HY60" s="121"/>
      <c r="HZ60" s="125"/>
      <c r="IA60" s="5"/>
      <c r="IB60" s="117"/>
      <c r="IC60" s="4"/>
      <c r="ID60" s="126"/>
      <c r="IE60" s="127"/>
      <c r="IF60" s="121"/>
      <c r="IG60" s="5"/>
      <c r="IH60" s="5"/>
      <c r="II60" s="124"/>
      <c r="IJ60" s="121"/>
      <c r="IK60" s="125"/>
      <c r="IL60" s="5"/>
      <c r="IM60" s="117"/>
      <c r="IN60" s="4"/>
      <c r="IO60" s="126"/>
      <c r="IP60" s="127"/>
      <c r="IQ60" s="121"/>
      <c r="IR60" s="5"/>
      <c r="IS60" s="5"/>
      <c r="IT60" s="124"/>
      <c r="IU60" s="121"/>
      <c r="IV60" s="125"/>
      <c r="IW60" s="5"/>
      <c r="IX60" s="117"/>
      <c r="IY60" s="4"/>
      <c r="IZ60" s="126"/>
      <c r="JA60" s="127"/>
      <c r="JB60" s="121"/>
      <c r="JC60" s="5"/>
      <c r="JD60" s="5"/>
      <c r="JE60" s="124"/>
      <c r="JF60" s="121"/>
      <c r="JG60" s="125"/>
      <c r="JH60" s="5"/>
      <c r="JI60" s="117"/>
      <c r="JJ60" s="4"/>
      <c r="JK60" s="126"/>
      <c r="JL60" s="127"/>
      <c r="JM60" s="121"/>
      <c r="JN60" s="5"/>
      <c r="JO60" s="5"/>
      <c r="JP60" s="124"/>
      <c r="JQ60" s="121"/>
      <c r="JR60" s="125"/>
      <c r="JS60" s="5"/>
      <c r="JT60" s="117"/>
      <c r="JU60" s="4"/>
      <c r="JV60" s="126"/>
      <c r="JW60" s="127"/>
      <c r="JX60" s="121"/>
      <c r="JY60" s="5"/>
      <c r="JZ60" s="5"/>
      <c r="KA60" s="124"/>
      <c r="KB60" s="121"/>
      <c r="KC60" s="125"/>
      <c r="KD60" s="5"/>
      <c r="KE60" s="117"/>
      <c r="KF60" s="4"/>
      <c r="KG60" s="126"/>
      <c r="KH60" s="127"/>
      <c r="KI60" s="121"/>
      <c r="KJ60" s="5"/>
      <c r="KK60" s="5"/>
      <c r="KL60" s="124"/>
      <c r="KM60" s="121"/>
      <c r="KN60" s="125"/>
      <c r="KO60" s="5"/>
      <c r="KP60" s="117"/>
      <c r="KQ60" s="4"/>
      <c r="KR60" s="126"/>
      <c r="KS60" s="127"/>
      <c r="KT60" s="121"/>
      <c r="KU60" s="5"/>
      <c r="KV60" s="5"/>
      <c r="KW60" s="124"/>
      <c r="KX60" s="121"/>
      <c r="KY60" s="125"/>
      <c r="KZ60" s="5"/>
      <c r="LA60" s="117"/>
      <c r="LB60" s="4"/>
      <c r="LC60" s="126"/>
      <c r="LD60" s="127"/>
      <c r="LE60" s="121"/>
      <c r="LF60" s="5"/>
      <c r="LG60" s="5"/>
      <c r="LH60" s="124"/>
      <c r="LI60" s="121"/>
      <c r="LJ60" s="125"/>
      <c r="LK60" s="5"/>
      <c r="LL60" s="117"/>
      <c r="LM60" s="4"/>
      <c r="LN60" s="126"/>
      <c r="LO60" s="127"/>
      <c r="LP60" s="121"/>
      <c r="LQ60" s="5"/>
      <c r="LR60" s="5"/>
      <c r="LS60" s="124"/>
      <c r="LT60" s="121"/>
      <c r="LU60" s="125"/>
      <c r="LV60" s="5"/>
      <c r="LW60" s="117"/>
      <c r="LX60" s="4"/>
      <c r="LY60" s="126"/>
      <c r="LZ60" s="127"/>
      <c r="MA60" s="121"/>
      <c r="MB60" s="5"/>
      <c r="MC60" s="5"/>
      <c r="MD60" s="124"/>
      <c r="ME60" s="121"/>
      <c r="MF60" s="125"/>
      <c r="MG60" s="5"/>
      <c r="MH60" s="117"/>
      <c r="MI60" s="4"/>
      <c r="MJ60" s="126"/>
      <c r="MK60" s="127"/>
      <c r="ML60" s="121"/>
      <c r="MM60" s="5"/>
      <c r="MN60" s="5"/>
      <c r="MO60" s="124"/>
      <c r="MP60" s="121"/>
      <c r="MQ60" s="125"/>
      <c r="MR60" s="5"/>
      <c r="MS60" s="117"/>
      <c r="MT60" s="4"/>
      <c r="MU60" s="126"/>
      <c r="MV60" s="127"/>
      <c r="MW60" s="121"/>
      <c r="MX60" s="5"/>
      <c r="MY60" s="5"/>
      <c r="MZ60" s="124"/>
      <c r="NA60" s="121"/>
      <c r="NB60" s="125"/>
      <c r="NC60" s="5"/>
      <c r="ND60" s="117"/>
      <c r="NE60" s="4"/>
      <c r="NF60" s="126"/>
      <c r="NG60" s="127"/>
      <c r="NH60" s="121"/>
      <c r="NI60" s="5"/>
      <c r="NJ60" s="5"/>
      <c r="NK60" s="124"/>
      <c r="NL60" s="121"/>
      <c r="NM60" s="125"/>
      <c r="NN60" s="5"/>
      <c r="NO60" s="117"/>
      <c r="NP60" s="4"/>
      <c r="NQ60" s="126"/>
      <c r="NR60" s="127"/>
      <c r="NS60" s="121"/>
      <c r="NT60" s="5"/>
      <c r="NU60" s="5"/>
      <c r="NV60" s="124"/>
      <c r="NW60" s="121"/>
      <c r="NX60" s="125"/>
      <c r="NY60" s="5"/>
      <c r="NZ60" s="117"/>
      <c r="OA60" s="4"/>
      <c r="OB60" s="126"/>
      <c r="OC60" s="127"/>
      <c r="OD60" s="121"/>
      <c r="OE60" s="5"/>
      <c r="OF60" s="5"/>
      <c r="OG60" s="124"/>
      <c r="OH60" s="121"/>
      <c r="OI60" s="125"/>
      <c r="OJ60" s="5"/>
      <c r="OK60" s="117"/>
      <c r="OL60" s="4"/>
      <c r="OM60" s="126"/>
      <c r="ON60" s="127"/>
      <c r="OO60" s="121"/>
      <c r="OP60" s="5"/>
      <c r="OQ60" s="5"/>
      <c r="OR60" s="124"/>
      <c r="OS60" s="121"/>
      <c r="OT60" s="125"/>
      <c r="OU60" s="5"/>
      <c r="OV60" s="117"/>
      <c r="OW60" s="4"/>
      <c r="OX60" s="126"/>
      <c r="OY60" s="127"/>
      <c r="OZ60" s="121"/>
      <c r="PA60" s="5"/>
      <c r="PB60" s="5"/>
      <c r="PC60" s="124"/>
      <c r="PD60" s="121"/>
      <c r="PE60" s="125"/>
      <c r="PF60" s="5"/>
      <c r="PG60" s="117"/>
      <c r="PH60" s="4"/>
      <c r="PI60" s="126"/>
      <c r="PJ60" s="127"/>
      <c r="PK60" s="121"/>
      <c r="PL60" s="5"/>
      <c r="PM60" s="5"/>
      <c r="PN60" s="124"/>
      <c r="PO60" s="121"/>
      <c r="PP60" s="125"/>
      <c r="PQ60" s="5"/>
      <c r="PR60" s="117"/>
      <c r="PS60" s="4"/>
      <c r="PT60" s="126"/>
      <c r="PU60" s="127"/>
      <c r="PV60" s="121"/>
      <c r="PW60" s="5"/>
      <c r="PX60" s="5"/>
      <c r="PY60" s="124"/>
      <c r="PZ60" s="121"/>
      <c r="QA60" s="125"/>
      <c r="QB60" s="5"/>
      <c r="QC60" s="117"/>
      <c r="QD60" s="4"/>
      <c r="QE60" s="126"/>
      <c r="QF60" s="127"/>
      <c r="QG60" s="121"/>
      <c r="QH60" s="5"/>
      <c r="QI60" s="5"/>
      <c r="QJ60" s="124"/>
      <c r="QK60" s="121"/>
      <c r="QL60" s="125"/>
      <c r="QM60" s="5"/>
      <c r="QN60" s="117"/>
      <c r="QO60" s="4"/>
      <c r="QP60" s="126"/>
      <c r="QQ60" s="127"/>
      <c r="QR60" s="121"/>
      <c r="QS60" s="5"/>
      <c r="QT60" s="5"/>
      <c r="QU60" s="124"/>
      <c r="QV60" s="121"/>
      <c r="QW60" s="125"/>
      <c r="QX60" s="5"/>
      <c r="QY60" s="117"/>
      <c r="QZ60" s="4"/>
      <c r="RA60" s="126"/>
      <c r="RB60" s="127"/>
      <c r="RC60" s="121"/>
      <c r="RD60" s="5"/>
      <c r="RE60" s="5"/>
      <c r="RF60" s="124"/>
      <c r="RG60" s="121"/>
      <c r="RH60" s="125"/>
      <c r="RI60" s="5"/>
      <c r="RJ60" s="117"/>
      <c r="RK60" s="4"/>
      <c r="RL60" s="126"/>
      <c r="RM60" s="127"/>
      <c r="RN60" s="121"/>
      <c r="RO60" s="5"/>
      <c r="RP60" s="5"/>
      <c r="RQ60" s="124"/>
      <c r="RR60" s="121"/>
      <c r="RS60" s="125"/>
      <c r="RT60" s="5"/>
      <c r="RU60" s="117"/>
      <c r="RV60" s="4"/>
      <c r="RW60" s="126"/>
      <c r="RX60" s="127"/>
      <c r="RY60" s="121"/>
      <c r="RZ60" s="5"/>
      <c r="SA60" s="5"/>
      <c r="SB60" s="124"/>
      <c r="SC60" s="121"/>
      <c r="SD60" s="125"/>
      <c r="SE60" s="5"/>
      <c r="SF60" s="117"/>
      <c r="SG60" s="4"/>
      <c r="SH60" s="126"/>
      <c r="SI60" s="127"/>
      <c r="SJ60" s="121"/>
      <c r="SK60" s="5"/>
      <c r="SL60" s="5"/>
      <c r="SM60" s="124"/>
      <c r="SN60" s="121"/>
      <c r="SO60" s="125"/>
      <c r="SP60" s="5"/>
      <c r="SQ60" s="117"/>
      <c r="SR60" s="4"/>
      <c r="SS60" s="126"/>
      <c r="ST60" s="127"/>
      <c r="SU60" s="121"/>
      <c r="SV60" s="5"/>
      <c r="SW60" s="5"/>
      <c r="SX60" s="124"/>
      <c r="SY60" s="121"/>
      <c r="SZ60" s="125"/>
      <c r="TA60" s="5"/>
      <c r="TB60" s="117"/>
      <c r="TC60" s="4"/>
      <c r="TD60" s="126"/>
      <c r="TE60" s="127"/>
      <c r="TF60" s="121"/>
      <c r="TG60" s="5"/>
      <c r="TH60" s="5"/>
      <c r="TI60" s="124"/>
      <c r="TJ60" s="121"/>
      <c r="TK60" s="125"/>
      <c r="TL60" s="5"/>
      <c r="TM60" s="117"/>
      <c r="TN60" s="4"/>
      <c r="TO60" s="126"/>
      <c r="TP60" s="127"/>
      <c r="TQ60" s="121"/>
      <c r="TR60" s="5"/>
      <c r="TS60" s="5"/>
      <c r="TT60" s="124"/>
      <c r="TU60" s="121"/>
      <c r="TV60" s="125"/>
      <c r="TW60" s="5"/>
      <c r="TX60" s="117"/>
      <c r="TY60" s="4"/>
      <c r="TZ60" s="126"/>
      <c r="UA60" s="127"/>
      <c r="UB60" s="121"/>
      <c r="UC60" s="5"/>
      <c r="UD60" s="5"/>
      <c r="UE60" s="124"/>
      <c r="UF60" s="121"/>
      <c r="UG60" s="125"/>
      <c r="UH60" s="5"/>
      <c r="UI60" s="117"/>
      <c r="UJ60" s="4"/>
      <c r="UK60" s="126"/>
      <c r="UL60" s="127"/>
      <c r="UM60" s="121"/>
      <c r="UN60" s="5"/>
      <c r="UO60" s="5"/>
      <c r="UP60" s="124"/>
      <c r="UQ60" s="121"/>
      <c r="UR60" s="125"/>
      <c r="US60" s="5"/>
      <c r="UT60" s="117"/>
      <c r="UU60" s="4"/>
      <c r="UV60" s="126"/>
      <c r="UW60" s="127"/>
      <c r="UX60" s="121"/>
      <c r="UY60" s="5"/>
      <c r="UZ60" s="5"/>
      <c r="VA60" s="124"/>
      <c r="VB60" s="121"/>
      <c r="VC60" s="125"/>
      <c r="VD60" s="5"/>
      <c r="VE60" s="117"/>
      <c r="VF60" s="4"/>
      <c r="VG60" s="126"/>
      <c r="VH60" s="127"/>
      <c r="VI60" s="121"/>
      <c r="VJ60" s="5"/>
      <c r="VK60" s="5"/>
      <c r="VL60" s="124"/>
      <c r="VM60" s="121"/>
      <c r="VN60" s="125"/>
      <c r="VO60" s="5"/>
      <c r="VP60" s="117"/>
      <c r="VQ60" s="4"/>
      <c r="VR60" s="126"/>
      <c r="VS60" s="127"/>
      <c r="VT60" s="121"/>
      <c r="VU60" s="5"/>
      <c r="VV60" s="5"/>
      <c r="VW60" s="124"/>
      <c r="VX60" s="121"/>
      <c r="VY60" s="125"/>
      <c r="VZ60" s="5"/>
      <c r="WA60" s="117"/>
      <c r="WB60" s="4"/>
      <c r="WC60" s="126"/>
      <c r="WD60" s="127"/>
      <c r="WE60" s="121"/>
      <c r="WF60" s="5"/>
      <c r="WG60" s="5"/>
      <c r="WH60" s="124"/>
      <c r="WI60" s="121"/>
      <c r="WJ60" s="125"/>
      <c r="WK60" s="5"/>
      <c r="WL60" s="117"/>
      <c r="WM60" s="4"/>
      <c r="WN60" s="126"/>
      <c r="WO60" s="127"/>
      <c r="WP60" s="121"/>
      <c r="WQ60" s="5"/>
      <c r="WR60" s="5"/>
      <c r="WS60" s="124"/>
      <c r="WT60" s="121"/>
      <c r="WU60" s="125"/>
      <c r="WV60" s="5"/>
      <c r="WW60" s="117"/>
      <c r="WX60" s="4"/>
      <c r="WY60" s="126"/>
      <c r="WZ60" s="127"/>
      <c r="XA60" s="121"/>
      <c r="XB60" s="5"/>
      <c r="XC60" s="5"/>
      <c r="XD60" s="124"/>
      <c r="XE60" s="121"/>
      <c r="XF60" s="125"/>
      <c r="XG60" s="5"/>
      <c r="XH60" s="117"/>
      <c r="XI60" s="4"/>
      <c r="XJ60" s="126"/>
      <c r="XK60" s="127"/>
      <c r="XL60" s="121"/>
      <c r="XM60" s="5"/>
      <c r="XN60" s="5"/>
      <c r="XO60" s="124"/>
      <c r="XP60" s="121"/>
      <c r="XQ60" s="125"/>
      <c r="XR60" s="5"/>
      <c r="XS60" s="117"/>
      <c r="XT60" s="4"/>
      <c r="XU60" s="126"/>
      <c r="XV60" s="127"/>
      <c r="XW60" s="121"/>
      <c r="XX60" s="5"/>
      <c r="XY60" s="5"/>
      <c r="XZ60" s="124"/>
      <c r="YA60" s="121"/>
      <c r="YB60" s="125"/>
      <c r="YC60" s="5"/>
      <c r="YD60" s="117"/>
      <c r="YE60" s="4"/>
      <c r="YF60" s="126"/>
      <c r="YG60" s="127"/>
      <c r="YH60" s="121"/>
      <c r="YI60" s="5"/>
      <c r="YJ60" s="5"/>
      <c r="YK60" s="124"/>
      <c r="YL60" s="121"/>
      <c r="YM60" s="125"/>
      <c r="YN60" s="5"/>
      <c r="YO60" s="117"/>
      <c r="YP60" s="4"/>
      <c r="YQ60" s="126"/>
      <c r="YR60" s="127"/>
      <c r="YS60" s="121"/>
      <c r="YT60" s="5"/>
      <c r="YU60" s="5"/>
      <c r="YV60" s="124"/>
      <c r="YW60" s="121"/>
      <c r="YX60" s="125"/>
      <c r="YY60" s="5"/>
      <c r="YZ60" s="117"/>
      <c r="ZA60" s="4"/>
      <c r="ZB60" s="126"/>
      <c r="ZC60" s="127"/>
      <c r="ZD60" s="121"/>
      <c r="ZE60" s="5"/>
      <c r="ZF60" s="5"/>
      <c r="ZG60" s="124"/>
      <c r="ZH60" s="121"/>
      <c r="ZI60" s="125"/>
      <c r="ZJ60" s="5"/>
      <c r="ZK60" s="117"/>
      <c r="ZL60" s="4"/>
      <c r="ZM60" s="126"/>
      <c r="ZN60" s="127"/>
      <c r="ZO60" s="121"/>
      <c r="ZP60" s="5"/>
      <c r="ZQ60" s="5"/>
      <c r="ZR60" s="124"/>
      <c r="ZS60" s="121"/>
      <c r="ZT60" s="125"/>
      <c r="ZU60" s="5"/>
      <c r="ZV60" s="117"/>
      <c r="ZW60" s="4"/>
      <c r="ZX60" s="126"/>
      <c r="ZY60" s="127"/>
      <c r="ZZ60" s="121"/>
      <c r="AAA60" s="5"/>
      <c r="AAB60" s="5"/>
      <c r="AAC60" s="124"/>
      <c r="AAD60" s="121"/>
      <c r="AAE60" s="125"/>
      <c r="AAF60" s="5"/>
      <c r="AAG60" s="117"/>
      <c r="AAH60" s="4"/>
      <c r="AAI60" s="126"/>
      <c r="AAJ60" s="127"/>
      <c r="AAK60" s="121"/>
      <c r="AAL60" s="5"/>
      <c r="AAM60" s="5"/>
      <c r="AAN60" s="124"/>
      <c r="AAO60" s="121"/>
      <c r="AAP60" s="125"/>
      <c r="AAQ60" s="5"/>
      <c r="AAR60" s="117"/>
      <c r="AAS60" s="4"/>
      <c r="AAT60" s="126"/>
      <c r="AAU60" s="127"/>
      <c r="AAV60" s="121"/>
      <c r="AAW60" s="5"/>
      <c r="AAX60" s="5"/>
      <c r="AAY60" s="124"/>
      <c r="AAZ60" s="121"/>
      <c r="ABA60" s="125"/>
      <c r="ABB60" s="5"/>
      <c r="ABC60" s="117"/>
      <c r="ABD60" s="4"/>
      <c r="ABE60" s="126"/>
      <c r="ABF60" s="127"/>
      <c r="ABG60" s="121"/>
      <c r="ABH60" s="5"/>
      <c r="ABI60" s="5"/>
      <c r="ABJ60" s="124"/>
      <c r="ABK60" s="121"/>
      <c r="ABL60" s="125"/>
      <c r="ABM60" s="5"/>
      <c r="ABN60" s="117"/>
      <c r="ABO60" s="4"/>
      <c r="ABP60" s="126"/>
      <c r="ABQ60" s="127"/>
      <c r="ABR60" s="121"/>
      <c r="ABS60" s="5"/>
      <c r="ABT60" s="5"/>
      <c r="ABU60" s="124"/>
      <c r="ABV60" s="121"/>
      <c r="ABW60" s="125"/>
      <c r="ABX60" s="5"/>
      <c r="ABY60" s="117"/>
      <c r="ABZ60" s="4"/>
      <c r="ACA60" s="126"/>
      <c r="ACB60" s="127"/>
      <c r="ACC60" s="121"/>
      <c r="ACD60" s="5"/>
      <c r="ACE60" s="5"/>
      <c r="ACF60" s="124"/>
      <c r="ACG60" s="121"/>
      <c r="ACH60" s="125"/>
      <c r="ACI60" s="5"/>
      <c r="ACJ60" s="117"/>
      <c r="ACK60" s="4"/>
      <c r="ACL60" s="126"/>
      <c r="ACM60" s="127"/>
      <c r="ACN60" s="121"/>
      <c r="ACO60" s="5"/>
      <c r="ACP60" s="5"/>
      <c r="ACQ60" s="124"/>
      <c r="ACR60" s="121"/>
      <c r="ACS60" s="125"/>
      <c r="ACT60" s="5"/>
      <c r="ACU60" s="117"/>
      <c r="ACV60" s="4"/>
      <c r="ACW60" s="126"/>
      <c r="ACX60" s="127"/>
      <c r="ACY60" s="121"/>
      <c r="ACZ60" s="5"/>
      <c r="ADA60" s="5"/>
      <c r="ADB60" s="124"/>
      <c r="ADC60" s="121"/>
      <c r="ADD60" s="125"/>
      <c r="ADE60" s="5"/>
      <c r="ADF60" s="117"/>
      <c r="ADG60" s="4"/>
      <c r="ADH60" s="126"/>
      <c r="ADI60" s="127"/>
      <c r="ADJ60" s="121"/>
      <c r="ADK60" s="5"/>
      <c r="ADL60" s="5"/>
      <c r="ADM60" s="124"/>
      <c r="ADN60" s="121"/>
      <c r="ADO60" s="125"/>
      <c r="ADP60" s="5"/>
      <c r="ADQ60" s="117"/>
      <c r="ADR60" s="4"/>
      <c r="ADS60" s="126"/>
      <c r="ADT60" s="127"/>
      <c r="ADU60" s="121"/>
      <c r="ADV60" s="5"/>
      <c r="ADW60" s="5"/>
      <c r="ADX60" s="124"/>
      <c r="ADY60" s="121"/>
      <c r="ADZ60" s="125"/>
      <c r="AEA60" s="5"/>
      <c r="AEB60" s="117"/>
      <c r="AEC60" s="4"/>
      <c r="AED60" s="126"/>
      <c r="AEE60" s="127"/>
      <c r="AEF60" s="121"/>
      <c r="AEG60" s="5"/>
      <c r="AEH60" s="5"/>
      <c r="AEI60" s="124"/>
      <c r="AEJ60" s="121"/>
      <c r="AEK60" s="125"/>
      <c r="AEL60" s="5"/>
      <c r="AEM60" s="117"/>
      <c r="AEN60" s="4"/>
      <c r="AEO60" s="126"/>
      <c r="AEP60" s="127"/>
      <c r="AEQ60" s="121"/>
      <c r="AER60" s="5"/>
      <c r="AES60" s="5"/>
      <c r="AET60" s="124"/>
      <c r="AEU60" s="121"/>
      <c r="AEV60" s="125"/>
      <c r="AEW60" s="5"/>
      <c r="AEX60" s="117"/>
      <c r="AEY60" s="4"/>
      <c r="AEZ60" s="126"/>
      <c r="AFA60" s="127"/>
      <c r="AFB60" s="121"/>
      <c r="AFC60" s="5"/>
      <c r="AFD60" s="5"/>
      <c r="AFE60" s="124"/>
      <c r="AFF60" s="121"/>
      <c r="AFG60" s="125"/>
      <c r="AFH60" s="5"/>
      <c r="AFI60" s="117"/>
      <c r="AFJ60" s="4"/>
      <c r="AFK60" s="126"/>
      <c r="AFL60" s="127"/>
      <c r="AFM60" s="121"/>
      <c r="AFN60" s="5"/>
      <c r="AFO60" s="5"/>
      <c r="AFP60" s="124"/>
      <c r="AFQ60" s="121"/>
      <c r="AFR60" s="125"/>
      <c r="AFS60" s="5"/>
      <c r="AFT60" s="117"/>
      <c r="AFU60" s="4"/>
      <c r="AFV60" s="126"/>
      <c r="AFW60" s="127"/>
      <c r="AFX60" s="121"/>
      <c r="AFY60" s="5"/>
      <c r="AFZ60" s="5"/>
      <c r="AGA60" s="124"/>
      <c r="AGB60" s="121"/>
      <c r="AGC60" s="125"/>
      <c r="AGD60" s="5"/>
      <c r="AGE60" s="117"/>
      <c r="AGF60" s="4"/>
      <c r="AGG60" s="126"/>
      <c r="AGH60" s="127"/>
      <c r="AGI60" s="121"/>
      <c r="AGJ60" s="5"/>
      <c r="AGK60" s="5"/>
      <c r="AGL60" s="124"/>
      <c r="AGM60" s="121"/>
      <c r="AGN60" s="125"/>
      <c r="AGO60" s="5"/>
      <c r="AGP60" s="117"/>
      <c r="AGQ60" s="4"/>
      <c r="AGR60" s="126"/>
      <c r="AGS60" s="127"/>
      <c r="AGT60" s="121"/>
      <c r="AGU60" s="5"/>
      <c r="AGV60" s="5"/>
      <c r="AGW60" s="124"/>
      <c r="AGX60" s="121"/>
      <c r="AGY60" s="125"/>
      <c r="AGZ60" s="5"/>
      <c r="AHA60" s="117"/>
      <c r="AHB60" s="4"/>
      <c r="AHC60" s="126"/>
      <c r="AHD60" s="127"/>
      <c r="AHE60" s="121"/>
      <c r="AHF60" s="5"/>
      <c r="AHG60" s="5"/>
      <c r="AHH60" s="124"/>
      <c r="AHI60" s="121"/>
      <c r="AHJ60" s="125"/>
      <c r="AHK60" s="5"/>
      <c r="AHL60" s="117"/>
      <c r="AHM60" s="4"/>
      <c r="AHN60" s="126"/>
      <c r="AHO60" s="127"/>
      <c r="AHP60" s="121"/>
      <c r="AHQ60" s="5"/>
      <c r="AHR60" s="5"/>
      <c r="AHS60" s="124"/>
      <c r="AHT60" s="121"/>
      <c r="AHU60" s="125"/>
      <c r="AHV60" s="5"/>
      <c r="AHW60" s="117"/>
      <c r="AHX60" s="4"/>
      <c r="AHY60" s="126"/>
      <c r="AHZ60" s="127"/>
      <c r="AIA60" s="121"/>
      <c r="AIB60" s="5"/>
      <c r="AIC60" s="5"/>
      <c r="AID60" s="124"/>
      <c r="AIE60" s="121"/>
      <c r="AIF60" s="125"/>
      <c r="AIG60" s="5"/>
      <c r="AIH60" s="117"/>
      <c r="AII60" s="4"/>
      <c r="AIJ60" s="126"/>
      <c r="AIK60" s="127"/>
      <c r="AIL60" s="121"/>
      <c r="AIM60" s="5"/>
      <c r="AIN60" s="5"/>
      <c r="AIO60" s="124"/>
      <c r="AIP60" s="121"/>
      <c r="AIQ60" s="125"/>
      <c r="AIR60" s="5"/>
      <c r="AIS60" s="117"/>
      <c r="AIT60" s="4"/>
      <c r="AIU60" s="126"/>
      <c r="AIV60" s="127"/>
      <c r="AIW60" s="121"/>
      <c r="AIX60" s="5"/>
      <c r="AIY60" s="5"/>
      <c r="AIZ60" s="124"/>
      <c r="AJA60" s="121"/>
      <c r="AJB60" s="125"/>
      <c r="AJC60" s="5"/>
      <c r="AJD60" s="117"/>
      <c r="AJE60" s="4"/>
      <c r="AJF60" s="126"/>
      <c r="AJG60" s="127"/>
      <c r="AJH60" s="121"/>
      <c r="AJI60" s="5"/>
      <c r="AJJ60" s="5"/>
      <c r="AJK60" s="124"/>
      <c r="AJL60" s="121"/>
      <c r="AJM60" s="125"/>
      <c r="AJN60" s="5"/>
      <c r="AJO60" s="117"/>
      <c r="AJP60" s="4"/>
      <c r="AJQ60" s="126"/>
      <c r="AJR60" s="127"/>
      <c r="AJS60" s="121"/>
      <c r="AJT60" s="5"/>
      <c r="AJU60" s="5"/>
      <c r="AJV60" s="124"/>
      <c r="AJW60" s="121"/>
      <c r="AJX60" s="125"/>
      <c r="AJY60" s="5"/>
      <c r="AJZ60" s="117"/>
      <c r="AKA60" s="4"/>
      <c r="AKB60" s="126"/>
      <c r="AKC60" s="127"/>
      <c r="AKD60" s="121"/>
      <c r="AKE60" s="5"/>
      <c r="AKF60" s="5"/>
      <c r="AKG60" s="124"/>
      <c r="AKH60" s="121"/>
      <c r="AKI60" s="125"/>
      <c r="AKJ60" s="5"/>
      <c r="AKK60" s="117"/>
      <c r="AKL60" s="4"/>
      <c r="AKM60" s="126"/>
      <c r="AKN60" s="127"/>
      <c r="AKO60" s="121"/>
      <c r="AKP60" s="5"/>
      <c r="AKQ60" s="5"/>
      <c r="AKR60" s="124"/>
      <c r="AKS60" s="121"/>
      <c r="AKT60" s="125"/>
      <c r="AKU60" s="5"/>
      <c r="AKV60" s="117"/>
      <c r="AKW60" s="4"/>
      <c r="AKX60" s="126"/>
      <c r="AKY60" s="127"/>
      <c r="AKZ60" s="121"/>
      <c r="ALA60" s="5"/>
      <c r="ALB60" s="5"/>
      <c r="ALC60" s="124"/>
      <c r="ALD60" s="121"/>
      <c r="ALE60" s="125"/>
      <c r="ALF60" s="5"/>
      <c r="ALG60" s="117"/>
      <c r="ALH60" s="4"/>
      <c r="ALI60" s="126"/>
      <c r="ALJ60" s="127"/>
      <c r="ALK60" s="121"/>
      <c r="ALL60" s="5"/>
      <c r="ALM60" s="5"/>
      <c r="ALN60" s="124"/>
      <c r="ALO60" s="121"/>
      <c r="ALP60" s="125"/>
      <c r="ALQ60" s="5"/>
      <c r="ALR60" s="117"/>
      <c r="ALS60" s="4"/>
      <c r="ALT60" s="126"/>
      <c r="ALU60" s="127"/>
      <c r="ALV60" s="121"/>
      <c r="ALW60" s="5"/>
      <c r="ALX60" s="5"/>
      <c r="ALY60" s="124"/>
      <c r="ALZ60" s="121"/>
      <c r="AMA60" s="125"/>
      <c r="AMB60" s="5"/>
      <c r="AMC60" s="117"/>
      <c r="AMD60" s="4"/>
      <c r="AME60" s="126"/>
      <c r="AMF60" s="127"/>
      <c r="AMG60" s="121"/>
      <c r="AMH60" s="5"/>
      <c r="AMI60" s="5"/>
      <c r="AMJ60" s="124"/>
      <c r="AMK60" s="121"/>
      <c r="AML60" s="125"/>
      <c r="AMM60" s="5"/>
      <c r="AMN60" s="117"/>
      <c r="AMO60" s="4"/>
      <c r="AMP60" s="126"/>
      <c r="AMQ60" s="127"/>
      <c r="AMR60" s="121"/>
      <c r="AMS60" s="5"/>
      <c r="AMT60" s="5"/>
      <c r="AMU60" s="124"/>
      <c r="AMV60" s="121"/>
      <c r="AMW60" s="125"/>
      <c r="AMX60" s="5"/>
      <c r="AMY60" s="117"/>
      <c r="AMZ60" s="4"/>
      <c r="ANA60" s="126"/>
      <c r="ANB60" s="127"/>
      <c r="ANC60" s="121"/>
      <c r="AND60" s="5"/>
      <c r="ANE60" s="5"/>
      <c r="ANF60" s="124"/>
      <c r="ANG60" s="121"/>
      <c r="ANH60" s="125"/>
      <c r="ANI60" s="5"/>
      <c r="ANJ60" s="117"/>
      <c r="ANK60" s="4"/>
      <c r="ANL60" s="126"/>
      <c r="ANM60" s="127"/>
      <c r="ANN60" s="121"/>
      <c r="ANO60" s="5"/>
      <c r="ANP60" s="5"/>
      <c r="ANQ60" s="124"/>
      <c r="ANR60" s="121"/>
      <c r="ANS60" s="125"/>
      <c r="ANT60" s="5"/>
      <c r="ANU60" s="117"/>
      <c r="ANV60" s="4"/>
      <c r="ANW60" s="126"/>
      <c r="ANX60" s="127"/>
      <c r="ANY60" s="121"/>
      <c r="ANZ60" s="5"/>
      <c r="AOA60" s="5"/>
      <c r="AOB60" s="124"/>
      <c r="AOC60" s="121"/>
      <c r="AOD60" s="125"/>
      <c r="AOE60" s="5"/>
      <c r="AOF60" s="117"/>
      <c r="AOG60" s="4"/>
      <c r="AOH60" s="126"/>
      <c r="AOI60" s="127"/>
      <c r="AOJ60" s="121"/>
      <c r="AOK60" s="5"/>
      <c r="AOL60" s="5"/>
      <c r="AOM60" s="124"/>
      <c r="AON60" s="121"/>
      <c r="AOO60" s="125"/>
      <c r="AOP60" s="5"/>
      <c r="AOQ60" s="117"/>
      <c r="AOR60" s="4"/>
      <c r="AOS60" s="126"/>
      <c r="AOT60" s="127"/>
      <c r="AOU60" s="121"/>
      <c r="AOV60" s="5"/>
      <c r="AOW60" s="5"/>
      <c r="AOX60" s="124"/>
      <c r="AOY60" s="121"/>
      <c r="AOZ60" s="125"/>
      <c r="APA60" s="5"/>
      <c r="APB60" s="117"/>
      <c r="APC60" s="4"/>
      <c r="APD60" s="126"/>
      <c r="APE60" s="127"/>
      <c r="APF60" s="121"/>
      <c r="APG60" s="5"/>
      <c r="APH60" s="5"/>
      <c r="API60" s="124"/>
      <c r="APJ60" s="121"/>
      <c r="APK60" s="125"/>
      <c r="APL60" s="5"/>
      <c r="APM60" s="117"/>
      <c r="APN60" s="4"/>
      <c r="APO60" s="126"/>
      <c r="APP60" s="127"/>
      <c r="APQ60" s="121"/>
      <c r="APR60" s="5"/>
      <c r="APS60" s="5"/>
      <c r="APT60" s="124"/>
      <c r="APU60" s="121"/>
      <c r="APV60" s="125"/>
      <c r="APW60" s="5"/>
      <c r="APX60" s="117"/>
      <c r="APY60" s="4"/>
      <c r="APZ60" s="126"/>
      <c r="AQA60" s="127"/>
      <c r="AQB60" s="121"/>
      <c r="AQC60" s="5"/>
      <c r="AQD60" s="5"/>
      <c r="AQE60" s="124"/>
      <c r="AQF60" s="121"/>
      <c r="AQG60" s="125"/>
      <c r="AQH60" s="5"/>
      <c r="AQI60" s="117"/>
      <c r="AQJ60" s="4"/>
      <c r="AQK60" s="126"/>
      <c r="AQL60" s="127"/>
      <c r="AQM60" s="121"/>
      <c r="AQN60" s="5"/>
      <c r="AQO60" s="5"/>
      <c r="AQP60" s="124"/>
      <c r="AQQ60" s="121"/>
      <c r="AQR60" s="125"/>
      <c r="AQS60" s="5"/>
      <c r="AQT60" s="117"/>
      <c r="AQU60" s="4"/>
      <c r="AQV60" s="126"/>
      <c r="AQW60" s="127"/>
      <c r="AQX60" s="121"/>
      <c r="AQY60" s="5"/>
      <c r="AQZ60" s="5"/>
      <c r="ARA60" s="124"/>
      <c r="ARB60" s="121"/>
      <c r="ARC60" s="125"/>
      <c r="ARD60" s="5"/>
      <c r="ARE60" s="117"/>
      <c r="ARF60" s="4"/>
      <c r="ARG60" s="126"/>
      <c r="ARH60" s="127"/>
      <c r="ARI60" s="121"/>
      <c r="ARJ60" s="5"/>
      <c r="ARK60" s="5"/>
      <c r="ARL60" s="124"/>
      <c r="ARM60" s="121"/>
      <c r="ARN60" s="125"/>
      <c r="ARO60" s="5"/>
      <c r="ARP60" s="117"/>
      <c r="ARQ60" s="4"/>
      <c r="ARR60" s="126"/>
      <c r="ARS60" s="127"/>
      <c r="ART60" s="121"/>
      <c r="ARU60" s="5"/>
      <c r="ARV60" s="5"/>
      <c r="ARW60" s="124"/>
      <c r="ARX60" s="121"/>
      <c r="ARY60" s="125"/>
      <c r="ARZ60" s="5"/>
      <c r="ASA60" s="117"/>
      <c r="ASB60" s="4"/>
      <c r="ASC60" s="126"/>
      <c r="ASD60" s="127"/>
      <c r="ASE60" s="121"/>
      <c r="ASF60" s="5"/>
      <c r="ASG60" s="5"/>
      <c r="ASH60" s="124"/>
      <c r="ASI60" s="121"/>
      <c r="ASJ60" s="125"/>
      <c r="ASK60" s="5"/>
      <c r="ASL60" s="117"/>
      <c r="ASM60" s="4"/>
      <c r="ASN60" s="126"/>
      <c r="ASO60" s="127"/>
      <c r="ASP60" s="121"/>
      <c r="ASQ60" s="5"/>
      <c r="ASR60" s="5"/>
      <c r="ASS60" s="124"/>
      <c r="AST60" s="121"/>
      <c r="ASU60" s="125"/>
      <c r="ASV60" s="5"/>
      <c r="ASW60" s="117"/>
      <c r="ASX60" s="4"/>
      <c r="ASY60" s="126"/>
      <c r="ASZ60" s="127"/>
      <c r="ATA60" s="121"/>
      <c r="ATB60" s="5"/>
      <c r="ATC60" s="5"/>
      <c r="ATD60" s="124"/>
      <c r="ATE60" s="121"/>
      <c r="ATF60" s="125"/>
      <c r="ATG60" s="5"/>
      <c r="ATH60" s="117"/>
      <c r="ATI60" s="4"/>
      <c r="ATJ60" s="126"/>
      <c r="ATK60" s="127"/>
      <c r="ATL60" s="121"/>
      <c r="ATM60" s="5"/>
      <c r="ATN60" s="5"/>
      <c r="ATO60" s="124"/>
      <c r="ATP60" s="121"/>
      <c r="ATQ60" s="125"/>
      <c r="ATR60" s="5"/>
      <c r="ATS60" s="117"/>
      <c r="ATT60" s="4"/>
      <c r="ATU60" s="126"/>
      <c r="ATV60" s="127"/>
      <c r="ATW60" s="121"/>
      <c r="ATX60" s="5"/>
      <c r="ATY60" s="5"/>
      <c r="ATZ60" s="124"/>
      <c r="AUA60" s="121"/>
      <c r="AUB60" s="125"/>
      <c r="AUC60" s="5"/>
      <c r="AUD60" s="117"/>
      <c r="AUE60" s="4"/>
      <c r="AUF60" s="126"/>
      <c r="AUG60" s="127"/>
      <c r="AUH60" s="121"/>
      <c r="AUI60" s="5"/>
      <c r="AUJ60" s="5"/>
      <c r="AUK60" s="124"/>
      <c r="AUL60" s="121"/>
      <c r="AUM60" s="125"/>
      <c r="AUN60" s="5"/>
      <c r="AUO60" s="117"/>
      <c r="AUP60" s="4"/>
      <c r="AUQ60" s="126"/>
      <c r="AUR60" s="127"/>
      <c r="AUS60" s="121"/>
      <c r="AUT60" s="5"/>
      <c r="AUU60" s="5"/>
      <c r="AUV60" s="124"/>
      <c r="AUW60" s="121"/>
      <c r="AUX60" s="125"/>
      <c r="AUY60" s="5"/>
      <c r="AUZ60" s="117"/>
      <c r="AVA60" s="4"/>
      <c r="AVB60" s="126"/>
      <c r="AVC60" s="127"/>
      <c r="AVD60" s="121"/>
      <c r="AVE60" s="5"/>
      <c r="AVF60" s="5"/>
      <c r="AVG60" s="124"/>
      <c r="AVH60" s="121"/>
      <c r="AVI60" s="125"/>
      <c r="AVJ60" s="5"/>
      <c r="AVK60" s="117"/>
      <c r="AVL60" s="4"/>
      <c r="AVM60" s="126"/>
      <c r="AVN60" s="127"/>
      <c r="AVO60" s="121"/>
      <c r="AVP60" s="5"/>
      <c r="AVQ60" s="5"/>
      <c r="AVR60" s="124"/>
      <c r="AVS60" s="121"/>
      <c r="AVT60" s="125"/>
      <c r="AVU60" s="5"/>
      <c r="AVV60" s="117"/>
      <c r="AVW60" s="4"/>
      <c r="AVX60" s="126"/>
      <c r="AVY60" s="127"/>
      <c r="AVZ60" s="121"/>
      <c r="AWA60" s="5"/>
      <c r="AWB60" s="5"/>
      <c r="AWC60" s="124"/>
      <c r="AWD60" s="121"/>
      <c r="AWE60" s="125"/>
      <c r="AWF60" s="5"/>
      <c r="AWG60" s="117"/>
      <c r="AWH60" s="4"/>
      <c r="AWI60" s="126"/>
      <c r="AWJ60" s="127"/>
      <c r="AWK60" s="121"/>
      <c r="AWL60" s="5"/>
      <c r="AWM60" s="5"/>
      <c r="AWN60" s="124"/>
      <c r="AWO60" s="121"/>
      <c r="AWP60" s="125"/>
      <c r="AWQ60" s="5"/>
      <c r="AWR60" s="117"/>
      <c r="AWS60" s="4"/>
      <c r="AWT60" s="126"/>
      <c r="AWU60" s="127"/>
      <c r="AWV60" s="121"/>
      <c r="AWW60" s="5"/>
      <c r="AWX60" s="5"/>
      <c r="AWY60" s="124"/>
      <c r="AWZ60" s="121"/>
      <c r="AXA60" s="125"/>
      <c r="AXB60" s="5"/>
      <c r="AXC60" s="117"/>
      <c r="AXD60" s="4"/>
      <c r="AXE60" s="126"/>
      <c r="AXF60" s="127"/>
      <c r="AXG60" s="121"/>
      <c r="AXH60" s="5"/>
      <c r="AXI60" s="5"/>
      <c r="AXJ60" s="124"/>
      <c r="AXK60" s="121"/>
      <c r="AXL60" s="125"/>
      <c r="AXM60" s="5"/>
      <c r="AXN60" s="117"/>
      <c r="AXO60" s="4"/>
      <c r="AXP60" s="126"/>
      <c r="AXQ60" s="127"/>
      <c r="AXR60" s="121"/>
      <c r="AXS60" s="5"/>
      <c r="AXT60" s="5"/>
      <c r="AXU60" s="124"/>
      <c r="AXV60" s="121"/>
      <c r="AXW60" s="125"/>
      <c r="AXX60" s="5"/>
      <c r="AXY60" s="117"/>
      <c r="AXZ60" s="4"/>
      <c r="AYA60" s="126"/>
      <c r="AYB60" s="127"/>
      <c r="AYC60" s="121"/>
      <c r="AYD60" s="5"/>
      <c r="AYE60" s="5"/>
      <c r="AYF60" s="124"/>
      <c r="AYG60" s="121"/>
      <c r="AYH60" s="125"/>
      <c r="AYI60" s="5"/>
      <c r="AYJ60" s="117"/>
      <c r="AYK60" s="4"/>
      <c r="AYL60" s="126"/>
      <c r="AYM60" s="127"/>
      <c r="AYN60" s="121"/>
      <c r="AYO60" s="5"/>
      <c r="AYP60" s="5"/>
      <c r="AYQ60" s="124"/>
      <c r="AYR60" s="121"/>
      <c r="AYS60" s="125"/>
      <c r="AYT60" s="5"/>
      <c r="AYU60" s="117"/>
      <c r="AYV60" s="4"/>
      <c r="AYW60" s="126"/>
      <c r="AYX60" s="127"/>
      <c r="AYY60" s="121"/>
      <c r="AYZ60" s="5"/>
      <c r="AZA60" s="5"/>
      <c r="AZB60" s="124"/>
      <c r="AZC60" s="121"/>
      <c r="AZD60" s="125"/>
      <c r="AZE60" s="5"/>
      <c r="AZF60" s="117"/>
      <c r="AZG60" s="4"/>
      <c r="AZH60" s="126"/>
      <c r="AZI60" s="127"/>
      <c r="AZJ60" s="121"/>
      <c r="AZK60" s="5"/>
      <c r="AZL60" s="5"/>
      <c r="AZM60" s="124"/>
      <c r="AZN60" s="121"/>
      <c r="AZO60" s="125"/>
      <c r="AZP60" s="5"/>
      <c r="AZQ60" s="117"/>
      <c r="AZR60" s="4"/>
      <c r="AZS60" s="126"/>
      <c r="AZT60" s="127"/>
      <c r="AZU60" s="121"/>
      <c r="AZV60" s="5"/>
      <c r="AZW60" s="5"/>
      <c r="AZX60" s="124"/>
      <c r="AZY60" s="121"/>
      <c r="AZZ60" s="125"/>
      <c r="BAA60" s="5"/>
      <c r="BAB60" s="117"/>
      <c r="BAC60" s="4"/>
      <c r="BAD60" s="126"/>
      <c r="BAE60" s="127"/>
      <c r="BAF60" s="121"/>
      <c r="BAG60" s="5"/>
      <c r="BAH60" s="5"/>
      <c r="BAI60" s="124"/>
      <c r="BAJ60" s="121"/>
      <c r="BAK60" s="125"/>
      <c r="BAL60" s="5"/>
      <c r="BAM60" s="117"/>
      <c r="BAN60" s="4"/>
      <c r="BAO60" s="126"/>
      <c r="BAP60" s="127"/>
      <c r="BAQ60" s="121"/>
      <c r="BAR60" s="5"/>
      <c r="BAS60" s="5"/>
      <c r="BAT60" s="124"/>
      <c r="BAU60" s="121"/>
      <c r="BAV60" s="125"/>
      <c r="BAW60" s="5"/>
      <c r="BAX60" s="117"/>
      <c r="BAY60" s="4"/>
      <c r="BAZ60" s="126"/>
      <c r="BBA60" s="127"/>
      <c r="BBB60" s="121"/>
      <c r="BBC60" s="5"/>
      <c r="BBD60" s="5"/>
      <c r="BBE60" s="124"/>
      <c r="BBF60" s="121"/>
      <c r="BBG60" s="125"/>
      <c r="BBH60" s="5"/>
      <c r="BBI60" s="117"/>
      <c r="BBJ60" s="4"/>
      <c r="BBK60" s="126"/>
      <c r="BBL60" s="127"/>
      <c r="BBM60" s="121"/>
      <c r="BBN60" s="5"/>
      <c r="BBO60" s="5"/>
      <c r="BBP60" s="124"/>
      <c r="BBQ60" s="121"/>
      <c r="BBR60" s="125"/>
      <c r="BBS60" s="5"/>
      <c r="BBT60" s="117"/>
      <c r="BBU60" s="4"/>
      <c r="BBV60" s="126"/>
      <c r="BBW60" s="127"/>
      <c r="BBX60" s="121"/>
      <c r="BBY60" s="5"/>
      <c r="BBZ60" s="5"/>
      <c r="BCA60" s="124"/>
      <c r="BCB60" s="121"/>
      <c r="BCC60" s="125"/>
      <c r="BCD60" s="5"/>
      <c r="BCE60" s="117"/>
      <c r="BCF60" s="4"/>
      <c r="BCG60" s="126"/>
      <c r="BCH60" s="127"/>
      <c r="BCI60" s="121"/>
      <c r="BCJ60" s="5"/>
      <c r="BCK60" s="5"/>
      <c r="BCL60" s="124"/>
      <c r="BCM60" s="121"/>
      <c r="BCN60" s="125"/>
      <c r="BCO60" s="5"/>
      <c r="BCP60" s="117"/>
      <c r="BCQ60" s="4"/>
      <c r="BCR60" s="126"/>
      <c r="BCS60" s="127"/>
      <c r="BCT60" s="121"/>
      <c r="BCU60" s="5"/>
      <c r="BCV60" s="5"/>
      <c r="BCW60" s="124"/>
      <c r="BCX60" s="121"/>
      <c r="BCY60" s="125"/>
      <c r="BCZ60" s="5"/>
      <c r="BDA60" s="117"/>
      <c r="BDB60" s="4"/>
      <c r="BDC60" s="126"/>
      <c r="BDD60" s="127"/>
      <c r="BDE60" s="121"/>
      <c r="BDF60" s="5"/>
      <c r="BDG60" s="5"/>
      <c r="BDH60" s="124"/>
      <c r="BDI60" s="121"/>
      <c r="BDJ60" s="125"/>
      <c r="BDK60" s="5"/>
      <c r="BDL60" s="117"/>
      <c r="BDM60" s="4"/>
      <c r="BDN60" s="126"/>
      <c r="BDO60" s="127"/>
      <c r="BDP60" s="121"/>
      <c r="BDQ60" s="5"/>
      <c r="BDR60" s="5"/>
      <c r="BDS60" s="124"/>
      <c r="BDT60" s="121"/>
      <c r="BDU60" s="125"/>
      <c r="BDV60" s="5"/>
      <c r="BDW60" s="117"/>
      <c r="BDX60" s="4"/>
      <c r="BDY60" s="126"/>
      <c r="BDZ60" s="127"/>
      <c r="BEA60" s="121"/>
      <c r="BEB60" s="5"/>
      <c r="BEC60" s="5"/>
      <c r="BED60" s="124"/>
      <c r="BEE60" s="121"/>
      <c r="BEF60" s="125"/>
      <c r="BEG60" s="5"/>
      <c r="BEH60" s="117"/>
      <c r="BEI60" s="4"/>
      <c r="BEJ60" s="126"/>
      <c r="BEK60" s="127"/>
      <c r="BEL60" s="121"/>
      <c r="BEM60" s="5"/>
      <c r="BEN60" s="5"/>
      <c r="BEO60" s="124"/>
      <c r="BEP60" s="121"/>
      <c r="BEQ60" s="125"/>
      <c r="BER60" s="5"/>
      <c r="BES60" s="117"/>
      <c r="BET60" s="4"/>
      <c r="BEU60" s="126"/>
      <c r="BEV60" s="127"/>
      <c r="BEW60" s="121"/>
      <c r="BEX60" s="5"/>
      <c r="BEY60" s="5"/>
      <c r="BEZ60" s="124"/>
      <c r="BFA60" s="121"/>
      <c r="BFB60" s="125"/>
      <c r="BFC60" s="5"/>
      <c r="BFD60" s="117"/>
      <c r="BFE60" s="4"/>
      <c r="BFF60" s="126"/>
      <c r="BFG60" s="127"/>
      <c r="BFH60" s="121"/>
      <c r="BFI60" s="5"/>
      <c r="BFJ60" s="5"/>
      <c r="BFK60" s="124"/>
      <c r="BFL60" s="121"/>
      <c r="BFM60" s="125"/>
      <c r="BFN60" s="5"/>
      <c r="BFO60" s="117"/>
      <c r="BFP60" s="4"/>
      <c r="BFQ60" s="126"/>
      <c r="BFR60" s="127"/>
      <c r="BFS60" s="121"/>
      <c r="BFT60" s="5"/>
      <c r="BFU60" s="5"/>
      <c r="BFV60" s="124"/>
      <c r="BFW60" s="121"/>
      <c r="BFX60" s="125"/>
      <c r="BFY60" s="5"/>
      <c r="BFZ60" s="117"/>
      <c r="BGA60" s="4"/>
      <c r="BGB60" s="126"/>
      <c r="BGC60" s="127"/>
      <c r="BGD60" s="121"/>
      <c r="BGE60" s="5"/>
      <c r="BGF60" s="5"/>
      <c r="BGG60" s="124"/>
      <c r="BGH60" s="121"/>
      <c r="BGI60" s="125"/>
      <c r="BGJ60" s="5"/>
      <c r="BGK60" s="117"/>
      <c r="BGL60" s="4"/>
      <c r="BGM60" s="126"/>
      <c r="BGN60" s="127"/>
      <c r="BGO60" s="121"/>
      <c r="BGP60" s="5"/>
      <c r="BGQ60" s="5"/>
      <c r="BGR60" s="124"/>
      <c r="BGS60" s="121"/>
      <c r="BGT60" s="125"/>
      <c r="BGU60" s="5"/>
      <c r="BGV60" s="117"/>
      <c r="BGW60" s="4"/>
      <c r="BGX60" s="126"/>
      <c r="BGY60" s="127"/>
      <c r="BGZ60" s="121"/>
      <c r="BHA60" s="5"/>
      <c r="BHB60" s="5"/>
      <c r="BHC60" s="124"/>
      <c r="BHD60" s="121"/>
      <c r="BHE60" s="125"/>
      <c r="BHF60" s="5"/>
      <c r="BHG60" s="117"/>
      <c r="BHH60" s="4"/>
      <c r="BHI60" s="126"/>
      <c r="BHJ60" s="127"/>
      <c r="BHK60" s="121"/>
      <c r="BHL60" s="5"/>
      <c r="BHM60" s="5"/>
      <c r="BHN60" s="124"/>
      <c r="BHO60" s="121"/>
      <c r="BHP60" s="125"/>
      <c r="BHQ60" s="5"/>
      <c r="BHR60" s="117"/>
      <c r="BHS60" s="4"/>
      <c r="BHT60" s="126"/>
      <c r="BHU60" s="127"/>
      <c r="BHV60" s="121"/>
      <c r="BHW60" s="5"/>
      <c r="BHX60" s="5"/>
      <c r="BHY60" s="124"/>
      <c r="BHZ60" s="121"/>
      <c r="BIA60" s="125"/>
      <c r="BIB60" s="5"/>
      <c r="BIC60" s="117"/>
      <c r="BID60" s="4"/>
      <c r="BIE60" s="126"/>
      <c r="BIF60" s="127"/>
      <c r="BIG60" s="121"/>
      <c r="BIH60" s="5"/>
      <c r="BII60" s="5"/>
      <c r="BIJ60" s="124"/>
      <c r="BIK60" s="121"/>
      <c r="BIL60" s="125"/>
      <c r="BIM60" s="5"/>
      <c r="BIN60" s="117"/>
      <c r="BIO60" s="4"/>
      <c r="BIP60" s="126"/>
      <c r="BIQ60" s="127"/>
      <c r="BIR60" s="121"/>
      <c r="BIS60" s="5"/>
      <c r="BIT60" s="5"/>
      <c r="BIU60" s="124"/>
      <c r="BIV60" s="121"/>
      <c r="BIW60" s="125"/>
      <c r="BIX60" s="5"/>
      <c r="BIY60" s="117"/>
      <c r="BIZ60" s="4"/>
      <c r="BJA60" s="126"/>
      <c r="BJB60" s="127"/>
      <c r="BJC60" s="121"/>
      <c r="BJD60" s="5"/>
      <c r="BJE60" s="5"/>
      <c r="BJF60" s="124"/>
      <c r="BJG60" s="121"/>
      <c r="BJH60" s="125"/>
      <c r="BJI60" s="5"/>
      <c r="BJJ60" s="117"/>
      <c r="BJK60" s="4"/>
      <c r="BJL60" s="126"/>
      <c r="BJM60" s="127"/>
      <c r="BJN60" s="121"/>
      <c r="BJO60" s="5"/>
      <c r="BJP60" s="5"/>
      <c r="BJQ60" s="124"/>
      <c r="BJR60" s="121"/>
      <c r="BJS60" s="125"/>
      <c r="BJT60" s="5"/>
      <c r="BJU60" s="117"/>
      <c r="BJV60" s="4"/>
      <c r="BJW60" s="126"/>
      <c r="BJX60" s="127"/>
      <c r="BJY60" s="121"/>
      <c r="BJZ60" s="5"/>
      <c r="BKA60" s="5"/>
      <c r="BKB60" s="124"/>
      <c r="BKC60" s="121"/>
      <c r="BKD60" s="125"/>
      <c r="BKE60" s="5"/>
      <c r="BKF60" s="117"/>
      <c r="BKG60" s="4"/>
      <c r="BKH60" s="126"/>
      <c r="BKI60" s="127"/>
      <c r="BKJ60" s="121"/>
      <c r="BKK60" s="5"/>
      <c r="BKL60" s="5"/>
      <c r="BKM60" s="124"/>
      <c r="BKN60" s="121"/>
      <c r="BKO60" s="125"/>
      <c r="BKP60" s="5"/>
      <c r="BKQ60" s="117"/>
      <c r="BKR60" s="4"/>
      <c r="BKS60" s="126"/>
      <c r="BKT60" s="127"/>
      <c r="BKU60" s="121"/>
      <c r="BKV60" s="5"/>
      <c r="BKW60" s="5"/>
      <c r="BKX60" s="124"/>
      <c r="BKY60" s="121"/>
      <c r="BKZ60" s="125"/>
      <c r="BLA60" s="5"/>
      <c r="BLB60" s="117"/>
      <c r="BLC60" s="4"/>
      <c r="BLD60" s="126"/>
      <c r="BLE60" s="127"/>
      <c r="BLF60" s="121"/>
      <c r="BLG60" s="5"/>
      <c r="BLH60" s="5"/>
      <c r="BLI60" s="124"/>
      <c r="BLJ60" s="121"/>
      <c r="BLK60" s="125"/>
      <c r="BLL60" s="5"/>
      <c r="BLM60" s="117"/>
      <c r="BLN60" s="4"/>
      <c r="BLO60" s="126"/>
      <c r="BLP60" s="127"/>
      <c r="BLQ60" s="121"/>
      <c r="BLR60" s="5"/>
      <c r="BLS60" s="5"/>
      <c r="BLT60" s="124"/>
      <c r="BLU60" s="121"/>
      <c r="BLV60" s="125"/>
      <c r="BLW60" s="5"/>
      <c r="BLX60" s="117"/>
      <c r="BLY60" s="4"/>
      <c r="BLZ60" s="126"/>
      <c r="BMA60" s="127"/>
      <c r="BMB60" s="121"/>
      <c r="BMC60" s="5"/>
      <c r="BMD60" s="5"/>
      <c r="BME60" s="124"/>
      <c r="BMF60" s="121"/>
      <c r="BMG60" s="125"/>
      <c r="BMH60" s="5"/>
      <c r="BMI60" s="117"/>
      <c r="BMJ60" s="4"/>
      <c r="BMK60" s="126"/>
      <c r="BML60" s="127"/>
      <c r="BMM60" s="121"/>
      <c r="BMN60" s="5"/>
      <c r="BMO60" s="5"/>
      <c r="BMP60" s="124"/>
      <c r="BMQ60" s="121"/>
      <c r="BMR60" s="125"/>
      <c r="BMS60" s="5"/>
      <c r="BMT60" s="117"/>
      <c r="BMU60" s="4"/>
      <c r="BMV60" s="126"/>
      <c r="BMW60" s="127"/>
      <c r="BMX60" s="121"/>
      <c r="BMY60" s="5"/>
      <c r="BMZ60" s="5"/>
      <c r="BNA60" s="124"/>
      <c r="BNB60" s="121"/>
      <c r="BNC60" s="125"/>
      <c r="BND60" s="5"/>
      <c r="BNE60" s="117"/>
      <c r="BNF60" s="4"/>
      <c r="BNG60" s="126"/>
      <c r="BNH60" s="127"/>
      <c r="BNI60" s="121"/>
      <c r="BNJ60" s="5"/>
      <c r="BNK60" s="5"/>
      <c r="BNL60" s="124"/>
      <c r="BNM60" s="121"/>
      <c r="BNN60" s="125"/>
      <c r="BNO60" s="5"/>
      <c r="BNP60" s="117"/>
      <c r="BNQ60" s="4"/>
      <c r="BNR60" s="126"/>
      <c r="BNS60" s="127"/>
      <c r="BNT60" s="121"/>
      <c r="BNU60" s="5"/>
      <c r="BNV60" s="5"/>
      <c r="BNW60" s="124"/>
      <c r="BNX60" s="121"/>
      <c r="BNY60" s="125"/>
      <c r="BNZ60" s="5"/>
      <c r="BOA60" s="117"/>
      <c r="BOB60" s="4"/>
      <c r="BOC60" s="126"/>
      <c r="BOD60" s="127"/>
      <c r="BOE60" s="121"/>
      <c r="BOF60" s="5"/>
      <c r="BOG60" s="5"/>
      <c r="BOH60" s="124"/>
      <c r="BOI60" s="121"/>
      <c r="BOJ60" s="125"/>
      <c r="BOK60" s="5"/>
      <c r="BOL60" s="117"/>
      <c r="BOM60" s="4"/>
      <c r="BON60" s="126"/>
      <c r="BOO60" s="127"/>
      <c r="BOP60" s="121"/>
      <c r="BOQ60" s="5"/>
      <c r="BOR60" s="5"/>
      <c r="BOS60" s="124"/>
      <c r="BOT60" s="121"/>
      <c r="BOU60" s="125"/>
      <c r="BOV60" s="5"/>
      <c r="BOW60" s="117"/>
      <c r="BOX60" s="4"/>
      <c r="BOY60" s="126"/>
      <c r="BOZ60" s="127"/>
      <c r="BPA60" s="121"/>
      <c r="BPB60" s="5"/>
      <c r="BPC60" s="5"/>
      <c r="BPD60" s="124"/>
      <c r="BPE60" s="121"/>
      <c r="BPF60" s="125"/>
      <c r="BPG60" s="5"/>
      <c r="BPH60" s="117"/>
      <c r="BPI60" s="4"/>
      <c r="BPJ60" s="126"/>
      <c r="BPK60" s="127"/>
      <c r="BPL60" s="121"/>
      <c r="BPM60" s="5"/>
      <c r="BPN60" s="5"/>
      <c r="BPO60" s="124"/>
      <c r="BPP60" s="121"/>
      <c r="BPQ60" s="125"/>
      <c r="BPR60" s="5"/>
      <c r="BPS60" s="117"/>
      <c r="BPT60" s="4"/>
      <c r="BPU60" s="126"/>
      <c r="BPV60" s="127"/>
      <c r="BPW60" s="121"/>
      <c r="BPX60" s="5"/>
      <c r="BPY60" s="5"/>
      <c r="BPZ60" s="124"/>
      <c r="BQA60" s="121"/>
      <c r="BQB60" s="125"/>
      <c r="BQC60" s="5"/>
      <c r="BQD60" s="117"/>
      <c r="BQE60" s="4"/>
      <c r="BQF60" s="126"/>
      <c r="BQG60" s="127"/>
      <c r="BQH60" s="121"/>
      <c r="BQI60" s="5"/>
      <c r="BQJ60" s="5"/>
      <c r="BQK60" s="124"/>
      <c r="BQL60" s="121"/>
      <c r="BQM60" s="125"/>
      <c r="BQN60" s="5"/>
      <c r="BQO60" s="117"/>
      <c r="BQP60" s="4"/>
      <c r="BQQ60" s="126"/>
      <c r="BQR60" s="127"/>
      <c r="BQS60" s="121"/>
      <c r="BQT60" s="5"/>
      <c r="BQU60" s="5"/>
      <c r="BQV60" s="124"/>
      <c r="BQW60" s="121"/>
      <c r="BQX60" s="125"/>
      <c r="BQY60" s="5"/>
      <c r="BQZ60" s="117"/>
      <c r="BRA60" s="4"/>
      <c r="BRB60" s="126"/>
      <c r="BRC60" s="127"/>
      <c r="BRD60" s="121"/>
      <c r="BRE60" s="5"/>
      <c r="BRF60" s="5"/>
      <c r="BRG60" s="124"/>
      <c r="BRH60" s="121"/>
      <c r="BRI60" s="125"/>
      <c r="BRJ60" s="5"/>
      <c r="BRK60" s="117"/>
      <c r="BRL60" s="4"/>
      <c r="BRM60" s="126"/>
      <c r="BRN60" s="127"/>
      <c r="BRO60" s="121"/>
      <c r="BRP60" s="5"/>
      <c r="BRQ60" s="5"/>
      <c r="BRR60" s="124"/>
      <c r="BRS60" s="121"/>
      <c r="BRT60" s="125"/>
      <c r="BRU60" s="5"/>
      <c r="BRV60" s="117"/>
      <c r="BRW60" s="4"/>
      <c r="BRX60" s="126"/>
      <c r="BRY60" s="127"/>
      <c r="BRZ60" s="121"/>
      <c r="BSA60" s="5"/>
      <c r="BSB60" s="5"/>
      <c r="BSC60" s="124"/>
      <c r="BSD60" s="121"/>
      <c r="BSE60" s="125"/>
      <c r="BSF60" s="5"/>
      <c r="BSG60" s="117"/>
      <c r="BSH60" s="4"/>
      <c r="BSI60" s="126"/>
      <c r="BSJ60" s="127"/>
      <c r="BSK60" s="121"/>
      <c r="BSL60" s="5"/>
      <c r="BSM60" s="5"/>
      <c r="BSN60" s="124"/>
      <c r="BSO60" s="121"/>
      <c r="BSP60" s="125"/>
      <c r="BSQ60" s="5"/>
      <c r="BSR60" s="117"/>
      <c r="BSS60" s="4"/>
      <c r="BST60" s="126"/>
      <c r="BSU60" s="127"/>
      <c r="BSV60" s="121"/>
      <c r="BSW60" s="5"/>
      <c r="BSX60" s="5"/>
      <c r="BSY60" s="124"/>
      <c r="BSZ60" s="121"/>
      <c r="BTA60" s="125"/>
      <c r="BTB60" s="5"/>
      <c r="BTC60" s="117"/>
      <c r="BTD60" s="4"/>
      <c r="BTE60" s="126"/>
      <c r="BTF60" s="127"/>
      <c r="BTG60" s="121"/>
      <c r="BTH60" s="5"/>
      <c r="BTI60" s="5"/>
      <c r="BTJ60" s="124"/>
      <c r="BTK60" s="121"/>
      <c r="BTL60" s="125"/>
      <c r="BTM60" s="5"/>
      <c r="BTN60" s="117"/>
      <c r="BTO60" s="4"/>
      <c r="BTP60" s="126"/>
      <c r="BTQ60" s="127"/>
      <c r="BTR60" s="121"/>
      <c r="BTS60" s="5"/>
      <c r="BTT60" s="5"/>
      <c r="BTU60" s="124"/>
      <c r="BTV60" s="121"/>
      <c r="BTW60" s="125"/>
      <c r="BTX60" s="5"/>
      <c r="BTY60" s="117"/>
      <c r="BTZ60" s="4"/>
      <c r="BUA60" s="126"/>
      <c r="BUB60" s="127"/>
      <c r="BUC60" s="121"/>
      <c r="BUD60" s="5"/>
      <c r="BUE60" s="5"/>
      <c r="BUF60" s="124"/>
      <c r="BUG60" s="121"/>
      <c r="BUH60" s="125"/>
      <c r="BUI60" s="5"/>
      <c r="BUJ60" s="117"/>
      <c r="BUK60" s="4"/>
      <c r="BUL60" s="126"/>
      <c r="BUM60" s="127"/>
      <c r="BUN60" s="121"/>
      <c r="BUO60" s="5"/>
      <c r="BUP60" s="5"/>
      <c r="BUQ60" s="124"/>
      <c r="BUR60" s="121"/>
      <c r="BUS60" s="125"/>
      <c r="BUT60" s="5"/>
      <c r="BUU60" s="117"/>
      <c r="BUV60" s="4"/>
      <c r="BUW60" s="126"/>
      <c r="BUX60" s="127"/>
      <c r="BUY60" s="121"/>
      <c r="BUZ60" s="5"/>
      <c r="BVA60" s="5"/>
      <c r="BVB60" s="124"/>
      <c r="BVC60" s="121"/>
      <c r="BVD60" s="125"/>
      <c r="BVE60" s="5"/>
      <c r="BVF60" s="117"/>
      <c r="BVG60" s="4"/>
      <c r="BVH60" s="126"/>
      <c r="BVI60" s="127"/>
      <c r="BVJ60" s="121"/>
      <c r="BVK60" s="5"/>
      <c r="BVL60" s="5"/>
      <c r="BVM60" s="124"/>
      <c r="BVN60" s="121"/>
      <c r="BVO60" s="125"/>
      <c r="BVP60" s="5"/>
      <c r="BVQ60" s="117"/>
      <c r="BVR60" s="4"/>
      <c r="BVS60" s="126"/>
      <c r="BVT60" s="127"/>
      <c r="BVU60" s="121"/>
      <c r="BVV60" s="5"/>
      <c r="BVW60" s="5"/>
      <c r="BVX60" s="124"/>
      <c r="BVY60" s="121"/>
      <c r="BVZ60" s="125"/>
      <c r="BWA60" s="5"/>
      <c r="BWB60" s="117"/>
      <c r="BWC60" s="4"/>
      <c r="BWD60" s="126"/>
      <c r="BWE60" s="127"/>
      <c r="BWF60" s="121"/>
      <c r="BWG60" s="5"/>
      <c r="BWH60" s="5"/>
      <c r="BWI60" s="124"/>
      <c r="BWJ60" s="121"/>
      <c r="BWK60" s="125"/>
      <c r="BWL60" s="5"/>
      <c r="BWM60" s="117"/>
      <c r="BWN60" s="4"/>
      <c r="BWO60" s="126"/>
      <c r="BWP60" s="127"/>
      <c r="BWQ60" s="121"/>
      <c r="BWR60" s="5"/>
      <c r="BWS60" s="5"/>
      <c r="BWT60" s="124"/>
      <c r="BWU60" s="121"/>
      <c r="BWV60" s="125"/>
      <c r="BWW60" s="5"/>
      <c r="BWX60" s="117"/>
      <c r="BWY60" s="4"/>
      <c r="BWZ60" s="126"/>
      <c r="BXA60" s="127"/>
      <c r="BXB60" s="121"/>
      <c r="BXC60" s="5"/>
      <c r="BXD60" s="5"/>
      <c r="BXE60" s="124"/>
      <c r="BXF60" s="121"/>
      <c r="BXG60" s="125"/>
      <c r="BXH60" s="5"/>
      <c r="BXI60" s="117"/>
      <c r="BXJ60" s="4"/>
      <c r="BXK60" s="126"/>
      <c r="BXL60" s="127"/>
      <c r="BXM60" s="121"/>
      <c r="BXN60" s="5"/>
      <c r="BXO60" s="5"/>
      <c r="BXP60" s="124"/>
      <c r="BXQ60" s="121"/>
      <c r="BXR60" s="125"/>
      <c r="BXS60" s="5"/>
      <c r="BXT60" s="117"/>
      <c r="BXU60" s="4"/>
      <c r="BXV60" s="126"/>
      <c r="BXW60" s="127"/>
      <c r="BXX60" s="121"/>
      <c r="BXY60" s="5"/>
      <c r="BXZ60" s="5"/>
      <c r="BYA60" s="124"/>
      <c r="BYB60" s="121"/>
      <c r="BYC60" s="125"/>
      <c r="BYD60" s="5"/>
      <c r="BYE60" s="117"/>
      <c r="BYF60" s="4"/>
      <c r="BYG60" s="126"/>
      <c r="BYH60" s="127"/>
      <c r="BYI60" s="121"/>
      <c r="BYJ60" s="5"/>
      <c r="BYK60" s="5"/>
      <c r="BYL60" s="124"/>
      <c r="BYM60" s="121"/>
      <c r="BYN60" s="125"/>
      <c r="BYO60" s="5"/>
      <c r="BYP60" s="117"/>
      <c r="BYQ60" s="4"/>
      <c r="BYR60" s="126"/>
      <c r="BYS60" s="127"/>
      <c r="BYT60" s="121"/>
      <c r="BYU60" s="5"/>
      <c r="BYV60" s="5"/>
      <c r="BYW60" s="124"/>
      <c r="BYX60" s="121"/>
      <c r="BYY60" s="125"/>
      <c r="BYZ60" s="5"/>
      <c r="BZA60" s="117"/>
      <c r="BZB60" s="4"/>
      <c r="BZC60" s="126"/>
      <c r="BZD60" s="127"/>
      <c r="BZE60" s="121"/>
      <c r="BZF60" s="5"/>
      <c r="BZG60" s="5"/>
      <c r="BZH60" s="124"/>
      <c r="BZI60" s="121"/>
      <c r="BZJ60" s="125"/>
      <c r="BZK60" s="5"/>
      <c r="BZL60" s="117"/>
      <c r="BZM60" s="4"/>
      <c r="BZN60" s="126"/>
      <c r="BZO60" s="127"/>
      <c r="BZP60" s="121"/>
      <c r="BZQ60" s="5"/>
      <c r="BZR60" s="5"/>
      <c r="BZS60" s="124"/>
      <c r="BZT60" s="121"/>
      <c r="BZU60" s="125"/>
      <c r="BZV60" s="5"/>
      <c r="BZW60" s="117"/>
      <c r="BZX60" s="4"/>
      <c r="BZY60" s="126"/>
      <c r="BZZ60" s="127"/>
      <c r="CAA60" s="121"/>
      <c r="CAB60" s="5"/>
      <c r="CAC60" s="5"/>
      <c r="CAD60" s="124"/>
      <c r="CAE60" s="121"/>
      <c r="CAF60" s="125"/>
      <c r="CAG60" s="5"/>
      <c r="CAH60" s="117"/>
      <c r="CAI60" s="4"/>
      <c r="CAJ60" s="126"/>
      <c r="CAK60" s="127"/>
      <c r="CAL60" s="121"/>
      <c r="CAM60" s="5"/>
      <c r="CAN60" s="5"/>
      <c r="CAO60" s="124"/>
      <c r="CAP60" s="121"/>
      <c r="CAQ60" s="125"/>
      <c r="CAR60" s="5"/>
      <c r="CAS60" s="117"/>
      <c r="CAT60" s="4"/>
      <c r="CAU60" s="126"/>
      <c r="CAV60" s="127"/>
      <c r="CAW60" s="121"/>
      <c r="CAX60" s="5"/>
      <c r="CAY60" s="5"/>
      <c r="CAZ60" s="124"/>
      <c r="CBA60" s="121"/>
      <c r="CBB60" s="125"/>
      <c r="CBC60" s="5"/>
      <c r="CBD60" s="117"/>
      <c r="CBE60" s="4"/>
      <c r="CBF60" s="126"/>
      <c r="CBG60" s="127"/>
      <c r="CBH60" s="121"/>
      <c r="CBI60" s="5"/>
      <c r="CBJ60" s="5"/>
      <c r="CBK60" s="124"/>
      <c r="CBL60" s="121"/>
      <c r="CBM60" s="125"/>
      <c r="CBN60" s="5"/>
      <c r="CBO60" s="117"/>
      <c r="CBP60" s="4"/>
      <c r="CBQ60" s="126"/>
      <c r="CBR60" s="127"/>
      <c r="CBS60" s="121"/>
      <c r="CBT60" s="5"/>
      <c r="CBU60" s="5"/>
      <c r="CBV60" s="124"/>
      <c r="CBW60" s="121"/>
      <c r="CBX60" s="125"/>
      <c r="CBY60" s="5"/>
      <c r="CBZ60" s="117"/>
      <c r="CCA60" s="4"/>
      <c r="CCB60" s="126"/>
      <c r="CCC60" s="127"/>
      <c r="CCD60" s="121"/>
      <c r="CCE60" s="5"/>
      <c r="CCF60" s="5"/>
      <c r="CCG60" s="124"/>
      <c r="CCH60" s="121"/>
      <c r="CCI60" s="125"/>
      <c r="CCJ60" s="5"/>
      <c r="CCK60" s="117"/>
      <c r="CCL60" s="4"/>
      <c r="CCM60" s="126"/>
      <c r="CCN60" s="127"/>
      <c r="CCO60" s="121"/>
      <c r="CCP60" s="5"/>
      <c r="CCQ60" s="5"/>
      <c r="CCR60" s="124"/>
      <c r="CCS60" s="121"/>
      <c r="CCT60" s="125"/>
      <c r="CCU60" s="5"/>
      <c r="CCV60" s="117"/>
      <c r="CCW60" s="4"/>
      <c r="CCX60" s="126"/>
      <c r="CCY60" s="127"/>
      <c r="CCZ60" s="121"/>
      <c r="CDA60" s="5"/>
      <c r="CDB60" s="5"/>
      <c r="CDC60" s="124"/>
      <c r="CDD60" s="121"/>
      <c r="CDE60" s="125"/>
      <c r="CDF60" s="5"/>
      <c r="CDG60" s="117"/>
      <c r="CDH60" s="4"/>
      <c r="CDI60" s="126"/>
      <c r="CDJ60" s="127"/>
      <c r="CDK60" s="121"/>
      <c r="CDL60" s="5"/>
      <c r="CDM60" s="5"/>
      <c r="CDN60" s="124"/>
      <c r="CDO60" s="121"/>
      <c r="CDP60" s="125"/>
      <c r="CDQ60" s="5"/>
      <c r="CDR60" s="117"/>
      <c r="CDS60" s="4"/>
      <c r="CDT60" s="126"/>
      <c r="CDU60" s="127"/>
      <c r="CDV60" s="121"/>
      <c r="CDW60" s="5"/>
      <c r="CDX60" s="5"/>
      <c r="CDY60" s="124"/>
      <c r="CDZ60" s="121"/>
      <c r="CEA60" s="125"/>
      <c r="CEB60" s="5"/>
      <c r="CEC60" s="117"/>
      <c r="CED60" s="4"/>
      <c r="CEE60" s="126"/>
      <c r="CEF60" s="127"/>
      <c r="CEG60" s="121"/>
      <c r="CEH60" s="5"/>
      <c r="CEI60" s="5"/>
      <c r="CEJ60" s="124"/>
      <c r="CEK60" s="121"/>
      <c r="CEL60" s="125"/>
      <c r="CEM60" s="5"/>
      <c r="CEN60" s="117"/>
      <c r="CEO60" s="4"/>
      <c r="CEP60" s="126"/>
      <c r="CEQ60" s="127"/>
      <c r="CER60" s="121"/>
      <c r="CES60" s="5"/>
      <c r="CET60" s="5"/>
      <c r="CEU60" s="124"/>
      <c r="CEV60" s="121"/>
      <c r="CEW60" s="125"/>
      <c r="CEX60" s="5"/>
      <c r="CEY60" s="117"/>
      <c r="CEZ60" s="4"/>
      <c r="CFA60" s="126"/>
      <c r="CFB60" s="127"/>
      <c r="CFC60" s="121"/>
      <c r="CFD60" s="5"/>
      <c r="CFE60" s="5"/>
      <c r="CFF60" s="124"/>
      <c r="CFG60" s="121"/>
      <c r="CFH60" s="125"/>
      <c r="CFI60" s="5"/>
      <c r="CFJ60" s="117"/>
      <c r="CFK60" s="4"/>
      <c r="CFL60" s="126"/>
      <c r="CFM60" s="127"/>
      <c r="CFN60" s="121"/>
      <c r="CFO60" s="5"/>
      <c r="CFP60" s="5"/>
      <c r="CFQ60" s="124"/>
      <c r="CFR60" s="121"/>
      <c r="CFS60" s="125"/>
      <c r="CFT60" s="5"/>
      <c r="CFU60" s="117"/>
      <c r="CFV60" s="4"/>
      <c r="CFW60" s="126"/>
      <c r="CFX60" s="127"/>
      <c r="CFY60" s="121"/>
      <c r="CFZ60" s="5"/>
      <c r="CGA60" s="5"/>
      <c r="CGB60" s="124"/>
      <c r="CGC60" s="121"/>
      <c r="CGD60" s="125"/>
      <c r="CGE60" s="5"/>
      <c r="CGF60" s="117"/>
      <c r="CGG60" s="4"/>
      <c r="CGH60" s="126"/>
      <c r="CGI60" s="127"/>
      <c r="CGJ60" s="121"/>
      <c r="CGK60" s="5"/>
      <c r="CGL60" s="5"/>
      <c r="CGM60" s="124"/>
      <c r="CGN60" s="121"/>
      <c r="CGO60" s="125"/>
      <c r="CGP60" s="5"/>
      <c r="CGQ60" s="117"/>
      <c r="CGR60" s="4"/>
      <c r="CGS60" s="126"/>
      <c r="CGT60" s="127"/>
      <c r="CGU60" s="121"/>
      <c r="CGV60" s="5"/>
      <c r="CGW60" s="5"/>
      <c r="CGX60" s="124"/>
      <c r="CGY60" s="121"/>
      <c r="CGZ60" s="125"/>
      <c r="CHA60" s="5"/>
      <c r="CHB60" s="117"/>
      <c r="CHC60" s="4"/>
      <c r="CHD60" s="126"/>
      <c r="CHE60" s="127"/>
      <c r="CHF60" s="121"/>
      <c r="CHG60" s="5"/>
      <c r="CHH60" s="5"/>
      <c r="CHI60" s="124"/>
      <c r="CHJ60" s="121"/>
      <c r="CHK60" s="125"/>
      <c r="CHL60" s="5"/>
      <c r="CHM60" s="117"/>
      <c r="CHN60" s="4"/>
      <c r="CHO60" s="126"/>
      <c r="CHP60" s="127"/>
      <c r="CHQ60" s="121"/>
      <c r="CHR60" s="5"/>
      <c r="CHS60" s="5"/>
      <c r="CHT60" s="124"/>
      <c r="CHU60" s="121"/>
      <c r="CHV60" s="125"/>
      <c r="CHW60" s="5"/>
      <c r="CHX60" s="117"/>
      <c r="CHY60" s="4"/>
      <c r="CHZ60" s="126"/>
      <c r="CIA60" s="127"/>
      <c r="CIB60" s="121"/>
      <c r="CIC60" s="5"/>
      <c r="CID60" s="5"/>
      <c r="CIE60" s="124"/>
      <c r="CIF60" s="121"/>
      <c r="CIG60" s="125"/>
      <c r="CIH60" s="5"/>
      <c r="CII60" s="117"/>
      <c r="CIJ60" s="4"/>
      <c r="CIK60" s="126"/>
      <c r="CIL60" s="127"/>
      <c r="CIM60" s="121"/>
      <c r="CIN60" s="5"/>
      <c r="CIO60" s="5"/>
      <c r="CIP60" s="124"/>
      <c r="CIQ60" s="121"/>
      <c r="CIR60" s="125"/>
      <c r="CIS60" s="5"/>
      <c r="CIT60" s="117"/>
      <c r="CIU60" s="4"/>
      <c r="CIV60" s="126"/>
      <c r="CIW60" s="127"/>
      <c r="CIX60" s="121"/>
      <c r="CIY60" s="5"/>
      <c r="CIZ60" s="5"/>
      <c r="CJA60" s="124"/>
      <c r="CJB60" s="121"/>
      <c r="CJC60" s="125"/>
      <c r="CJD60" s="5"/>
      <c r="CJE60" s="117"/>
      <c r="CJF60" s="4"/>
      <c r="CJG60" s="126"/>
      <c r="CJH60" s="127"/>
      <c r="CJI60" s="121"/>
      <c r="CJJ60" s="5"/>
      <c r="CJK60" s="5"/>
      <c r="CJL60" s="124"/>
      <c r="CJM60" s="121"/>
      <c r="CJN60" s="125"/>
      <c r="CJO60" s="5"/>
      <c r="CJP60" s="117"/>
      <c r="CJQ60" s="4"/>
      <c r="CJR60" s="126"/>
      <c r="CJS60" s="127"/>
      <c r="CJT60" s="121"/>
      <c r="CJU60" s="5"/>
      <c r="CJV60" s="5"/>
      <c r="CJW60" s="124"/>
      <c r="CJX60" s="121"/>
      <c r="CJY60" s="125"/>
      <c r="CJZ60" s="5"/>
      <c r="CKA60" s="117"/>
      <c r="CKB60" s="4"/>
      <c r="CKC60" s="126"/>
      <c r="CKD60" s="127"/>
      <c r="CKE60" s="121"/>
      <c r="CKF60" s="5"/>
      <c r="CKG60" s="5"/>
      <c r="CKH60" s="124"/>
      <c r="CKI60" s="121"/>
      <c r="CKJ60" s="125"/>
      <c r="CKK60" s="5"/>
      <c r="CKL60" s="117"/>
      <c r="CKM60" s="4"/>
      <c r="CKN60" s="126"/>
      <c r="CKO60" s="127"/>
      <c r="CKP60" s="121"/>
      <c r="CKQ60" s="5"/>
      <c r="CKR60" s="5"/>
      <c r="CKS60" s="124"/>
      <c r="CKT60" s="121"/>
      <c r="CKU60" s="125"/>
      <c r="CKV60" s="5"/>
      <c r="CKW60" s="117"/>
      <c r="CKX60" s="4"/>
      <c r="CKY60" s="126"/>
      <c r="CKZ60" s="127"/>
      <c r="CLA60" s="121"/>
      <c r="CLB60" s="5"/>
      <c r="CLC60" s="5"/>
      <c r="CLD60" s="124"/>
      <c r="CLE60" s="121"/>
      <c r="CLF60" s="125"/>
      <c r="CLG60" s="5"/>
      <c r="CLH60" s="117"/>
      <c r="CLI60" s="4"/>
      <c r="CLJ60" s="126"/>
      <c r="CLK60" s="127"/>
      <c r="CLL60" s="121"/>
      <c r="CLM60" s="5"/>
      <c r="CLN60" s="5"/>
      <c r="CLO60" s="124"/>
      <c r="CLP60" s="121"/>
      <c r="CLQ60" s="125"/>
      <c r="CLR60" s="5"/>
      <c r="CLS60" s="117"/>
      <c r="CLT60" s="4"/>
      <c r="CLU60" s="126"/>
      <c r="CLV60" s="127"/>
      <c r="CLW60" s="121"/>
      <c r="CLX60" s="5"/>
      <c r="CLY60" s="5"/>
      <c r="CLZ60" s="124"/>
      <c r="CMA60" s="121"/>
      <c r="CMB60" s="125"/>
      <c r="CMC60" s="5"/>
      <c r="CMD60" s="117"/>
      <c r="CME60" s="4"/>
      <c r="CMF60" s="126"/>
      <c r="CMG60" s="127"/>
      <c r="CMH60" s="121"/>
      <c r="CMI60" s="5"/>
      <c r="CMJ60" s="5"/>
      <c r="CMK60" s="124"/>
      <c r="CML60" s="121"/>
      <c r="CMM60" s="125"/>
      <c r="CMN60" s="5"/>
      <c r="CMO60" s="117"/>
      <c r="CMP60" s="4"/>
      <c r="CMQ60" s="126"/>
      <c r="CMR60" s="127"/>
      <c r="CMS60" s="121"/>
      <c r="CMT60" s="5"/>
      <c r="CMU60" s="5"/>
      <c r="CMV60" s="124"/>
      <c r="CMW60" s="121"/>
      <c r="CMX60" s="125"/>
      <c r="CMY60" s="5"/>
      <c r="CMZ60" s="117"/>
      <c r="CNA60" s="4"/>
      <c r="CNB60" s="126"/>
      <c r="CNC60" s="127"/>
      <c r="CND60" s="121"/>
      <c r="CNE60" s="5"/>
      <c r="CNF60" s="5"/>
      <c r="CNG60" s="124"/>
      <c r="CNH60" s="121"/>
      <c r="CNI60" s="125"/>
      <c r="CNJ60" s="5"/>
      <c r="CNK60" s="117"/>
      <c r="CNL60" s="4"/>
      <c r="CNM60" s="126"/>
      <c r="CNN60" s="127"/>
      <c r="CNO60" s="121"/>
      <c r="CNP60" s="5"/>
      <c r="CNQ60" s="5"/>
      <c r="CNR60" s="124"/>
      <c r="CNS60" s="121"/>
      <c r="CNT60" s="125"/>
      <c r="CNU60" s="5"/>
      <c r="CNV60" s="117"/>
      <c r="CNW60" s="4"/>
      <c r="CNX60" s="126"/>
      <c r="CNY60" s="127"/>
      <c r="CNZ60" s="121"/>
      <c r="COA60" s="5"/>
      <c r="COB60" s="5"/>
      <c r="COC60" s="124"/>
      <c r="COD60" s="121"/>
      <c r="COE60" s="125"/>
      <c r="COF60" s="5"/>
      <c r="COG60" s="117"/>
      <c r="COH60" s="4"/>
      <c r="COI60" s="126"/>
      <c r="COJ60" s="127"/>
      <c r="COK60" s="121"/>
      <c r="COL60" s="5"/>
      <c r="COM60" s="5"/>
      <c r="CON60" s="124"/>
      <c r="COO60" s="121"/>
      <c r="COP60" s="125"/>
      <c r="COQ60" s="5"/>
      <c r="COR60" s="117"/>
      <c r="COS60" s="4"/>
      <c r="COT60" s="126"/>
      <c r="COU60" s="127"/>
      <c r="COV60" s="121"/>
      <c r="COW60" s="5"/>
      <c r="COX60" s="5"/>
      <c r="COY60" s="124"/>
      <c r="COZ60" s="121"/>
      <c r="CPA60" s="125"/>
      <c r="CPB60" s="5"/>
      <c r="CPC60" s="117"/>
      <c r="CPD60" s="4"/>
      <c r="CPE60" s="126"/>
      <c r="CPF60" s="127"/>
      <c r="CPG60" s="121"/>
      <c r="CPH60" s="5"/>
      <c r="CPI60" s="5"/>
      <c r="CPJ60" s="124"/>
      <c r="CPK60" s="121"/>
      <c r="CPL60" s="125"/>
      <c r="CPM60" s="5"/>
      <c r="CPN60" s="117"/>
      <c r="CPO60" s="4"/>
      <c r="CPP60" s="126"/>
      <c r="CPQ60" s="127"/>
      <c r="CPR60" s="121"/>
      <c r="CPS60" s="5"/>
      <c r="CPT60" s="5"/>
      <c r="CPU60" s="124"/>
      <c r="CPV60" s="121"/>
      <c r="CPW60" s="125"/>
      <c r="CPX60" s="5"/>
      <c r="CPY60" s="117"/>
      <c r="CPZ60" s="4"/>
      <c r="CQA60" s="126"/>
      <c r="CQB60" s="127"/>
      <c r="CQC60" s="121"/>
      <c r="CQD60" s="5"/>
      <c r="CQE60" s="5"/>
      <c r="CQF60" s="124"/>
      <c r="CQG60" s="121"/>
      <c r="CQH60" s="125"/>
      <c r="CQI60" s="5"/>
      <c r="CQJ60" s="117"/>
      <c r="CQK60" s="4"/>
      <c r="CQL60" s="126"/>
      <c r="CQM60" s="127"/>
      <c r="CQN60" s="121"/>
      <c r="CQO60" s="5"/>
      <c r="CQP60" s="5"/>
      <c r="CQQ60" s="124"/>
      <c r="CQR60" s="121"/>
      <c r="CQS60" s="125"/>
      <c r="CQT60" s="5"/>
      <c r="CQU60" s="117"/>
      <c r="CQV60" s="4"/>
      <c r="CQW60" s="126"/>
      <c r="CQX60" s="127"/>
      <c r="CQY60" s="121"/>
      <c r="CQZ60" s="5"/>
      <c r="CRA60" s="5"/>
      <c r="CRB60" s="124"/>
      <c r="CRC60" s="121"/>
      <c r="CRD60" s="125"/>
      <c r="CRE60" s="5"/>
      <c r="CRF60" s="117"/>
      <c r="CRG60" s="4"/>
      <c r="CRH60" s="126"/>
      <c r="CRI60" s="127"/>
      <c r="CRJ60" s="121"/>
      <c r="CRK60" s="5"/>
      <c r="CRL60" s="5"/>
      <c r="CRM60" s="124"/>
      <c r="CRN60" s="121"/>
      <c r="CRO60" s="125"/>
      <c r="CRP60" s="5"/>
      <c r="CRQ60" s="117"/>
      <c r="CRR60" s="4"/>
      <c r="CRS60" s="126"/>
      <c r="CRT60" s="127"/>
      <c r="CRU60" s="121"/>
      <c r="CRV60" s="5"/>
      <c r="CRW60" s="5"/>
      <c r="CRX60" s="124"/>
      <c r="CRY60" s="121"/>
      <c r="CRZ60" s="125"/>
      <c r="CSA60" s="5"/>
      <c r="CSB60" s="117"/>
      <c r="CSC60" s="4"/>
      <c r="CSD60" s="126"/>
      <c r="CSE60" s="127"/>
      <c r="CSF60" s="121"/>
      <c r="CSG60" s="5"/>
      <c r="CSH60" s="5"/>
      <c r="CSI60" s="124"/>
      <c r="CSJ60" s="121"/>
      <c r="CSK60" s="125"/>
      <c r="CSL60" s="5"/>
      <c r="CSM60" s="117"/>
      <c r="CSN60" s="4"/>
      <c r="CSO60" s="126"/>
      <c r="CSP60" s="127"/>
      <c r="CSQ60" s="121"/>
      <c r="CSR60" s="5"/>
      <c r="CSS60" s="5"/>
      <c r="CST60" s="124"/>
      <c r="CSU60" s="121"/>
      <c r="CSV60" s="125"/>
      <c r="CSW60" s="5"/>
      <c r="CSX60" s="117"/>
      <c r="CSY60" s="4"/>
      <c r="CSZ60" s="126"/>
      <c r="CTA60" s="127"/>
      <c r="CTB60" s="121"/>
      <c r="CTC60" s="5"/>
      <c r="CTD60" s="5"/>
      <c r="CTE60" s="124"/>
      <c r="CTF60" s="121"/>
      <c r="CTG60" s="125"/>
      <c r="CTH60" s="5"/>
      <c r="CTI60" s="117"/>
      <c r="CTJ60" s="4"/>
      <c r="CTK60" s="126"/>
      <c r="CTL60" s="127"/>
      <c r="CTM60" s="121"/>
      <c r="CTN60" s="5"/>
      <c r="CTO60" s="5"/>
      <c r="CTP60" s="124"/>
      <c r="CTQ60" s="121"/>
      <c r="CTR60" s="125"/>
      <c r="CTS60" s="5"/>
      <c r="CTT60" s="117"/>
      <c r="CTU60" s="4"/>
      <c r="CTV60" s="126"/>
      <c r="CTW60" s="127"/>
      <c r="CTX60" s="121"/>
      <c r="CTY60" s="5"/>
      <c r="CTZ60" s="5"/>
      <c r="CUA60" s="124"/>
      <c r="CUB60" s="121"/>
      <c r="CUC60" s="125"/>
      <c r="CUD60" s="5"/>
      <c r="CUE60" s="117"/>
      <c r="CUF60" s="4"/>
      <c r="CUG60" s="126"/>
      <c r="CUH60" s="127"/>
      <c r="CUI60" s="121"/>
      <c r="CUJ60" s="5"/>
      <c r="CUK60" s="5"/>
      <c r="CUL60" s="124"/>
      <c r="CUM60" s="121"/>
      <c r="CUN60" s="125"/>
      <c r="CUO60" s="5"/>
      <c r="CUP60" s="117"/>
      <c r="CUQ60" s="4"/>
      <c r="CUR60" s="126"/>
      <c r="CUS60" s="127"/>
      <c r="CUT60" s="121"/>
      <c r="CUU60" s="5"/>
      <c r="CUV60" s="5"/>
      <c r="CUW60" s="124"/>
      <c r="CUX60" s="121"/>
      <c r="CUY60" s="125"/>
      <c r="CUZ60" s="5"/>
      <c r="CVA60" s="117"/>
      <c r="CVB60" s="4"/>
      <c r="CVC60" s="126"/>
      <c r="CVD60" s="127"/>
      <c r="CVE60" s="121"/>
      <c r="CVF60" s="5"/>
      <c r="CVG60" s="5"/>
      <c r="CVH60" s="124"/>
      <c r="CVI60" s="121"/>
      <c r="CVJ60" s="125"/>
      <c r="CVK60" s="5"/>
      <c r="CVL60" s="117"/>
      <c r="CVM60" s="4"/>
      <c r="CVN60" s="126"/>
      <c r="CVO60" s="127"/>
      <c r="CVP60" s="121"/>
      <c r="CVQ60" s="5"/>
      <c r="CVR60" s="5"/>
      <c r="CVS60" s="124"/>
      <c r="CVT60" s="121"/>
      <c r="CVU60" s="125"/>
      <c r="CVV60" s="5"/>
      <c r="CVW60" s="117"/>
      <c r="CVX60" s="4"/>
      <c r="CVY60" s="126"/>
      <c r="CVZ60" s="127"/>
      <c r="CWA60" s="121"/>
      <c r="CWB60" s="5"/>
      <c r="CWC60" s="5"/>
      <c r="CWD60" s="124"/>
      <c r="CWE60" s="121"/>
      <c r="CWF60" s="125"/>
      <c r="CWG60" s="5"/>
      <c r="CWH60" s="117"/>
      <c r="CWI60" s="4"/>
      <c r="CWJ60" s="126"/>
      <c r="CWK60" s="127"/>
      <c r="CWL60" s="121"/>
      <c r="CWM60" s="5"/>
      <c r="CWN60" s="5"/>
      <c r="CWO60" s="124"/>
      <c r="CWP60" s="121"/>
      <c r="CWQ60" s="125"/>
      <c r="CWR60" s="5"/>
      <c r="CWS60" s="117"/>
      <c r="CWT60" s="4"/>
      <c r="CWU60" s="126"/>
      <c r="CWV60" s="127"/>
      <c r="CWW60" s="121"/>
      <c r="CWX60" s="5"/>
      <c r="CWY60" s="5"/>
      <c r="CWZ60" s="124"/>
      <c r="CXA60" s="121"/>
      <c r="CXB60" s="125"/>
      <c r="CXC60" s="5"/>
      <c r="CXD60" s="117"/>
      <c r="CXE60" s="4"/>
      <c r="CXF60" s="126"/>
      <c r="CXG60" s="127"/>
      <c r="CXH60" s="121"/>
      <c r="CXI60" s="5"/>
      <c r="CXJ60" s="5"/>
      <c r="CXK60" s="124"/>
      <c r="CXL60" s="121"/>
      <c r="CXM60" s="125"/>
      <c r="CXN60" s="5"/>
      <c r="CXO60" s="117"/>
      <c r="CXP60" s="4"/>
      <c r="CXQ60" s="126"/>
      <c r="CXR60" s="127"/>
      <c r="CXS60" s="121"/>
      <c r="CXT60" s="5"/>
      <c r="CXU60" s="5"/>
      <c r="CXV60" s="124"/>
      <c r="CXW60" s="121"/>
      <c r="CXX60" s="125"/>
      <c r="CXY60" s="5"/>
      <c r="CXZ60" s="117"/>
      <c r="CYA60" s="4"/>
      <c r="CYB60" s="126"/>
      <c r="CYC60" s="127"/>
      <c r="CYD60" s="121"/>
      <c r="CYE60" s="5"/>
      <c r="CYF60" s="5"/>
      <c r="CYG60" s="124"/>
      <c r="CYH60" s="121"/>
      <c r="CYI60" s="125"/>
      <c r="CYJ60" s="5"/>
      <c r="CYK60" s="117"/>
      <c r="CYL60" s="4"/>
      <c r="CYM60" s="126"/>
      <c r="CYN60" s="127"/>
      <c r="CYO60" s="121"/>
      <c r="CYP60" s="5"/>
      <c r="CYQ60" s="5"/>
      <c r="CYR60" s="124"/>
      <c r="CYS60" s="121"/>
      <c r="CYT60" s="125"/>
      <c r="CYU60" s="5"/>
      <c r="CYV60" s="117"/>
      <c r="CYW60" s="4"/>
      <c r="CYX60" s="126"/>
      <c r="CYY60" s="127"/>
      <c r="CYZ60" s="121"/>
      <c r="CZA60" s="5"/>
      <c r="CZB60" s="5"/>
      <c r="CZC60" s="124"/>
      <c r="CZD60" s="121"/>
      <c r="CZE60" s="125"/>
      <c r="CZF60" s="5"/>
      <c r="CZG60" s="117"/>
      <c r="CZH60" s="4"/>
      <c r="CZI60" s="126"/>
      <c r="CZJ60" s="127"/>
      <c r="CZK60" s="121"/>
      <c r="CZL60" s="5"/>
      <c r="CZM60" s="5"/>
      <c r="CZN60" s="124"/>
      <c r="CZO60" s="121"/>
      <c r="CZP60" s="125"/>
      <c r="CZQ60" s="5"/>
      <c r="CZR60" s="117"/>
      <c r="CZS60" s="4"/>
      <c r="CZT60" s="126"/>
      <c r="CZU60" s="127"/>
      <c r="CZV60" s="121"/>
      <c r="CZW60" s="5"/>
      <c r="CZX60" s="5"/>
      <c r="CZY60" s="124"/>
      <c r="CZZ60" s="121"/>
      <c r="DAA60" s="125"/>
      <c r="DAB60" s="5"/>
      <c r="DAC60" s="117"/>
      <c r="DAD60" s="4"/>
      <c r="DAE60" s="126"/>
      <c r="DAF60" s="127"/>
      <c r="DAG60" s="121"/>
      <c r="DAH60" s="5"/>
      <c r="DAI60" s="5"/>
      <c r="DAJ60" s="124"/>
      <c r="DAK60" s="121"/>
      <c r="DAL60" s="125"/>
      <c r="DAM60" s="5"/>
      <c r="DAN60" s="117"/>
      <c r="DAO60" s="4"/>
      <c r="DAP60" s="126"/>
      <c r="DAQ60" s="127"/>
      <c r="DAR60" s="121"/>
      <c r="DAS60" s="5"/>
      <c r="DAT60" s="5"/>
      <c r="DAU60" s="124"/>
      <c r="DAV60" s="121"/>
      <c r="DAW60" s="125"/>
      <c r="DAX60" s="5"/>
      <c r="DAY60" s="117"/>
      <c r="DAZ60" s="4"/>
      <c r="DBA60" s="126"/>
      <c r="DBB60" s="127"/>
      <c r="DBC60" s="121"/>
      <c r="DBD60" s="5"/>
      <c r="DBE60" s="5"/>
      <c r="DBF60" s="124"/>
      <c r="DBG60" s="121"/>
      <c r="DBH60" s="125"/>
      <c r="DBI60" s="5"/>
      <c r="DBJ60" s="117"/>
      <c r="DBK60" s="4"/>
      <c r="DBL60" s="126"/>
      <c r="DBM60" s="127"/>
      <c r="DBN60" s="121"/>
      <c r="DBO60" s="5"/>
      <c r="DBP60" s="5"/>
      <c r="DBQ60" s="124"/>
      <c r="DBR60" s="121"/>
      <c r="DBS60" s="125"/>
      <c r="DBT60" s="5"/>
      <c r="DBU60" s="117"/>
      <c r="DBV60" s="4"/>
      <c r="DBW60" s="126"/>
      <c r="DBX60" s="127"/>
      <c r="DBY60" s="121"/>
      <c r="DBZ60" s="5"/>
      <c r="DCA60" s="5"/>
      <c r="DCB60" s="124"/>
      <c r="DCC60" s="121"/>
      <c r="DCD60" s="125"/>
      <c r="DCE60" s="5"/>
      <c r="DCF60" s="117"/>
      <c r="DCG60" s="4"/>
      <c r="DCH60" s="126"/>
      <c r="DCI60" s="127"/>
      <c r="DCJ60" s="121"/>
      <c r="DCK60" s="5"/>
      <c r="DCL60" s="5"/>
      <c r="DCM60" s="124"/>
      <c r="DCN60" s="121"/>
      <c r="DCO60" s="125"/>
      <c r="DCP60" s="5"/>
      <c r="DCQ60" s="117"/>
      <c r="DCR60" s="4"/>
      <c r="DCS60" s="126"/>
      <c r="DCT60" s="127"/>
      <c r="DCU60" s="121"/>
      <c r="DCV60" s="5"/>
      <c r="DCW60" s="5"/>
      <c r="DCX60" s="124"/>
      <c r="DCY60" s="121"/>
      <c r="DCZ60" s="125"/>
      <c r="DDA60" s="5"/>
      <c r="DDB60" s="117"/>
      <c r="DDC60" s="4"/>
      <c r="DDD60" s="126"/>
      <c r="DDE60" s="127"/>
      <c r="DDF60" s="121"/>
      <c r="DDG60" s="5"/>
      <c r="DDH60" s="5"/>
      <c r="DDI60" s="124"/>
      <c r="DDJ60" s="121"/>
      <c r="DDK60" s="125"/>
      <c r="DDL60" s="5"/>
      <c r="DDM60" s="117"/>
      <c r="DDN60" s="4"/>
      <c r="DDO60" s="126"/>
      <c r="DDP60" s="127"/>
      <c r="DDQ60" s="121"/>
      <c r="DDR60" s="5"/>
      <c r="DDS60" s="5"/>
      <c r="DDT60" s="124"/>
      <c r="DDU60" s="121"/>
      <c r="DDV60" s="125"/>
      <c r="DDW60" s="5"/>
      <c r="DDX60" s="117"/>
      <c r="DDY60" s="4"/>
      <c r="DDZ60" s="126"/>
      <c r="DEA60" s="127"/>
      <c r="DEB60" s="121"/>
      <c r="DEC60" s="5"/>
      <c r="DED60" s="5"/>
      <c r="DEE60" s="124"/>
      <c r="DEF60" s="121"/>
      <c r="DEG60" s="125"/>
      <c r="DEH60" s="5"/>
      <c r="DEI60" s="117"/>
      <c r="DEJ60" s="4"/>
      <c r="DEK60" s="126"/>
      <c r="DEL60" s="127"/>
      <c r="DEM60" s="121"/>
      <c r="DEN60" s="5"/>
      <c r="DEO60" s="5"/>
      <c r="DEP60" s="124"/>
      <c r="DEQ60" s="121"/>
      <c r="DER60" s="125"/>
      <c r="DES60" s="5"/>
      <c r="DET60" s="117"/>
      <c r="DEU60" s="4"/>
      <c r="DEV60" s="126"/>
      <c r="DEW60" s="127"/>
      <c r="DEX60" s="121"/>
      <c r="DEY60" s="5"/>
      <c r="DEZ60" s="5"/>
      <c r="DFA60" s="124"/>
      <c r="DFB60" s="121"/>
      <c r="DFC60" s="125"/>
      <c r="DFD60" s="5"/>
      <c r="DFE60" s="117"/>
      <c r="DFF60" s="4"/>
      <c r="DFG60" s="126"/>
      <c r="DFH60" s="127"/>
      <c r="DFI60" s="121"/>
      <c r="DFJ60" s="5"/>
      <c r="DFK60" s="5"/>
      <c r="DFL60" s="124"/>
      <c r="DFM60" s="121"/>
      <c r="DFN60" s="125"/>
      <c r="DFO60" s="5"/>
      <c r="DFP60" s="117"/>
      <c r="DFQ60" s="4"/>
      <c r="DFR60" s="126"/>
      <c r="DFS60" s="127"/>
      <c r="DFT60" s="121"/>
      <c r="DFU60" s="5"/>
      <c r="DFV60" s="5"/>
      <c r="DFW60" s="124"/>
      <c r="DFX60" s="121"/>
      <c r="DFY60" s="125"/>
      <c r="DFZ60" s="5"/>
      <c r="DGA60" s="117"/>
      <c r="DGB60" s="4"/>
      <c r="DGC60" s="126"/>
      <c r="DGD60" s="127"/>
      <c r="DGE60" s="121"/>
      <c r="DGF60" s="5"/>
      <c r="DGG60" s="5"/>
      <c r="DGH60" s="124"/>
      <c r="DGI60" s="121"/>
      <c r="DGJ60" s="125"/>
      <c r="DGK60" s="5"/>
      <c r="DGL60" s="117"/>
      <c r="DGM60" s="4"/>
      <c r="DGN60" s="126"/>
      <c r="DGO60" s="127"/>
      <c r="DGP60" s="121"/>
      <c r="DGQ60" s="5"/>
      <c r="DGR60" s="5"/>
      <c r="DGS60" s="124"/>
      <c r="DGT60" s="121"/>
      <c r="DGU60" s="125"/>
      <c r="DGV60" s="5"/>
      <c r="DGW60" s="117"/>
      <c r="DGX60" s="4"/>
      <c r="DGY60" s="126"/>
      <c r="DGZ60" s="127"/>
      <c r="DHA60" s="121"/>
      <c r="DHB60" s="5"/>
      <c r="DHC60" s="5"/>
      <c r="DHD60" s="124"/>
      <c r="DHE60" s="121"/>
      <c r="DHF60" s="125"/>
      <c r="DHG60" s="5"/>
      <c r="DHH60" s="117"/>
      <c r="DHI60" s="4"/>
      <c r="DHJ60" s="126"/>
      <c r="DHK60" s="127"/>
      <c r="DHL60" s="121"/>
      <c r="DHM60" s="5"/>
      <c r="DHN60" s="5"/>
      <c r="DHO60" s="124"/>
      <c r="DHP60" s="121"/>
      <c r="DHQ60" s="125"/>
      <c r="DHR60" s="5"/>
      <c r="DHS60" s="117"/>
      <c r="DHT60" s="4"/>
      <c r="DHU60" s="126"/>
      <c r="DHV60" s="127"/>
      <c r="DHW60" s="121"/>
      <c r="DHX60" s="5"/>
      <c r="DHY60" s="5"/>
      <c r="DHZ60" s="124"/>
      <c r="DIA60" s="121"/>
      <c r="DIB60" s="125"/>
      <c r="DIC60" s="5"/>
      <c r="DID60" s="117"/>
      <c r="DIE60" s="4"/>
      <c r="DIF60" s="126"/>
      <c r="DIG60" s="127"/>
      <c r="DIH60" s="121"/>
      <c r="DII60" s="5"/>
      <c r="DIJ60" s="5"/>
      <c r="DIK60" s="124"/>
      <c r="DIL60" s="121"/>
      <c r="DIM60" s="125"/>
      <c r="DIN60" s="5"/>
      <c r="DIO60" s="117"/>
      <c r="DIP60" s="4"/>
      <c r="DIQ60" s="126"/>
      <c r="DIR60" s="127"/>
      <c r="DIS60" s="121"/>
      <c r="DIT60" s="5"/>
      <c r="DIU60" s="5"/>
      <c r="DIV60" s="124"/>
      <c r="DIW60" s="121"/>
      <c r="DIX60" s="125"/>
      <c r="DIY60" s="5"/>
      <c r="DIZ60" s="117"/>
      <c r="DJA60" s="4"/>
      <c r="DJB60" s="126"/>
      <c r="DJC60" s="127"/>
      <c r="DJD60" s="121"/>
      <c r="DJE60" s="5"/>
      <c r="DJF60" s="5"/>
      <c r="DJG60" s="124"/>
      <c r="DJH60" s="121"/>
      <c r="DJI60" s="125"/>
      <c r="DJJ60" s="5"/>
      <c r="DJK60" s="117"/>
      <c r="DJL60" s="4"/>
      <c r="DJM60" s="126"/>
      <c r="DJN60" s="127"/>
      <c r="DJO60" s="121"/>
      <c r="DJP60" s="5"/>
      <c r="DJQ60" s="5"/>
      <c r="DJR60" s="124"/>
      <c r="DJS60" s="121"/>
      <c r="DJT60" s="125"/>
      <c r="DJU60" s="5"/>
      <c r="DJV60" s="117"/>
      <c r="DJW60" s="4"/>
      <c r="DJX60" s="126"/>
      <c r="DJY60" s="127"/>
      <c r="DJZ60" s="121"/>
      <c r="DKA60" s="5"/>
      <c r="DKB60" s="5"/>
      <c r="DKC60" s="124"/>
      <c r="DKD60" s="121"/>
      <c r="DKE60" s="125"/>
      <c r="DKF60" s="5"/>
      <c r="DKG60" s="117"/>
      <c r="DKH60" s="4"/>
      <c r="DKI60" s="126"/>
      <c r="DKJ60" s="127"/>
      <c r="DKK60" s="121"/>
      <c r="DKL60" s="5"/>
      <c r="DKM60" s="5"/>
      <c r="DKN60" s="124"/>
      <c r="DKO60" s="121"/>
      <c r="DKP60" s="125"/>
      <c r="DKQ60" s="5"/>
      <c r="DKR60" s="117"/>
      <c r="DKS60" s="4"/>
      <c r="DKT60" s="126"/>
      <c r="DKU60" s="127"/>
      <c r="DKV60" s="121"/>
      <c r="DKW60" s="5"/>
      <c r="DKX60" s="5"/>
      <c r="DKY60" s="124"/>
      <c r="DKZ60" s="121"/>
      <c r="DLA60" s="125"/>
      <c r="DLB60" s="5"/>
      <c r="DLC60" s="117"/>
      <c r="DLD60" s="4"/>
      <c r="DLE60" s="126"/>
      <c r="DLF60" s="127"/>
      <c r="DLG60" s="121"/>
      <c r="DLH60" s="5"/>
      <c r="DLI60" s="5"/>
      <c r="DLJ60" s="124"/>
      <c r="DLK60" s="121"/>
      <c r="DLL60" s="125"/>
      <c r="DLM60" s="5"/>
      <c r="DLN60" s="117"/>
      <c r="DLO60" s="4"/>
      <c r="DLP60" s="126"/>
      <c r="DLQ60" s="127"/>
      <c r="DLR60" s="121"/>
      <c r="DLS60" s="5"/>
      <c r="DLT60" s="5"/>
      <c r="DLU60" s="124"/>
      <c r="DLV60" s="121"/>
      <c r="DLW60" s="125"/>
      <c r="DLX60" s="5"/>
      <c r="DLY60" s="117"/>
      <c r="DLZ60" s="4"/>
      <c r="DMA60" s="126"/>
      <c r="DMB60" s="127"/>
      <c r="DMC60" s="121"/>
      <c r="DMD60" s="5"/>
      <c r="DME60" s="5"/>
      <c r="DMF60" s="124"/>
      <c r="DMG60" s="121"/>
      <c r="DMH60" s="125"/>
      <c r="DMI60" s="5"/>
      <c r="DMJ60" s="117"/>
      <c r="DMK60" s="4"/>
      <c r="DML60" s="126"/>
      <c r="DMM60" s="127"/>
      <c r="DMN60" s="121"/>
      <c r="DMO60" s="5"/>
      <c r="DMP60" s="5"/>
      <c r="DMQ60" s="124"/>
      <c r="DMR60" s="121"/>
      <c r="DMS60" s="125"/>
      <c r="DMT60" s="5"/>
      <c r="DMU60" s="117"/>
      <c r="DMV60" s="4"/>
      <c r="DMW60" s="126"/>
      <c r="DMX60" s="127"/>
      <c r="DMY60" s="121"/>
      <c r="DMZ60" s="5"/>
      <c r="DNA60" s="5"/>
      <c r="DNB60" s="124"/>
      <c r="DNC60" s="121"/>
      <c r="DND60" s="125"/>
      <c r="DNE60" s="5"/>
      <c r="DNF60" s="117"/>
      <c r="DNG60" s="4"/>
      <c r="DNH60" s="126"/>
      <c r="DNI60" s="127"/>
      <c r="DNJ60" s="121"/>
      <c r="DNK60" s="5"/>
      <c r="DNL60" s="5"/>
      <c r="DNM60" s="124"/>
      <c r="DNN60" s="121"/>
      <c r="DNO60" s="125"/>
      <c r="DNP60" s="5"/>
      <c r="DNQ60" s="117"/>
      <c r="DNR60" s="4"/>
      <c r="DNS60" s="126"/>
      <c r="DNT60" s="127"/>
      <c r="DNU60" s="121"/>
      <c r="DNV60" s="5"/>
      <c r="DNW60" s="5"/>
      <c r="DNX60" s="124"/>
      <c r="DNY60" s="121"/>
      <c r="DNZ60" s="125"/>
      <c r="DOA60" s="5"/>
      <c r="DOB60" s="117"/>
      <c r="DOC60" s="4"/>
      <c r="DOD60" s="126"/>
      <c r="DOE60" s="127"/>
      <c r="DOF60" s="121"/>
      <c r="DOG60" s="5"/>
      <c r="DOH60" s="5"/>
      <c r="DOI60" s="124"/>
      <c r="DOJ60" s="121"/>
      <c r="DOK60" s="125"/>
      <c r="DOL60" s="5"/>
      <c r="DOM60" s="117"/>
      <c r="DON60" s="4"/>
      <c r="DOO60" s="126"/>
      <c r="DOP60" s="127"/>
      <c r="DOQ60" s="121"/>
      <c r="DOR60" s="5"/>
      <c r="DOS60" s="5"/>
      <c r="DOT60" s="124"/>
      <c r="DOU60" s="121"/>
      <c r="DOV60" s="125"/>
      <c r="DOW60" s="5"/>
      <c r="DOX60" s="117"/>
      <c r="DOY60" s="4"/>
      <c r="DOZ60" s="126"/>
      <c r="DPA60" s="127"/>
      <c r="DPB60" s="121"/>
      <c r="DPC60" s="5"/>
      <c r="DPD60" s="5"/>
      <c r="DPE60" s="124"/>
      <c r="DPF60" s="121"/>
      <c r="DPG60" s="125"/>
      <c r="DPH60" s="5"/>
      <c r="DPI60" s="117"/>
      <c r="DPJ60" s="4"/>
      <c r="DPK60" s="126"/>
      <c r="DPL60" s="127"/>
      <c r="DPM60" s="121"/>
      <c r="DPN60" s="5"/>
      <c r="DPO60" s="5"/>
      <c r="DPP60" s="124"/>
      <c r="DPQ60" s="121"/>
      <c r="DPR60" s="125"/>
      <c r="DPS60" s="5"/>
      <c r="DPT60" s="117"/>
      <c r="DPU60" s="4"/>
      <c r="DPV60" s="126"/>
      <c r="DPW60" s="127"/>
      <c r="DPX60" s="121"/>
      <c r="DPY60" s="5"/>
      <c r="DPZ60" s="5"/>
      <c r="DQA60" s="124"/>
      <c r="DQB60" s="121"/>
      <c r="DQC60" s="125"/>
      <c r="DQD60" s="5"/>
      <c r="DQE60" s="117"/>
      <c r="DQF60" s="4"/>
      <c r="DQG60" s="126"/>
      <c r="DQH60" s="127"/>
      <c r="DQI60" s="121"/>
      <c r="DQJ60" s="5"/>
      <c r="DQK60" s="5"/>
      <c r="DQL60" s="124"/>
      <c r="DQM60" s="121"/>
      <c r="DQN60" s="125"/>
      <c r="DQO60" s="5"/>
      <c r="DQP60" s="117"/>
      <c r="DQQ60" s="4"/>
      <c r="DQR60" s="126"/>
      <c r="DQS60" s="127"/>
      <c r="DQT60" s="121"/>
      <c r="DQU60" s="5"/>
      <c r="DQV60" s="5"/>
      <c r="DQW60" s="124"/>
      <c r="DQX60" s="121"/>
      <c r="DQY60" s="125"/>
      <c r="DQZ60" s="5"/>
      <c r="DRA60" s="117"/>
      <c r="DRB60" s="4"/>
      <c r="DRC60" s="126"/>
      <c r="DRD60" s="127"/>
      <c r="DRE60" s="121"/>
      <c r="DRF60" s="5"/>
      <c r="DRG60" s="5"/>
      <c r="DRH60" s="124"/>
      <c r="DRI60" s="121"/>
      <c r="DRJ60" s="125"/>
      <c r="DRK60" s="5"/>
      <c r="DRL60" s="117"/>
      <c r="DRM60" s="4"/>
      <c r="DRN60" s="126"/>
      <c r="DRO60" s="127"/>
      <c r="DRP60" s="121"/>
      <c r="DRQ60" s="5"/>
      <c r="DRR60" s="5"/>
      <c r="DRS60" s="124"/>
      <c r="DRT60" s="121"/>
      <c r="DRU60" s="125"/>
      <c r="DRV60" s="5"/>
      <c r="DRW60" s="117"/>
      <c r="DRX60" s="4"/>
      <c r="DRY60" s="126"/>
      <c r="DRZ60" s="127"/>
      <c r="DSA60" s="121"/>
      <c r="DSB60" s="5"/>
      <c r="DSC60" s="5"/>
      <c r="DSD60" s="124"/>
      <c r="DSE60" s="121"/>
      <c r="DSF60" s="125"/>
      <c r="DSG60" s="5"/>
      <c r="DSH60" s="117"/>
      <c r="DSI60" s="4"/>
      <c r="DSJ60" s="126"/>
      <c r="DSK60" s="127"/>
      <c r="DSL60" s="121"/>
      <c r="DSM60" s="5"/>
      <c r="DSN60" s="5"/>
      <c r="DSO60" s="124"/>
      <c r="DSP60" s="121"/>
      <c r="DSQ60" s="125"/>
      <c r="DSR60" s="5"/>
      <c r="DSS60" s="117"/>
      <c r="DST60" s="4"/>
      <c r="DSU60" s="126"/>
      <c r="DSV60" s="127"/>
      <c r="DSW60" s="121"/>
      <c r="DSX60" s="5"/>
      <c r="DSY60" s="5"/>
      <c r="DSZ60" s="124"/>
      <c r="DTA60" s="121"/>
      <c r="DTB60" s="125"/>
      <c r="DTC60" s="5"/>
      <c r="DTD60" s="117"/>
      <c r="DTE60" s="4"/>
      <c r="DTF60" s="126"/>
      <c r="DTG60" s="127"/>
      <c r="DTH60" s="121"/>
      <c r="DTI60" s="5"/>
      <c r="DTJ60" s="5"/>
      <c r="DTK60" s="124"/>
      <c r="DTL60" s="121"/>
      <c r="DTM60" s="125"/>
      <c r="DTN60" s="5"/>
      <c r="DTO60" s="117"/>
      <c r="DTP60" s="4"/>
      <c r="DTQ60" s="126"/>
      <c r="DTR60" s="127"/>
      <c r="DTS60" s="121"/>
      <c r="DTT60" s="5"/>
      <c r="DTU60" s="5"/>
      <c r="DTV60" s="124"/>
      <c r="DTW60" s="121"/>
      <c r="DTX60" s="125"/>
      <c r="DTY60" s="5"/>
      <c r="DTZ60" s="117"/>
      <c r="DUA60" s="4"/>
      <c r="DUB60" s="126"/>
      <c r="DUC60" s="127"/>
      <c r="DUD60" s="121"/>
      <c r="DUE60" s="5"/>
      <c r="DUF60" s="5"/>
      <c r="DUG60" s="124"/>
      <c r="DUH60" s="121"/>
      <c r="DUI60" s="125"/>
      <c r="DUJ60" s="5"/>
      <c r="DUK60" s="117"/>
      <c r="DUL60" s="4"/>
      <c r="DUM60" s="126"/>
      <c r="DUN60" s="127"/>
      <c r="DUO60" s="121"/>
      <c r="DUP60" s="5"/>
      <c r="DUQ60" s="5"/>
      <c r="DUR60" s="124"/>
      <c r="DUS60" s="121"/>
      <c r="DUT60" s="125"/>
      <c r="DUU60" s="5"/>
      <c r="DUV60" s="117"/>
      <c r="DUW60" s="4"/>
      <c r="DUX60" s="126"/>
      <c r="DUY60" s="127"/>
      <c r="DUZ60" s="121"/>
      <c r="DVA60" s="5"/>
      <c r="DVB60" s="5"/>
      <c r="DVC60" s="124"/>
      <c r="DVD60" s="121"/>
      <c r="DVE60" s="125"/>
      <c r="DVF60" s="5"/>
      <c r="DVG60" s="117"/>
      <c r="DVH60" s="4"/>
      <c r="DVI60" s="126"/>
      <c r="DVJ60" s="127"/>
      <c r="DVK60" s="121"/>
      <c r="DVL60" s="5"/>
      <c r="DVM60" s="5"/>
      <c r="DVN60" s="124"/>
      <c r="DVO60" s="121"/>
      <c r="DVP60" s="125"/>
      <c r="DVQ60" s="5"/>
      <c r="DVR60" s="117"/>
      <c r="DVS60" s="4"/>
      <c r="DVT60" s="126"/>
      <c r="DVU60" s="127"/>
      <c r="DVV60" s="121"/>
      <c r="DVW60" s="5"/>
      <c r="DVX60" s="5"/>
      <c r="DVY60" s="124"/>
      <c r="DVZ60" s="121"/>
      <c r="DWA60" s="125"/>
      <c r="DWB60" s="5"/>
      <c r="DWC60" s="117"/>
      <c r="DWD60" s="4"/>
      <c r="DWE60" s="126"/>
      <c r="DWF60" s="127"/>
      <c r="DWG60" s="121"/>
      <c r="DWH60" s="5"/>
      <c r="DWI60" s="5"/>
      <c r="DWJ60" s="124"/>
      <c r="DWK60" s="121"/>
      <c r="DWL60" s="125"/>
      <c r="DWM60" s="5"/>
      <c r="DWN60" s="117"/>
      <c r="DWO60" s="4"/>
      <c r="DWP60" s="126"/>
      <c r="DWQ60" s="127"/>
      <c r="DWR60" s="121"/>
      <c r="DWS60" s="5"/>
      <c r="DWT60" s="5"/>
      <c r="DWU60" s="124"/>
      <c r="DWV60" s="121"/>
      <c r="DWW60" s="125"/>
      <c r="DWX60" s="5"/>
      <c r="DWY60" s="117"/>
      <c r="DWZ60" s="4"/>
      <c r="DXA60" s="126"/>
      <c r="DXB60" s="127"/>
      <c r="DXC60" s="121"/>
      <c r="DXD60" s="5"/>
      <c r="DXE60" s="5"/>
      <c r="DXF60" s="124"/>
      <c r="DXG60" s="121"/>
      <c r="DXH60" s="125"/>
      <c r="DXI60" s="5"/>
      <c r="DXJ60" s="117"/>
      <c r="DXK60" s="4"/>
      <c r="DXL60" s="126"/>
      <c r="DXM60" s="127"/>
      <c r="DXN60" s="121"/>
      <c r="DXO60" s="5"/>
      <c r="DXP60" s="5"/>
      <c r="DXQ60" s="124"/>
      <c r="DXR60" s="121"/>
      <c r="DXS60" s="125"/>
      <c r="DXT60" s="5"/>
      <c r="DXU60" s="117"/>
      <c r="DXV60" s="4"/>
      <c r="DXW60" s="126"/>
      <c r="DXX60" s="127"/>
      <c r="DXY60" s="121"/>
      <c r="DXZ60" s="5"/>
      <c r="DYA60" s="5"/>
      <c r="DYB60" s="124"/>
      <c r="DYC60" s="121"/>
      <c r="DYD60" s="125"/>
      <c r="DYE60" s="5"/>
      <c r="DYF60" s="117"/>
      <c r="DYG60" s="4"/>
      <c r="DYH60" s="126"/>
      <c r="DYI60" s="127"/>
      <c r="DYJ60" s="121"/>
      <c r="DYK60" s="5"/>
      <c r="DYL60" s="5"/>
      <c r="DYM60" s="124"/>
      <c r="DYN60" s="121"/>
      <c r="DYO60" s="125"/>
      <c r="DYP60" s="5"/>
      <c r="DYQ60" s="117"/>
      <c r="DYR60" s="4"/>
      <c r="DYS60" s="126"/>
      <c r="DYT60" s="127"/>
      <c r="DYU60" s="121"/>
      <c r="DYV60" s="5"/>
      <c r="DYW60" s="5"/>
      <c r="DYX60" s="124"/>
      <c r="DYY60" s="121"/>
      <c r="DYZ60" s="125"/>
      <c r="DZA60" s="5"/>
      <c r="DZB60" s="117"/>
      <c r="DZC60" s="4"/>
      <c r="DZD60" s="126"/>
      <c r="DZE60" s="127"/>
      <c r="DZF60" s="121"/>
      <c r="DZG60" s="5"/>
      <c r="DZH60" s="5"/>
      <c r="DZI60" s="124"/>
      <c r="DZJ60" s="121"/>
      <c r="DZK60" s="125"/>
      <c r="DZL60" s="5"/>
      <c r="DZM60" s="117"/>
      <c r="DZN60" s="4"/>
      <c r="DZO60" s="126"/>
      <c r="DZP60" s="127"/>
      <c r="DZQ60" s="121"/>
      <c r="DZR60" s="5"/>
      <c r="DZS60" s="5"/>
      <c r="DZT60" s="124"/>
      <c r="DZU60" s="121"/>
      <c r="DZV60" s="125"/>
      <c r="DZW60" s="5"/>
      <c r="DZX60" s="117"/>
      <c r="DZY60" s="4"/>
      <c r="DZZ60" s="126"/>
      <c r="EAA60" s="127"/>
      <c r="EAB60" s="121"/>
      <c r="EAC60" s="5"/>
      <c r="EAD60" s="5"/>
      <c r="EAE60" s="124"/>
      <c r="EAF60" s="121"/>
      <c r="EAG60" s="125"/>
      <c r="EAH60" s="5"/>
      <c r="EAI60" s="117"/>
      <c r="EAJ60" s="4"/>
      <c r="EAK60" s="126"/>
      <c r="EAL60" s="127"/>
      <c r="EAM60" s="121"/>
      <c r="EAN60" s="5"/>
      <c r="EAO60" s="5"/>
      <c r="EAP60" s="124"/>
      <c r="EAQ60" s="121"/>
      <c r="EAR60" s="125"/>
      <c r="EAS60" s="5"/>
      <c r="EAT60" s="117"/>
      <c r="EAU60" s="4"/>
      <c r="EAV60" s="126"/>
      <c r="EAW60" s="127"/>
      <c r="EAX60" s="121"/>
      <c r="EAY60" s="5"/>
      <c r="EAZ60" s="5"/>
      <c r="EBA60" s="124"/>
      <c r="EBB60" s="121"/>
      <c r="EBC60" s="125"/>
      <c r="EBD60" s="5"/>
      <c r="EBE60" s="117"/>
      <c r="EBF60" s="4"/>
      <c r="EBG60" s="126"/>
      <c r="EBH60" s="127"/>
      <c r="EBI60" s="121"/>
      <c r="EBJ60" s="5"/>
      <c r="EBK60" s="5"/>
      <c r="EBL60" s="124"/>
      <c r="EBM60" s="121"/>
      <c r="EBN60" s="125"/>
      <c r="EBO60" s="5"/>
      <c r="EBP60" s="117"/>
      <c r="EBQ60" s="4"/>
      <c r="EBR60" s="126"/>
      <c r="EBS60" s="127"/>
      <c r="EBT60" s="121"/>
      <c r="EBU60" s="5"/>
      <c r="EBV60" s="5"/>
      <c r="EBW60" s="124"/>
      <c r="EBX60" s="121"/>
      <c r="EBY60" s="125"/>
      <c r="EBZ60" s="5"/>
      <c r="ECA60" s="117"/>
      <c r="ECB60" s="4"/>
      <c r="ECC60" s="126"/>
      <c r="ECD60" s="127"/>
      <c r="ECE60" s="121"/>
      <c r="ECF60" s="5"/>
      <c r="ECG60" s="5"/>
      <c r="ECH60" s="124"/>
      <c r="ECI60" s="121"/>
      <c r="ECJ60" s="125"/>
      <c r="ECK60" s="5"/>
      <c r="ECL60" s="117"/>
      <c r="ECM60" s="4"/>
      <c r="ECN60" s="126"/>
      <c r="ECO60" s="127"/>
      <c r="ECP60" s="121"/>
      <c r="ECQ60" s="5"/>
      <c r="ECR60" s="5"/>
      <c r="ECS60" s="124"/>
      <c r="ECT60" s="121"/>
      <c r="ECU60" s="125"/>
      <c r="ECV60" s="5"/>
      <c r="ECW60" s="117"/>
      <c r="ECX60" s="4"/>
      <c r="ECY60" s="126"/>
      <c r="ECZ60" s="127"/>
      <c r="EDA60" s="121"/>
      <c r="EDB60" s="5"/>
      <c r="EDC60" s="5"/>
      <c r="EDD60" s="124"/>
      <c r="EDE60" s="121"/>
      <c r="EDF60" s="125"/>
      <c r="EDG60" s="5"/>
      <c r="EDH60" s="117"/>
      <c r="EDI60" s="4"/>
      <c r="EDJ60" s="126"/>
      <c r="EDK60" s="127"/>
      <c r="EDL60" s="121"/>
      <c r="EDM60" s="5"/>
      <c r="EDN60" s="5"/>
      <c r="EDO60" s="124"/>
      <c r="EDP60" s="121"/>
      <c r="EDQ60" s="125"/>
      <c r="EDR60" s="5"/>
      <c r="EDS60" s="117"/>
      <c r="EDT60" s="4"/>
      <c r="EDU60" s="126"/>
      <c r="EDV60" s="127"/>
      <c r="EDW60" s="121"/>
      <c r="EDX60" s="5"/>
      <c r="EDY60" s="5"/>
      <c r="EDZ60" s="124"/>
      <c r="EEA60" s="121"/>
      <c r="EEB60" s="125"/>
      <c r="EEC60" s="5"/>
      <c r="EED60" s="117"/>
      <c r="EEE60" s="4"/>
      <c r="EEF60" s="126"/>
      <c r="EEG60" s="127"/>
      <c r="EEH60" s="121"/>
      <c r="EEI60" s="5"/>
      <c r="EEJ60" s="5"/>
      <c r="EEK60" s="124"/>
      <c r="EEL60" s="121"/>
      <c r="EEM60" s="125"/>
      <c r="EEN60" s="5"/>
      <c r="EEO60" s="117"/>
      <c r="EEP60" s="4"/>
      <c r="EEQ60" s="126"/>
      <c r="EER60" s="127"/>
      <c r="EES60" s="121"/>
      <c r="EET60" s="5"/>
      <c r="EEU60" s="5"/>
      <c r="EEV60" s="124"/>
      <c r="EEW60" s="121"/>
      <c r="EEX60" s="125"/>
      <c r="EEY60" s="5"/>
      <c r="EEZ60" s="117"/>
      <c r="EFA60" s="4"/>
      <c r="EFB60" s="126"/>
      <c r="EFC60" s="127"/>
      <c r="EFD60" s="121"/>
      <c r="EFE60" s="5"/>
      <c r="EFF60" s="5"/>
      <c r="EFG60" s="124"/>
      <c r="EFH60" s="121"/>
      <c r="EFI60" s="125"/>
      <c r="EFJ60" s="5"/>
      <c r="EFK60" s="117"/>
      <c r="EFL60" s="4"/>
      <c r="EFM60" s="126"/>
      <c r="EFN60" s="127"/>
      <c r="EFO60" s="121"/>
      <c r="EFP60" s="5"/>
      <c r="EFQ60" s="5"/>
      <c r="EFR60" s="124"/>
      <c r="EFS60" s="121"/>
      <c r="EFT60" s="125"/>
      <c r="EFU60" s="5"/>
      <c r="EFV60" s="117"/>
      <c r="EFW60" s="4"/>
      <c r="EFX60" s="126"/>
      <c r="EFY60" s="127"/>
      <c r="EFZ60" s="121"/>
      <c r="EGA60" s="5"/>
      <c r="EGB60" s="5"/>
      <c r="EGC60" s="124"/>
      <c r="EGD60" s="121"/>
      <c r="EGE60" s="125"/>
      <c r="EGF60" s="5"/>
      <c r="EGG60" s="117"/>
      <c r="EGH60" s="4"/>
      <c r="EGI60" s="126"/>
      <c r="EGJ60" s="127"/>
      <c r="EGK60" s="121"/>
      <c r="EGL60" s="5"/>
      <c r="EGM60" s="5"/>
      <c r="EGN60" s="124"/>
      <c r="EGO60" s="121"/>
      <c r="EGP60" s="125"/>
      <c r="EGQ60" s="5"/>
      <c r="EGR60" s="117"/>
      <c r="EGS60" s="4"/>
      <c r="EGT60" s="126"/>
      <c r="EGU60" s="127"/>
      <c r="EGV60" s="121"/>
      <c r="EGW60" s="5"/>
      <c r="EGX60" s="5"/>
      <c r="EGY60" s="124"/>
      <c r="EGZ60" s="121"/>
      <c r="EHA60" s="125"/>
      <c r="EHB60" s="5"/>
      <c r="EHC60" s="117"/>
      <c r="EHD60" s="4"/>
      <c r="EHE60" s="126"/>
      <c r="EHF60" s="127"/>
      <c r="EHG60" s="121"/>
      <c r="EHH60" s="5"/>
      <c r="EHI60" s="5"/>
      <c r="EHJ60" s="124"/>
      <c r="EHK60" s="121"/>
      <c r="EHL60" s="125"/>
      <c r="EHM60" s="5"/>
      <c r="EHN60" s="117"/>
      <c r="EHO60" s="4"/>
      <c r="EHP60" s="126"/>
      <c r="EHQ60" s="127"/>
      <c r="EHR60" s="121"/>
      <c r="EHS60" s="5"/>
      <c r="EHT60" s="5"/>
      <c r="EHU60" s="124"/>
      <c r="EHV60" s="121"/>
      <c r="EHW60" s="125"/>
      <c r="EHX60" s="5"/>
      <c r="EHY60" s="117"/>
      <c r="EHZ60" s="4"/>
      <c r="EIA60" s="126"/>
      <c r="EIB60" s="127"/>
      <c r="EIC60" s="121"/>
      <c r="EID60" s="5"/>
      <c r="EIE60" s="5"/>
      <c r="EIF60" s="124"/>
      <c r="EIG60" s="121"/>
      <c r="EIH60" s="125"/>
      <c r="EII60" s="5"/>
      <c r="EIJ60" s="117"/>
      <c r="EIK60" s="4"/>
      <c r="EIL60" s="126"/>
      <c r="EIM60" s="127"/>
      <c r="EIN60" s="121"/>
      <c r="EIO60" s="5"/>
      <c r="EIP60" s="5"/>
      <c r="EIQ60" s="124"/>
      <c r="EIR60" s="121"/>
      <c r="EIS60" s="125"/>
      <c r="EIT60" s="5"/>
      <c r="EIU60" s="117"/>
      <c r="EIV60" s="4"/>
      <c r="EIW60" s="126"/>
      <c r="EIX60" s="127"/>
      <c r="EIY60" s="121"/>
      <c r="EIZ60" s="5"/>
      <c r="EJA60" s="5"/>
      <c r="EJB60" s="124"/>
      <c r="EJC60" s="121"/>
      <c r="EJD60" s="125"/>
      <c r="EJE60" s="5"/>
      <c r="EJF60" s="117"/>
      <c r="EJG60" s="4"/>
      <c r="EJH60" s="126"/>
      <c r="EJI60" s="127"/>
      <c r="EJJ60" s="121"/>
      <c r="EJK60" s="5"/>
      <c r="EJL60" s="5"/>
      <c r="EJM60" s="124"/>
      <c r="EJN60" s="121"/>
      <c r="EJO60" s="125"/>
      <c r="EJP60" s="5"/>
      <c r="EJQ60" s="117"/>
      <c r="EJR60" s="4"/>
      <c r="EJS60" s="126"/>
      <c r="EJT60" s="127"/>
      <c r="EJU60" s="121"/>
      <c r="EJV60" s="5"/>
      <c r="EJW60" s="5"/>
      <c r="EJX60" s="124"/>
      <c r="EJY60" s="121"/>
      <c r="EJZ60" s="125"/>
      <c r="EKA60" s="5"/>
      <c r="EKB60" s="117"/>
      <c r="EKC60" s="4"/>
      <c r="EKD60" s="126"/>
      <c r="EKE60" s="127"/>
      <c r="EKF60" s="121"/>
      <c r="EKG60" s="5"/>
      <c r="EKH60" s="5"/>
      <c r="EKI60" s="124"/>
      <c r="EKJ60" s="121"/>
      <c r="EKK60" s="125"/>
      <c r="EKL60" s="5"/>
      <c r="EKM60" s="117"/>
      <c r="EKN60" s="4"/>
      <c r="EKO60" s="126"/>
      <c r="EKP60" s="127"/>
      <c r="EKQ60" s="121"/>
      <c r="EKR60" s="5"/>
      <c r="EKS60" s="5"/>
      <c r="EKT60" s="124"/>
      <c r="EKU60" s="121"/>
      <c r="EKV60" s="125"/>
      <c r="EKW60" s="5"/>
      <c r="EKX60" s="117"/>
      <c r="EKY60" s="4"/>
      <c r="EKZ60" s="126"/>
      <c r="ELA60" s="127"/>
      <c r="ELB60" s="121"/>
      <c r="ELC60" s="5"/>
      <c r="ELD60" s="5"/>
      <c r="ELE60" s="124"/>
      <c r="ELF60" s="121"/>
      <c r="ELG60" s="125"/>
      <c r="ELH60" s="5"/>
      <c r="ELI60" s="117"/>
      <c r="ELJ60" s="4"/>
      <c r="ELK60" s="126"/>
      <c r="ELL60" s="127"/>
      <c r="ELM60" s="121"/>
      <c r="ELN60" s="5"/>
      <c r="ELO60" s="5"/>
      <c r="ELP60" s="124"/>
      <c r="ELQ60" s="121"/>
      <c r="ELR60" s="125"/>
      <c r="ELS60" s="5"/>
      <c r="ELT60" s="117"/>
      <c r="ELU60" s="4"/>
      <c r="ELV60" s="126"/>
      <c r="ELW60" s="127"/>
      <c r="ELX60" s="121"/>
      <c r="ELY60" s="5"/>
      <c r="ELZ60" s="5"/>
      <c r="EMA60" s="124"/>
      <c r="EMB60" s="121"/>
      <c r="EMC60" s="125"/>
      <c r="EMD60" s="5"/>
      <c r="EME60" s="117"/>
      <c r="EMF60" s="4"/>
      <c r="EMG60" s="126"/>
      <c r="EMH60" s="127"/>
      <c r="EMI60" s="121"/>
      <c r="EMJ60" s="5"/>
      <c r="EMK60" s="5"/>
      <c r="EML60" s="124"/>
      <c r="EMM60" s="121"/>
      <c r="EMN60" s="125"/>
      <c r="EMO60" s="5"/>
      <c r="EMP60" s="117"/>
      <c r="EMQ60" s="4"/>
      <c r="EMR60" s="126"/>
      <c r="EMS60" s="127"/>
      <c r="EMT60" s="121"/>
      <c r="EMU60" s="5"/>
      <c r="EMV60" s="5"/>
      <c r="EMW60" s="124"/>
      <c r="EMX60" s="121"/>
      <c r="EMY60" s="125"/>
      <c r="EMZ60" s="5"/>
      <c r="ENA60" s="117"/>
      <c r="ENB60" s="4"/>
      <c r="ENC60" s="126"/>
      <c r="END60" s="127"/>
      <c r="ENE60" s="121"/>
      <c r="ENF60" s="5"/>
      <c r="ENG60" s="5"/>
      <c r="ENH60" s="124"/>
      <c r="ENI60" s="121"/>
      <c r="ENJ60" s="125"/>
      <c r="ENK60" s="5"/>
      <c r="ENL60" s="117"/>
      <c r="ENM60" s="4"/>
      <c r="ENN60" s="126"/>
      <c r="ENO60" s="127"/>
      <c r="ENP60" s="121"/>
      <c r="ENQ60" s="5"/>
      <c r="ENR60" s="5"/>
      <c r="ENS60" s="124"/>
      <c r="ENT60" s="121"/>
      <c r="ENU60" s="125"/>
      <c r="ENV60" s="5"/>
      <c r="ENW60" s="117"/>
      <c r="ENX60" s="4"/>
      <c r="ENY60" s="126"/>
      <c r="ENZ60" s="127"/>
      <c r="EOA60" s="121"/>
      <c r="EOB60" s="5"/>
      <c r="EOC60" s="5"/>
      <c r="EOD60" s="124"/>
      <c r="EOE60" s="121"/>
      <c r="EOF60" s="125"/>
      <c r="EOG60" s="5"/>
      <c r="EOH60" s="117"/>
      <c r="EOI60" s="4"/>
      <c r="EOJ60" s="126"/>
      <c r="EOK60" s="127"/>
      <c r="EOL60" s="121"/>
      <c r="EOM60" s="5"/>
      <c r="EON60" s="5"/>
      <c r="EOO60" s="124"/>
      <c r="EOP60" s="121"/>
      <c r="EOQ60" s="125"/>
      <c r="EOR60" s="5"/>
      <c r="EOS60" s="117"/>
      <c r="EOT60" s="4"/>
      <c r="EOU60" s="126"/>
      <c r="EOV60" s="127"/>
      <c r="EOW60" s="121"/>
      <c r="EOX60" s="5"/>
      <c r="EOY60" s="5"/>
      <c r="EOZ60" s="124"/>
      <c r="EPA60" s="121"/>
      <c r="EPB60" s="125"/>
      <c r="EPC60" s="5"/>
      <c r="EPD60" s="117"/>
      <c r="EPE60" s="4"/>
      <c r="EPF60" s="126"/>
      <c r="EPG60" s="127"/>
      <c r="EPH60" s="121"/>
      <c r="EPI60" s="5"/>
      <c r="EPJ60" s="5"/>
      <c r="EPK60" s="124"/>
      <c r="EPL60" s="121"/>
      <c r="EPM60" s="125"/>
      <c r="EPN60" s="5"/>
      <c r="EPO60" s="117"/>
      <c r="EPP60" s="4"/>
      <c r="EPQ60" s="126"/>
      <c r="EPR60" s="127"/>
      <c r="EPS60" s="121"/>
      <c r="EPT60" s="5"/>
      <c r="EPU60" s="5"/>
      <c r="EPV60" s="124"/>
      <c r="EPW60" s="121"/>
      <c r="EPX60" s="125"/>
      <c r="EPY60" s="5"/>
      <c r="EPZ60" s="117"/>
      <c r="EQA60" s="4"/>
      <c r="EQB60" s="126"/>
      <c r="EQC60" s="127"/>
      <c r="EQD60" s="121"/>
      <c r="EQE60" s="5"/>
      <c r="EQF60" s="5"/>
      <c r="EQG60" s="124"/>
      <c r="EQH60" s="121"/>
      <c r="EQI60" s="125"/>
      <c r="EQJ60" s="5"/>
      <c r="EQK60" s="117"/>
      <c r="EQL60" s="4"/>
      <c r="EQM60" s="126"/>
      <c r="EQN60" s="127"/>
      <c r="EQO60" s="121"/>
      <c r="EQP60" s="5"/>
      <c r="EQQ60" s="5"/>
      <c r="EQR60" s="124"/>
      <c r="EQS60" s="121"/>
      <c r="EQT60" s="125"/>
      <c r="EQU60" s="5"/>
      <c r="EQV60" s="117"/>
      <c r="EQW60" s="4"/>
      <c r="EQX60" s="126"/>
      <c r="EQY60" s="127"/>
      <c r="EQZ60" s="121"/>
      <c r="ERA60" s="5"/>
      <c r="ERB60" s="5"/>
      <c r="ERC60" s="124"/>
      <c r="ERD60" s="121"/>
      <c r="ERE60" s="125"/>
      <c r="ERF60" s="5"/>
      <c r="ERG60" s="117"/>
      <c r="ERH60" s="4"/>
      <c r="ERI60" s="126"/>
      <c r="ERJ60" s="127"/>
      <c r="ERK60" s="121"/>
      <c r="ERL60" s="5"/>
      <c r="ERM60" s="5"/>
      <c r="ERN60" s="124"/>
      <c r="ERO60" s="121"/>
      <c r="ERP60" s="125"/>
      <c r="ERQ60" s="5"/>
      <c r="ERR60" s="117"/>
      <c r="ERS60" s="4"/>
      <c r="ERT60" s="126"/>
      <c r="ERU60" s="127"/>
      <c r="ERV60" s="121"/>
      <c r="ERW60" s="5"/>
      <c r="ERX60" s="5"/>
      <c r="ERY60" s="124"/>
      <c r="ERZ60" s="121"/>
      <c r="ESA60" s="125"/>
      <c r="ESB60" s="5"/>
      <c r="ESC60" s="117"/>
      <c r="ESD60" s="4"/>
      <c r="ESE60" s="126"/>
      <c r="ESF60" s="127"/>
      <c r="ESG60" s="121"/>
      <c r="ESH60" s="5"/>
      <c r="ESI60" s="5"/>
      <c r="ESJ60" s="124"/>
      <c r="ESK60" s="121"/>
      <c r="ESL60" s="125"/>
      <c r="ESM60" s="5"/>
      <c r="ESN60" s="117"/>
      <c r="ESO60" s="4"/>
      <c r="ESP60" s="126"/>
      <c r="ESQ60" s="127"/>
      <c r="ESR60" s="121"/>
      <c r="ESS60" s="5"/>
      <c r="EST60" s="5"/>
      <c r="ESU60" s="124"/>
      <c r="ESV60" s="121"/>
      <c r="ESW60" s="125"/>
      <c r="ESX60" s="5"/>
      <c r="ESY60" s="117"/>
      <c r="ESZ60" s="4"/>
      <c r="ETA60" s="126"/>
      <c r="ETB60" s="127"/>
      <c r="ETC60" s="121"/>
      <c r="ETD60" s="5"/>
      <c r="ETE60" s="5"/>
      <c r="ETF60" s="124"/>
      <c r="ETG60" s="121"/>
      <c r="ETH60" s="125"/>
      <c r="ETI60" s="5"/>
      <c r="ETJ60" s="117"/>
      <c r="ETK60" s="4"/>
      <c r="ETL60" s="126"/>
      <c r="ETM60" s="127"/>
      <c r="ETN60" s="121"/>
      <c r="ETO60" s="5"/>
      <c r="ETP60" s="5"/>
      <c r="ETQ60" s="124"/>
      <c r="ETR60" s="121"/>
      <c r="ETS60" s="125"/>
      <c r="ETT60" s="5"/>
      <c r="ETU60" s="117"/>
      <c r="ETV60" s="4"/>
      <c r="ETW60" s="126"/>
      <c r="ETX60" s="127"/>
      <c r="ETY60" s="121"/>
      <c r="ETZ60" s="5"/>
      <c r="EUA60" s="5"/>
      <c r="EUB60" s="124"/>
      <c r="EUC60" s="121"/>
      <c r="EUD60" s="125"/>
      <c r="EUE60" s="5"/>
      <c r="EUF60" s="117"/>
      <c r="EUG60" s="4"/>
      <c r="EUH60" s="126"/>
      <c r="EUI60" s="127"/>
      <c r="EUJ60" s="121"/>
      <c r="EUK60" s="5"/>
      <c r="EUL60" s="5"/>
      <c r="EUM60" s="124"/>
      <c r="EUN60" s="121"/>
      <c r="EUO60" s="125"/>
      <c r="EUP60" s="5"/>
      <c r="EUQ60" s="117"/>
      <c r="EUR60" s="4"/>
      <c r="EUS60" s="126"/>
      <c r="EUT60" s="127"/>
      <c r="EUU60" s="121"/>
      <c r="EUV60" s="5"/>
      <c r="EUW60" s="5"/>
      <c r="EUX60" s="124"/>
      <c r="EUY60" s="121"/>
      <c r="EUZ60" s="125"/>
      <c r="EVA60" s="5"/>
      <c r="EVB60" s="117"/>
      <c r="EVC60" s="4"/>
      <c r="EVD60" s="126"/>
      <c r="EVE60" s="127"/>
      <c r="EVF60" s="121"/>
      <c r="EVG60" s="5"/>
      <c r="EVH60" s="5"/>
      <c r="EVI60" s="124"/>
      <c r="EVJ60" s="121"/>
      <c r="EVK60" s="125"/>
      <c r="EVL60" s="5"/>
      <c r="EVM60" s="117"/>
      <c r="EVN60" s="4"/>
      <c r="EVO60" s="126"/>
      <c r="EVP60" s="127"/>
      <c r="EVQ60" s="121"/>
      <c r="EVR60" s="5"/>
      <c r="EVS60" s="5"/>
      <c r="EVT60" s="124"/>
      <c r="EVU60" s="121"/>
      <c r="EVV60" s="125"/>
      <c r="EVW60" s="5"/>
      <c r="EVX60" s="117"/>
      <c r="EVY60" s="4"/>
      <c r="EVZ60" s="126"/>
      <c r="EWA60" s="127"/>
      <c r="EWB60" s="121"/>
      <c r="EWC60" s="5"/>
      <c r="EWD60" s="5"/>
      <c r="EWE60" s="124"/>
      <c r="EWF60" s="121"/>
      <c r="EWG60" s="125"/>
      <c r="EWH60" s="5"/>
      <c r="EWI60" s="117"/>
      <c r="EWJ60" s="4"/>
      <c r="EWK60" s="126"/>
      <c r="EWL60" s="127"/>
      <c r="EWM60" s="121"/>
      <c r="EWN60" s="5"/>
      <c r="EWO60" s="5"/>
      <c r="EWP60" s="124"/>
      <c r="EWQ60" s="121"/>
      <c r="EWR60" s="125"/>
      <c r="EWS60" s="5"/>
      <c r="EWT60" s="117"/>
      <c r="EWU60" s="4"/>
      <c r="EWV60" s="126"/>
      <c r="EWW60" s="127"/>
      <c r="EWX60" s="121"/>
      <c r="EWY60" s="5"/>
      <c r="EWZ60" s="5"/>
      <c r="EXA60" s="124"/>
      <c r="EXB60" s="121"/>
      <c r="EXC60" s="125"/>
      <c r="EXD60" s="5"/>
      <c r="EXE60" s="117"/>
      <c r="EXF60" s="4"/>
      <c r="EXG60" s="126"/>
      <c r="EXH60" s="127"/>
      <c r="EXI60" s="121"/>
      <c r="EXJ60" s="5"/>
      <c r="EXK60" s="5"/>
      <c r="EXL60" s="124"/>
      <c r="EXM60" s="121"/>
      <c r="EXN60" s="125"/>
      <c r="EXO60" s="5"/>
      <c r="EXP60" s="117"/>
      <c r="EXQ60" s="4"/>
      <c r="EXR60" s="126"/>
      <c r="EXS60" s="127"/>
      <c r="EXT60" s="121"/>
      <c r="EXU60" s="5"/>
      <c r="EXV60" s="5"/>
      <c r="EXW60" s="124"/>
      <c r="EXX60" s="121"/>
      <c r="EXY60" s="125"/>
      <c r="EXZ60" s="5"/>
      <c r="EYA60" s="117"/>
      <c r="EYB60" s="4"/>
      <c r="EYC60" s="126"/>
      <c r="EYD60" s="127"/>
      <c r="EYE60" s="121"/>
      <c r="EYF60" s="5"/>
      <c r="EYG60" s="5"/>
      <c r="EYH60" s="124"/>
      <c r="EYI60" s="121"/>
      <c r="EYJ60" s="125"/>
      <c r="EYK60" s="5"/>
      <c r="EYL60" s="117"/>
      <c r="EYM60" s="4"/>
      <c r="EYN60" s="126"/>
      <c r="EYO60" s="127"/>
      <c r="EYP60" s="121"/>
      <c r="EYQ60" s="5"/>
      <c r="EYR60" s="5"/>
      <c r="EYS60" s="124"/>
      <c r="EYT60" s="121"/>
      <c r="EYU60" s="125"/>
      <c r="EYV60" s="5"/>
      <c r="EYW60" s="117"/>
      <c r="EYX60" s="4"/>
      <c r="EYY60" s="126"/>
      <c r="EYZ60" s="127"/>
      <c r="EZA60" s="121"/>
      <c r="EZB60" s="5"/>
      <c r="EZC60" s="5"/>
      <c r="EZD60" s="124"/>
      <c r="EZE60" s="121"/>
      <c r="EZF60" s="125"/>
      <c r="EZG60" s="5"/>
      <c r="EZH60" s="117"/>
      <c r="EZI60" s="4"/>
      <c r="EZJ60" s="126"/>
      <c r="EZK60" s="127"/>
      <c r="EZL60" s="121"/>
      <c r="EZM60" s="5"/>
      <c r="EZN60" s="5"/>
      <c r="EZO60" s="124"/>
      <c r="EZP60" s="121"/>
      <c r="EZQ60" s="125"/>
      <c r="EZR60" s="5"/>
      <c r="EZS60" s="117"/>
      <c r="EZT60" s="4"/>
      <c r="EZU60" s="126"/>
      <c r="EZV60" s="127"/>
      <c r="EZW60" s="121"/>
      <c r="EZX60" s="5"/>
      <c r="EZY60" s="5"/>
      <c r="EZZ60" s="124"/>
      <c r="FAA60" s="121"/>
      <c r="FAB60" s="125"/>
      <c r="FAC60" s="5"/>
      <c r="FAD60" s="117"/>
      <c r="FAE60" s="4"/>
      <c r="FAF60" s="126"/>
      <c r="FAG60" s="127"/>
      <c r="FAH60" s="121"/>
      <c r="FAI60" s="5"/>
      <c r="FAJ60" s="5"/>
      <c r="FAK60" s="124"/>
      <c r="FAL60" s="121"/>
      <c r="FAM60" s="125"/>
      <c r="FAN60" s="5"/>
      <c r="FAO60" s="117"/>
      <c r="FAP60" s="4"/>
      <c r="FAQ60" s="126"/>
      <c r="FAR60" s="127"/>
      <c r="FAS60" s="121"/>
      <c r="FAT60" s="5"/>
      <c r="FAU60" s="5"/>
      <c r="FAV60" s="124"/>
      <c r="FAW60" s="121"/>
      <c r="FAX60" s="125"/>
      <c r="FAY60" s="5"/>
      <c r="FAZ60" s="117"/>
      <c r="FBA60" s="4"/>
      <c r="FBB60" s="126"/>
      <c r="FBC60" s="127"/>
      <c r="FBD60" s="121"/>
      <c r="FBE60" s="5"/>
      <c r="FBF60" s="5"/>
      <c r="FBG60" s="124"/>
      <c r="FBH60" s="121"/>
      <c r="FBI60" s="125"/>
      <c r="FBJ60" s="5"/>
      <c r="FBK60" s="117"/>
      <c r="FBL60" s="4"/>
      <c r="FBM60" s="126"/>
      <c r="FBN60" s="127"/>
      <c r="FBO60" s="121"/>
      <c r="FBP60" s="5"/>
      <c r="FBQ60" s="5"/>
      <c r="FBR60" s="124"/>
      <c r="FBS60" s="121"/>
      <c r="FBT60" s="125"/>
      <c r="FBU60" s="5"/>
      <c r="FBV60" s="117"/>
      <c r="FBW60" s="4"/>
      <c r="FBX60" s="126"/>
      <c r="FBY60" s="127"/>
      <c r="FBZ60" s="121"/>
      <c r="FCA60" s="5"/>
      <c r="FCB60" s="5"/>
      <c r="FCC60" s="124"/>
      <c r="FCD60" s="121"/>
      <c r="FCE60" s="125"/>
      <c r="FCF60" s="5"/>
      <c r="FCG60" s="117"/>
      <c r="FCH60" s="4"/>
      <c r="FCI60" s="126"/>
      <c r="FCJ60" s="127"/>
      <c r="FCK60" s="121"/>
      <c r="FCL60" s="5"/>
      <c r="FCM60" s="5"/>
      <c r="FCN60" s="124"/>
      <c r="FCO60" s="121"/>
      <c r="FCP60" s="125"/>
      <c r="FCQ60" s="5"/>
      <c r="FCR60" s="117"/>
      <c r="FCS60" s="4"/>
      <c r="FCT60" s="126"/>
      <c r="FCU60" s="127"/>
      <c r="FCV60" s="121"/>
      <c r="FCW60" s="5"/>
      <c r="FCX60" s="5"/>
      <c r="FCY60" s="124"/>
      <c r="FCZ60" s="121"/>
      <c r="FDA60" s="125"/>
      <c r="FDB60" s="5"/>
      <c r="FDC60" s="117"/>
      <c r="FDD60" s="4"/>
      <c r="FDE60" s="126"/>
      <c r="FDF60" s="127"/>
      <c r="FDG60" s="121"/>
      <c r="FDH60" s="5"/>
      <c r="FDI60" s="5"/>
      <c r="FDJ60" s="124"/>
      <c r="FDK60" s="121"/>
      <c r="FDL60" s="125"/>
      <c r="FDM60" s="5"/>
      <c r="FDN60" s="117"/>
      <c r="FDO60" s="4"/>
      <c r="FDP60" s="126"/>
      <c r="FDQ60" s="127"/>
      <c r="FDR60" s="121"/>
      <c r="FDS60" s="5"/>
      <c r="FDT60" s="5"/>
      <c r="FDU60" s="124"/>
      <c r="FDV60" s="121"/>
      <c r="FDW60" s="125"/>
      <c r="FDX60" s="5"/>
      <c r="FDY60" s="117"/>
      <c r="FDZ60" s="4"/>
      <c r="FEA60" s="126"/>
      <c r="FEB60" s="127"/>
      <c r="FEC60" s="121"/>
      <c r="FED60" s="5"/>
      <c r="FEE60" s="5"/>
      <c r="FEF60" s="124"/>
      <c r="FEG60" s="121"/>
      <c r="FEH60" s="125"/>
      <c r="FEI60" s="5"/>
      <c r="FEJ60" s="117"/>
      <c r="FEK60" s="4"/>
      <c r="FEL60" s="126"/>
      <c r="FEM60" s="127"/>
      <c r="FEN60" s="121"/>
      <c r="FEO60" s="5"/>
      <c r="FEP60" s="5"/>
      <c r="FEQ60" s="124"/>
      <c r="FER60" s="121"/>
      <c r="FES60" s="125"/>
      <c r="FET60" s="5"/>
      <c r="FEU60" s="117"/>
      <c r="FEV60" s="4"/>
      <c r="FEW60" s="126"/>
      <c r="FEX60" s="127"/>
      <c r="FEY60" s="121"/>
      <c r="FEZ60" s="5"/>
      <c r="FFA60" s="5"/>
      <c r="FFB60" s="124"/>
      <c r="FFC60" s="121"/>
      <c r="FFD60" s="125"/>
      <c r="FFE60" s="5"/>
      <c r="FFF60" s="117"/>
      <c r="FFG60" s="4"/>
      <c r="FFH60" s="126"/>
      <c r="FFI60" s="127"/>
      <c r="FFJ60" s="121"/>
      <c r="FFK60" s="5"/>
      <c r="FFL60" s="5"/>
      <c r="FFM60" s="124"/>
      <c r="FFN60" s="121"/>
      <c r="FFO60" s="125"/>
      <c r="FFP60" s="5"/>
      <c r="FFQ60" s="117"/>
      <c r="FFR60" s="4"/>
      <c r="FFS60" s="126"/>
      <c r="FFT60" s="127"/>
      <c r="FFU60" s="121"/>
      <c r="FFV60" s="5"/>
      <c r="FFW60" s="5"/>
      <c r="FFX60" s="124"/>
      <c r="FFY60" s="121"/>
      <c r="FFZ60" s="125"/>
      <c r="FGA60" s="5"/>
      <c r="FGB60" s="117"/>
      <c r="FGC60" s="4"/>
      <c r="FGD60" s="126"/>
      <c r="FGE60" s="127"/>
      <c r="FGF60" s="121"/>
      <c r="FGG60" s="5"/>
      <c r="FGH60" s="5"/>
      <c r="FGI60" s="124"/>
      <c r="FGJ60" s="121"/>
      <c r="FGK60" s="125"/>
      <c r="FGL60" s="5"/>
      <c r="FGM60" s="117"/>
      <c r="FGN60" s="4"/>
      <c r="FGO60" s="126"/>
      <c r="FGP60" s="127"/>
      <c r="FGQ60" s="121"/>
      <c r="FGR60" s="5"/>
      <c r="FGS60" s="5"/>
      <c r="FGT60" s="124"/>
      <c r="FGU60" s="121"/>
      <c r="FGV60" s="125"/>
      <c r="FGW60" s="5"/>
      <c r="FGX60" s="117"/>
      <c r="FGY60" s="4"/>
      <c r="FGZ60" s="126"/>
      <c r="FHA60" s="127"/>
      <c r="FHB60" s="121"/>
      <c r="FHC60" s="5"/>
      <c r="FHD60" s="5"/>
      <c r="FHE60" s="124"/>
      <c r="FHF60" s="121"/>
      <c r="FHG60" s="125"/>
      <c r="FHH60" s="5"/>
      <c r="FHI60" s="117"/>
      <c r="FHJ60" s="4"/>
      <c r="FHK60" s="126"/>
      <c r="FHL60" s="127"/>
      <c r="FHM60" s="121"/>
      <c r="FHN60" s="5"/>
      <c r="FHO60" s="5"/>
      <c r="FHP60" s="124"/>
      <c r="FHQ60" s="121"/>
      <c r="FHR60" s="125"/>
      <c r="FHS60" s="5"/>
      <c r="FHT60" s="117"/>
      <c r="FHU60" s="4"/>
      <c r="FHV60" s="126"/>
      <c r="FHW60" s="127"/>
      <c r="FHX60" s="121"/>
      <c r="FHY60" s="5"/>
      <c r="FHZ60" s="5"/>
      <c r="FIA60" s="124"/>
      <c r="FIB60" s="121"/>
      <c r="FIC60" s="125"/>
      <c r="FID60" s="5"/>
      <c r="FIE60" s="117"/>
      <c r="FIF60" s="4"/>
      <c r="FIG60" s="126"/>
      <c r="FIH60" s="127"/>
      <c r="FII60" s="121"/>
      <c r="FIJ60" s="5"/>
      <c r="FIK60" s="5"/>
      <c r="FIL60" s="124"/>
      <c r="FIM60" s="121"/>
      <c r="FIN60" s="125"/>
      <c r="FIO60" s="5"/>
      <c r="FIP60" s="117"/>
      <c r="FIQ60" s="4"/>
      <c r="FIR60" s="126"/>
      <c r="FIS60" s="127"/>
      <c r="FIT60" s="121"/>
      <c r="FIU60" s="5"/>
      <c r="FIV60" s="5"/>
      <c r="FIW60" s="124"/>
      <c r="FIX60" s="121"/>
      <c r="FIY60" s="125"/>
      <c r="FIZ60" s="5"/>
      <c r="FJA60" s="117"/>
      <c r="FJB60" s="4"/>
      <c r="FJC60" s="126"/>
      <c r="FJD60" s="127"/>
      <c r="FJE60" s="121"/>
      <c r="FJF60" s="5"/>
      <c r="FJG60" s="5"/>
      <c r="FJH60" s="124"/>
      <c r="FJI60" s="121"/>
      <c r="FJJ60" s="125"/>
      <c r="FJK60" s="5"/>
      <c r="FJL60" s="117"/>
      <c r="FJM60" s="4"/>
      <c r="FJN60" s="126"/>
      <c r="FJO60" s="127"/>
      <c r="FJP60" s="121"/>
      <c r="FJQ60" s="5"/>
      <c r="FJR60" s="5"/>
      <c r="FJS60" s="124"/>
      <c r="FJT60" s="121"/>
      <c r="FJU60" s="125"/>
      <c r="FJV60" s="5"/>
      <c r="FJW60" s="117"/>
      <c r="FJX60" s="4"/>
      <c r="FJY60" s="126"/>
      <c r="FJZ60" s="127"/>
      <c r="FKA60" s="121"/>
      <c r="FKB60" s="5"/>
      <c r="FKC60" s="5"/>
      <c r="FKD60" s="124"/>
      <c r="FKE60" s="121"/>
      <c r="FKF60" s="125"/>
      <c r="FKG60" s="5"/>
      <c r="FKH60" s="117"/>
      <c r="FKI60" s="4"/>
      <c r="FKJ60" s="126"/>
      <c r="FKK60" s="127"/>
      <c r="FKL60" s="121"/>
      <c r="FKM60" s="5"/>
      <c r="FKN60" s="5"/>
      <c r="FKO60" s="124"/>
      <c r="FKP60" s="121"/>
      <c r="FKQ60" s="125"/>
      <c r="FKR60" s="5"/>
      <c r="FKS60" s="117"/>
      <c r="FKT60" s="4"/>
      <c r="FKU60" s="126"/>
      <c r="FKV60" s="127"/>
      <c r="FKW60" s="121"/>
      <c r="FKX60" s="5"/>
      <c r="FKY60" s="5"/>
      <c r="FKZ60" s="124"/>
      <c r="FLA60" s="121"/>
      <c r="FLB60" s="125"/>
      <c r="FLC60" s="5"/>
      <c r="FLD60" s="117"/>
      <c r="FLE60" s="4"/>
      <c r="FLF60" s="126"/>
      <c r="FLG60" s="127"/>
      <c r="FLH60" s="121"/>
      <c r="FLI60" s="5"/>
      <c r="FLJ60" s="5"/>
      <c r="FLK60" s="124"/>
      <c r="FLL60" s="121"/>
      <c r="FLM60" s="125"/>
      <c r="FLN60" s="5"/>
      <c r="FLO60" s="117"/>
      <c r="FLP60" s="4"/>
      <c r="FLQ60" s="126"/>
      <c r="FLR60" s="127"/>
      <c r="FLS60" s="121"/>
      <c r="FLT60" s="5"/>
      <c r="FLU60" s="5"/>
      <c r="FLV60" s="124"/>
      <c r="FLW60" s="121"/>
      <c r="FLX60" s="125"/>
      <c r="FLY60" s="5"/>
      <c r="FLZ60" s="117"/>
      <c r="FMA60" s="4"/>
      <c r="FMB60" s="126"/>
      <c r="FMC60" s="127"/>
      <c r="FMD60" s="121"/>
      <c r="FME60" s="5"/>
      <c r="FMF60" s="5"/>
      <c r="FMG60" s="124"/>
      <c r="FMH60" s="121"/>
      <c r="FMI60" s="125"/>
      <c r="FMJ60" s="5"/>
      <c r="FMK60" s="117"/>
      <c r="FML60" s="4"/>
      <c r="FMM60" s="126"/>
      <c r="FMN60" s="127"/>
      <c r="FMO60" s="121"/>
      <c r="FMP60" s="5"/>
      <c r="FMQ60" s="5"/>
      <c r="FMR60" s="124"/>
      <c r="FMS60" s="121"/>
      <c r="FMT60" s="125"/>
      <c r="FMU60" s="5"/>
      <c r="FMV60" s="117"/>
      <c r="FMW60" s="4"/>
      <c r="FMX60" s="126"/>
      <c r="FMY60" s="127"/>
      <c r="FMZ60" s="121"/>
      <c r="FNA60" s="5"/>
      <c r="FNB60" s="5"/>
      <c r="FNC60" s="124"/>
      <c r="FND60" s="121"/>
      <c r="FNE60" s="125"/>
      <c r="FNF60" s="5"/>
      <c r="FNG60" s="117"/>
      <c r="FNH60" s="4"/>
      <c r="FNI60" s="126"/>
      <c r="FNJ60" s="127"/>
      <c r="FNK60" s="121"/>
      <c r="FNL60" s="5"/>
      <c r="FNM60" s="5"/>
      <c r="FNN60" s="124"/>
      <c r="FNO60" s="121"/>
      <c r="FNP60" s="125"/>
      <c r="FNQ60" s="5"/>
      <c r="FNR60" s="117"/>
      <c r="FNS60" s="4"/>
      <c r="FNT60" s="126"/>
      <c r="FNU60" s="127"/>
      <c r="FNV60" s="121"/>
      <c r="FNW60" s="5"/>
      <c r="FNX60" s="5"/>
      <c r="FNY60" s="124"/>
      <c r="FNZ60" s="121"/>
      <c r="FOA60" s="125"/>
      <c r="FOB60" s="5"/>
      <c r="FOC60" s="117"/>
      <c r="FOD60" s="4"/>
      <c r="FOE60" s="126"/>
      <c r="FOF60" s="127"/>
      <c r="FOG60" s="121"/>
      <c r="FOH60" s="5"/>
      <c r="FOI60" s="5"/>
      <c r="FOJ60" s="124"/>
      <c r="FOK60" s="121"/>
      <c r="FOL60" s="125"/>
      <c r="FOM60" s="5"/>
      <c r="FON60" s="117"/>
      <c r="FOO60" s="4"/>
      <c r="FOP60" s="126"/>
      <c r="FOQ60" s="127"/>
      <c r="FOR60" s="121"/>
      <c r="FOS60" s="5"/>
      <c r="FOT60" s="5"/>
      <c r="FOU60" s="124"/>
      <c r="FOV60" s="121"/>
      <c r="FOW60" s="125"/>
      <c r="FOX60" s="5"/>
      <c r="FOY60" s="117"/>
      <c r="FOZ60" s="4"/>
      <c r="FPA60" s="126"/>
      <c r="FPB60" s="127"/>
      <c r="FPC60" s="121"/>
      <c r="FPD60" s="5"/>
      <c r="FPE60" s="5"/>
      <c r="FPF60" s="124"/>
      <c r="FPG60" s="121"/>
      <c r="FPH60" s="125"/>
      <c r="FPI60" s="5"/>
      <c r="FPJ60" s="117"/>
      <c r="FPK60" s="4"/>
      <c r="FPL60" s="126"/>
      <c r="FPM60" s="127"/>
      <c r="FPN60" s="121"/>
      <c r="FPO60" s="5"/>
      <c r="FPP60" s="5"/>
      <c r="FPQ60" s="124"/>
      <c r="FPR60" s="121"/>
      <c r="FPS60" s="125"/>
      <c r="FPT60" s="5"/>
      <c r="FPU60" s="117"/>
      <c r="FPV60" s="4"/>
      <c r="FPW60" s="126"/>
      <c r="FPX60" s="127"/>
      <c r="FPY60" s="121"/>
      <c r="FPZ60" s="5"/>
      <c r="FQA60" s="5"/>
      <c r="FQB60" s="124"/>
      <c r="FQC60" s="121"/>
      <c r="FQD60" s="125"/>
      <c r="FQE60" s="5"/>
      <c r="FQF60" s="117"/>
      <c r="FQG60" s="4"/>
      <c r="FQH60" s="126"/>
      <c r="FQI60" s="127"/>
      <c r="FQJ60" s="121"/>
      <c r="FQK60" s="5"/>
      <c r="FQL60" s="5"/>
      <c r="FQM60" s="124"/>
      <c r="FQN60" s="121"/>
      <c r="FQO60" s="125"/>
      <c r="FQP60" s="5"/>
      <c r="FQQ60" s="117"/>
      <c r="FQR60" s="4"/>
      <c r="FQS60" s="126"/>
      <c r="FQT60" s="127"/>
      <c r="FQU60" s="121"/>
      <c r="FQV60" s="5"/>
      <c r="FQW60" s="5"/>
      <c r="FQX60" s="124"/>
      <c r="FQY60" s="121"/>
      <c r="FQZ60" s="125"/>
      <c r="FRA60" s="5"/>
      <c r="FRB60" s="117"/>
      <c r="FRC60" s="4"/>
      <c r="FRD60" s="126"/>
      <c r="FRE60" s="127"/>
      <c r="FRF60" s="121"/>
      <c r="FRG60" s="5"/>
      <c r="FRH60" s="5"/>
      <c r="FRI60" s="124"/>
      <c r="FRJ60" s="121"/>
      <c r="FRK60" s="125"/>
      <c r="FRL60" s="5"/>
      <c r="FRM60" s="117"/>
      <c r="FRN60" s="4"/>
      <c r="FRO60" s="126"/>
      <c r="FRP60" s="127"/>
      <c r="FRQ60" s="121"/>
      <c r="FRR60" s="5"/>
      <c r="FRS60" s="5"/>
      <c r="FRT60" s="124"/>
      <c r="FRU60" s="121"/>
      <c r="FRV60" s="125"/>
      <c r="FRW60" s="5"/>
      <c r="FRX60" s="117"/>
      <c r="FRY60" s="4"/>
      <c r="FRZ60" s="126"/>
      <c r="FSA60" s="127"/>
      <c r="FSB60" s="121"/>
      <c r="FSC60" s="5"/>
      <c r="FSD60" s="5"/>
      <c r="FSE60" s="124"/>
      <c r="FSF60" s="121"/>
      <c r="FSG60" s="125"/>
      <c r="FSH60" s="5"/>
      <c r="FSI60" s="117"/>
      <c r="FSJ60" s="4"/>
      <c r="FSK60" s="126"/>
      <c r="FSL60" s="127"/>
      <c r="FSM60" s="121"/>
      <c r="FSN60" s="5"/>
      <c r="FSO60" s="5"/>
      <c r="FSP60" s="124"/>
      <c r="FSQ60" s="121"/>
      <c r="FSR60" s="125"/>
      <c r="FSS60" s="5"/>
      <c r="FST60" s="117"/>
      <c r="FSU60" s="4"/>
      <c r="FSV60" s="126"/>
      <c r="FSW60" s="127"/>
      <c r="FSX60" s="121"/>
      <c r="FSY60" s="5"/>
      <c r="FSZ60" s="5"/>
      <c r="FTA60" s="124"/>
      <c r="FTB60" s="121"/>
      <c r="FTC60" s="125"/>
      <c r="FTD60" s="5"/>
      <c r="FTE60" s="117"/>
      <c r="FTF60" s="4"/>
      <c r="FTG60" s="126"/>
      <c r="FTH60" s="127"/>
      <c r="FTI60" s="121"/>
      <c r="FTJ60" s="5"/>
      <c r="FTK60" s="5"/>
      <c r="FTL60" s="124"/>
      <c r="FTM60" s="121"/>
      <c r="FTN60" s="125"/>
      <c r="FTO60" s="5"/>
      <c r="FTP60" s="117"/>
      <c r="FTQ60" s="4"/>
      <c r="FTR60" s="126"/>
      <c r="FTS60" s="127"/>
      <c r="FTT60" s="121"/>
      <c r="FTU60" s="5"/>
      <c r="FTV60" s="5"/>
      <c r="FTW60" s="124"/>
      <c r="FTX60" s="121"/>
      <c r="FTY60" s="125"/>
      <c r="FTZ60" s="5"/>
      <c r="FUA60" s="117"/>
      <c r="FUB60" s="4"/>
      <c r="FUC60" s="126"/>
      <c r="FUD60" s="127"/>
      <c r="FUE60" s="121"/>
      <c r="FUF60" s="5"/>
      <c r="FUG60" s="5"/>
      <c r="FUH60" s="124"/>
      <c r="FUI60" s="121"/>
      <c r="FUJ60" s="125"/>
      <c r="FUK60" s="5"/>
      <c r="FUL60" s="117"/>
      <c r="FUM60" s="4"/>
      <c r="FUN60" s="126"/>
      <c r="FUO60" s="127"/>
      <c r="FUP60" s="121"/>
      <c r="FUQ60" s="5"/>
      <c r="FUR60" s="5"/>
      <c r="FUS60" s="124"/>
      <c r="FUT60" s="121"/>
      <c r="FUU60" s="125"/>
      <c r="FUV60" s="5"/>
      <c r="FUW60" s="117"/>
      <c r="FUX60" s="4"/>
      <c r="FUY60" s="126"/>
      <c r="FUZ60" s="127"/>
      <c r="FVA60" s="121"/>
      <c r="FVB60" s="5"/>
      <c r="FVC60" s="5"/>
      <c r="FVD60" s="124"/>
      <c r="FVE60" s="121"/>
      <c r="FVF60" s="125"/>
      <c r="FVG60" s="5"/>
      <c r="FVH60" s="117"/>
      <c r="FVI60" s="4"/>
      <c r="FVJ60" s="126"/>
      <c r="FVK60" s="127"/>
      <c r="FVL60" s="121"/>
      <c r="FVM60" s="5"/>
      <c r="FVN60" s="5"/>
      <c r="FVO60" s="124"/>
      <c r="FVP60" s="121"/>
      <c r="FVQ60" s="125"/>
      <c r="FVR60" s="5"/>
      <c r="FVS60" s="117"/>
      <c r="FVT60" s="4"/>
      <c r="FVU60" s="126"/>
      <c r="FVV60" s="127"/>
      <c r="FVW60" s="121"/>
      <c r="FVX60" s="5"/>
      <c r="FVY60" s="5"/>
      <c r="FVZ60" s="124"/>
      <c r="FWA60" s="121"/>
      <c r="FWB60" s="125"/>
      <c r="FWC60" s="5"/>
      <c r="FWD60" s="117"/>
      <c r="FWE60" s="4"/>
      <c r="FWF60" s="126"/>
      <c r="FWG60" s="127"/>
      <c r="FWH60" s="121"/>
      <c r="FWI60" s="5"/>
      <c r="FWJ60" s="5"/>
      <c r="FWK60" s="124"/>
      <c r="FWL60" s="121"/>
      <c r="FWM60" s="125"/>
      <c r="FWN60" s="5"/>
      <c r="FWO60" s="117"/>
      <c r="FWP60" s="4"/>
      <c r="FWQ60" s="126"/>
      <c r="FWR60" s="127"/>
      <c r="FWS60" s="121"/>
      <c r="FWT60" s="5"/>
      <c r="FWU60" s="5"/>
      <c r="FWV60" s="124"/>
      <c r="FWW60" s="121"/>
      <c r="FWX60" s="125"/>
      <c r="FWY60" s="5"/>
      <c r="FWZ60" s="117"/>
      <c r="FXA60" s="4"/>
      <c r="FXB60" s="126"/>
      <c r="FXC60" s="127"/>
      <c r="FXD60" s="121"/>
      <c r="FXE60" s="5"/>
      <c r="FXF60" s="5"/>
      <c r="FXG60" s="124"/>
      <c r="FXH60" s="121"/>
      <c r="FXI60" s="125"/>
      <c r="FXJ60" s="5"/>
      <c r="FXK60" s="117"/>
      <c r="FXL60" s="4"/>
      <c r="FXM60" s="126"/>
      <c r="FXN60" s="127"/>
      <c r="FXO60" s="121"/>
      <c r="FXP60" s="5"/>
      <c r="FXQ60" s="5"/>
      <c r="FXR60" s="124"/>
      <c r="FXS60" s="121"/>
      <c r="FXT60" s="125"/>
      <c r="FXU60" s="5"/>
      <c r="FXV60" s="117"/>
      <c r="FXW60" s="4"/>
      <c r="FXX60" s="126"/>
      <c r="FXY60" s="127"/>
      <c r="FXZ60" s="121"/>
      <c r="FYA60" s="5"/>
      <c r="FYB60" s="5"/>
      <c r="FYC60" s="124"/>
      <c r="FYD60" s="121"/>
      <c r="FYE60" s="125"/>
      <c r="FYF60" s="5"/>
      <c r="FYG60" s="117"/>
      <c r="FYH60" s="4"/>
      <c r="FYI60" s="126"/>
      <c r="FYJ60" s="127"/>
      <c r="FYK60" s="121"/>
      <c r="FYL60" s="5"/>
      <c r="FYM60" s="5"/>
      <c r="FYN60" s="124"/>
      <c r="FYO60" s="121"/>
      <c r="FYP60" s="125"/>
      <c r="FYQ60" s="5"/>
      <c r="FYR60" s="117"/>
      <c r="FYS60" s="4"/>
      <c r="FYT60" s="126"/>
      <c r="FYU60" s="127"/>
      <c r="FYV60" s="121"/>
      <c r="FYW60" s="5"/>
      <c r="FYX60" s="5"/>
      <c r="FYY60" s="124"/>
      <c r="FYZ60" s="121"/>
      <c r="FZA60" s="125"/>
      <c r="FZB60" s="5"/>
      <c r="FZC60" s="117"/>
      <c r="FZD60" s="4"/>
      <c r="FZE60" s="126"/>
      <c r="FZF60" s="127"/>
      <c r="FZG60" s="121"/>
      <c r="FZH60" s="5"/>
      <c r="FZI60" s="5"/>
      <c r="FZJ60" s="124"/>
      <c r="FZK60" s="121"/>
      <c r="FZL60" s="125"/>
      <c r="FZM60" s="5"/>
      <c r="FZN60" s="117"/>
      <c r="FZO60" s="4"/>
      <c r="FZP60" s="126"/>
      <c r="FZQ60" s="127"/>
      <c r="FZR60" s="121"/>
      <c r="FZS60" s="5"/>
      <c r="FZT60" s="5"/>
      <c r="FZU60" s="124"/>
      <c r="FZV60" s="121"/>
      <c r="FZW60" s="125"/>
      <c r="FZX60" s="5"/>
      <c r="FZY60" s="117"/>
      <c r="FZZ60" s="4"/>
      <c r="GAA60" s="126"/>
      <c r="GAB60" s="127"/>
      <c r="GAC60" s="121"/>
      <c r="GAD60" s="5"/>
      <c r="GAE60" s="5"/>
      <c r="GAF60" s="124"/>
      <c r="GAG60" s="121"/>
      <c r="GAH60" s="125"/>
      <c r="GAI60" s="5"/>
      <c r="GAJ60" s="117"/>
      <c r="GAK60" s="4"/>
      <c r="GAL60" s="126"/>
      <c r="GAM60" s="127"/>
      <c r="GAN60" s="121"/>
      <c r="GAO60" s="5"/>
      <c r="GAP60" s="5"/>
      <c r="GAQ60" s="124"/>
      <c r="GAR60" s="121"/>
      <c r="GAS60" s="125"/>
      <c r="GAT60" s="5"/>
      <c r="GAU60" s="117"/>
      <c r="GAV60" s="4"/>
      <c r="GAW60" s="126"/>
      <c r="GAX60" s="127"/>
      <c r="GAY60" s="121"/>
      <c r="GAZ60" s="5"/>
      <c r="GBA60" s="5"/>
      <c r="GBB60" s="124"/>
      <c r="GBC60" s="121"/>
      <c r="GBD60" s="125"/>
      <c r="GBE60" s="5"/>
      <c r="GBF60" s="117"/>
      <c r="GBG60" s="4"/>
      <c r="GBH60" s="126"/>
      <c r="GBI60" s="127"/>
      <c r="GBJ60" s="121"/>
      <c r="GBK60" s="5"/>
      <c r="GBL60" s="5"/>
      <c r="GBM60" s="124"/>
      <c r="GBN60" s="121"/>
      <c r="GBO60" s="125"/>
      <c r="GBP60" s="5"/>
      <c r="GBQ60" s="117"/>
      <c r="GBR60" s="4"/>
      <c r="GBS60" s="126"/>
      <c r="GBT60" s="127"/>
      <c r="GBU60" s="121"/>
      <c r="GBV60" s="5"/>
      <c r="GBW60" s="5"/>
      <c r="GBX60" s="124"/>
      <c r="GBY60" s="121"/>
      <c r="GBZ60" s="125"/>
      <c r="GCA60" s="5"/>
      <c r="GCB60" s="117"/>
      <c r="GCC60" s="4"/>
      <c r="GCD60" s="126"/>
      <c r="GCE60" s="127"/>
      <c r="GCF60" s="121"/>
      <c r="GCG60" s="5"/>
      <c r="GCH60" s="5"/>
      <c r="GCI60" s="124"/>
      <c r="GCJ60" s="121"/>
      <c r="GCK60" s="125"/>
      <c r="GCL60" s="5"/>
      <c r="GCM60" s="117"/>
      <c r="GCN60" s="4"/>
      <c r="GCO60" s="126"/>
      <c r="GCP60" s="127"/>
      <c r="GCQ60" s="121"/>
      <c r="GCR60" s="5"/>
      <c r="GCS60" s="5"/>
      <c r="GCT60" s="124"/>
      <c r="GCU60" s="121"/>
      <c r="GCV60" s="125"/>
      <c r="GCW60" s="5"/>
      <c r="GCX60" s="117"/>
      <c r="GCY60" s="4"/>
      <c r="GCZ60" s="126"/>
      <c r="GDA60" s="127"/>
      <c r="GDB60" s="121"/>
      <c r="GDC60" s="5"/>
      <c r="GDD60" s="5"/>
      <c r="GDE60" s="124"/>
      <c r="GDF60" s="121"/>
      <c r="GDG60" s="125"/>
      <c r="GDH60" s="5"/>
      <c r="GDI60" s="117"/>
      <c r="GDJ60" s="4"/>
      <c r="GDK60" s="126"/>
      <c r="GDL60" s="127"/>
      <c r="GDM60" s="121"/>
      <c r="GDN60" s="5"/>
      <c r="GDO60" s="5"/>
      <c r="GDP60" s="124"/>
      <c r="GDQ60" s="121"/>
      <c r="GDR60" s="125"/>
      <c r="GDS60" s="5"/>
      <c r="GDT60" s="117"/>
      <c r="GDU60" s="4"/>
      <c r="GDV60" s="126"/>
      <c r="GDW60" s="127"/>
      <c r="GDX60" s="121"/>
      <c r="GDY60" s="5"/>
      <c r="GDZ60" s="5"/>
      <c r="GEA60" s="124"/>
      <c r="GEB60" s="121"/>
      <c r="GEC60" s="125"/>
      <c r="GED60" s="5"/>
      <c r="GEE60" s="117"/>
      <c r="GEF60" s="4"/>
      <c r="GEG60" s="126"/>
      <c r="GEH60" s="127"/>
      <c r="GEI60" s="121"/>
      <c r="GEJ60" s="5"/>
      <c r="GEK60" s="5"/>
      <c r="GEL60" s="124"/>
      <c r="GEM60" s="121"/>
      <c r="GEN60" s="125"/>
      <c r="GEO60" s="5"/>
      <c r="GEP60" s="117"/>
      <c r="GEQ60" s="4"/>
      <c r="GER60" s="126"/>
      <c r="GES60" s="127"/>
      <c r="GET60" s="121"/>
      <c r="GEU60" s="5"/>
      <c r="GEV60" s="5"/>
      <c r="GEW60" s="124"/>
      <c r="GEX60" s="121"/>
      <c r="GEY60" s="125"/>
      <c r="GEZ60" s="5"/>
      <c r="GFA60" s="117"/>
      <c r="GFB60" s="4"/>
      <c r="GFC60" s="126"/>
      <c r="GFD60" s="127"/>
      <c r="GFE60" s="121"/>
      <c r="GFF60" s="5"/>
      <c r="GFG60" s="5"/>
      <c r="GFH60" s="124"/>
      <c r="GFI60" s="121"/>
      <c r="GFJ60" s="125"/>
      <c r="GFK60" s="5"/>
      <c r="GFL60" s="117"/>
      <c r="GFM60" s="4"/>
      <c r="GFN60" s="126"/>
      <c r="GFO60" s="127"/>
      <c r="GFP60" s="121"/>
      <c r="GFQ60" s="5"/>
      <c r="GFR60" s="5"/>
      <c r="GFS60" s="124"/>
      <c r="GFT60" s="121"/>
      <c r="GFU60" s="125"/>
      <c r="GFV60" s="5"/>
      <c r="GFW60" s="117"/>
      <c r="GFX60" s="4"/>
      <c r="GFY60" s="126"/>
      <c r="GFZ60" s="127"/>
      <c r="GGA60" s="121"/>
      <c r="GGB60" s="5"/>
      <c r="GGC60" s="5"/>
      <c r="GGD60" s="124"/>
      <c r="GGE60" s="121"/>
      <c r="GGF60" s="125"/>
      <c r="GGG60" s="5"/>
      <c r="GGH60" s="117"/>
      <c r="GGI60" s="4"/>
      <c r="GGJ60" s="126"/>
      <c r="GGK60" s="127"/>
      <c r="GGL60" s="121"/>
      <c r="GGM60" s="5"/>
      <c r="GGN60" s="5"/>
      <c r="GGO60" s="124"/>
      <c r="GGP60" s="121"/>
      <c r="GGQ60" s="125"/>
      <c r="GGR60" s="5"/>
      <c r="GGS60" s="117"/>
      <c r="GGT60" s="4"/>
      <c r="GGU60" s="126"/>
      <c r="GGV60" s="127"/>
      <c r="GGW60" s="121"/>
      <c r="GGX60" s="5"/>
      <c r="GGY60" s="5"/>
      <c r="GGZ60" s="124"/>
      <c r="GHA60" s="121"/>
      <c r="GHB60" s="125"/>
      <c r="GHC60" s="5"/>
      <c r="GHD60" s="117"/>
      <c r="GHE60" s="4"/>
      <c r="GHF60" s="126"/>
      <c r="GHG60" s="127"/>
      <c r="GHH60" s="121"/>
      <c r="GHI60" s="5"/>
      <c r="GHJ60" s="5"/>
      <c r="GHK60" s="124"/>
      <c r="GHL60" s="121"/>
      <c r="GHM60" s="125"/>
      <c r="GHN60" s="5"/>
      <c r="GHO60" s="117"/>
      <c r="GHP60" s="4"/>
      <c r="GHQ60" s="126"/>
      <c r="GHR60" s="127"/>
      <c r="GHS60" s="121"/>
      <c r="GHT60" s="5"/>
      <c r="GHU60" s="5"/>
      <c r="GHV60" s="124"/>
      <c r="GHW60" s="121"/>
      <c r="GHX60" s="125"/>
      <c r="GHY60" s="5"/>
      <c r="GHZ60" s="117"/>
      <c r="GIA60" s="4"/>
      <c r="GIB60" s="126"/>
      <c r="GIC60" s="127"/>
      <c r="GID60" s="121"/>
      <c r="GIE60" s="5"/>
      <c r="GIF60" s="5"/>
      <c r="GIG60" s="124"/>
      <c r="GIH60" s="121"/>
      <c r="GII60" s="125"/>
      <c r="GIJ60" s="5"/>
      <c r="GIK60" s="117"/>
      <c r="GIL60" s="4"/>
      <c r="GIM60" s="126"/>
      <c r="GIN60" s="127"/>
      <c r="GIO60" s="121"/>
      <c r="GIP60" s="5"/>
      <c r="GIQ60" s="5"/>
      <c r="GIR60" s="124"/>
      <c r="GIS60" s="121"/>
      <c r="GIT60" s="125"/>
      <c r="GIU60" s="5"/>
      <c r="GIV60" s="117"/>
      <c r="GIW60" s="4"/>
      <c r="GIX60" s="126"/>
      <c r="GIY60" s="127"/>
      <c r="GIZ60" s="121"/>
      <c r="GJA60" s="5"/>
      <c r="GJB60" s="5"/>
      <c r="GJC60" s="124"/>
      <c r="GJD60" s="121"/>
      <c r="GJE60" s="125"/>
      <c r="GJF60" s="5"/>
      <c r="GJG60" s="117"/>
      <c r="GJH60" s="4"/>
      <c r="GJI60" s="126"/>
      <c r="GJJ60" s="127"/>
      <c r="GJK60" s="121"/>
      <c r="GJL60" s="5"/>
      <c r="GJM60" s="5"/>
      <c r="GJN60" s="124"/>
      <c r="GJO60" s="121"/>
      <c r="GJP60" s="125"/>
      <c r="GJQ60" s="5"/>
      <c r="GJR60" s="117"/>
      <c r="GJS60" s="4"/>
      <c r="GJT60" s="126"/>
      <c r="GJU60" s="127"/>
      <c r="GJV60" s="121"/>
      <c r="GJW60" s="5"/>
      <c r="GJX60" s="5"/>
      <c r="GJY60" s="124"/>
      <c r="GJZ60" s="121"/>
      <c r="GKA60" s="125"/>
      <c r="GKB60" s="5"/>
      <c r="GKC60" s="117"/>
      <c r="GKD60" s="4"/>
      <c r="GKE60" s="126"/>
      <c r="GKF60" s="127"/>
      <c r="GKG60" s="121"/>
      <c r="GKH60" s="5"/>
      <c r="GKI60" s="5"/>
      <c r="GKJ60" s="124"/>
      <c r="GKK60" s="121"/>
      <c r="GKL60" s="125"/>
      <c r="GKM60" s="5"/>
      <c r="GKN60" s="117"/>
      <c r="GKO60" s="4"/>
      <c r="GKP60" s="126"/>
      <c r="GKQ60" s="127"/>
      <c r="GKR60" s="121"/>
      <c r="GKS60" s="5"/>
      <c r="GKT60" s="5"/>
      <c r="GKU60" s="124"/>
      <c r="GKV60" s="121"/>
      <c r="GKW60" s="125"/>
      <c r="GKX60" s="5"/>
      <c r="GKY60" s="117"/>
      <c r="GKZ60" s="4"/>
      <c r="GLA60" s="126"/>
      <c r="GLB60" s="127"/>
      <c r="GLC60" s="121"/>
      <c r="GLD60" s="5"/>
      <c r="GLE60" s="5"/>
      <c r="GLF60" s="124"/>
      <c r="GLG60" s="121"/>
      <c r="GLH60" s="125"/>
      <c r="GLI60" s="5"/>
      <c r="GLJ60" s="117"/>
      <c r="GLK60" s="4"/>
      <c r="GLL60" s="126"/>
      <c r="GLM60" s="127"/>
      <c r="GLN60" s="121"/>
      <c r="GLO60" s="5"/>
      <c r="GLP60" s="5"/>
      <c r="GLQ60" s="124"/>
      <c r="GLR60" s="121"/>
      <c r="GLS60" s="125"/>
      <c r="GLT60" s="5"/>
      <c r="GLU60" s="117"/>
      <c r="GLV60" s="4"/>
      <c r="GLW60" s="126"/>
      <c r="GLX60" s="127"/>
      <c r="GLY60" s="121"/>
      <c r="GLZ60" s="5"/>
      <c r="GMA60" s="5"/>
      <c r="GMB60" s="124"/>
      <c r="GMC60" s="121"/>
      <c r="GMD60" s="125"/>
      <c r="GME60" s="5"/>
      <c r="GMF60" s="117"/>
      <c r="GMG60" s="4"/>
      <c r="GMH60" s="126"/>
      <c r="GMI60" s="127"/>
      <c r="GMJ60" s="121"/>
      <c r="GMK60" s="5"/>
      <c r="GML60" s="5"/>
      <c r="GMM60" s="124"/>
      <c r="GMN60" s="121"/>
      <c r="GMO60" s="125"/>
      <c r="GMP60" s="5"/>
      <c r="GMQ60" s="117"/>
      <c r="GMR60" s="4"/>
      <c r="GMS60" s="126"/>
      <c r="GMT60" s="127"/>
      <c r="GMU60" s="121"/>
      <c r="GMV60" s="5"/>
      <c r="GMW60" s="5"/>
      <c r="GMX60" s="124"/>
      <c r="GMY60" s="121"/>
      <c r="GMZ60" s="125"/>
      <c r="GNA60" s="5"/>
      <c r="GNB60" s="117"/>
      <c r="GNC60" s="4"/>
      <c r="GND60" s="126"/>
      <c r="GNE60" s="127"/>
      <c r="GNF60" s="121"/>
      <c r="GNG60" s="5"/>
      <c r="GNH60" s="5"/>
      <c r="GNI60" s="124"/>
      <c r="GNJ60" s="121"/>
      <c r="GNK60" s="125"/>
      <c r="GNL60" s="5"/>
      <c r="GNM60" s="117"/>
      <c r="GNN60" s="4"/>
      <c r="GNO60" s="126"/>
      <c r="GNP60" s="127"/>
      <c r="GNQ60" s="121"/>
      <c r="GNR60" s="5"/>
      <c r="GNS60" s="5"/>
      <c r="GNT60" s="124"/>
      <c r="GNU60" s="121"/>
      <c r="GNV60" s="125"/>
      <c r="GNW60" s="5"/>
      <c r="GNX60" s="117"/>
      <c r="GNY60" s="4"/>
      <c r="GNZ60" s="126"/>
      <c r="GOA60" s="127"/>
      <c r="GOB60" s="121"/>
      <c r="GOC60" s="5"/>
      <c r="GOD60" s="5"/>
      <c r="GOE60" s="124"/>
      <c r="GOF60" s="121"/>
      <c r="GOG60" s="125"/>
      <c r="GOH60" s="5"/>
      <c r="GOI60" s="117"/>
      <c r="GOJ60" s="4"/>
      <c r="GOK60" s="126"/>
      <c r="GOL60" s="127"/>
      <c r="GOM60" s="121"/>
      <c r="GON60" s="5"/>
      <c r="GOO60" s="5"/>
      <c r="GOP60" s="124"/>
      <c r="GOQ60" s="121"/>
      <c r="GOR60" s="125"/>
      <c r="GOS60" s="5"/>
      <c r="GOT60" s="117"/>
      <c r="GOU60" s="4"/>
      <c r="GOV60" s="126"/>
      <c r="GOW60" s="127"/>
      <c r="GOX60" s="121"/>
      <c r="GOY60" s="5"/>
      <c r="GOZ60" s="5"/>
      <c r="GPA60" s="124"/>
      <c r="GPB60" s="121"/>
      <c r="GPC60" s="125"/>
      <c r="GPD60" s="5"/>
      <c r="GPE60" s="117"/>
      <c r="GPF60" s="4"/>
      <c r="GPG60" s="126"/>
      <c r="GPH60" s="127"/>
      <c r="GPI60" s="121"/>
      <c r="GPJ60" s="5"/>
      <c r="GPK60" s="5"/>
      <c r="GPL60" s="124"/>
      <c r="GPM60" s="121"/>
      <c r="GPN60" s="125"/>
      <c r="GPO60" s="5"/>
      <c r="GPP60" s="117"/>
      <c r="GPQ60" s="4"/>
      <c r="GPR60" s="126"/>
      <c r="GPS60" s="127"/>
      <c r="GPT60" s="121"/>
      <c r="GPU60" s="5"/>
      <c r="GPV60" s="5"/>
      <c r="GPW60" s="124"/>
      <c r="GPX60" s="121"/>
      <c r="GPY60" s="125"/>
      <c r="GPZ60" s="5"/>
      <c r="GQA60" s="117"/>
      <c r="GQB60" s="4"/>
      <c r="GQC60" s="126"/>
      <c r="GQD60" s="127"/>
      <c r="GQE60" s="121"/>
      <c r="GQF60" s="5"/>
      <c r="GQG60" s="5"/>
      <c r="GQH60" s="124"/>
      <c r="GQI60" s="121"/>
      <c r="GQJ60" s="125"/>
      <c r="GQK60" s="5"/>
      <c r="GQL60" s="117"/>
      <c r="GQM60" s="4"/>
      <c r="GQN60" s="126"/>
      <c r="GQO60" s="127"/>
      <c r="GQP60" s="121"/>
      <c r="GQQ60" s="5"/>
      <c r="GQR60" s="5"/>
      <c r="GQS60" s="124"/>
      <c r="GQT60" s="121"/>
      <c r="GQU60" s="125"/>
      <c r="GQV60" s="5"/>
      <c r="GQW60" s="117"/>
      <c r="GQX60" s="4"/>
      <c r="GQY60" s="126"/>
      <c r="GQZ60" s="127"/>
      <c r="GRA60" s="121"/>
      <c r="GRB60" s="5"/>
      <c r="GRC60" s="5"/>
      <c r="GRD60" s="124"/>
      <c r="GRE60" s="121"/>
      <c r="GRF60" s="125"/>
      <c r="GRG60" s="5"/>
      <c r="GRH60" s="117"/>
      <c r="GRI60" s="4"/>
      <c r="GRJ60" s="126"/>
      <c r="GRK60" s="127"/>
      <c r="GRL60" s="121"/>
      <c r="GRM60" s="5"/>
      <c r="GRN60" s="5"/>
      <c r="GRO60" s="124"/>
      <c r="GRP60" s="121"/>
      <c r="GRQ60" s="125"/>
      <c r="GRR60" s="5"/>
      <c r="GRS60" s="117"/>
      <c r="GRT60" s="4"/>
      <c r="GRU60" s="126"/>
      <c r="GRV60" s="127"/>
      <c r="GRW60" s="121"/>
      <c r="GRX60" s="5"/>
      <c r="GRY60" s="5"/>
      <c r="GRZ60" s="124"/>
      <c r="GSA60" s="121"/>
      <c r="GSB60" s="125"/>
      <c r="GSC60" s="5"/>
      <c r="GSD60" s="117"/>
      <c r="GSE60" s="4"/>
      <c r="GSF60" s="126"/>
      <c r="GSG60" s="127"/>
      <c r="GSH60" s="121"/>
      <c r="GSI60" s="5"/>
      <c r="GSJ60" s="5"/>
      <c r="GSK60" s="124"/>
      <c r="GSL60" s="121"/>
      <c r="GSM60" s="125"/>
      <c r="GSN60" s="5"/>
      <c r="GSO60" s="117"/>
      <c r="GSP60" s="4"/>
      <c r="GSQ60" s="126"/>
      <c r="GSR60" s="127"/>
      <c r="GSS60" s="121"/>
      <c r="GST60" s="5"/>
      <c r="GSU60" s="5"/>
      <c r="GSV60" s="124"/>
      <c r="GSW60" s="121"/>
      <c r="GSX60" s="125"/>
      <c r="GSY60" s="5"/>
      <c r="GSZ60" s="117"/>
      <c r="GTA60" s="4"/>
      <c r="GTB60" s="126"/>
      <c r="GTC60" s="127"/>
      <c r="GTD60" s="121"/>
      <c r="GTE60" s="5"/>
      <c r="GTF60" s="5"/>
      <c r="GTG60" s="124"/>
      <c r="GTH60" s="121"/>
      <c r="GTI60" s="125"/>
      <c r="GTJ60" s="5"/>
      <c r="GTK60" s="117"/>
      <c r="GTL60" s="4"/>
      <c r="GTM60" s="126"/>
      <c r="GTN60" s="127"/>
      <c r="GTO60" s="121"/>
      <c r="GTP60" s="5"/>
      <c r="GTQ60" s="5"/>
      <c r="GTR60" s="124"/>
      <c r="GTS60" s="121"/>
      <c r="GTT60" s="125"/>
      <c r="GTU60" s="5"/>
      <c r="GTV60" s="117"/>
      <c r="GTW60" s="4"/>
      <c r="GTX60" s="126"/>
      <c r="GTY60" s="127"/>
      <c r="GTZ60" s="121"/>
      <c r="GUA60" s="5"/>
      <c r="GUB60" s="5"/>
      <c r="GUC60" s="124"/>
      <c r="GUD60" s="121"/>
      <c r="GUE60" s="125"/>
      <c r="GUF60" s="5"/>
      <c r="GUG60" s="117"/>
      <c r="GUH60" s="4"/>
      <c r="GUI60" s="126"/>
      <c r="GUJ60" s="127"/>
      <c r="GUK60" s="121"/>
      <c r="GUL60" s="5"/>
      <c r="GUM60" s="5"/>
      <c r="GUN60" s="124"/>
      <c r="GUO60" s="121"/>
      <c r="GUP60" s="125"/>
      <c r="GUQ60" s="5"/>
      <c r="GUR60" s="117"/>
      <c r="GUS60" s="4"/>
      <c r="GUT60" s="126"/>
      <c r="GUU60" s="127"/>
      <c r="GUV60" s="121"/>
      <c r="GUW60" s="5"/>
      <c r="GUX60" s="5"/>
      <c r="GUY60" s="124"/>
      <c r="GUZ60" s="121"/>
      <c r="GVA60" s="125"/>
      <c r="GVB60" s="5"/>
      <c r="GVC60" s="117"/>
      <c r="GVD60" s="4"/>
      <c r="GVE60" s="126"/>
      <c r="GVF60" s="127"/>
      <c r="GVG60" s="121"/>
      <c r="GVH60" s="5"/>
      <c r="GVI60" s="5"/>
      <c r="GVJ60" s="124"/>
      <c r="GVK60" s="121"/>
      <c r="GVL60" s="125"/>
      <c r="GVM60" s="5"/>
      <c r="GVN60" s="117"/>
      <c r="GVO60" s="4"/>
      <c r="GVP60" s="126"/>
      <c r="GVQ60" s="127"/>
      <c r="GVR60" s="121"/>
      <c r="GVS60" s="5"/>
      <c r="GVT60" s="5"/>
      <c r="GVU60" s="124"/>
      <c r="GVV60" s="121"/>
      <c r="GVW60" s="125"/>
      <c r="GVX60" s="5"/>
      <c r="GVY60" s="117"/>
      <c r="GVZ60" s="4"/>
      <c r="GWA60" s="126"/>
      <c r="GWB60" s="127"/>
      <c r="GWC60" s="121"/>
      <c r="GWD60" s="5"/>
      <c r="GWE60" s="5"/>
      <c r="GWF60" s="124"/>
      <c r="GWG60" s="121"/>
      <c r="GWH60" s="125"/>
      <c r="GWI60" s="5"/>
      <c r="GWJ60" s="117"/>
      <c r="GWK60" s="4"/>
      <c r="GWL60" s="126"/>
      <c r="GWM60" s="127"/>
      <c r="GWN60" s="121"/>
      <c r="GWO60" s="5"/>
      <c r="GWP60" s="5"/>
      <c r="GWQ60" s="124"/>
      <c r="GWR60" s="121"/>
      <c r="GWS60" s="125"/>
      <c r="GWT60" s="5"/>
      <c r="GWU60" s="117"/>
      <c r="GWV60" s="4"/>
      <c r="GWW60" s="126"/>
      <c r="GWX60" s="127"/>
      <c r="GWY60" s="121"/>
      <c r="GWZ60" s="5"/>
      <c r="GXA60" s="5"/>
      <c r="GXB60" s="124"/>
      <c r="GXC60" s="121"/>
      <c r="GXD60" s="125"/>
      <c r="GXE60" s="5"/>
      <c r="GXF60" s="117"/>
      <c r="GXG60" s="4"/>
      <c r="GXH60" s="126"/>
      <c r="GXI60" s="127"/>
      <c r="GXJ60" s="121"/>
      <c r="GXK60" s="5"/>
      <c r="GXL60" s="5"/>
      <c r="GXM60" s="124"/>
      <c r="GXN60" s="121"/>
      <c r="GXO60" s="125"/>
      <c r="GXP60" s="5"/>
      <c r="GXQ60" s="117"/>
      <c r="GXR60" s="4"/>
      <c r="GXS60" s="126"/>
      <c r="GXT60" s="127"/>
      <c r="GXU60" s="121"/>
      <c r="GXV60" s="5"/>
      <c r="GXW60" s="5"/>
      <c r="GXX60" s="124"/>
      <c r="GXY60" s="121"/>
      <c r="GXZ60" s="125"/>
      <c r="GYA60" s="5"/>
      <c r="GYB60" s="117"/>
      <c r="GYC60" s="4"/>
      <c r="GYD60" s="126"/>
      <c r="GYE60" s="127"/>
      <c r="GYF60" s="121"/>
      <c r="GYG60" s="5"/>
      <c r="GYH60" s="5"/>
      <c r="GYI60" s="124"/>
      <c r="GYJ60" s="121"/>
      <c r="GYK60" s="125"/>
      <c r="GYL60" s="5"/>
      <c r="GYM60" s="117"/>
      <c r="GYN60" s="4"/>
      <c r="GYO60" s="126"/>
      <c r="GYP60" s="127"/>
      <c r="GYQ60" s="121"/>
      <c r="GYR60" s="5"/>
      <c r="GYS60" s="5"/>
      <c r="GYT60" s="124"/>
      <c r="GYU60" s="121"/>
      <c r="GYV60" s="125"/>
      <c r="GYW60" s="5"/>
      <c r="GYX60" s="117"/>
      <c r="GYY60" s="4"/>
      <c r="GYZ60" s="126"/>
      <c r="GZA60" s="127"/>
      <c r="GZB60" s="121"/>
      <c r="GZC60" s="5"/>
      <c r="GZD60" s="5"/>
      <c r="GZE60" s="124"/>
      <c r="GZF60" s="121"/>
      <c r="GZG60" s="125"/>
      <c r="GZH60" s="5"/>
      <c r="GZI60" s="117"/>
      <c r="GZJ60" s="4"/>
      <c r="GZK60" s="126"/>
      <c r="GZL60" s="127"/>
      <c r="GZM60" s="121"/>
      <c r="GZN60" s="5"/>
      <c r="GZO60" s="5"/>
      <c r="GZP60" s="124"/>
      <c r="GZQ60" s="121"/>
      <c r="GZR60" s="125"/>
      <c r="GZS60" s="5"/>
      <c r="GZT60" s="117"/>
      <c r="GZU60" s="4"/>
      <c r="GZV60" s="126"/>
      <c r="GZW60" s="127"/>
      <c r="GZX60" s="121"/>
      <c r="GZY60" s="5"/>
      <c r="GZZ60" s="5"/>
      <c r="HAA60" s="124"/>
      <c r="HAB60" s="121"/>
      <c r="HAC60" s="125"/>
      <c r="HAD60" s="5"/>
      <c r="HAE60" s="117"/>
      <c r="HAF60" s="4"/>
      <c r="HAG60" s="126"/>
      <c r="HAH60" s="127"/>
      <c r="HAI60" s="121"/>
      <c r="HAJ60" s="5"/>
      <c r="HAK60" s="5"/>
      <c r="HAL60" s="124"/>
      <c r="HAM60" s="121"/>
      <c r="HAN60" s="125"/>
      <c r="HAO60" s="5"/>
      <c r="HAP60" s="117"/>
      <c r="HAQ60" s="4"/>
      <c r="HAR60" s="126"/>
      <c r="HAS60" s="127"/>
      <c r="HAT60" s="121"/>
      <c r="HAU60" s="5"/>
      <c r="HAV60" s="5"/>
      <c r="HAW60" s="124"/>
      <c r="HAX60" s="121"/>
      <c r="HAY60" s="125"/>
      <c r="HAZ60" s="5"/>
      <c r="HBA60" s="117"/>
      <c r="HBB60" s="4"/>
      <c r="HBC60" s="126"/>
      <c r="HBD60" s="127"/>
      <c r="HBE60" s="121"/>
      <c r="HBF60" s="5"/>
      <c r="HBG60" s="5"/>
      <c r="HBH60" s="124"/>
      <c r="HBI60" s="121"/>
      <c r="HBJ60" s="125"/>
      <c r="HBK60" s="5"/>
      <c r="HBL60" s="117"/>
      <c r="HBM60" s="4"/>
      <c r="HBN60" s="126"/>
      <c r="HBO60" s="127"/>
      <c r="HBP60" s="121"/>
      <c r="HBQ60" s="5"/>
      <c r="HBR60" s="5"/>
      <c r="HBS60" s="124"/>
      <c r="HBT60" s="121"/>
      <c r="HBU60" s="125"/>
      <c r="HBV60" s="5"/>
      <c r="HBW60" s="117"/>
      <c r="HBX60" s="4"/>
      <c r="HBY60" s="126"/>
      <c r="HBZ60" s="127"/>
      <c r="HCA60" s="121"/>
      <c r="HCB60" s="5"/>
      <c r="HCC60" s="5"/>
      <c r="HCD60" s="124"/>
      <c r="HCE60" s="121"/>
      <c r="HCF60" s="125"/>
      <c r="HCG60" s="5"/>
      <c r="HCH60" s="117"/>
      <c r="HCI60" s="4"/>
      <c r="HCJ60" s="126"/>
      <c r="HCK60" s="127"/>
      <c r="HCL60" s="121"/>
      <c r="HCM60" s="5"/>
      <c r="HCN60" s="5"/>
      <c r="HCO60" s="124"/>
      <c r="HCP60" s="121"/>
      <c r="HCQ60" s="125"/>
      <c r="HCR60" s="5"/>
      <c r="HCS60" s="117"/>
      <c r="HCT60" s="4"/>
      <c r="HCU60" s="126"/>
      <c r="HCV60" s="127"/>
      <c r="HCW60" s="121"/>
      <c r="HCX60" s="5"/>
      <c r="HCY60" s="5"/>
      <c r="HCZ60" s="124"/>
      <c r="HDA60" s="121"/>
      <c r="HDB60" s="125"/>
      <c r="HDC60" s="5"/>
      <c r="HDD60" s="117"/>
      <c r="HDE60" s="4"/>
      <c r="HDF60" s="126"/>
      <c r="HDG60" s="127"/>
      <c r="HDH60" s="121"/>
      <c r="HDI60" s="5"/>
      <c r="HDJ60" s="5"/>
      <c r="HDK60" s="124"/>
      <c r="HDL60" s="121"/>
      <c r="HDM60" s="125"/>
      <c r="HDN60" s="5"/>
      <c r="HDO60" s="117"/>
      <c r="HDP60" s="4"/>
      <c r="HDQ60" s="126"/>
      <c r="HDR60" s="127"/>
      <c r="HDS60" s="121"/>
      <c r="HDT60" s="5"/>
      <c r="HDU60" s="5"/>
      <c r="HDV60" s="124"/>
      <c r="HDW60" s="121"/>
      <c r="HDX60" s="125"/>
      <c r="HDY60" s="5"/>
      <c r="HDZ60" s="117"/>
      <c r="HEA60" s="4"/>
      <c r="HEB60" s="126"/>
      <c r="HEC60" s="127"/>
      <c r="HED60" s="121"/>
      <c r="HEE60" s="5"/>
      <c r="HEF60" s="5"/>
      <c r="HEG60" s="124"/>
      <c r="HEH60" s="121"/>
      <c r="HEI60" s="125"/>
      <c r="HEJ60" s="5"/>
      <c r="HEK60" s="117"/>
      <c r="HEL60" s="4"/>
      <c r="HEM60" s="126"/>
      <c r="HEN60" s="127"/>
      <c r="HEO60" s="121"/>
      <c r="HEP60" s="5"/>
      <c r="HEQ60" s="5"/>
      <c r="HER60" s="124"/>
      <c r="HES60" s="121"/>
      <c r="HET60" s="125"/>
      <c r="HEU60" s="5"/>
      <c r="HEV60" s="117"/>
      <c r="HEW60" s="4"/>
      <c r="HEX60" s="126"/>
      <c r="HEY60" s="127"/>
      <c r="HEZ60" s="121"/>
      <c r="HFA60" s="5"/>
      <c r="HFB60" s="5"/>
      <c r="HFC60" s="124"/>
      <c r="HFD60" s="121"/>
      <c r="HFE60" s="125"/>
      <c r="HFF60" s="5"/>
      <c r="HFG60" s="117"/>
      <c r="HFH60" s="4"/>
      <c r="HFI60" s="126"/>
      <c r="HFJ60" s="127"/>
      <c r="HFK60" s="121"/>
      <c r="HFL60" s="5"/>
      <c r="HFM60" s="5"/>
      <c r="HFN60" s="124"/>
      <c r="HFO60" s="121"/>
      <c r="HFP60" s="125"/>
      <c r="HFQ60" s="5"/>
      <c r="HFR60" s="117"/>
      <c r="HFS60" s="4"/>
      <c r="HFT60" s="126"/>
      <c r="HFU60" s="127"/>
      <c r="HFV60" s="121"/>
      <c r="HFW60" s="5"/>
      <c r="HFX60" s="5"/>
      <c r="HFY60" s="124"/>
      <c r="HFZ60" s="121"/>
      <c r="HGA60" s="125"/>
      <c r="HGB60" s="5"/>
      <c r="HGC60" s="117"/>
      <c r="HGD60" s="4"/>
      <c r="HGE60" s="126"/>
      <c r="HGF60" s="127"/>
      <c r="HGG60" s="121"/>
      <c r="HGH60" s="5"/>
      <c r="HGI60" s="5"/>
      <c r="HGJ60" s="124"/>
      <c r="HGK60" s="121"/>
      <c r="HGL60" s="125"/>
      <c r="HGM60" s="5"/>
      <c r="HGN60" s="117"/>
      <c r="HGO60" s="4"/>
      <c r="HGP60" s="126"/>
      <c r="HGQ60" s="127"/>
      <c r="HGR60" s="121"/>
      <c r="HGS60" s="5"/>
      <c r="HGT60" s="5"/>
      <c r="HGU60" s="124"/>
      <c r="HGV60" s="121"/>
      <c r="HGW60" s="125"/>
      <c r="HGX60" s="5"/>
      <c r="HGY60" s="117"/>
      <c r="HGZ60" s="4"/>
      <c r="HHA60" s="126"/>
      <c r="HHB60" s="127"/>
      <c r="HHC60" s="121"/>
      <c r="HHD60" s="5"/>
      <c r="HHE60" s="5"/>
      <c r="HHF60" s="124"/>
      <c r="HHG60" s="121"/>
      <c r="HHH60" s="125"/>
      <c r="HHI60" s="5"/>
      <c r="HHJ60" s="117"/>
      <c r="HHK60" s="4"/>
      <c r="HHL60" s="126"/>
      <c r="HHM60" s="127"/>
      <c r="HHN60" s="121"/>
      <c r="HHO60" s="5"/>
      <c r="HHP60" s="5"/>
      <c r="HHQ60" s="124"/>
      <c r="HHR60" s="121"/>
      <c r="HHS60" s="125"/>
      <c r="HHT60" s="5"/>
      <c r="HHU60" s="117"/>
      <c r="HHV60" s="4"/>
      <c r="HHW60" s="126"/>
      <c r="HHX60" s="127"/>
      <c r="HHY60" s="121"/>
      <c r="HHZ60" s="5"/>
      <c r="HIA60" s="5"/>
      <c r="HIB60" s="124"/>
      <c r="HIC60" s="121"/>
      <c r="HID60" s="125"/>
      <c r="HIE60" s="5"/>
      <c r="HIF60" s="117"/>
      <c r="HIG60" s="4"/>
      <c r="HIH60" s="126"/>
      <c r="HII60" s="127"/>
      <c r="HIJ60" s="121"/>
      <c r="HIK60" s="5"/>
      <c r="HIL60" s="5"/>
      <c r="HIM60" s="124"/>
      <c r="HIN60" s="121"/>
      <c r="HIO60" s="125"/>
      <c r="HIP60" s="5"/>
      <c r="HIQ60" s="117"/>
      <c r="HIR60" s="4"/>
      <c r="HIS60" s="126"/>
      <c r="HIT60" s="127"/>
      <c r="HIU60" s="121"/>
      <c r="HIV60" s="5"/>
      <c r="HIW60" s="5"/>
      <c r="HIX60" s="124"/>
      <c r="HIY60" s="121"/>
      <c r="HIZ60" s="125"/>
      <c r="HJA60" s="5"/>
      <c r="HJB60" s="117"/>
      <c r="HJC60" s="4"/>
      <c r="HJD60" s="126"/>
      <c r="HJE60" s="127"/>
      <c r="HJF60" s="121"/>
      <c r="HJG60" s="5"/>
      <c r="HJH60" s="5"/>
      <c r="HJI60" s="124"/>
      <c r="HJJ60" s="121"/>
      <c r="HJK60" s="125"/>
      <c r="HJL60" s="5"/>
      <c r="HJM60" s="117"/>
      <c r="HJN60" s="4"/>
      <c r="HJO60" s="126"/>
      <c r="HJP60" s="127"/>
      <c r="HJQ60" s="121"/>
      <c r="HJR60" s="5"/>
      <c r="HJS60" s="5"/>
      <c r="HJT60" s="124"/>
      <c r="HJU60" s="121"/>
      <c r="HJV60" s="125"/>
      <c r="HJW60" s="5"/>
      <c r="HJX60" s="117"/>
      <c r="HJY60" s="4"/>
      <c r="HJZ60" s="126"/>
      <c r="HKA60" s="127"/>
      <c r="HKB60" s="121"/>
      <c r="HKC60" s="5"/>
      <c r="HKD60" s="5"/>
      <c r="HKE60" s="124"/>
      <c r="HKF60" s="121"/>
      <c r="HKG60" s="125"/>
      <c r="HKH60" s="5"/>
      <c r="HKI60" s="117"/>
      <c r="HKJ60" s="4"/>
      <c r="HKK60" s="126"/>
      <c r="HKL60" s="127"/>
      <c r="HKM60" s="121"/>
      <c r="HKN60" s="5"/>
      <c r="HKO60" s="5"/>
      <c r="HKP60" s="124"/>
      <c r="HKQ60" s="121"/>
      <c r="HKR60" s="125"/>
      <c r="HKS60" s="5"/>
      <c r="HKT60" s="117"/>
      <c r="HKU60" s="4"/>
      <c r="HKV60" s="126"/>
      <c r="HKW60" s="127"/>
      <c r="HKX60" s="121"/>
      <c r="HKY60" s="5"/>
      <c r="HKZ60" s="5"/>
      <c r="HLA60" s="124"/>
      <c r="HLB60" s="121"/>
      <c r="HLC60" s="125"/>
      <c r="HLD60" s="5"/>
      <c r="HLE60" s="117"/>
      <c r="HLF60" s="4"/>
      <c r="HLG60" s="126"/>
      <c r="HLH60" s="127"/>
      <c r="HLI60" s="121"/>
      <c r="HLJ60" s="5"/>
      <c r="HLK60" s="5"/>
      <c r="HLL60" s="124"/>
      <c r="HLM60" s="121"/>
      <c r="HLN60" s="125"/>
      <c r="HLO60" s="5"/>
      <c r="HLP60" s="117"/>
      <c r="HLQ60" s="4"/>
      <c r="HLR60" s="126"/>
      <c r="HLS60" s="127"/>
      <c r="HLT60" s="121"/>
      <c r="HLU60" s="5"/>
      <c r="HLV60" s="5"/>
      <c r="HLW60" s="124"/>
      <c r="HLX60" s="121"/>
      <c r="HLY60" s="125"/>
      <c r="HLZ60" s="5"/>
      <c r="HMA60" s="117"/>
      <c r="HMB60" s="4"/>
      <c r="HMC60" s="126"/>
      <c r="HMD60" s="127"/>
      <c r="HME60" s="121"/>
      <c r="HMF60" s="5"/>
      <c r="HMG60" s="5"/>
      <c r="HMH60" s="124"/>
      <c r="HMI60" s="121"/>
      <c r="HMJ60" s="125"/>
      <c r="HMK60" s="5"/>
      <c r="HML60" s="117"/>
      <c r="HMM60" s="4"/>
      <c r="HMN60" s="126"/>
      <c r="HMO60" s="127"/>
      <c r="HMP60" s="121"/>
      <c r="HMQ60" s="5"/>
      <c r="HMR60" s="5"/>
      <c r="HMS60" s="124"/>
      <c r="HMT60" s="121"/>
      <c r="HMU60" s="125"/>
      <c r="HMV60" s="5"/>
      <c r="HMW60" s="117"/>
      <c r="HMX60" s="4"/>
      <c r="HMY60" s="126"/>
      <c r="HMZ60" s="127"/>
      <c r="HNA60" s="121"/>
      <c r="HNB60" s="5"/>
      <c r="HNC60" s="5"/>
      <c r="HND60" s="124"/>
      <c r="HNE60" s="121"/>
      <c r="HNF60" s="125"/>
      <c r="HNG60" s="5"/>
      <c r="HNH60" s="117"/>
      <c r="HNI60" s="4"/>
      <c r="HNJ60" s="126"/>
      <c r="HNK60" s="127"/>
      <c r="HNL60" s="121"/>
      <c r="HNM60" s="5"/>
      <c r="HNN60" s="5"/>
      <c r="HNO60" s="124"/>
      <c r="HNP60" s="121"/>
      <c r="HNQ60" s="125"/>
      <c r="HNR60" s="5"/>
      <c r="HNS60" s="117"/>
      <c r="HNT60" s="4"/>
      <c r="HNU60" s="126"/>
      <c r="HNV60" s="127"/>
      <c r="HNW60" s="121"/>
      <c r="HNX60" s="5"/>
      <c r="HNY60" s="5"/>
      <c r="HNZ60" s="124"/>
      <c r="HOA60" s="121"/>
      <c r="HOB60" s="125"/>
      <c r="HOC60" s="5"/>
      <c r="HOD60" s="117"/>
      <c r="HOE60" s="4"/>
      <c r="HOF60" s="126"/>
      <c r="HOG60" s="127"/>
      <c r="HOH60" s="121"/>
      <c r="HOI60" s="5"/>
      <c r="HOJ60" s="5"/>
      <c r="HOK60" s="124"/>
      <c r="HOL60" s="121"/>
      <c r="HOM60" s="125"/>
      <c r="HON60" s="5"/>
      <c r="HOO60" s="117"/>
      <c r="HOP60" s="4"/>
      <c r="HOQ60" s="126"/>
      <c r="HOR60" s="127"/>
      <c r="HOS60" s="121"/>
      <c r="HOT60" s="5"/>
      <c r="HOU60" s="5"/>
      <c r="HOV60" s="124"/>
      <c r="HOW60" s="121"/>
      <c r="HOX60" s="125"/>
      <c r="HOY60" s="5"/>
      <c r="HOZ60" s="117"/>
      <c r="HPA60" s="4"/>
      <c r="HPB60" s="126"/>
      <c r="HPC60" s="127"/>
      <c r="HPD60" s="121"/>
      <c r="HPE60" s="5"/>
      <c r="HPF60" s="5"/>
      <c r="HPG60" s="124"/>
      <c r="HPH60" s="121"/>
      <c r="HPI60" s="125"/>
      <c r="HPJ60" s="5"/>
      <c r="HPK60" s="117"/>
      <c r="HPL60" s="4"/>
      <c r="HPM60" s="126"/>
      <c r="HPN60" s="127"/>
      <c r="HPO60" s="121"/>
      <c r="HPP60" s="5"/>
      <c r="HPQ60" s="5"/>
      <c r="HPR60" s="124"/>
      <c r="HPS60" s="121"/>
      <c r="HPT60" s="125"/>
      <c r="HPU60" s="5"/>
      <c r="HPV60" s="117"/>
      <c r="HPW60" s="4"/>
      <c r="HPX60" s="126"/>
      <c r="HPY60" s="127"/>
      <c r="HPZ60" s="121"/>
      <c r="HQA60" s="5"/>
      <c r="HQB60" s="5"/>
      <c r="HQC60" s="124"/>
      <c r="HQD60" s="121"/>
      <c r="HQE60" s="125"/>
      <c r="HQF60" s="5"/>
      <c r="HQG60" s="117"/>
      <c r="HQH60" s="4"/>
      <c r="HQI60" s="126"/>
      <c r="HQJ60" s="127"/>
      <c r="HQK60" s="121"/>
      <c r="HQL60" s="5"/>
      <c r="HQM60" s="5"/>
      <c r="HQN60" s="124"/>
      <c r="HQO60" s="121"/>
      <c r="HQP60" s="125"/>
      <c r="HQQ60" s="5"/>
      <c r="HQR60" s="117"/>
      <c r="HQS60" s="4"/>
      <c r="HQT60" s="126"/>
      <c r="HQU60" s="127"/>
      <c r="HQV60" s="121"/>
      <c r="HQW60" s="5"/>
      <c r="HQX60" s="5"/>
      <c r="HQY60" s="124"/>
      <c r="HQZ60" s="121"/>
      <c r="HRA60" s="125"/>
      <c r="HRB60" s="5"/>
      <c r="HRC60" s="117"/>
      <c r="HRD60" s="4"/>
      <c r="HRE60" s="126"/>
      <c r="HRF60" s="127"/>
      <c r="HRG60" s="121"/>
      <c r="HRH60" s="5"/>
      <c r="HRI60" s="5"/>
      <c r="HRJ60" s="124"/>
      <c r="HRK60" s="121"/>
      <c r="HRL60" s="125"/>
      <c r="HRM60" s="5"/>
      <c r="HRN60" s="117"/>
      <c r="HRO60" s="4"/>
      <c r="HRP60" s="126"/>
      <c r="HRQ60" s="127"/>
      <c r="HRR60" s="121"/>
      <c r="HRS60" s="5"/>
      <c r="HRT60" s="5"/>
      <c r="HRU60" s="124"/>
      <c r="HRV60" s="121"/>
      <c r="HRW60" s="125"/>
      <c r="HRX60" s="5"/>
      <c r="HRY60" s="117"/>
      <c r="HRZ60" s="4"/>
      <c r="HSA60" s="126"/>
      <c r="HSB60" s="127"/>
      <c r="HSC60" s="121"/>
      <c r="HSD60" s="5"/>
      <c r="HSE60" s="5"/>
      <c r="HSF60" s="124"/>
      <c r="HSG60" s="121"/>
      <c r="HSH60" s="125"/>
      <c r="HSI60" s="5"/>
      <c r="HSJ60" s="117"/>
      <c r="HSK60" s="4"/>
      <c r="HSL60" s="126"/>
      <c r="HSM60" s="127"/>
      <c r="HSN60" s="121"/>
      <c r="HSO60" s="5"/>
      <c r="HSP60" s="5"/>
      <c r="HSQ60" s="124"/>
      <c r="HSR60" s="121"/>
      <c r="HSS60" s="125"/>
      <c r="HST60" s="5"/>
      <c r="HSU60" s="117"/>
      <c r="HSV60" s="4"/>
      <c r="HSW60" s="126"/>
      <c r="HSX60" s="127"/>
      <c r="HSY60" s="121"/>
      <c r="HSZ60" s="5"/>
      <c r="HTA60" s="5"/>
      <c r="HTB60" s="124"/>
      <c r="HTC60" s="121"/>
      <c r="HTD60" s="125"/>
      <c r="HTE60" s="5"/>
      <c r="HTF60" s="117"/>
      <c r="HTG60" s="4"/>
      <c r="HTH60" s="126"/>
      <c r="HTI60" s="127"/>
      <c r="HTJ60" s="121"/>
      <c r="HTK60" s="5"/>
      <c r="HTL60" s="5"/>
      <c r="HTM60" s="124"/>
      <c r="HTN60" s="121"/>
      <c r="HTO60" s="125"/>
      <c r="HTP60" s="5"/>
      <c r="HTQ60" s="117"/>
      <c r="HTR60" s="4"/>
      <c r="HTS60" s="126"/>
      <c r="HTT60" s="127"/>
      <c r="HTU60" s="121"/>
      <c r="HTV60" s="5"/>
      <c r="HTW60" s="5"/>
      <c r="HTX60" s="124"/>
      <c r="HTY60" s="121"/>
      <c r="HTZ60" s="125"/>
      <c r="HUA60" s="5"/>
      <c r="HUB60" s="117"/>
      <c r="HUC60" s="4"/>
      <c r="HUD60" s="126"/>
      <c r="HUE60" s="127"/>
      <c r="HUF60" s="121"/>
      <c r="HUG60" s="5"/>
      <c r="HUH60" s="5"/>
      <c r="HUI60" s="124"/>
      <c r="HUJ60" s="121"/>
      <c r="HUK60" s="125"/>
      <c r="HUL60" s="5"/>
      <c r="HUM60" s="117"/>
      <c r="HUN60" s="4"/>
      <c r="HUO60" s="126"/>
      <c r="HUP60" s="127"/>
      <c r="HUQ60" s="121"/>
      <c r="HUR60" s="5"/>
      <c r="HUS60" s="5"/>
      <c r="HUT60" s="124"/>
      <c r="HUU60" s="121"/>
      <c r="HUV60" s="125"/>
      <c r="HUW60" s="5"/>
      <c r="HUX60" s="117"/>
      <c r="HUY60" s="4"/>
      <c r="HUZ60" s="126"/>
      <c r="HVA60" s="127"/>
      <c r="HVB60" s="121"/>
      <c r="HVC60" s="5"/>
      <c r="HVD60" s="5"/>
      <c r="HVE60" s="124"/>
      <c r="HVF60" s="121"/>
      <c r="HVG60" s="125"/>
      <c r="HVH60" s="5"/>
      <c r="HVI60" s="117"/>
      <c r="HVJ60" s="4"/>
      <c r="HVK60" s="126"/>
      <c r="HVL60" s="127"/>
      <c r="HVM60" s="121"/>
      <c r="HVN60" s="5"/>
      <c r="HVO60" s="5"/>
      <c r="HVP60" s="124"/>
      <c r="HVQ60" s="121"/>
      <c r="HVR60" s="125"/>
      <c r="HVS60" s="5"/>
      <c r="HVT60" s="117"/>
      <c r="HVU60" s="4"/>
      <c r="HVV60" s="126"/>
      <c r="HVW60" s="127"/>
      <c r="HVX60" s="121"/>
      <c r="HVY60" s="5"/>
      <c r="HVZ60" s="5"/>
      <c r="HWA60" s="124"/>
      <c r="HWB60" s="121"/>
      <c r="HWC60" s="125"/>
      <c r="HWD60" s="5"/>
      <c r="HWE60" s="117"/>
      <c r="HWF60" s="4"/>
      <c r="HWG60" s="126"/>
      <c r="HWH60" s="127"/>
      <c r="HWI60" s="121"/>
      <c r="HWJ60" s="5"/>
      <c r="HWK60" s="5"/>
      <c r="HWL60" s="124"/>
      <c r="HWM60" s="121"/>
      <c r="HWN60" s="125"/>
      <c r="HWO60" s="5"/>
      <c r="HWP60" s="117"/>
      <c r="HWQ60" s="4"/>
      <c r="HWR60" s="126"/>
      <c r="HWS60" s="127"/>
      <c r="HWT60" s="121"/>
      <c r="HWU60" s="5"/>
      <c r="HWV60" s="5"/>
      <c r="HWW60" s="124"/>
      <c r="HWX60" s="121"/>
      <c r="HWY60" s="125"/>
      <c r="HWZ60" s="5"/>
      <c r="HXA60" s="117"/>
      <c r="HXB60" s="4"/>
      <c r="HXC60" s="126"/>
      <c r="HXD60" s="127"/>
      <c r="HXE60" s="121"/>
      <c r="HXF60" s="5"/>
      <c r="HXG60" s="5"/>
      <c r="HXH60" s="124"/>
      <c r="HXI60" s="121"/>
      <c r="HXJ60" s="125"/>
      <c r="HXK60" s="5"/>
      <c r="HXL60" s="117"/>
      <c r="HXM60" s="4"/>
      <c r="HXN60" s="126"/>
      <c r="HXO60" s="127"/>
      <c r="HXP60" s="121"/>
      <c r="HXQ60" s="5"/>
      <c r="HXR60" s="5"/>
      <c r="HXS60" s="124"/>
      <c r="HXT60" s="121"/>
      <c r="HXU60" s="125"/>
      <c r="HXV60" s="5"/>
      <c r="HXW60" s="117"/>
      <c r="HXX60" s="4"/>
      <c r="HXY60" s="126"/>
      <c r="HXZ60" s="127"/>
      <c r="HYA60" s="121"/>
      <c r="HYB60" s="5"/>
      <c r="HYC60" s="5"/>
      <c r="HYD60" s="124"/>
      <c r="HYE60" s="121"/>
      <c r="HYF60" s="125"/>
      <c r="HYG60" s="5"/>
      <c r="HYH60" s="117"/>
      <c r="HYI60" s="4"/>
      <c r="HYJ60" s="126"/>
      <c r="HYK60" s="127"/>
      <c r="HYL60" s="121"/>
      <c r="HYM60" s="5"/>
      <c r="HYN60" s="5"/>
      <c r="HYO60" s="124"/>
      <c r="HYP60" s="121"/>
      <c r="HYQ60" s="125"/>
      <c r="HYR60" s="5"/>
      <c r="HYS60" s="117"/>
      <c r="HYT60" s="4"/>
      <c r="HYU60" s="126"/>
      <c r="HYV60" s="127"/>
      <c r="HYW60" s="121"/>
      <c r="HYX60" s="5"/>
      <c r="HYY60" s="5"/>
      <c r="HYZ60" s="124"/>
      <c r="HZA60" s="121"/>
      <c r="HZB60" s="125"/>
      <c r="HZC60" s="5"/>
      <c r="HZD60" s="117"/>
      <c r="HZE60" s="4"/>
      <c r="HZF60" s="126"/>
      <c r="HZG60" s="127"/>
      <c r="HZH60" s="121"/>
      <c r="HZI60" s="5"/>
      <c r="HZJ60" s="5"/>
      <c r="HZK60" s="124"/>
      <c r="HZL60" s="121"/>
      <c r="HZM60" s="125"/>
      <c r="HZN60" s="5"/>
      <c r="HZO60" s="117"/>
      <c r="HZP60" s="4"/>
      <c r="HZQ60" s="126"/>
      <c r="HZR60" s="127"/>
      <c r="HZS60" s="121"/>
      <c r="HZT60" s="5"/>
      <c r="HZU60" s="5"/>
      <c r="HZV60" s="124"/>
      <c r="HZW60" s="121"/>
      <c r="HZX60" s="125"/>
      <c r="HZY60" s="5"/>
      <c r="HZZ60" s="117"/>
      <c r="IAA60" s="4"/>
      <c r="IAB60" s="126"/>
      <c r="IAC60" s="127"/>
      <c r="IAD60" s="121"/>
      <c r="IAE60" s="5"/>
      <c r="IAF60" s="5"/>
      <c r="IAG60" s="124"/>
      <c r="IAH60" s="121"/>
      <c r="IAI60" s="125"/>
      <c r="IAJ60" s="5"/>
      <c r="IAK60" s="117"/>
      <c r="IAL60" s="4"/>
      <c r="IAM60" s="126"/>
      <c r="IAN60" s="127"/>
      <c r="IAO60" s="121"/>
      <c r="IAP60" s="5"/>
      <c r="IAQ60" s="5"/>
      <c r="IAR60" s="124"/>
      <c r="IAS60" s="121"/>
      <c r="IAT60" s="125"/>
      <c r="IAU60" s="5"/>
      <c r="IAV60" s="117"/>
      <c r="IAW60" s="4"/>
      <c r="IAX60" s="126"/>
      <c r="IAY60" s="127"/>
      <c r="IAZ60" s="121"/>
      <c r="IBA60" s="5"/>
      <c r="IBB60" s="5"/>
      <c r="IBC60" s="124"/>
      <c r="IBD60" s="121"/>
      <c r="IBE60" s="125"/>
      <c r="IBF60" s="5"/>
      <c r="IBG60" s="117"/>
      <c r="IBH60" s="4"/>
      <c r="IBI60" s="126"/>
      <c r="IBJ60" s="127"/>
      <c r="IBK60" s="121"/>
      <c r="IBL60" s="5"/>
      <c r="IBM60" s="5"/>
      <c r="IBN60" s="124"/>
      <c r="IBO60" s="121"/>
      <c r="IBP60" s="125"/>
      <c r="IBQ60" s="5"/>
      <c r="IBR60" s="117"/>
      <c r="IBS60" s="4"/>
      <c r="IBT60" s="126"/>
      <c r="IBU60" s="127"/>
      <c r="IBV60" s="121"/>
      <c r="IBW60" s="5"/>
      <c r="IBX60" s="5"/>
      <c r="IBY60" s="124"/>
      <c r="IBZ60" s="121"/>
      <c r="ICA60" s="125"/>
      <c r="ICB60" s="5"/>
      <c r="ICC60" s="117"/>
      <c r="ICD60" s="4"/>
      <c r="ICE60" s="126"/>
      <c r="ICF60" s="127"/>
      <c r="ICG60" s="121"/>
      <c r="ICH60" s="5"/>
      <c r="ICI60" s="5"/>
      <c r="ICJ60" s="124"/>
      <c r="ICK60" s="121"/>
      <c r="ICL60" s="125"/>
      <c r="ICM60" s="5"/>
      <c r="ICN60" s="117"/>
      <c r="ICO60" s="4"/>
      <c r="ICP60" s="126"/>
      <c r="ICQ60" s="127"/>
      <c r="ICR60" s="121"/>
      <c r="ICS60" s="5"/>
      <c r="ICT60" s="5"/>
      <c r="ICU60" s="124"/>
      <c r="ICV60" s="121"/>
      <c r="ICW60" s="125"/>
      <c r="ICX60" s="5"/>
      <c r="ICY60" s="117"/>
      <c r="ICZ60" s="4"/>
      <c r="IDA60" s="126"/>
      <c r="IDB60" s="127"/>
      <c r="IDC60" s="121"/>
      <c r="IDD60" s="5"/>
      <c r="IDE60" s="5"/>
      <c r="IDF60" s="124"/>
      <c r="IDG60" s="121"/>
      <c r="IDH60" s="125"/>
      <c r="IDI60" s="5"/>
      <c r="IDJ60" s="117"/>
      <c r="IDK60" s="4"/>
      <c r="IDL60" s="126"/>
      <c r="IDM60" s="127"/>
      <c r="IDN60" s="121"/>
      <c r="IDO60" s="5"/>
      <c r="IDP60" s="5"/>
      <c r="IDQ60" s="124"/>
      <c r="IDR60" s="121"/>
      <c r="IDS60" s="125"/>
      <c r="IDT60" s="5"/>
      <c r="IDU60" s="117"/>
      <c r="IDV60" s="4"/>
      <c r="IDW60" s="126"/>
      <c r="IDX60" s="127"/>
      <c r="IDY60" s="121"/>
      <c r="IDZ60" s="5"/>
      <c r="IEA60" s="5"/>
      <c r="IEB60" s="124"/>
      <c r="IEC60" s="121"/>
      <c r="IED60" s="125"/>
      <c r="IEE60" s="5"/>
      <c r="IEF60" s="117"/>
      <c r="IEG60" s="4"/>
      <c r="IEH60" s="126"/>
      <c r="IEI60" s="127"/>
      <c r="IEJ60" s="121"/>
      <c r="IEK60" s="5"/>
      <c r="IEL60" s="5"/>
      <c r="IEM60" s="124"/>
      <c r="IEN60" s="121"/>
      <c r="IEO60" s="125"/>
      <c r="IEP60" s="5"/>
      <c r="IEQ60" s="117"/>
      <c r="IER60" s="4"/>
      <c r="IES60" s="126"/>
      <c r="IET60" s="127"/>
      <c r="IEU60" s="121"/>
      <c r="IEV60" s="5"/>
      <c r="IEW60" s="5"/>
      <c r="IEX60" s="124"/>
      <c r="IEY60" s="121"/>
      <c r="IEZ60" s="125"/>
      <c r="IFA60" s="5"/>
      <c r="IFB60" s="117"/>
      <c r="IFC60" s="4"/>
      <c r="IFD60" s="126"/>
      <c r="IFE60" s="127"/>
      <c r="IFF60" s="121"/>
      <c r="IFG60" s="5"/>
      <c r="IFH60" s="5"/>
      <c r="IFI60" s="124"/>
      <c r="IFJ60" s="121"/>
      <c r="IFK60" s="125"/>
      <c r="IFL60" s="5"/>
      <c r="IFM60" s="117"/>
      <c r="IFN60" s="4"/>
      <c r="IFO60" s="126"/>
      <c r="IFP60" s="127"/>
      <c r="IFQ60" s="121"/>
      <c r="IFR60" s="5"/>
      <c r="IFS60" s="5"/>
      <c r="IFT60" s="124"/>
      <c r="IFU60" s="121"/>
      <c r="IFV60" s="125"/>
      <c r="IFW60" s="5"/>
      <c r="IFX60" s="117"/>
      <c r="IFY60" s="4"/>
      <c r="IFZ60" s="126"/>
      <c r="IGA60" s="127"/>
      <c r="IGB60" s="121"/>
      <c r="IGC60" s="5"/>
      <c r="IGD60" s="5"/>
      <c r="IGE60" s="124"/>
      <c r="IGF60" s="121"/>
      <c r="IGG60" s="125"/>
      <c r="IGH60" s="5"/>
      <c r="IGI60" s="117"/>
      <c r="IGJ60" s="4"/>
      <c r="IGK60" s="126"/>
      <c r="IGL60" s="127"/>
      <c r="IGM60" s="121"/>
      <c r="IGN60" s="5"/>
      <c r="IGO60" s="5"/>
      <c r="IGP60" s="124"/>
      <c r="IGQ60" s="121"/>
      <c r="IGR60" s="125"/>
      <c r="IGS60" s="5"/>
      <c r="IGT60" s="117"/>
      <c r="IGU60" s="4"/>
      <c r="IGV60" s="126"/>
      <c r="IGW60" s="127"/>
      <c r="IGX60" s="121"/>
      <c r="IGY60" s="5"/>
      <c r="IGZ60" s="5"/>
      <c r="IHA60" s="124"/>
      <c r="IHB60" s="121"/>
      <c r="IHC60" s="125"/>
      <c r="IHD60" s="5"/>
      <c r="IHE60" s="117"/>
      <c r="IHF60" s="4"/>
      <c r="IHG60" s="126"/>
      <c r="IHH60" s="127"/>
      <c r="IHI60" s="121"/>
      <c r="IHJ60" s="5"/>
      <c r="IHK60" s="5"/>
      <c r="IHL60" s="124"/>
      <c r="IHM60" s="121"/>
      <c r="IHN60" s="125"/>
      <c r="IHO60" s="5"/>
      <c r="IHP60" s="117"/>
      <c r="IHQ60" s="4"/>
      <c r="IHR60" s="126"/>
      <c r="IHS60" s="127"/>
      <c r="IHT60" s="121"/>
      <c r="IHU60" s="5"/>
      <c r="IHV60" s="5"/>
      <c r="IHW60" s="124"/>
      <c r="IHX60" s="121"/>
      <c r="IHY60" s="125"/>
      <c r="IHZ60" s="5"/>
      <c r="IIA60" s="117"/>
      <c r="IIB60" s="4"/>
      <c r="IIC60" s="126"/>
      <c r="IID60" s="127"/>
      <c r="IIE60" s="121"/>
      <c r="IIF60" s="5"/>
      <c r="IIG60" s="5"/>
      <c r="IIH60" s="124"/>
      <c r="III60" s="121"/>
      <c r="IIJ60" s="125"/>
      <c r="IIK60" s="5"/>
      <c r="IIL60" s="117"/>
      <c r="IIM60" s="4"/>
      <c r="IIN60" s="126"/>
      <c r="IIO60" s="127"/>
      <c r="IIP60" s="121"/>
      <c r="IIQ60" s="5"/>
      <c r="IIR60" s="5"/>
      <c r="IIS60" s="124"/>
      <c r="IIT60" s="121"/>
      <c r="IIU60" s="125"/>
      <c r="IIV60" s="5"/>
      <c r="IIW60" s="117"/>
      <c r="IIX60" s="4"/>
      <c r="IIY60" s="126"/>
      <c r="IIZ60" s="127"/>
      <c r="IJA60" s="121"/>
      <c r="IJB60" s="5"/>
      <c r="IJC60" s="5"/>
      <c r="IJD60" s="124"/>
      <c r="IJE60" s="121"/>
      <c r="IJF60" s="125"/>
      <c r="IJG60" s="5"/>
      <c r="IJH60" s="117"/>
      <c r="IJI60" s="4"/>
      <c r="IJJ60" s="126"/>
      <c r="IJK60" s="127"/>
      <c r="IJL60" s="121"/>
      <c r="IJM60" s="5"/>
      <c r="IJN60" s="5"/>
      <c r="IJO60" s="124"/>
      <c r="IJP60" s="121"/>
      <c r="IJQ60" s="125"/>
      <c r="IJR60" s="5"/>
      <c r="IJS60" s="117"/>
      <c r="IJT60" s="4"/>
      <c r="IJU60" s="126"/>
      <c r="IJV60" s="127"/>
      <c r="IJW60" s="121"/>
      <c r="IJX60" s="5"/>
      <c r="IJY60" s="5"/>
      <c r="IJZ60" s="124"/>
      <c r="IKA60" s="121"/>
      <c r="IKB60" s="125"/>
      <c r="IKC60" s="5"/>
      <c r="IKD60" s="117"/>
      <c r="IKE60" s="4"/>
      <c r="IKF60" s="126"/>
      <c r="IKG60" s="127"/>
      <c r="IKH60" s="121"/>
      <c r="IKI60" s="5"/>
      <c r="IKJ60" s="5"/>
      <c r="IKK60" s="124"/>
      <c r="IKL60" s="121"/>
      <c r="IKM60" s="125"/>
      <c r="IKN60" s="5"/>
      <c r="IKO60" s="117"/>
      <c r="IKP60" s="4"/>
      <c r="IKQ60" s="126"/>
      <c r="IKR60" s="127"/>
      <c r="IKS60" s="121"/>
      <c r="IKT60" s="5"/>
      <c r="IKU60" s="5"/>
      <c r="IKV60" s="124"/>
      <c r="IKW60" s="121"/>
      <c r="IKX60" s="125"/>
      <c r="IKY60" s="5"/>
      <c r="IKZ60" s="117"/>
      <c r="ILA60" s="4"/>
      <c r="ILB60" s="126"/>
      <c r="ILC60" s="127"/>
      <c r="ILD60" s="121"/>
      <c r="ILE60" s="5"/>
      <c r="ILF60" s="5"/>
      <c r="ILG60" s="124"/>
      <c r="ILH60" s="121"/>
      <c r="ILI60" s="125"/>
      <c r="ILJ60" s="5"/>
      <c r="ILK60" s="117"/>
      <c r="ILL60" s="4"/>
      <c r="ILM60" s="126"/>
      <c r="ILN60" s="127"/>
      <c r="ILO60" s="121"/>
      <c r="ILP60" s="5"/>
      <c r="ILQ60" s="5"/>
      <c r="ILR60" s="124"/>
      <c r="ILS60" s="121"/>
      <c r="ILT60" s="125"/>
      <c r="ILU60" s="5"/>
      <c r="ILV60" s="117"/>
      <c r="ILW60" s="4"/>
      <c r="ILX60" s="126"/>
      <c r="ILY60" s="127"/>
      <c r="ILZ60" s="121"/>
      <c r="IMA60" s="5"/>
      <c r="IMB60" s="5"/>
      <c r="IMC60" s="124"/>
      <c r="IMD60" s="121"/>
      <c r="IME60" s="125"/>
      <c r="IMF60" s="5"/>
      <c r="IMG60" s="117"/>
      <c r="IMH60" s="4"/>
      <c r="IMI60" s="126"/>
      <c r="IMJ60" s="127"/>
      <c r="IMK60" s="121"/>
      <c r="IML60" s="5"/>
      <c r="IMM60" s="5"/>
      <c r="IMN60" s="124"/>
      <c r="IMO60" s="121"/>
      <c r="IMP60" s="125"/>
      <c r="IMQ60" s="5"/>
      <c r="IMR60" s="117"/>
      <c r="IMS60" s="4"/>
      <c r="IMT60" s="126"/>
      <c r="IMU60" s="127"/>
      <c r="IMV60" s="121"/>
      <c r="IMW60" s="5"/>
      <c r="IMX60" s="5"/>
      <c r="IMY60" s="124"/>
      <c r="IMZ60" s="121"/>
      <c r="INA60" s="125"/>
      <c r="INB60" s="5"/>
      <c r="INC60" s="117"/>
      <c r="IND60" s="4"/>
      <c r="INE60" s="126"/>
      <c r="INF60" s="127"/>
      <c r="ING60" s="121"/>
      <c r="INH60" s="5"/>
      <c r="INI60" s="5"/>
      <c r="INJ60" s="124"/>
      <c r="INK60" s="121"/>
      <c r="INL60" s="125"/>
      <c r="INM60" s="5"/>
      <c r="INN60" s="117"/>
      <c r="INO60" s="4"/>
      <c r="INP60" s="126"/>
      <c r="INQ60" s="127"/>
      <c r="INR60" s="121"/>
      <c r="INS60" s="5"/>
      <c r="INT60" s="5"/>
      <c r="INU60" s="124"/>
      <c r="INV60" s="121"/>
      <c r="INW60" s="125"/>
      <c r="INX60" s="5"/>
      <c r="INY60" s="117"/>
      <c r="INZ60" s="4"/>
      <c r="IOA60" s="126"/>
      <c r="IOB60" s="127"/>
      <c r="IOC60" s="121"/>
      <c r="IOD60" s="5"/>
      <c r="IOE60" s="5"/>
      <c r="IOF60" s="124"/>
      <c r="IOG60" s="121"/>
      <c r="IOH60" s="125"/>
      <c r="IOI60" s="5"/>
      <c r="IOJ60" s="117"/>
      <c r="IOK60" s="4"/>
      <c r="IOL60" s="126"/>
      <c r="IOM60" s="127"/>
      <c r="ION60" s="121"/>
      <c r="IOO60" s="5"/>
      <c r="IOP60" s="5"/>
      <c r="IOQ60" s="124"/>
      <c r="IOR60" s="121"/>
      <c r="IOS60" s="125"/>
      <c r="IOT60" s="5"/>
      <c r="IOU60" s="117"/>
      <c r="IOV60" s="4"/>
      <c r="IOW60" s="126"/>
      <c r="IOX60" s="127"/>
      <c r="IOY60" s="121"/>
      <c r="IOZ60" s="5"/>
      <c r="IPA60" s="5"/>
      <c r="IPB60" s="124"/>
      <c r="IPC60" s="121"/>
      <c r="IPD60" s="125"/>
      <c r="IPE60" s="5"/>
      <c r="IPF60" s="117"/>
      <c r="IPG60" s="4"/>
      <c r="IPH60" s="126"/>
      <c r="IPI60" s="127"/>
      <c r="IPJ60" s="121"/>
      <c r="IPK60" s="5"/>
      <c r="IPL60" s="5"/>
      <c r="IPM60" s="124"/>
      <c r="IPN60" s="121"/>
      <c r="IPO60" s="125"/>
      <c r="IPP60" s="5"/>
      <c r="IPQ60" s="117"/>
      <c r="IPR60" s="4"/>
      <c r="IPS60" s="126"/>
      <c r="IPT60" s="127"/>
      <c r="IPU60" s="121"/>
      <c r="IPV60" s="5"/>
      <c r="IPW60" s="5"/>
      <c r="IPX60" s="124"/>
      <c r="IPY60" s="121"/>
      <c r="IPZ60" s="125"/>
      <c r="IQA60" s="5"/>
      <c r="IQB60" s="117"/>
      <c r="IQC60" s="4"/>
      <c r="IQD60" s="126"/>
      <c r="IQE60" s="127"/>
      <c r="IQF60" s="121"/>
      <c r="IQG60" s="5"/>
      <c r="IQH60" s="5"/>
      <c r="IQI60" s="124"/>
      <c r="IQJ60" s="121"/>
      <c r="IQK60" s="125"/>
      <c r="IQL60" s="5"/>
      <c r="IQM60" s="117"/>
      <c r="IQN60" s="4"/>
      <c r="IQO60" s="126"/>
      <c r="IQP60" s="127"/>
      <c r="IQQ60" s="121"/>
      <c r="IQR60" s="5"/>
      <c r="IQS60" s="5"/>
      <c r="IQT60" s="124"/>
      <c r="IQU60" s="121"/>
      <c r="IQV60" s="125"/>
      <c r="IQW60" s="5"/>
      <c r="IQX60" s="117"/>
      <c r="IQY60" s="4"/>
      <c r="IQZ60" s="126"/>
      <c r="IRA60" s="127"/>
      <c r="IRB60" s="121"/>
      <c r="IRC60" s="5"/>
      <c r="IRD60" s="5"/>
      <c r="IRE60" s="124"/>
      <c r="IRF60" s="121"/>
      <c r="IRG60" s="125"/>
      <c r="IRH60" s="5"/>
      <c r="IRI60" s="117"/>
      <c r="IRJ60" s="4"/>
      <c r="IRK60" s="126"/>
      <c r="IRL60" s="127"/>
      <c r="IRM60" s="121"/>
      <c r="IRN60" s="5"/>
      <c r="IRO60" s="5"/>
      <c r="IRP60" s="124"/>
      <c r="IRQ60" s="121"/>
      <c r="IRR60" s="125"/>
      <c r="IRS60" s="5"/>
      <c r="IRT60" s="117"/>
      <c r="IRU60" s="4"/>
      <c r="IRV60" s="126"/>
      <c r="IRW60" s="127"/>
      <c r="IRX60" s="121"/>
      <c r="IRY60" s="5"/>
      <c r="IRZ60" s="5"/>
      <c r="ISA60" s="124"/>
      <c r="ISB60" s="121"/>
      <c r="ISC60" s="125"/>
      <c r="ISD60" s="5"/>
      <c r="ISE60" s="117"/>
      <c r="ISF60" s="4"/>
      <c r="ISG60" s="126"/>
      <c r="ISH60" s="127"/>
      <c r="ISI60" s="121"/>
      <c r="ISJ60" s="5"/>
      <c r="ISK60" s="5"/>
      <c r="ISL60" s="124"/>
      <c r="ISM60" s="121"/>
      <c r="ISN60" s="125"/>
      <c r="ISO60" s="5"/>
      <c r="ISP60" s="117"/>
      <c r="ISQ60" s="4"/>
      <c r="ISR60" s="126"/>
      <c r="ISS60" s="127"/>
      <c r="IST60" s="121"/>
      <c r="ISU60" s="5"/>
      <c r="ISV60" s="5"/>
      <c r="ISW60" s="124"/>
      <c r="ISX60" s="121"/>
      <c r="ISY60" s="125"/>
      <c r="ISZ60" s="5"/>
      <c r="ITA60" s="117"/>
      <c r="ITB60" s="4"/>
      <c r="ITC60" s="126"/>
      <c r="ITD60" s="127"/>
      <c r="ITE60" s="121"/>
      <c r="ITF60" s="5"/>
      <c r="ITG60" s="5"/>
      <c r="ITH60" s="124"/>
      <c r="ITI60" s="121"/>
      <c r="ITJ60" s="125"/>
      <c r="ITK60" s="5"/>
      <c r="ITL60" s="117"/>
      <c r="ITM60" s="4"/>
      <c r="ITN60" s="126"/>
      <c r="ITO60" s="127"/>
      <c r="ITP60" s="121"/>
      <c r="ITQ60" s="5"/>
      <c r="ITR60" s="5"/>
      <c r="ITS60" s="124"/>
      <c r="ITT60" s="121"/>
      <c r="ITU60" s="125"/>
      <c r="ITV60" s="5"/>
      <c r="ITW60" s="117"/>
      <c r="ITX60" s="4"/>
      <c r="ITY60" s="126"/>
      <c r="ITZ60" s="127"/>
      <c r="IUA60" s="121"/>
      <c r="IUB60" s="5"/>
      <c r="IUC60" s="5"/>
      <c r="IUD60" s="124"/>
      <c r="IUE60" s="121"/>
      <c r="IUF60" s="125"/>
      <c r="IUG60" s="5"/>
      <c r="IUH60" s="117"/>
      <c r="IUI60" s="4"/>
      <c r="IUJ60" s="126"/>
      <c r="IUK60" s="127"/>
      <c r="IUL60" s="121"/>
      <c r="IUM60" s="5"/>
      <c r="IUN60" s="5"/>
      <c r="IUO60" s="124"/>
      <c r="IUP60" s="121"/>
      <c r="IUQ60" s="125"/>
      <c r="IUR60" s="5"/>
      <c r="IUS60" s="117"/>
      <c r="IUT60" s="4"/>
      <c r="IUU60" s="126"/>
      <c r="IUV60" s="127"/>
      <c r="IUW60" s="121"/>
      <c r="IUX60" s="5"/>
      <c r="IUY60" s="5"/>
      <c r="IUZ60" s="124"/>
      <c r="IVA60" s="121"/>
      <c r="IVB60" s="125"/>
      <c r="IVC60" s="5"/>
      <c r="IVD60" s="117"/>
      <c r="IVE60" s="4"/>
      <c r="IVF60" s="126"/>
      <c r="IVG60" s="127"/>
      <c r="IVH60" s="121"/>
      <c r="IVI60" s="5"/>
      <c r="IVJ60" s="5"/>
      <c r="IVK60" s="124"/>
      <c r="IVL60" s="121"/>
      <c r="IVM60" s="125"/>
      <c r="IVN60" s="5"/>
      <c r="IVO60" s="117"/>
      <c r="IVP60" s="4"/>
      <c r="IVQ60" s="126"/>
      <c r="IVR60" s="127"/>
      <c r="IVS60" s="121"/>
      <c r="IVT60" s="5"/>
      <c r="IVU60" s="5"/>
      <c r="IVV60" s="124"/>
      <c r="IVW60" s="121"/>
      <c r="IVX60" s="125"/>
      <c r="IVY60" s="5"/>
      <c r="IVZ60" s="117"/>
      <c r="IWA60" s="4"/>
      <c r="IWB60" s="126"/>
      <c r="IWC60" s="127"/>
      <c r="IWD60" s="121"/>
      <c r="IWE60" s="5"/>
      <c r="IWF60" s="5"/>
      <c r="IWG60" s="124"/>
      <c r="IWH60" s="121"/>
      <c r="IWI60" s="125"/>
      <c r="IWJ60" s="5"/>
      <c r="IWK60" s="117"/>
      <c r="IWL60" s="4"/>
      <c r="IWM60" s="126"/>
      <c r="IWN60" s="127"/>
      <c r="IWO60" s="121"/>
      <c r="IWP60" s="5"/>
      <c r="IWQ60" s="5"/>
      <c r="IWR60" s="124"/>
      <c r="IWS60" s="121"/>
      <c r="IWT60" s="125"/>
      <c r="IWU60" s="5"/>
      <c r="IWV60" s="117"/>
      <c r="IWW60" s="4"/>
      <c r="IWX60" s="126"/>
      <c r="IWY60" s="127"/>
      <c r="IWZ60" s="121"/>
      <c r="IXA60" s="5"/>
      <c r="IXB60" s="5"/>
      <c r="IXC60" s="124"/>
      <c r="IXD60" s="121"/>
      <c r="IXE60" s="125"/>
      <c r="IXF60" s="5"/>
      <c r="IXG60" s="117"/>
      <c r="IXH60" s="4"/>
      <c r="IXI60" s="126"/>
      <c r="IXJ60" s="127"/>
      <c r="IXK60" s="121"/>
      <c r="IXL60" s="5"/>
      <c r="IXM60" s="5"/>
      <c r="IXN60" s="124"/>
      <c r="IXO60" s="121"/>
      <c r="IXP60" s="125"/>
      <c r="IXQ60" s="5"/>
      <c r="IXR60" s="117"/>
      <c r="IXS60" s="4"/>
      <c r="IXT60" s="126"/>
      <c r="IXU60" s="127"/>
      <c r="IXV60" s="121"/>
      <c r="IXW60" s="5"/>
      <c r="IXX60" s="5"/>
      <c r="IXY60" s="124"/>
      <c r="IXZ60" s="121"/>
      <c r="IYA60" s="125"/>
      <c r="IYB60" s="5"/>
      <c r="IYC60" s="117"/>
      <c r="IYD60" s="4"/>
      <c r="IYE60" s="126"/>
      <c r="IYF60" s="127"/>
      <c r="IYG60" s="121"/>
      <c r="IYH60" s="5"/>
      <c r="IYI60" s="5"/>
      <c r="IYJ60" s="124"/>
      <c r="IYK60" s="121"/>
      <c r="IYL60" s="125"/>
      <c r="IYM60" s="5"/>
      <c r="IYN60" s="117"/>
      <c r="IYO60" s="4"/>
      <c r="IYP60" s="126"/>
      <c r="IYQ60" s="127"/>
      <c r="IYR60" s="121"/>
      <c r="IYS60" s="5"/>
      <c r="IYT60" s="5"/>
      <c r="IYU60" s="124"/>
      <c r="IYV60" s="121"/>
      <c r="IYW60" s="125"/>
      <c r="IYX60" s="5"/>
      <c r="IYY60" s="117"/>
      <c r="IYZ60" s="4"/>
      <c r="IZA60" s="126"/>
      <c r="IZB60" s="127"/>
      <c r="IZC60" s="121"/>
      <c r="IZD60" s="5"/>
      <c r="IZE60" s="5"/>
      <c r="IZF60" s="124"/>
      <c r="IZG60" s="121"/>
      <c r="IZH60" s="125"/>
      <c r="IZI60" s="5"/>
      <c r="IZJ60" s="117"/>
      <c r="IZK60" s="4"/>
      <c r="IZL60" s="126"/>
      <c r="IZM60" s="127"/>
      <c r="IZN60" s="121"/>
      <c r="IZO60" s="5"/>
      <c r="IZP60" s="5"/>
      <c r="IZQ60" s="124"/>
      <c r="IZR60" s="121"/>
      <c r="IZS60" s="125"/>
      <c r="IZT60" s="5"/>
      <c r="IZU60" s="117"/>
      <c r="IZV60" s="4"/>
      <c r="IZW60" s="126"/>
      <c r="IZX60" s="127"/>
      <c r="IZY60" s="121"/>
      <c r="IZZ60" s="5"/>
      <c r="JAA60" s="5"/>
      <c r="JAB60" s="124"/>
      <c r="JAC60" s="121"/>
      <c r="JAD60" s="125"/>
      <c r="JAE60" s="5"/>
      <c r="JAF60" s="117"/>
      <c r="JAG60" s="4"/>
      <c r="JAH60" s="126"/>
      <c r="JAI60" s="127"/>
      <c r="JAJ60" s="121"/>
      <c r="JAK60" s="5"/>
      <c r="JAL60" s="5"/>
      <c r="JAM60" s="124"/>
      <c r="JAN60" s="121"/>
      <c r="JAO60" s="125"/>
      <c r="JAP60" s="5"/>
      <c r="JAQ60" s="117"/>
      <c r="JAR60" s="4"/>
      <c r="JAS60" s="126"/>
      <c r="JAT60" s="127"/>
      <c r="JAU60" s="121"/>
      <c r="JAV60" s="5"/>
      <c r="JAW60" s="5"/>
      <c r="JAX60" s="124"/>
      <c r="JAY60" s="121"/>
      <c r="JAZ60" s="125"/>
      <c r="JBA60" s="5"/>
      <c r="JBB60" s="117"/>
      <c r="JBC60" s="4"/>
      <c r="JBD60" s="126"/>
      <c r="JBE60" s="127"/>
      <c r="JBF60" s="121"/>
      <c r="JBG60" s="5"/>
      <c r="JBH60" s="5"/>
      <c r="JBI60" s="124"/>
      <c r="JBJ60" s="121"/>
      <c r="JBK60" s="125"/>
      <c r="JBL60" s="5"/>
      <c r="JBM60" s="117"/>
      <c r="JBN60" s="4"/>
      <c r="JBO60" s="126"/>
      <c r="JBP60" s="127"/>
      <c r="JBQ60" s="121"/>
      <c r="JBR60" s="5"/>
      <c r="JBS60" s="5"/>
      <c r="JBT60" s="124"/>
      <c r="JBU60" s="121"/>
      <c r="JBV60" s="125"/>
      <c r="JBW60" s="5"/>
      <c r="JBX60" s="117"/>
      <c r="JBY60" s="4"/>
      <c r="JBZ60" s="126"/>
      <c r="JCA60" s="127"/>
      <c r="JCB60" s="121"/>
      <c r="JCC60" s="5"/>
      <c r="JCD60" s="5"/>
      <c r="JCE60" s="124"/>
      <c r="JCF60" s="121"/>
      <c r="JCG60" s="125"/>
      <c r="JCH60" s="5"/>
      <c r="JCI60" s="117"/>
      <c r="JCJ60" s="4"/>
      <c r="JCK60" s="126"/>
      <c r="JCL60" s="127"/>
      <c r="JCM60" s="121"/>
      <c r="JCN60" s="5"/>
      <c r="JCO60" s="5"/>
      <c r="JCP60" s="124"/>
      <c r="JCQ60" s="121"/>
      <c r="JCR60" s="125"/>
      <c r="JCS60" s="5"/>
      <c r="JCT60" s="117"/>
      <c r="JCU60" s="4"/>
      <c r="JCV60" s="126"/>
      <c r="JCW60" s="127"/>
      <c r="JCX60" s="121"/>
      <c r="JCY60" s="5"/>
      <c r="JCZ60" s="5"/>
      <c r="JDA60" s="124"/>
      <c r="JDB60" s="121"/>
      <c r="JDC60" s="125"/>
      <c r="JDD60" s="5"/>
      <c r="JDE60" s="117"/>
      <c r="JDF60" s="4"/>
      <c r="JDG60" s="126"/>
      <c r="JDH60" s="127"/>
      <c r="JDI60" s="121"/>
      <c r="JDJ60" s="5"/>
      <c r="JDK60" s="5"/>
      <c r="JDL60" s="124"/>
      <c r="JDM60" s="121"/>
      <c r="JDN60" s="125"/>
      <c r="JDO60" s="5"/>
      <c r="JDP60" s="117"/>
      <c r="JDQ60" s="4"/>
      <c r="JDR60" s="126"/>
      <c r="JDS60" s="127"/>
      <c r="JDT60" s="121"/>
      <c r="JDU60" s="5"/>
      <c r="JDV60" s="5"/>
      <c r="JDW60" s="124"/>
      <c r="JDX60" s="121"/>
      <c r="JDY60" s="125"/>
      <c r="JDZ60" s="5"/>
      <c r="JEA60" s="117"/>
      <c r="JEB60" s="4"/>
      <c r="JEC60" s="126"/>
      <c r="JED60" s="127"/>
      <c r="JEE60" s="121"/>
      <c r="JEF60" s="5"/>
      <c r="JEG60" s="5"/>
      <c r="JEH60" s="124"/>
      <c r="JEI60" s="121"/>
      <c r="JEJ60" s="125"/>
      <c r="JEK60" s="5"/>
      <c r="JEL60" s="117"/>
      <c r="JEM60" s="4"/>
      <c r="JEN60" s="126"/>
      <c r="JEO60" s="127"/>
      <c r="JEP60" s="121"/>
      <c r="JEQ60" s="5"/>
      <c r="JER60" s="5"/>
      <c r="JES60" s="124"/>
      <c r="JET60" s="121"/>
      <c r="JEU60" s="125"/>
      <c r="JEV60" s="5"/>
      <c r="JEW60" s="117"/>
      <c r="JEX60" s="4"/>
      <c r="JEY60" s="126"/>
      <c r="JEZ60" s="127"/>
      <c r="JFA60" s="121"/>
      <c r="JFB60" s="5"/>
      <c r="JFC60" s="5"/>
      <c r="JFD60" s="124"/>
      <c r="JFE60" s="121"/>
      <c r="JFF60" s="125"/>
      <c r="JFG60" s="5"/>
      <c r="JFH60" s="117"/>
      <c r="JFI60" s="4"/>
      <c r="JFJ60" s="126"/>
      <c r="JFK60" s="127"/>
      <c r="JFL60" s="121"/>
      <c r="JFM60" s="5"/>
      <c r="JFN60" s="5"/>
      <c r="JFO60" s="124"/>
      <c r="JFP60" s="121"/>
      <c r="JFQ60" s="125"/>
      <c r="JFR60" s="5"/>
      <c r="JFS60" s="117"/>
      <c r="JFT60" s="4"/>
      <c r="JFU60" s="126"/>
      <c r="JFV60" s="127"/>
      <c r="JFW60" s="121"/>
      <c r="JFX60" s="5"/>
      <c r="JFY60" s="5"/>
      <c r="JFZ60" s="124"/>
      <c r="JGA60" s="121"/>
      <c r="JGB60" s="125"/>
      <c r="JGC60" s="5"/>
      <c r="JGD60" s="117"/>
      <c r="JGE60" s="4"/>
      <c r="JGF60" s="126"/>
      <c r="JGG60" s="127"/>
      <c r="JGH60" s="121"/>
      <c r="JGI60" s="5"/>
      <c r="JGJ60" s="5"/>
      <c r="JGK60" s="124"/>
      <c r="JGL60" s="121"/>
      <c r="JGM60" s="125"/>
      <c r="JGN60" s="5"/>
      <c r="JGO60" s="117"/>
      <c r="JGP60" s="4"/>
      <c r="JGQ60" s="126"/>
      <c r="JGR60" s="127"/>
      <c r="JGS60" s="121"/>
      <c r="JGT60" s="5"/>
      <c r="JGU60" s="5"/>
      <c r="JGV60" s="124"/>
      <c r="JGW60" s="121"/>
      <c r="JGX60" s="125"/>
      <c r="JGY60" s="5"/>
      <c r="JGZ60" s="117"/>
      <c r="JHA60" s="4"/>
      <c r="JHB60" s="126"/>
      <c r="JHC60" s="127"/>
      <c r="JHD60" s="121"/>
      <c r="JHE60" s="5"/>
      <c r="JHF60" s="5"/>
      <c r="JHG60" s="124"/>
      <c r="JHH60" s="121"/>
      <c r="JHI60" s="125"/>
      <c r="JHJ60" s="5"/>
      <c r="JHK60" s="117"/>
      <c r="JHL60" s="4"/>
      <c r="JHM60" s="126"/>
      <c r="JHN60" s="127"/>
      <c r="JHO60" s="121"/>
      <c r="JHP60" s="5"/>
      <c r="JHQ60" s="5"/>
      <c r="JHR60" s="124"/>
      <c r="JHS60" s="121"/>
      <c r="JHT60" s="125"/>
      <c r="JHU60" s="5"/>
      <c r="JHV60" s="117"/>
      <c r="JHW60" s="4"/>
      <c r="JHX60" s="126"/>
      <c r="JHY60" s="127"/>
      <c r="JHZ60" s="121"/>
      <c r="JIA60" s="5"/>
      <c r="JIB60" s="5"/>
      <c r="JIC60" s="124"/>
      <c r="JID60" s="121"/>
      <c r="JIE60" s="125"/>
      <c r="JIF60" s="5"/>
      <c r="JIG60" s="117"/>
      <c r="JIH60" s="4"/>
      <c r="JII60" s="126"/>
      <c r="JIJ60" s="127"/>
      <c r="JIK60" s="121"/>
      <c r="JIL60" s="5"/>
      <c r="JIM60" s="5"/>
      <c r="JIN60" s="124"/>
      <c r="JIO60" s="121"/>
      <c r="JIP60" s="125"/>
      <c r="JIQ60" s="5"/>
      <c r="JIR60" s="117"/>
      <c r="JIS60" s="4"/>
      <c r="JIT60" s="126"/>
      <c r="JIU60" s="127"/>
      <c r="JIV60" s="121"/>
      <c r="JIW60" s="5"/>
      <c r="JIX60" s="5"/>
      <c r="JIY60" s="124"/>
      <c r="JIZ60" s="121"/>
      <c r="JJA60" s="125"/>
      <c r="JJB60" s="5"/>
      <c r="JJC60" s="117"/>
      <c r="JJD60" s="4"/>
      <c r="JJE60" s="126"/>
      <c r="JJF60" s="127"/>
      <c r="JJG60" s="121"/>
      <c r="JJH60" s="5"/>
      <c r="JJI60" s="5"/>
      <c r="JJJ60" s="124"/>
      <c r="JJK60" s="121"/>
      <c r="JJL60" s="125"/>
      <c r="JJM60" s="5"/>
      <c r="JJN60" s="117"/>
      <c r="JJO60" s="4"/>
      <c r="JJP60" s="126"/>
      <c r="JJQ60" s="127"/>
      <c r="JJR60" s="121"/>
      <c r="JJS60" s="5"/>
      <c r="JJT60" s="5"/>
      <c r="JJU60" s="124"/>
      <c r="JJV60" s="121"/>
      <c r="JJW60" s="125"/>
      <c r="JJX60" s="5"/>
      <c r="JJY60" s="117"/>
      <c r="JJZ60" s="4"/>
      <c r="JKA60" s="126"/>
      <c r="JKB60" s="127"/>
      <c r="JKC60" s="121"/>
      <c r="JKD60" s="5"/>
      <c r="JKE60" s="5"/>
      <c r="JKF60" s="124"/>
      <c r="JKG60" s="121"/>
      <c r="JKH60" s="125"/>
      <c r="JKI60" s="5"/>
      <c r="JKJ60" s="117"/>
      <c r="JKK60" s="4"/>
      <c r="JKL60" s="126"/>
      <c r="JKM60" s="127"/>
      <c r="JKN60" s="121"/>
      <c r="JKO60" s="5"/>
      <c r="JKP60" s="5"/>
      <c r="JKQ60" s="124"/>
      <c r="JKR60" s="121"/>
      <c r="JKS60" s="125"/>
      <c r="JKT60" s="5"/>
      <c r="JKU60" s="117"/>
      <c r="JKV60" s="4"/>
      <c r="JKW60" s="126"/>
      <c r="JKX60" s="127"/>
      <c r="JKY60" s="121"/>
      <c r="JKZ60" s="5"/>
      <c r="JLA60" s="5"/>
      <c r="JLB60" s="124"/>
      <c r="JLC60" s="121"/>
      <c r="JLD60" s="125"/>
      <c r="JLE60" s="5"/>
      <c r="JLF60" s="117"/>
      <c r="JLG60" s="4"/>
      <c r="JLH60" s="126"/>
      <c r="JLI60" s="127"/>
      <c r="JLJ60" s="121"/>
      <c r="JLK60" s="5"/>
      <c r="JLL60" s="5"/>
      <c r="JLM60" s="124"/>
      <c r="JLN60" s="121"/>
      <c r="JLO60" s="125"/>
      <c r="JLP60" s="5"/>
      <c r="JLQ60" s="117"/>
      <c r="JLR60" s="4"/>
      <c r="JLS60" s="126"/>
      <c r="JLT60" s="127"/>
      <c r="JLU60" s="121"/>
      <c r="JLV60" s="5"/>
      <c r="JLW60" s="5"/>
      <c r="JLX60" s="124"/>
      <c r="JLY60" s="121"/>
      <c r="JLZ60" s="125"/>
      <c r="JMA60" s="5"/>
      <c r="JMB60" s="117"/>
      <c r="JMC60" s="4"/>
      <c r="JMD60" s="126"/>
      <c r="JME60" s="127"/>
      <c r="JMF60" s="121"/>
      <c r="JMG60" s="5"/>
      <c r="JMH60" s="5"/>
      <c r="JMI60" s="124"/>
      <c r="JMJ60" s="121"/>
      <c r="JMK60" s="125"/>
      <c r="JML60" s="5"/>
      <c r="JMM60" s="117"/>
      <c r="JMN60" s="4"/>
      <c r="JMO60" s="126"/>
      <c r="JMP60" s="127"/>
      <c r="JMQ60" s="121"/>
      <c r="JMR60" s="5"/>
      <c r="JMS60" s="5"/>
      <c r="JMT60" s="124"/>
      <c r="JMU60" s="121"/>
      <c r="JMV60" s="125"/>
      <c r="JMW60" s="5"/>
      <c r="JMX60" s="117"/>
      <c r="JMY60" s="4"/>
      <c r="JMZ60" s="126"/>
      <c r="JNA60" s="127"/>
      <c r="JNB60" s="121"/>
      <c r="JNC60" s="5"/>
      <c r="JND60" s="5"/>
      <c r="JNE60" s="124"/>
      <c r="JNF60" s="121"/>
      <c r="JNG60" s="125"/>
      <c r="JNH60" s="5"/>
      <c r="JNI60" s="117"/>
      <c r="JNJ60" s="4"/>
      <c r="JNK60" s="126"/>
      <c r="JNL60" s="127"/>
      <c r="JNM60" s="121"/>
      <c r="JNN60" s="5"/>
      <c r="JNO60" s="5"/>
      <c r="JNP60" s="124"/>
      <c r="JNQ60" s="121"/>
      <c r="JNR60" s="125"/>
      <c r="JNS60" s="5"/>
      <c r="JNT60" s="117"/>
      <c r="JNU60" s="4"/>
      <c r="JNV60" s="126"/>
      <c r="JNW60" s="127"/>
      <c r="JNX60" s="121"/>
      <c r="JNY60" s="5"/>
      <c r="JNZ60" s="5"/>
      <c r="JOA60" s="124"/>
      <c r="JOB60" s="121"/>
      <c r="JOC60" s="125"/>
      <c r="JOD60" s="5"/>
      <c r="JOE60" s="117"/>
      <c r="JOF60" s="4"/>
      <c r="JOG60" s="126"/>
      <c r="JOH60" s="127"/>
      <c r="JOI60" s="121"/>
      <c r="JOJ60" s="5"/>
      <c r="JOK60" s="5"/>
      <c r="JOL60" s="124"/>
      <c r="JOM60" s="121"/>
      <c r="JON60" s="125"/>
      <c r="JOO60" s="5"/>
      <c r="JOP60" s="117"/>
      <c r="JOQ60" s="4"/>
      <c r="JOR60" s="126"/>
      <c r="JOS60" s="127"/>
      <c r="JOT60" s="121"/>
      <c r="JOU60" s="5"/>
      <c r="JOV60" s="5"/>
      <c r="JOW60" s="124"/>
      <c r="JOX60" s="121"/>
      <c r="JOY60" s="125"/>
      <c r="JOZ60" s="5"/>
      <c r="JPA60" s="117"/>
      <c r="JPB60" s="4"/>
      <c r="JPC60" s="126"/>
      <c r="JPD60" s="127"/>
      <c r="JPE60" s="121"/>
      <c r="JPF60" s="5"/>
      <c r="JPG60" s="5"/>
      <c r="JPH60" s="124"/>
      <c r="JPI60" s="121"/>
      <c r="JPJ60" s="125"/>
      <c r="JPK60" s="5"/>
      <c r="JPL60" s="117"/>
      <c r="JPM60" s="4"/>
      <c r="JPN60" s="126"/>
      <c r="JPO60" s="127"/>
      <c r="JPP60" s="121"/>
      <c r="JPQ60" s="5"/>
      <c r="JPR60" s="5"/>
      <c r="JPS60" s="124"/>
      <c r="JPT60" s="121"/>
      <c r="JPU60" s="125"/>
      <c r="JPV60" s="5"/>
      <c r="JPW60" s="117"/>
      <c r="JPX60" s="4"/>
      <c r="JPY60" s="126"/>
      <c r="JPZ60" s="127"/>
      <c r="JQA60" s="121"/>
      <c r="JQB60" s="5"/>
      <c r="JQC60" s="5"/>
      <c r="JQD60" s="124"/>
      <c r="JQE60" s="121"/>
      <c r="JQF60" s="125"/>
      <c r="JQG60" s="5"/>
      <c r="JQH60" s="117"/>
      <c r="JQI60" s="4"/>
      <c r="JQJ60" s="126"/>
      <c r="JQK60" s="127"/>
      <c r="JQL60" s="121"/>
      <c r="JQM60" s="5"/>
      <c r="JQN60" s="5"/>
      <c r="JQO60" s="124"/>
      <c r="JQP60" s="121"/>
      <c r="JQQ60" s="125"/>
      <c r="JQR60" s="5"/>
      <c r="JQS60" s="117"/>
      <c r="JQT60" s="4"/>
      <c r="JQU60" s="126"/>
      <c r="JQV60" s="127"/>
      <c r="JQW60" s="121"/>
      <c r="JQX60" s="5"/>
      <c r="JQY60" s="5"/>
      <c r="JQZ60" s="124"/>
      <c r="JRA60" s="121"/>
      <c r="JRB60" s="125"/>
      <c r="JRC60" s="5"/>
      <c r="JRD60" s="117"/>
      <c r="JRE60" s="4"/>
      <c r="JRF60" s="126"/>
      <c r="JRG60" s="127"/>
      <c r="JRH60" s="121"/>
      <c r="JRI60" s="5"/>
      <c r="JRJ60" s="5"/>
      <c r="JRK60" s="124"/>
      <c r="JRL60" s="121"/>
      <c r="JRM60" s="125"/>
      <c r="JRN60" s="5"/>
      <c r="JRO60" s="117"/>
      <c r="JRP60" s="4"/>
      <c r="JRQ60" s="126"/>
      <c r="JRR60" s="127"/>
      <c r="JRS60" s="121"/>
      <c r="JRT60" s="5"/>
      <c r="JRU60" s="5"/>
      <c r="JRV60" s="124"/>
      <c r="JRW60" s="121"/>
      <c r="JRX60" s="125"/>
      <c r="JRY60" s="5"/>
      <c r="JRZ60" s="117"/>
      <c r="JSA60" s="4"/>
      <c r="JSB60" s="126"/>
      <c r="JSC60" s="127"/>
      <c r="JSD60" s="121"/>
      <c r="JSE60" s="5"/>
      <c r="JSF60" s="5"/>
      <c r="JSG60" s="124"/>
      <c r="JSH60" s="121"/>
      <c r="JSI60" s="125"/>
      <c r="JSJ60" s="5"/>
      <c r="JSK60" s="117"/>
      <c r="JSL60" s="4"/>
      <c r="JSM60" s="126"/>
      <c r="JSN60" s="127"/>
      <c r="JSO60" s="121"/>
      <c r="JSP60" s="5"/>
      <c r="JSQ60" s="5"/>
      <c r="JSR60" s="124"/>
      <c r="JSS60" s="121"/>
      <c r="JST60" s="125"/>
      <c r="JSU60" s="5"/>
      <c r="JSV60" s="117"/>
      <c r="JSW60" s="4"/>
      <c r="JSX60" s="126"/>
      <c r="JSY60" s="127"/>
      <c r="JSZ60" s="121"/>
      <c r="JTA60" s="5"/>
      <c r="JTB60" s="5"/>
      <c r="JTC60" s="124"/>
      <c r="JTD60" s="121"/>
      <c r="JTE60" s="125"/>
      <c r="JTF60" s="5"/>
      <c r="JTG60" s="117"/>
      <c r="JTH60" s="4"/>
      <c r="JTI60" s="126"/>
      <c r="JTJ60" s="127"/>
      <c r="JTK60" s="121"/>
      <c r="JTL60" s="5"/>
      <c r="JTM60" s="5"/>
      <c r="JTN60" s="124"/>
      <c r="JTO60" s="121"/>
      <c r="JTP60" s="125"/>
      <c r="JTQ60" s="5"/>
      <c r="JTR60" s="117"/>
      <c r="JTS60" s="4"/>
      <c r="JTT60" s="126"/>
      <c r="JTU60" s="127"/>
      <c r="JTV60" s="121"/>
      <c r="JTW60" s="5"/>
      <c r="JTX60" s="5"/>
      <c r="JTY60" s="124"/>
      <c r="JTZ60" s="121"/>
      <c r="JUA60" s="125"/>
      <c r="JUB60" s="5"/>
      <c r="JUC60" s="117"/>
      <c r="JUD60" s="4"/>
      <c r="JUE60" s="126"/>
      <c r="JUF60" s="127"/>
      <c r="JUG60" s="121"/>
      <c r="JUH60" s="5"/>
      <c r="JUI60" s="5"/>
      <c r="JUJ60" s="124"/>
      <c r="JUK60" s="121"/>
      <c r="JUL60" s="125"/>
      <c r="JUM60" s="5"/>
      <c r="JUN60" s="117"/>
      <c r="JUO60" s="4"/>
      <c r="JUP60" s="126"/>
      <c r="JUQ60" s="127"/>
      <c r="JUR60" s="121"/>
      <c r="JUS60" s="5"/>
      <c r="JUT60" s="5"/>
      <c r="JUU60" s="124"/>
      <c r="JUV60" s="121"/>
      <c r="JUW60" s="125"/>
      <c r="JUX60" s="5"/>
      <c r="JUY60" s="117"/>
      <c r="JUZ60" s="4"/>
      <c r="JVA60" s="126"/>
      <c r="JVB60" s="127"/>
      <c r="JVC60" s="121"/>
      <c r="JVD60" s="5"/>
      <c r="JVE60" s="5"/>
      <c r="JVF60" s="124"/>
      <c r="JVG60" s="121"/>
      <c r="JVH60" s="125"/>
      <c r="JVI60" s="5"/>
      <c r="JVJ60" s="117"/>
      <c r="JVK60" s="4"/>
      <c r="JVL60" s="126"/>
      <c r="JVM60" s="127"/>
      <c r="JVN60" s="121"/>
      <c r="JVO60" s="5"/>
      <c r="JVP60" s="5"/>
      <c r="JVQ60" s="124"/>
      <c r="JVR60" s="121"/>
      <c r="JVS60" s="125"/>
      <c r="JVT60" s="5"/>
      <c r="JVU60" s="117"/>
      <c r="JVV60" s="4"/>
      <c r="JVW60" s="126"/>
      <c r="JVX60" s="127"/>
      <c r="JVY60" s="121"/>
      <c r="JVZ60" s="5"/>
      <c r="JWA60" s="5"/>
      <c r="JWB60" s="124"/>
      <c r="JWC60" s="121"/>
      <c r="JWD60" s="125"/>
      <c r="JWE60" s="5"/>
      <c r="JWF60" s="117"/>
      <c r="JWG60" s="4"/>
      <c r="JWH60" s="126"/>
      <c r="JWI60" s="127"/>
      <c r="JWJ60" s="121"/>
      <c r="JWK60" s="5"/>
      <c r="JWL60" s="5"/>
      <c r="JWM60" s="124"/>
      <c r="JWN60" s="121"/>
      <c r="JWO60" s="125"/>
      <c r="JWP60" s="5"/>
      <c r="JWQ60" s="117"/>
      <c r="JWR60" s="4"/>
      <c r="JWS60" s="126"/>
      <c r="JWT60" s="127"/>
      <c r="JWU60" s="121"/>
      <c r="JWV60" s="5"/>
      <c r="JWW60" s="5"/>
      <c r="JWX60" s="124"/>
      <c r="JWY60" s="121"/>
      <c r="JWZ60" s="125"/>
      <c r="JXA60" s="5"/>
      <c r="JXB60" s="117"/>
      <c r="JXC60" s="4"/>
      <c r="JXD60" s="126"/>
      <c r="JXE60" s="127"/>
      <c r="JXF60" s="121"/>
      <c r="JXG60" s="5"/>
      <c r="JXH60" s="5"/>
      <c r="JXI60" s="124"/>
      <c r="JXJ60" s="121"/>
      <c r="JXK60" s="125"/>
      <c r="JXL60" s="5"/>
      <c r="JXM60" s="117"/>
      <c r="JXN60" s="4"/>
      <c r="JXO60" s="126"/>
      <c r="JXP60" s="127"/>
      <c r="JXQ60" s="121"/>
      <c r="JXR60" s="5"/>
      <c r="JXS60" s="5"/>
      <c r="JXT60" s="124"/>
      <c r="JXU60" s="121"/>
      <c r="JXV60" s="125"/>
      <c r="JXW60" s="5"/>
      <c r="JXX60" s="117"/>
      <c r="JXY60" s="4"/>
      <c r="JXZ60" s="126"/>
      <c r="JYA60" s="127"/>
      <c r="JYB60" s="121"/>
      <c r="JYC60" s="5"/>
      <c r="JYD60" s="5"/>
      <c r="JYE60" s="124"/>
      <c r="JYF60" s="121"/>
      <c r="JYG60" s="125"/>
      <c r="JYH60" s="5"/>
      <c r="JYI60" s="117"/>
      <c r="JYJ60" s="4"/>
      <c r="JYK60" s="126"/>
      <c r="JYL60" s="127"/>
      <c r="JYM60" s="121"/>
      <c r="JYN60" s="5"/>
      <c r="JYO60" s="5"/>
      <c r="JYP60" s="124"/>
      <c r="JYQ60" s="121"/>
      <c r="JYR60" s="125"/>
      <c r="JYS60" s="5"/>
      <c r="JYT60" s="117"/>
      <c r="JYU60" s="4"/>
      <c r="JYV60" s="126"/>
      <c r="JYW60" s="127"/>
      <c r="JYX60" s="121"/>
      <c r="JYY60" s="5"/>
      <c r="JYZ60" s="5"/>
      <c r="JZA60" s="124"/>
      <c r="JZB60" s="121"/>
      <c r="JZC60" s="125"/>
      <c r="JZD60" s="5"/>
      <c r="JZE60" s="117"/>
      <c r="JZF60" s="4"/>
      <c r="JZG60" s="126"/>
      <c r="JZH60" s="127"/>
      <c r="JZI60" s="121"/>
      <c r="JZJ60" s="5"/>
      <c r="JZK60" s="5"/>
      <c r="JZL60" s="124"/>
      <c r="JZM60" s="121"/>
      <c r="JZN60" s="125"/>
      <c r="JZO60" s="5"/>
      <c r="JZP60" s="117"/>
      <c r="JZQ60" s="4"/>
      <c r="JZR60" s="126"/>
      <c r="JZS60" s="127"/>
      <c r="JZT60" s="121"/>
      <c r="JZU60" s="5"/>
      <c r="JZV60" s="5"/>
      <c r="JZW60" s="124"/>
      <c r="JZX60" s="121"/>
      <c r="JZY60" s="125"/>
      <c r="JZZ60" s="5"/>
      <c r="KAA60" s="117"/>
      <c r="KAB60" s="4"/>
      <c r="KAC60" s="126"/>
      <c r="KAD60" s="127"/>
      <c r="KAE60" s="121"/>
      <c r="KAF60" s="5"/>
      <c r="KAG60" s="5"/>
      <c r="KAH60" s="124"/>
      <c r="KAI60" s="121"/>
      <c r="KAJ60" s="125"/>
      <c r="KAK60" s="5"/>
      <c r="KAL60" s="117"/>
      <c r="KAM60" s="4"/>
      <c r="KAN60" s="126"/>
      <c r="KAO60" s="127"/>
      <c r="KAP60" s="121"/>
      <c r="KAQ60" s="5"/>
      <c r="KAR60" s="5"/>
      <c r="KAS60" s="124"/>
      <c r="KAT60" s="121"/>
      <c r="KAU60" s="125"/>
      <c r="KAV60" s="5"/>
      <c r="KAW60" s="117"/>
      <c r="KAX60" s="4"/>
      <c r="KAY60" s="126"/>
      <c r="KAZ60" s="127"/>
      <c r="KBA60" s="121"/>
      <c r="KBB60" s="5"/>
      <c r="KBC60" s="5"/>
      <c r="KBD60" s="124"/>
      <c r="KBE60" s="121"/>
      <c r="KBF60" s="125"/>
      <c r="KBG60" s="5"/>
      <c r="KBH60" s="117"/>
      <c r="KBI60" s="4"/>
      <c r="KBJ60" s="126"/>
      <c r="KBK60" s="127"/>
      <c r="KBL60" s="121"/>
      <c r="KBM60" s="5"/>
      <c r="KBN60" s="5"/>
      <c r="KBO60" s="124"/>
      <c r="KBP60" s="121"/>
      <c r="KBQ60" s="125"/>
      <c r="KBR60" s="5"/>
      <c r="KBS60" s="117"/>
      <c r="KBT60" s="4"/>
      <c r="KBU60" s="126"/>
      <c r="KBV60" s="127"/>
      <c r="KBW60" s="121"/>
      <c r="KBX60" s="5"/>
      <c r="KBY60" s="5"/>
      <c r="KBZ60" s="124"/>
      <c r="KCA60" s="121"/>
      <c r="KCB60" s="125"/>
      <c r="KCC60" s="5"/>
      <c r="KCD60" s="117"/>
      <c r="KCE60" s="4"/>
      <c r="KCF60" s="126"/>
      <c r="KCG60" s="127"/>
      <c r="KCH60" s="121"/>
      <c r="KCI60" s="5"/>
      <c r="KCJ60" s="5"/>
      <c r="KCK60" s="124"/>
      <c r="KCL60" s="121"/>
      <c r="KCM60" s="125"/>
      <c r="KCN60" s="5"/>
      <c r="KCO60" s="117"/>
      <c r="KCP60" s="4"/>
      <c r="KCQ60" s="126"/>
      <c r="KCR60" s="127"/>
      <c r="KCS60" s="121"/>
      <c r="KCT60" s="5"/>
      <c r="KCU60" s="5"/>
      <c r="KCV60" s="124"/>
      <c r="KCW60" s="121"/>
      <c r="KCX60" s="125"/>
      <c r="KCY60" s="5"/>
      <c r="KCZ60" s="117"/>
      <c r="KDA60" s="4"/>
      <c r="KDB60" s="126"/>
      <c r="KDC60" s="127"/>
      <c r="KDD60" s="121"/>
      <c r="KDE60" s="5"/>
      <c r="KDF60" s="5"/>
      <c r="KDG60" s="124"/>
      <c r="KDH60" s="121"/>
      <c r="KDI60" s="125"/>
      <c r="KDJ60" s="5"/>
      <c r="KDK60" s="117"/>
      <c r="KDL60" s="4"/>
      <c r="KDM60" s="126"/>
      <c r="KDN60" s="127"/>
      <c r="KDO60" s="121"/>
      <c r="KDP60" s="5"/>
      <c r="KDQ60" s="5"/>
      <c r="KDR60" s="124"/>
      <c r="KDS60" s="121"/>
      <c r="KDT60" s="125"/>
      <c r="KDU60" s="5"/>
      <c r="KDV60" s="117"/>
      <c r="KDW60" s="4"/>
      <c r="KDX60" s="126"/>
      <c r="KDY60" s="127"/>
      <c r="KDZ60" s="121"/>
      <c r="KEA60" s="5"/>
      <c r="KEB60" s="5"/>
      <c r="KEC60" s="124"/>
      <c r="KED60" s="121"/>
      <c r="KEE60" s="125"/>
      <c r="KEF60" s="5"/>
      <c r="KEG60" s="117"/>
      <c r="KEH60" s="4"/>
      <c r="KEI60" s="126"/>
      <c r="KEJ60" s="127"/>
      <c r="KEK60" s="121"/>
      <c r="KEL60" s="5"/>
      <c r="KEM60" s="5"/>
      <c r="KEN60" s="124"/>
      <c r="KEO60" s="121"/>
      <c r="KEP60" s="125"/>
      <c r="KEQ60" s="5"/>
      <c r="KER60" s="117"/>
      <c r="KES60" s="4"/>
      <c r="KET60" s="126"/>
      <c r="KEU60" s="127"/>
      <c r="KEV60" s="121"/>
      <c r="KEW60" s="5"/>
      <c r="KEX60" s="5"/>
      <c r="KEY60" s="124"/>
      <c r="KEZ60" s="121"/>
      <c r="KFA60" s="125"/>
      <c r="KFB60" s="5"/>
      <c r="KFC60" s="117"/>
      <c r="KFD60" s="4"/>
      <c r="KFE60" s="126"/>
      <c r="KFF60" s="127"/>
      <c r="KFG60" s="121"/>
      <c r="KFH60" s="5"/>
      <c r="KFI60" s="5"/>
      <c r="KFJ60" s="124"/>
      <c r="KFK60" s="121"/>
      <c r="KFL60" s="125"/>
      <c r="KFM60" s="5"/>
      <c r="KFN60" s="117"/>
      <c r="KFO60" s="4"/>
      <c r="KFP60" s="126"/>
      <c r="KFQ60" s="127"/>
      <c r="KFR60" s="121"/>
      <c r="KFS60" s="5"/>
      <c r="KFT60" s="5"/>
      <c r="KFU60" s="124"/>
      <c r="KFV60" s="121"/>
      <c r="KFW60" s="125"/>
      <c r="KFX60" s="5"/>
      <c r="KFY60" s="117"/>
      <c r="KFZ60" s="4"/>
      <c r="KGA60" s="126"/>
      <c r="KGB60" s="127"/>
      <c r="KGC60" s="121"/>
      <c r="KGD60" s="5"/>
      <c r="KGE60" s="5"/>
      <c r="KGF60" s="124"/>
      <c r="KGG60" s="121"/>
      <c r="KGH60" s="125"/>
      <c r="KGI60" s="5"/>
      <c r="KGJ60" s="117"/>
      <c r="KGK60" s="4"/>
      <c r="KGL60" s="126"/>
      <c r="KGM60" s="127"/>
      <c r="KGN60" s="121"/>
      <c r="KGO60" s="5"/>
      <c r="KGP60" s="5"/>
      <c r="KGQ60" s="124"/>
      <c r="KGR60" s="121"/>
      <c r="KGS60" s="125"/>
      <c r="KGT60" s="5"/>
      <c r="KGU60" s="117"/>
      <c r="KGV60" s="4"/>
      <c r="KGW60" s="126"/>
      <c r="KGX60" s="127"/>
      <c r="KGY60" s="121"/>
      <c r="KGZ60" s="5"/>
      <c r="KHA60" s="5"/>
      <c r="KHB60" s="124"/>
      <c r="KHC60" s="121"/>
      <c r="KHD60" s="125"/>
      <c r="KHE60" s="5"/>
      <c r="KHF60" s="117"/>
      <c r="KHG60" s="4"/>
      <c r="KHH60" s="126"/>
      <c r="KHI60" s="127"/>
      <c r="KHJ60" s="121"/>
      <c r="KHK60" s="5"/>
      <c r="KHL60" s="5"/>
      <c r="KHM60" s="124"/>
      <c r="KHN60" s="121"/>
      <c r="KHO60" s="125"/>
      <c r="KHP60" s="5"/>
      <c r="KHQ60" s="117"/>
      <c r="KHR60" s="4"/>
      <c r="KHS60" s="126"/>
      <c r="KHT60" s="127"/>
      <c r="KHU60" s="121"/>
      <c r="KHV60" s="5"/>
      <c r="KHW60" s="5"/>
      <c r="KHX60" s="124"/>
      <c r="KHY60" s="121"/>
      <c r="KHZ60" s="125"/>
      <c r="KIA60" s="5"/>
      <c r="KIB60" s="117"/>
      <c r="KIC60" s="4"/>
      <c r="KID60" s="126"/>
      <c r="KIE60" s="127"/>
      <c r="KIF60" s="121"/>
      <c r="KIG60" s="5"/>
      <c r="KIH60" s="5"/>
      <c r="KII60" s="124"/>
      <c r="KIJ60" s="121"/>
      <c r="KIK60" s="125"/>
      <c r="KIL60" s="5"/>
      <c r="KIM60" s="117"/>
      <c r="KIN60" s="4"/>
      <c r="KIO60" s="126"/>
      <c r="KIP60" s="127"/>
      <c r="KIQ60" s="121"/>
      <c r="KIR60" s="5"/>
      <c r="KIS60" s="5"/>
      <c r="KIT60" s="124"/>
      <c r="KIU60" s="121"/>
      <c r="KIV60" s="125"/>
      <c r="KIW60" s="5"/>
      <c r="KIX60" s="117"/>
      <c r="KIY60" s="4"/>
      <c r="KIZ60" s="126"/>
      <c r="KJA60" s="127"/>
      <c r="KJB60" s="121"/>
      <c r="KJC60" s="5"/>
      <c r="KJD60" s="5"/>
      <c r="KJE60" s="124"/>
      <c r="KJF60" s="121"/>
      <c r="KJG60" s="125"/>
      <c r="KJH60" s="5"/>
      <c r="KJI60" s="117"/>
      <c r="KJJ60" s="4"/>
      <c r="KJK60" s="126"/>
      <c r="KJL60" s="127"/>
      <c r="KJM60" s="121"/>
      <c r="KJN60" s="5"/>
      <c r="KJO60" s="5"/>
      <c r="KJP60" s="124"/>
      <c r="KJQ60" s="121"/>
      <c r="KJR60" s="125"/>
      <c r="KJS60" s="5"/>
      <c r="KJT60" s="117"/>
      <c r="KJU60" s="4"/>
      <c r="KJV60" s="126"/>
      <c r="KJW60" s="127"/>
      <c r="KJX60" s="121"/>
      <c r="KJY60" s="5"/>
      <c r="KJZ60" s="5"/>
      <c r="KKA60" s="124"/>
      <c r="KKB60" s="121"/>
      <c r="KKC60" s="125"/>
      <c r="KKD60" s="5"/>
      <c r="KKE60" s="117"/>
      <c r="KKF60" s="4"/>
      <c r="KKG60" s="126"/>
      <c r="KKH60" s="127"/>
      <c r="KKI60" s="121"/>
      <c r="KKJ60" s="5"/>
      <c r="KKK60" s="5"/>
      <c r="KKL60" s="124"/>
      <c r="KKM60" s="121"/>
      <c r="KKN60" s="125"/>
      <c r="KKO60" s="5"/>
      <c r="KKP60" s="117"/>
      <c r="KKQ60" s="4"/>
      <c r="KKR60" s="126"/>
      <c r="KKS60" s="127"/>
      <c r="KKT60" s="121"/>
      <c r="KKU60" s="5"/>
      <c r="KKV60" s="5"/>
      <c r="KKW60" s="124"/>
      <c r="KKX60" s="121"/>
      <c r="KKY60" s="125"/>
      <c r="KKZ60" s="5"/>
      <c r="KLA60" s="117"/>
      <c r="KLB60" s="4"/>
      <c r="KLC60" s="126"/>
      <c r="KLD60" s="127"/>
      <c r="KLE60" s="121"/>
      <c r="KLF60" s="5"/>
      <c r="KLG60" s="5"/>
      <c r="KLH60" s="124"/>
      <c r="KLI60" s="121"/>
      <c r="KLJ60" s="125"/>
      <c r="KLK60" s="5"/>
      <c r="KLL60" s="117"/>
      <c r="KLM60" s="4"/>
      <c r="KLN60" s="126"/>
      <c r="KLO60" s="127"/>
      <c r="KLP60" s="121"/>
      <c r="KLQ60" s="5"/>
      <c r="KLR60" s="5"/>
      <c r="KLS60" s="124"/>
      <c r="KLT60" s="121"/>
      <c r="KLU60" s="125"/>
      <c r="KLV60" s="5"/>
      <c r="KLW60" s="117"/>
      <c r="KLX60" s="4"/>
      <c r="KLY60" s="126"/>
      <c r="KLZ60" s="127"/>
      <c r="KMA60" s="121"/>
      <c r="KMB60" s="5"/>
      <c r="KMC60" s="5"/>
      <c r="KMD60" s="124"/>
      <c r="KME60" s="121"/>
      <c r="KMF60" s="125"/>
      <c r="KMG60" s="5"/>
      <c r="KMH60" s="117"/>
      <c r="KMI60" s="4"/>
      <c r="KMJ60" s="126"/>
      <c r="KMK60" s="127"/>
      <c r="KML60" s="121"/>
      <c r="KMM60" s="5"/>
      <c r="KMN60" s="5"/>
      <c r="KMO60" s="124"/>
      <c r="KMP60" s="121"/>
      <c r="KMQ60" s="125"/>
      <c r="KMR60" s="5"/>
      <c r="KMS60" s="117"/>
      <c r="KMT60" s="4"/>
      <c r="KMU60" s="126"/>
      <c r="KMV60" s="127"/>
      <c r="KMW60" s="121"/>
      <c r="KMX60" s="5"/>
      <c r="KMY60" s="5"/>
      <c r="KMZ60" s="124"/>
      <c r="KNA60" s="121"/>
      <c r="KNB60" s="125"/>
      <c r="KNC60" s="5"/>
      <c r="KND60" s="117"/>
      <c r="KNE60" s="4"/>
      <c r="KNF60" s="126"/>
      <c r="KNG60" s="127"/>
      <c r="KNH60" s="121"/>
      <c r="KNI60" s="5"/>
      <c r="KNJ60" s="5"/>
      <c r="KNK60" s="124"/>
      <c r="KNL60" s="121"/>
      <c r="KNM60" s="125"/>
      <c r="KNN60" s="5"/>
      <c r="KNO60" s="117"/>
      <c r="KNP60" s="4"/>
      <c r="KNQ60" s="126"/>
      <c r="KNR60" s="127"/>
      <c r="KNS60" s="121"/>
      <c r="KNT60" s="5"/>
      <c r="KNU60" s="5"/>
      <c r="KNV60" s="124"/>
      <c r="KNW60" s="121"/>
      <c r="KNX60" s="125"/>
      <c r="KNY60" s="5"/>
      <c r="KNZ60" s="117"/>
      <c r="KOA60" s="4"/>
      <c r="KOB60" s="126"/>
      <c r="KOC60" s="127"/>
      <c r="KOD60" s="121"/>
      <c r="KOE60" s="5"/>
      <c r="KOF60" s="5"/>
      <c r="KOG60" s="124"/>
      <c r="KOH60" s="121"/>
      <c r="KOI60" s="125"/>
      <c r="KOJ60" s="5"/>
      <c r="KOK60" s="117"/>
      <c r="KOL60" s="4"/>
      <c r="KOM60" s="126"/>
      <c r="KON60" s="127"/>
      <c r="KOO60" s="121"/>
      <c r="KOP60" s="5"/>
      <c r="KOQ60" s="5"/>
      <c r="KOR60" s="124"/>
      <c r="KOS60" s="121"/>
      <c r="KOT60" s="125"/>
      <c r="KOU60" s="5"/>
      <c r="KOV60" s="117"/>
      <c r="KOW60" s="4"/>
      <c r="KOX60" s="126"/>
      <c r="KOY60" s="127"/>
      <c r="KOZ60" s="121"/>
      <c r="KPA60" s="5"/>
      <c r="KPB60" s="5"/>
      <c r="KPC60" s="124"/>
      <c r="KPD60" s="121"/>
      <c r="KPE60" s="125"/>
      <c r="KPF60" s="5"/>
      <c r="KPG60" s="117"/>
      <c r="KPH60" s="4"/>
      <c r="KPI60" s="126"/>
      <c r="KPJ60" s="127"/>
      <c r="KPK60" s="121"/>
      <c r="KPL60" s="5"/>
      <c r="KPM60" s="5"/>
      <c r="KPN60" s="124"/>
      <c r="KPO60" s="121"/>
      <c r="KPP60" s="125"/>
      <c r="KPQ60" s="5"/>
      <c r="KPR60" s="117"/>
      <c r="KPS60" s="4"/>
      <c r="KPT60" s="126"/>
      <c r="KPU60" s="127"/>
      <c r="KPV60" s="121"/>
      <c r="KPW60" s="5"/>
      <c r="KPX60" s="5"/>
      <c r="KPY60" s="124"/>
      <c r="KPZ60" s="121"/>
      <c r="KQA60" s="125"/>
      <c r="KQB60" s="5"/>
      <c r="KQC60" s="117"/>
      <c r="KQD60" s="4"/>
      <c r="KQE60" s="126"/>
      <c r="KQF60" s="127"/>
      <c r="KQG60" s="121"/>
      <c r="KQH60" s="5"/>
      <c r="KQI60" s="5"/>
      <c r="KQJ60" s="124"/>
      <c r="KQK60" s="121"/>
      <c r="KQL60" s="125"/>
      <c r="KQM60" s="5"/>
      <c r="KQN60" s="117"/>
      <c r="KQO60" s="4"/>
      <c r="KQP60" s="126"/>
      <c r="KQQ60" s="127"/>
      <c r="KQR60" s="121"/>
      <c r="KQS60" s="5"/>
      <c r="KQT60" s="5"/>
      <c r="KQU60" s="124"/>
      <c r="KQV60" s="121"/>
      <c r="KQW60" s="125"/>
      <c r="KQX60" s="5"/>
      <c r="KQY60" s="117"/>
      <c r="KQZ60" s="4"/>
      <c r="KRA60" s="126"/>
      <c r="KRB60" s="127"/>
      <c r="KRC60" s="121"/>
      <c r="KRD60" s="5"/>
      <c r="KRE60" s="5"/>
      <c r="KRF60" s="124"/>
      <c r="KRG60" s="121"/>
      <c r="KRH60" s="125"/>
      <c r="KRI60" s="5"/>
      <c r="KRJ60" s="117"/>
      <c r="KRK60" s="4"/>
      <c r="KRL60" s="126"/>
      <c r="KRM60" s="127"/>
      <c r="KRN60" s="121"/>
      <c r="KRO60" s="5"/>
      <c r="KRP60" s="5"/>
      <c r="KRQ60" s="124"/>
      <c r="KRR60" s="121"/>
      <c r="KRS60" s="125"/>
      <c r="KRT60" s="5"/>
      <c r="KRU60" s="117"/>
      <c r="KRV60" s="4"/>
      <c r="KRW60" s="126"/>
      <c r="KRX60" s="127"/>
      <c r="KRY60" s="121"/>
      <c r="KRZ60" s="5"/>
      <c r="KSA60" s="5"/>
      <c r="KSB60" s="124"/>
      <c r="KSC60" s="121"/>
      <c r="KSD60" s="125"/>
      <c r="KSE60" s="5"/>
      <c r="KSF60" s="117"/>
      <c r="KSG60" s="4"/>
      <c r="KSH60" s="126"/>
      <c r="KSI60" s="127"/>
      <c r="KSJ60" s="121"/>
      <c r="KSK60" s="5"/>
      <c r="KSL60" s="5"/>
      <c r="KSM60" s="124"/>
      <c r="KSN60" s="121"/>
      <c r="KSO60" s="125"/>
      <c r="KSP60" s="5"/>
      <c r="KSQ60" s="117"/>
      <c r="KSR60" s="4"/>
      <c r="KSS60" s="126"/>
      <c r="KST60" s="127"/>
      <c r="KSU60" s="121"/>
      <c r="KSV60" s="5"/>
      <c r="KSW60" s="5"/>
      <c r="KSX60" s="124"/>
      <c r="KSY60" s="121"/>
      <c r="KSZ60" s="125"/>
      <c r="KTA60" s="5"/>
      <c r="KTB60" s="117"/>
      <c r="KTC60" s="4"/>
      <c r="KTD60" s="126"/>
      <c r="KTE60" s="127"/>
      <c r="KTF60" s="121"/>
      <c r="KTG60" s="5"/>
      <c r="KTH60" s="5"/>
      <c r="KTI60" s="124"/>
      <c r="KTJ60" s="121"/>
      <c r="KTK60" s="125"/>
      <c r="KTL60" s="5"/>
      <c r="KTM60" s="117"/>
      <c r="KTN60" s="4"/>
      <c r="KTO60" s="126"/>
      <c r="KTP60" s="127"/>
      <c r="KTQ60" s="121"/>
      <c r="KTR60" s="5"/>
      <c r="KTS60" s="5"/>
      <c r="KTT60" s="124"/>
      <c r="KTU60" s="121"/>
      <c r="KTV60" s="125"/>
      <c r="KTW60" s="5"/>
      <c r="KTX60" s="117"/>
      <c r="KTY60" s="4"/>
      <c r="KTZ60" s="126"/>
      <c r="KUA60" s="127"/>
      <c r="KUB60" s="121"/>
      <c r="KUC60" s="5"/>
      <c r="KUD60" s="5"/>
      <c r="KUE60" s="124"/>
      <c r="KUF60" s="121"/>
      <c r="KUG60" s="125"/>
      <c r="KUH60" s="5"/>
      <c r="KUI60" s="117"/>
      <c r="KUJ60" s="4"/>
      <c r="KUK60" s="126"/>
      <c r="KUL60" s="127"/>
      <c r="KUM60" s="121"/>
      <c r="KUN60" s="5"/>
      <c r="KUO60" s="5"/>
      <c r="KUP60" s="124"/>
      <c r="KUQ60" s="121"/>
      <c r="KUR60" s="125"/>
      <c r="KUS60" s="5"/>
      <c r="KUT60" s="117"/>
      <c r="KUU60" s="4"/>
      <c r="KUV60" s="126"/>
      <c r="KUW60" s="127"/>
      <c r="KUX60" s="121"/>
      <c r="KUY60" s="5"/>
      <c r="KUZ60" s="5"/>
      <c r="KVA60" s="124"/>
      <c r="KVB60" s="121"/>
      <c r="KVC60" s="125"/>
      <c r="KVD60" s="5"/>
      <c r="KVE60" s="117"/>
      <c r="KVF60" s="4"/>
      <c r="KVG60" s="126"/>
      <c r="KVH60" s="127"/>
      <c r="KVI60" s="121"/>
      <c r="KVJ60" s="5"/>
      <c r="KVK60" s="5"/>
      <c r="KVL60" s="124"/>
      <c r="KVM60" s="121"/>
      <c r="KVN60" s="125"/>
      <c r="KVO60" s="5"/>
      <c r="KVP60" s="117"/>
      <c r="KVQ60" s="4"/>
      <c r="KVR60" s="126"/>
      <c r="KVS60" s="127"/>
      <c r="KVT60" s="121"/>
      <c r="KVU60" s="5"/>
      <c r="KVV60" s="5"/>
      <c r="KVW60" s="124"/>
      <c r="KVX60" s="121"/>
      <c r="KVY60" s="125"/>
      <c r="KVZ60" s="5"/>
      <c r="KWA60" s="117"/>
      <c r="KWB60" s="4"/>
      <c r="KWC60" s="126"/>
      <c r="KWD60" s="127"/>
      <c r="KWE60" s="121"/>
      <c r="KWF60" s="5"/>
      <c r="KWG60" s="5"/>
      <c r="KWH60" s="124"/>
      <c r="KWI60" s="121"/>
      <c r="KWJ60" s="125"/>
      <c r="KWK60" s="5"/>
      <c r="KWL60" s="117"/>
      <c r="KWM60" s="4"/>
      <c r="KWN60" s="126"/>
      <c r="KWO60" s="127"/>
      <c r="KWP60" s="121"/>
      <c r="KWQ60" s="5"/>
      <c r="KWR60" s="5"/>
      <c r="KWS60" s="124"/>
      <c r="KWT60" s="121"/>
      <c r="KWU60" s="125"/>
      <c r="KWV60" s="5"/>
      <c r="KWW60" s="117"/>
      <c r="KWX60" s="4"/>
      <c r="KWY60" s="126"/>
      <c r="KWZ60" s="127"/>
      <c r="KXA60" s="121"/>
      <c r="KXB60" s="5"/>
      <c r="KXC60" s="5"/>
      <c r="KXD60" s="124"/>
      <c r="KXE60" s="121"/>
      <c r="KXF60" s="125"/>
      <c r="KXG60" s="5"/>
      <c r="KXH60" s="117"/>
      <c r="KXI60" s="4"/>
      <c r="KXJ60" s="126"/>
      <c r="KXK60" s="127"/>
      <c r="KXL60" s="121"/>
      <c r="KXM60" s="5"/>
      <c r="KXN60" s="5"/>
      <c r="KXO60" s="124"/>
      <c r="KXP60" s="121"/>
      <c r="KXQ60" s="125"/>
      <c r="KXR60" s="5"/>
      <c r="KXS60" s="117"/>
      <c r="KXT60" s="4"/>
      <c r="KXU60" s="126"/>
      <c r="KXV60" s="127"/>
      <c r="KXW60" s="121"/>
      <c r="KXX60" s="5"/>
      <c r="KXY60" s="5"/>
      <c r="KXZ60" s="124"/>
      <c r="KYA60" s="121"/>
      <c r="KYB60" s="125"/>
      <c r="KYC60" s="5"/>
      <c r="KYD60" s="117"/>
      <c r="KYE60" s="4"/>
      <c r="KYF60" s="126"/>
      <c r="KYG60" s="127"/>
      <c r="KYH60" s="121"/>
      <c r="KYI60" s="5"/>
      <c r="KYJ60" s="5"/>
      <c r="KYK60" s="124"/>
      <c r="KYL60" s="121"/>
      <c r="KYM60" s="125"/>
      <c r="KYN60" s="5"/>
      <c r="KYO60" s="117"/>
      <c r="KYP60" s="4"/>
      <c r="KYQ60" s="126"/>
      <c r="KYR60" s="127"/>
      <c r="KYS60" s="121"/>
      <c r="KYT60" s="5"/>
      <c r="KYU60" s="5"/>
      <c r="KYV60" s="124"/>
      <c r="KYW60" s="121"/>
      <c r="KYX60" s="125"/>
      <c r="KYY60" s="5"/>
      <c r="KYZ60" s="117"/>
      <c r="KZA60" s="4"/>
      <c r="KZB60" s="126"/>
      <c r="KZC60" s="127"/>
      <c r="KZD60" s="121"/>
      <c r="KZE60" s="5"/>
      <c r="KZF60" s="5"/>
      <c r="KZG60" s="124"/>
      <c r="KZH60" s="121"/>
      <c r="KZI60" s="125"/>
      <c r="KZJ60" s="5"/>
      <c r="KZK60" s="117"/>
      <c r="KZL60" s="4"/>
      <c r="KZM60" s="126"/>
      <c r="KZN60" s="127"/>
      <c r="KZO60" s="121"/>
      <c r="KZP60" s="5"/>
      <c r="KZQ60" s="5"/>
      <c r="KZR60" s="124"/>
      <c r="KZS60" s="121"/>
      <c r="KZT60" s="125"/>
      <c r="KZU60" s="5"/>
      <c r="KZV60" s="117"/>
      <c r="KZW60" s="4"/>
      <c r="KZX60" s="126"/>
      <c r="KZY60" s="127"/>
      <c r="KZZ60" s="121"/>
      <c r="LAA60" s="5"/>
      <c r="LAB60" s="5"/>
      <c r="LAC60" s="124"/>
      <c r="LAD60" s="121"/>
      <c r="LAE60" s="125"/>
      <c r="LAF60" s="5"/>
      <c r="LAG60" s="117"/>
      <c r="LAH60" s="4"/>
      <c r="LAI60" s="126"/>
      <c r="LAJ60" s="127"/>
      <c r="LAK60" s="121"/>
      <c r="LAL60" s="5"/>
      <c r="LAM60" s="5"/>
      <c r="LAN60" s="124"/>
      <c r="LAO60" s="121"/>
      <c r="LAP60" s="125"/>
      <c r="LAQ60" s="5"/>
      <c r="LAR60" s="117"/>
      <c r="LAS60" s="4"/>
      <c r="LAT60" s="126"/>
      <c r="LAU60" s="127"/>
      <c r="LAV60" s="121"/>
      <c r="LAW60" s="5"/>
      <c r="LAX60" s="5"/>
      <c r="LAY60" s="124"/>
      <c r="LAZ60" s="121"/>
      <c r="LBA60" s="125"/>
      <c r="LBB60" s="5"/>
      <c r="LBC60" s="117"/>
      <c r="LBD60" s="4"/>
      <c r="LBE60" s="126"/>
      <c r="LBF60" s="127"/>
      <c r="LBG60" s="121"/>
      <c r="LBH60" s="5"/>
      <c r="LBI60" s="5"/>
      <c r="LBJ60" s="124"/>
      <c r="LBK60" s="121"/>
      <c r="LBL60" s="125"/>
      <c r="LBM60" s="5"/>
      <c r="LBN60" s="117"/>
      <c r="LBO60" s="4"/>
      <c r="LBP60" s="126"/>
      <c r="LBQ60" s="127"/>
      <c r="LBR60" s="121"/>
      <c r="LBS60" s="5"/>
      <c r="LBT60" s="5"/>
      <c r="LBU60" s="124"/>
      <c r="LBV60" s="121"/>
      <c r="LBW60" s="125"/>
      <c r="LBX60" s="5"/>
      <c r="LBY60" s="117"/>
      <c r="LBZ60" s="4"/>
      <c r="LCA60" s="126"/>
      <c r="LCB60" s="127"/>
      <c r="LCC60" s="121"/>
      <c r="LCD60" s="5"/>
      <c r="LCE60" s="5"/>
      <c r="LCF60" s="124"/>
      <c r="LCG60" s="121"/>
      <c r="LCH60" s="125"/>
      <c r="LCI60" s="5"/>
      <c r="LCJ60" s="117"/>
      <c r="LCK60" s="4"/>
      <c r="LCL60" s="126"/>
      <c r="LCM60" s="127"/>
      <c r="LCN60" s="121"/>
      <c r="LCO60" s="5"/>
      <c r="LCP60" s="5"/>
      <c r="LCQ60" s="124"/>
      <c r="LCR60" s="121"/>
      <c r="LCS60" s="125"/>
      <c r="LCT60" s="5"/>
      <c r="LCU60" s="117"/>
      <c r="LCV60" s="4"/>
      <c r="LCW60" s="126"/>
      <c r="LCX60" s="127"/>
      <c r="LCY60" s="121"/>
      <c r="LCZ60" s="5"/>
      <c r="LDA60" s="5"/>
      <c r="LDB60" s="124"/>
      <c r="LDC60" s="121"/>
      <c r="LDD60" s="125"/>
      <c r="LDE60" s="5"/>
      <c r="LDF60" s="117"/>
      <c r="LDG60" s="4"/>
      <c r="LDH60" s="126"/>
      <c r="LDI60" s="127"/>
      <c r="LDJ60" s="121"/>
      <c r="LDK60" s="5"/>
      <c r="LDL60" s="5"/>
      <c r="LDM60" s="124"/>
      <c r="LDN60" s="121"/>
      <c r="LDO60" s="125"/>
      <c r="LDP60" s="5"/>
      <c r="LDQ60" s="117"/>
      <c r="LDR60" s="4"/>
      <c r="LDS60" s="126"/>
      <c r="LDT60" s="127"/>
      <c r="LDU60" s="121"/>
      <c r="LDV60" s="5"/>
      <c r="LDW60" s="5"/>
      <c r="LDX60" s="124"/>
      <c r="LDY60" s="121"/>
      <c r="LDZ60" s="125"/>
      <c r="LEA60" s="5"/>
      <c r="LEB60" s="117"/>
      <c r="LEC60" s="4"/>
      <c r="LED60" s="126"/>
      <c r="LEE60" s="127"/>
      <c r="LEF60" s="121"/>
      <c r="LEG60" s="5"/>
      <c r="LEH60" s="5"/>
      <c r="LEI60" s="124"/>
      <c r="LEJ60" s="121"/>
      <c r="LEK60" s="125"/>
      <c r="LEL60" s="5"/>
      <c r="LEM60" s="117"/>
      <c r="LEN60" s="4"/>
      <c r="LEO60" s="126"/>
      <c r="LEP60" s="127"/>
      <c r="LEQ60" s="121"/>
      <c r="LER60" s="5"/>
      <c r="LES60" s="5"/>
      <c r="LET60" s="124"/>
      <c r="LEU60" s="121"/>
      <c r="LEV60" s="125"/>
      <c r="LEW60" s="5"/>
      <c r="LEX60" s="117"/>
      <c r="LEY60" s="4"/>
      <c r="LEZ60" s="126"/>
      <c r="LFA60" s="127"/>
      <c r="LFB60" s="121"/>
      <c r="LFC60" s="5"/>
      <c r="LFD60" s="5"/>
      <c r="LFE60" s="124"/>
      <c r="LFF60" s="121"/>
      <c r="LFG60" s="125"/>
      <c r="LFH60" s="5"/>
      <c r="LFI60" s="117"/>
      <c r="LFJ60" s="4"/>
      <c r="LFK60" s="126"/>
      <c r="LFL60" s="127"/>
      <c r="LFM60" s="121"/>
      <c r="LFN60" s="5"/>
      <c r="LFO60" s="5"/>
      <c r="LFP60" s="124"/>
      <c r="LFQ60" s="121"/>
      <c r="LFR60" s="125"/>
      <c r="LFS60" s="5"/>
      <c r="LFT60" s="117"/>
      <c r="LFU60" s="4"/>
      <c r="LFV60" s="126"/>
      <c r="LFW60" s="127"/>
      <c r="LFX60" s="121"/>
      <c r="LFY60" s="5"/>
      <c r="LFZ60" s="5"/>
      <c r="LGA60" s="124"/>
      <c r="LGB60" s="121"/>
      <c r="LGC60" s="125"/>
      <c r="LGD60" s="5"/>
      <c r="LGE60" s="117"/>
      <c r="LGF60" s="4"/>
      <c r="LGG60" s="126"/>
      <c r="LGH60" s="127"/>
      <c r="LGI60" s="121"/>
      <c r="LGJ60" s="5"/>
      <c r="LGK60" s="5"/>
      <c r="LGL60" s="124"/>
      <c r="LGM60" s="121"/>
      <c r="LGN60" s="125"/>
      <c r="LGO60" s="5"/>
      <c r="LGP60" s="117"/>
      <c r="LGQ60" s="4"/>
      <c r="LGR60" s="126"/>
      <c r="LGS60" s="127"/>
      <c r="LGT60" s="121"/>
      <c r="LGU60" s="5"/>
      <c r="LGV60" s="5"/>
      <c r="LGW60" s="124"/>
      <c r="LGX60" s="121"/>
      <c r="LGY60" s="125"/>
      <c r="LGZ60" s="5"/>
      <c r="LHA60" s="117"/>
      <c r="LHB60" s="4"/>
      <c r="LHC60" s="126"/>
      <c r="LHD60" s="127"/>
      <c r="LHE60" s="121"/>
      <c r="LHF60" s="5"/>
      <c r="LHG60" s="5"/>
      <c r="LHH60" s="124"/>
      <c r="LHI60" s="121"/>
      <c r="LHJ60" s="125"/>
      <c r="LHK60" s="5"/>
      <c r="LHL60" s="117"/>
      <c r="LHM60" s="4"/>
      <c r="LHN60" s="126"/>
      <c r="LHO60" s="127"/>
      <c r="LHP60" s="121"/>
      <c r="LHQ60" s="5"/>
      <c r="LHR60" s="5"/>
      <c r="LHS60" s="124"/>
      <c r="LHT60" s="121"/>
      <c r="LHU60" s="125"/>
      <c r="LHV60" s="5"/>
      <c r="LHW60" s="117"/>
      <c r="LHX60" s="4"/>
      <c r="LHY60" s="126"/>
      <c r="LHZ60" s="127"/>
      <c r="LIA60" s="121"/>
      <c r="LIB60" s="5"/>
      <c r="LIC60" s="5"/>
      <c r="LID60" s="124"/>
      <c r="LIE60" s="121"/>
      <c r="LIF60" s="125"/>
      <c r="LIG60" s="5"/>
      <c r="LIH60" s="117"/>
      <c r="LII60" s="4"/>
      <c r="LIJ60" s="126"/>
      <c r="LIK60" s="127"/>
      <c r="LIL60" s="121"/>
      <c r="LIM60" s="5"/>
      <c r="LIN60" s="5"/>
      <c r="LIO60" s="124"/>
      <c r="LIP60" s="121"/>
      <c r="LIQ60" s="125"/>
      <c r="LIR60" s="5"/>
      <c r="LIS60" s="117"/>
      <c r="LIT60" s="4"/>
      <c r="LIU60" s="126"/>
      <c r="LIV60" s="127"/>
      <c r="LIW60" s="121"/>
      <c r="LIX60" s="5"/>
      <c r="LIY60" s="5"/>
      <c r="LIZ60" s="124"/>
      <c r="LJA60" s="121"/>
      <c r="LJB60" s="125"/>
      <c r="LJC60" s="5"/>
      <c r="LJD60" s="117"/>
      <c r="LJE60" s="4"/>
      <c r="LJF60" s="126"/>
      <c r="LJG60" s="127"/>
      <c r="LJH60" s="121"/>
      <c r="LJI60" s="5"/>
      <c r="LJJ60" s="5"/>
      <c r="LJK60" s="124"/>
      <c r="LJL60" s="121"/>
      <c r="LJM60" s="125"/>
      <c r="LJN60" s="5"/>
      <c r="LJO60" s="117"/>
      <c r="LJP60" s="4"/>
      <c r="LJQ60" s="126"/>
      <c r="LJR60" s="127"/>
      <c r="LJS60" s="121"/>
      <c r="LJT60" s="5"/>
      <c r="LJU60" s="5"/>
      <c r="LJV60" s="124"/>
      <c r="LJW60" s="121"/>
      <c r="LJX60" s="125"/>
      <c r="LJY60" s="5"/>
      <c r="LJZ60" s="117"/>
      <c r="LKA60" s="4"/>
      <c r="LKB60" s="126"/>
      <c r="LKC60" s="127"/>
      <c r="LKD60" s="121"/>
      <c r="LKE60" s="5"/>
      <c r="LKF60" s="5"/>
      <c r="LKG60" s="124"/>
      <c r="LKH60" s="121"/>
      <c r="LKI60" s="125"/>
      <c r="LKJ60" s="5"/>
      <c r="LKK60" s="117"/>
      <c r="LKL60" s="4"/>
      <c r="LKM60" s="126"/>
      <c r="LKN60" s="127"/>
      <c r="LKO60" s="121"/>
      <c r="LKP60" s="5"/>
      <c r="LKQ60" s="5"/>
      <c r="LKR60" s="124"/>
      <c r="LKS60" s="121"/>
      <c r="LKT60" s="125"/>
      <c r="LKU60" s="5"/>
      <c r="LKV60" s="117"/>
      <c r="LKW60" s="4"/>
      <c r="LKX60" s="126"/>
      <c r="LKY60" s="127"/>
      <c r="LKZ60" s="121"/>
      <c r="LLA60" s="5"/>
      <c r="LLB60" s="5"/>
      <c r="LLC60" s="124"/>
      <c r="LLD60" s="121"/>
      <c r="LLE60" s="125"/>
      <c r="LLF60" s="5"/>
      <c r="LLG60" s="117"/>
      <c r="LLH60" s="4"/>
      <c r="LLI60" s="126"/>
      <c r="LLJ60" s="127"/>
      <c r="LLK60" s="121"/>
      <c r="LLL60" s="5"/>
      <c r="LLM60" s="5"/>
      <c r="LLN60" s="124"/>
      <c r="LLO60" s="121"/>
      <c r="LLP60" s="125"/>
      <c r="LLQ60" s="5"/>
      <c r="LLR60" s="117"/>
      <c r="LLS60" s="4"/>
      <c r="LLT60" s="126"/>
      <c r="LLU60" s="127"/>
      <c r="LLV60" s="121"/>
      <c r="LLW60" s="5"/>
      <c r="LLX60" s="5"/>
      <c r="LLY60" s="124"/>
      <c r="LLZ60" s="121"/>
      <c r="LMA60" s="125"/>
      <c r="LMB60" s="5"/>
      <c r="LMC60" s="117"/>
      <c r="LMD60" s="4"/>
      <c r="LME60" s="126"/>
      <c r="LMF60" s="127"/>
      <c r="LMG60" s="121"/>
      <c r="LMH60" s="5"/>
      <c r="LMI60" s="5"/>
      <c r="LMJ60" s="124"/>
      <c r="LMK60" s="121"/>
      <c r="LML60" s="125"/>
      <c r="LMM60" s="5"/>
      <c r="LMN60" s="117"/>
      <c r="LMO60" s="4"/>
      <c r="LMP60" s="126"/>
      <c r="LMQ60" s="127"/>
      <c r="LMR60" s="121"/>
      <c r="LMS60" s="5"/>
      <c r="LMT60" s="5"/>
      <c r="LMU60" s="124"/>
      <c r="LMV60" s="121"/>
      <c r="LMW60" s="125"/>
      <c r="LMX60" s="5"/>
      <c r="LMY60" s="117"/>
      <c r="LMZ60" s="4"/>
      <c r="LNA60" s="126"/>
      <c r="LNB60" s="127"/>
      <c r="LNC60" s="121"/>
      <c r="LND60" s="5"/>
      <c r="LNE60" s="5"/>
      <c r="LNF60" s="124"/>
      <c r="LNG60" s="121"/>
      <c r="LNH60" s="125"/>
      <c r="LNI60" s="5"/>
      <c r="LNJ60" s="117"/>
      <c r="LNK60" s="4"/>
      <c r="LNL60" s="126"/>
      <c r="LNM60" s="127"/>
      <c r="LNN60" s="121"/>
      <c r="LNO60" s="5"/>
      <c r="LNP60" s="5"/>
      <c r="LNQ60" s="124"/>
      <c r="LNR60" s="121"/>
      <c r="LNS60" s="125"/>
      <c r="LNT60" s="5"/>
      <c r="LNU60" s="117"/>
      <c r="LNV60" s="4"/>
      <c r="LNW60" s="126"/>
      <c r="LNX60" s="127"/>
      <c r="LNY60" s="121"/>
      <c r="LNZ60" s="5"/>
      <c r="LOA60" s="5"/>
      <c r="LOB60" s="124"/>
      <c r="LOC60" s="121"/>
      <c r="LOD60" s="125"/>
      <c r="LOE60" s="5"/>
      <c r="LOF60" s="117"/>
      <c r="LOG60" s="4"/>
      <c r="LOH60" s="126"/>
      <c r="LOI60" s="127"/>
      <c r="LOJ60" s="121"/>
      <c r="LOK60" s="5"/>
      <c r="LOL60" s="5"/>
      <c r="LOM60" s="124"/>
      <c r="LON60" s="121"/>
      <c r="LOO60" s="125"/>
      <c r="LOP60" s="5"/>
      <c r="LOQ60" s="117"/>
      <c r="LOR60" s="4"/>
      <c r="LOS60" s="126"/>
      <c r="LOT60" s="127"/>
      <c r="LOU60" s="121"/>
      <c r="LOV60" s="5"/>
      <c r="LOW60" s="5"/>
      <c r="LOX60" s="124"/>
      <c r="LOY60" s="121"/>
      <c r="LOZ60" s="125"/>
      <c r="LPA60" s="5"/>
      <c r="LPB60" s="117"/>
      <c r="LPC60" s="4"/>
      <c r="LPD60" s="126"/>
      <c r="LPE60" s="127"/>
      <c r="LPF60" s="121"/>
      <c r="LPG60" s="5"/>
      <c r="LPH60" s="5"/>
      <c r="LPI60" s="124"/>
      <c r="LPJ60" s="121"/>
      <c r="LPK60" s="125"/>
      <c r="LPL60" s="5"/>
      <c r="LPM60" s="117"/>
      <c r="LPN60" s="4"/>
      <c r="LPO60" s="126"/>
      <c r="LPP60" s="127"/>
      <c r="LPQ60" s="121"/>
      <c r="LPR60" s="5"/>
      <c r="LPS60" s="5"/>
      <c r="LPT60" s="124"/>
      <c r="LPU60" s="121"/>
      <c r="LPV60" s="125"/>
      <c r="LPW60" s="5"/>
      <c r="LPX60" s="117"/>
      <c r="LPY60" s="4"/>
      <c r="LPZ60" s="126"/>
      <c r="LQA60" s="127"/>
      <c r="LQB60" s="121"/>
      <c r="LQC60" s="5"/>
      <c r="LQD60" s="5"/>
      <c r="LQE60" s="124"/>
      <c r="LQF60" s="121"/>
      <c r="LQG60" s="125"/>
      <c r="LQH60" s="5"/>
      <c r="LQI60" s="117"/>
      <c r="LQJ60" s="4"/>
      <c r="LQK60" s="126"/>
      <c r="LQL60" s="127"/>
      <c r="LQM60" s="121"/>
      <c r="LQN60" s="5"/>
      <c r="LQO60" s="5"/>
      <c r="LQP60" s="124"/>
      <c r="LQQ60" s="121"/>
      <c r="LQR60" s="125"/>
      <c r="LQS60" s="5"/>
      <c r="LQT60" s="117"/>
      <c r="LQU60" s="4"/>
      <c r="LQV60" s="126"/>
      <c r="LQW60" s="127"/>
      <c r="LQX60" s="121"/>
      <c r="LQY60" s="5"/>
      <c r="LQZ60" s="5"/>
      <c r="LRA60" s="124"/>
      <c r="LRB60" s="121"/>
      <c r="LRC60" s="125"/>
      <c r="LRD60" s="5"/>
      <c r="LRE60" s="117"/>
      <c r="LRF60" s="4"/>
      <c r="LRG60" s="126"/>
      <c r="LRH60" s="127"/>
      <c r="LRI60" s="121"/>
      <c r="LRJ60" s="5"/>
      <c r="LRK60" s="5"/>
      <c r="LRL60" s="124"/>
      <c r="LRM60" s="121"/>
      <c r="LRN60" s="125"/>
      <c r="LRO60" s="5"/>
      <c r="LRP60" s="117"/>
      <c r="LRQ60" s="4"/>
      <c r="LRR60" s="126"/>
      <c r="LRS60" s="127"/>
      <c r="LRT60" s="121"/>
      <c r="LRU60" s="5"/>
      <c r="LRV60" s="5"/>
      <c r="LRW60" s="124"/>
      <c r="LRX60" s="121"/>
      <c r="LRY60" s="125"/>
      <c r="LRZ60" s="5"/>
      <c r="LSA60" s="117"/>
      <c r="LSB60" s="4"/>
      <c r="LSC60" s="126"/>
      <c r="LSD60" s="127"/>
      <c r="LSE60" s="121"/>
      <c r="LSF60" s="5"/>
      <c r="LSG60" s="5"/>
      <c r="LSH60" s="124"/>
      <c r="LSI60" s="121"/>
      <c r="LSJ60" s="125"/>
      <c r="LSK60" s="5"/>
      <c r="LSL60" s="117"/>
      <c r="LSM60" s="4"/>
      <c r="LSN60" s="126"/>
      <c r="LSO60" s="127"/>
      <c r="LSP60" s="121"/>
      <c r="LSQ60" s="5"/>
      <c r="LSR60" s="5"/>
      <c r="LSS60" s="124"/>
      <c r="LST60" s="121"/>
      <c r="LSU60" s="125"/>
      <c r="LSV60" s="5"/>
      <c r="LSW60" s="117"/>
      <c r="LSX60" s="4"/>
      <c r="LSY60" s="126"/>
      <c r="LSZ60" s="127"/>
      <c r="LTA60" s="121"/>
      <c r="LTB60" s="5"/>
      <c r="LTC60" s="5"/>
      <c r="LTD60" s="124"/>
      <c r="LTE60" s="121"/>
      <c r="LTF60" s="125"/>
      <c r="LTG60" s="5"/>
      <c r="LTH60" s="117"/>
      <c r="LTI60" s="4"/>
      <c r="LTJ60" s="126"/>
      <c r="LTK60" s="127"/>
      <c r="LTL60" s="121"/>
      <c r="LTM60" s="5"/>
      <c r="LTN60" s="5"/>
      <c r="LTO60" s="124"/>
      <c r="LTP60" s="121"/>
      <c r="LTQ60" s="125"/>
      <c r="LTR60" s="5"/>
      <c r="LTS60" s="117"/>
      <c r="LTT60" s="4"/>
      <c r="LTU60" s="126"/>
      <c r="LTV60" s="127"/>
      <c r="LTW60" s="121"/>
      <c r="LTX60" s="5"/>
      <c r="LTY60" s="5"/>
      <c r="LTZ60" s="124"/>
      <c r="LUA60" s="121"/>
      <c r="LUB60" s="125"/>
      <c r="LUC60" s="5"/>
      <c r="LUD60" s="117"/>
      <c r="LUE60" s="4"/>
      <c r="LUF60" s="126"/>
      <c r="LUG60" s="127"/>
      <c r="LUH60" s="121"/>
      <c r="LUI60" s="5"/>
      <c r="LUJ60" s="5"/>
      <c r="LUK60" s="124"/>
      <c r="LUL60" s="121"/>
      <c r="LUM60" s="125"/>
      <c r="LUN60" s="5"/>
      <c r="LUO60" s="117"/>
      <c r="LUP60" s="4"/>
      <c r="LUQ60" s="126"/>
      <c r="LUR60" s="127"/>
      <c r="LUS60" s="121"/>
      <c r="LUT60" s="5"/>
      <c r="LUU60" s="5"/>
      <c r="LUV60" s="124"/>
      <c r="LUW60" s="121"/>
      <c r="LUX60" s="125"/>
      <c r="LUY60" s="5"/>
      <c r="LUZ60" s="117"/>
      <c r="LVA60" s="4"/>
      <c r="LVB60" s="126"/>
      <c r="LVC60" s="127"/>
      <c r="LVD60" s="121"/>
      <c r="LVE60" s="5"/>
      <c r="LVF60" s="5"/>
      <c r="LVG60" s="124"/>
      <c r="LVH60" s="121"/>
      <c r="LVI60" s="125"/>
      <c r="LVJ60" s="5"/>
      <c r="LVK60" s="117"/>
      <c r="LVL60" s="4"/>
      <c r="LVM60" s="126"/>
      <c r="LVN60" s="127"/>
      <c r="LVO60" s="121"/>
      <c r="LVP60" s="5"/>
      <c r="LVQ60" s="5"/>
      <c r="LVR60" s="124"/>
      <c r="LVS60" s="121"/>
      <c r="LVT60" s="125"/>
      <c r="LVU60" s="5"/>
      <c r="LVV60" s="117"/>
      <c r="LVW60" s="4"/>
      <c r="LVX60" s="126"/>
      <c r="LVY60" s="127"/>
      <c r="LVZ60" s="121"/>
      <c r="LWA60" s="5"/>
      <c r="LWB60" s="5"/>
      <c r="LWC60" s="124"/>
      <c r="LWD60" s="121"/>
      <c r="LWE60" s="125"/>
      <c r="LWF60" s="5"/>
      <c r="LWG60" s="117"/>
      <c r="LWH60" s="4"/>
      <c r="LWI60" s="126"/>
      <c r="LWJ60" s="127"/>
      <c r="LWK60" s="121"/>
      <c r="LWL60" s="5"/>
      <c r="LWM60" s="5"/>
      <c r="LWN60" s="124"/>
      <c r="LWO60" s="121"/>
      <c r="LWP60" s="125"/>
      <c r="LWQ60" s="5"/>
      <c r="LWR60" s="117"/>
      <c r="LWS60" s="4"/>
      <c r="LWT60" s="126"/>
      <c r="LWU60" s="127"/>
      <c r="LWV60" s="121"/>
      <c r="LWW60" s="5"/>
      <c r="LWX60" s="5"/>
      <c r="LWY60" s="124"/>
      <c r="LWZ60" s="121"/>
      <c r="LXA60" s="125"/>
      <c r="LXB60" s="5"/>
      <c r="LXC60" s="117"/>
      <c r="LXD60" s="4"/>
      <c r="LXE60" s="126"/>
      <c r="LXF60" s="127"/>
      <c r="LXG60" s="121"/>
      <c r="LXH60" s="5"/>
      <c r="LXI60" s="5"/>
      <c r="LXJ60" s="124"/>
      <c r="LXK60" s="121"/>
      <c r="LXL60" s="125"/>
      <c r="LXM60" s="5"/>
      <c r="LXN60" s="117"/>
      <c r="LXO60" s="4"/>
      <c r="LXP60" s="126"/>
      <c r="LXQ60" s="127"/>
      <c r="LXR60" s="121"/>
      <c r="LXS60" s="5"/>
      <c r="LXT60" s="5"/>
      <c r="LXU60" s="124"/>
      <c r="LXV60" s="121"/>
      <c r="LXW60" s="125"/>
      <c r="LXX60" s="5"/>
      <c r="LXY60" s="117"/>
      <c r="LXZ60" s="4"/>
      <c r="LYA60" s="126"/>
      <c r="LYB60" s="127"/>
      <c r="LYC60" s="121"/>
      <c r="LYD60" s="5"/>
      <c r="LYE60" s="5"/>
      <c r="LYF60" s="124"/>
      <c r="LYG60" s="121"/>
      <c r="LYH60" s="125"/>
      <c r="LYI60" s="5"/>
      <c r="LYJ60" s="117"/>
      <c r="LYK60" s="4"/>
      <c r="LYL60" s="126"/>
      <c r="LYM60" s="127"/>
      <c r="LYN60" s="121"/>
      <c r="LYO60" s="5"/>
      <c r="LYP60" s="5"/>
      <c r="LYQ60" s="124"/>
      <c r="LYR60" s="121"/>
      <c r="LYS60" s="125"/>
      <c r="LYT60" s="5"/>
      <c r="LYU60" s="117"/>
      <c r="LYV60" s="4"/>
      <c r="LYW60" s="126"/>
      <c r="LYX60" s="127"/>
      <c r="LYY60" s="121"/>
      <c r="LYZ60" s="5"/>
      <c r="LZA60" s="5"/>
      <c r="LZB60" s="124"/>
      <c r="LZC60" s="121"/>
      <c r="LZD60" s="125"/>
      <c r="LZE60" s="5"/>
      <c r="LZF60" s="117"/>
      <c r="LZG60" s="4"/>
      <c r="LZH60" s="126"/>
      <c r="LZI60" s="127"/>
      <c r="LZJ60" s="121"/>
      <c r="LZK60" s="5"/>
      <c r="LZL60" s="5"/>
      <c r="LZM60" s="124"/>
      <c r="LZN60" s="121"/>
      <c r="LZO60" s="125"/>
      <c r="LZP60" s="5"/>
      <c r="LZQ60" s="117"/>
      <c r="LZR60" s="4"/>
      <c r="LZS60" s="126"/>
      <c r="LZT60" s="127"/>
      <c r="LZU60" s="121"/>
      <c r="LZV60" s="5"/>
      <c r="LZW60" s="5"/>
      <c r="LZX60" s="124"/>
      <c r="LZY60" s="121"/>
      <c r="LZZ60" s="125"/>
      <c r="MAA60" s="5"/>
      <c r="MAB60" s="117"/>
      <c r="MAC60" s="4"/>
      <c r="MAD60" s="126"/>
      <c r="MAE60" s="127"/>
      <c r="MAF60" s="121"/>
      <c r="MAG60" s="5"/>
      <c r="MAH60" s="5"/>
      <c r="MAI60" s="124"/>
      <c r="MAJ60" s="121"/>
      <c r="MAK60" s="125"/>
      <c r="MAL60" s="5"/>
      <c r="MAM60" s="117"/>
      <c r="MAN60" s="4"/>
      <c r="MAO60" s="126"/>
      <c r="MAP60" s="127"/>
      <c r="MAQ60" s="121"/>
      <c r="MAR60" s="5"/>
      <c r="MAS60" s="5"/>
      <c r="MAT60" s="124"/>
      <c r="MAU60" s="121"/>
      <c r="MAV60" s="125"/>
      <c r="MAW60" s="5"/>
      <c r="MAX60" s="117"/>
      <c r="MAY60" s="4"/>
      <c r="MAZ60" s="126"/>
      <c r="MBA60" s="127"/>
      <c r="MBB60" s="121"/>
      <c r="MBC60" s="5"/>
      <c r="MBD60" s="5"/>
      <c r="MBE60" s="124"/>
      <c r="MBF60" s="121"/>
      <c r="MBG60" s="125"/>
      <c r="MBH60" s="5"/>
      <c r="MBI60" s="117"/>
      <c r="MBJ60" s="4"/>
      <c r="MBK60" s="126"/>
      <c r="MBL60" s="127"/>
      <c r="MBM60" s="121"/>
      <c r="MBN60" s="5"/>
      <c r="MBO60" s="5"/>
      <c r="MBP60" s="124"/>
      <c r="MBQ60" s="121"/>
      <c r="MBR60" s="125"/>
      <c r="MBS60" s="5"/>
      <c r="MBT60" s="117"/>
      <c r="MBU60" s="4"/>
      <c r="MBV60" s="126"/>
      <c r="MBW60" s="127"/>
      <c r="MBX60" s="121"/>
      <c r="MBY60" s="5"/>
      <c r="MBZ60" s="5"/>
      <c r="MCA60" s="124"/>
      <c r="MCB60" s="121"/>
      <c r="MCC60" s="125"/>
      <c r="MCD60" s="5"/>
      <c r="MCE60" s="117"/>
      <c r="MCF60" s="4"/>
      <c r="MCG60" s="126"/>
      <c r="MCH60" s="127"/>
      <c r="MCI60" s="121"/>
      <c r="MCJ60" s="5"/>
      <c r="MCK60" s="5"/>
      <c r="MCL60" s="124"/>
      <c r="MCM60" s="121"/>
      <c r="MCN60" s="125"/>
      <c r="MCO60" s="5"/>
      <c r="MCP60" s="117"/>
      <c r="MCQ60" s="4"/>
      <c r="MCR60" s="126"/>
      <c r="MCS60" s="127"/>
      <c r="MCT60" s="121"/>
      <c r="MCU60" s="5"/>
      <c r="MCV60" s="5"/>
      <c r="MCW60" s="124"/>
      <c r="MCX60" s="121"/>
      <c r="MCY60" s="125"/>
      <c r="MCZ60" s="5"/>
      <c r="MDA60" s="117"/>
      <c r="MDB60" s="4"/>
      <c r="MDC60" s="126"/>
      <c r="MDD60" s="127"/>
      <c r="MDE60" s="121"/>
      <c r="MDF60" s="5"/>
      <c r="MDG60" s="5"/>
      <c r="MDH60" s="124"/>
      <c r="MDI60" s="121"/>
      <c r="MDJ60" s="125"/>
      <c r="MDK60" s="5"/>
      <c r="MDL60" s="117"/>
      <c r="MDM60" s="4"/>
      <c r="MDN60" s="126"/>
      <c r="MDO60" s="127"/>
      <c r="MDP60" s="121"/>
      <c r="MDQ60" s="5"/>
      <c r="MDR60" s="5"/>
      <c r="MDS60" s="124"/>
      <c r="MDT60" s="121"/>
      <c r="MDU60" s="125"/>
      <c r="MDV60" s="5"/>
      <c r="MDW60" s="117"/>
      <c r="MDX60" s="4"/>
      <c r="MDY60" s="126"/>
      <c r="MDZ60" s="127"/>
      <c r="MEA60" s="121"/>
      <c r="MEB60" s="5"/>
      <c r="MEC60" s="5"/>
      <c r="MED60" s="124"/>
      <c r="MEE60" s="121"/>
      <c r="MEF60" s="125"/>
      <c r="MEG60" s="5"/>
      <c r="MEH60" s="117"/>
      <c r="MEI60" s="4"/>
      <c r="MEJ60" s="126"/>
      <c r="MEK60" s="127"/>
      <c r="MEL60" s="121"/>
      <c r="MEM60" s="5"/>
      <c r="MEN60" s="5"/>
      <c r="MEO60" s="124"/>
      <c r="MEP60" s="121"/>
      <c r="MEQ60" s="125"/>
      <c r="MER60" s="5"/>
      <c r="MES60" s="117"/>
      <c r="MET60" s="4"/>
      <c r="MEU60" s="126"/>
      <c r="MEV60" s="127"/>
      <c r="MEW60" s="121"/>
      <c r="MEX60" s="5"/>
      <c r="MEY60" s="5"/>
      <c r="MEZ60" s="124"/>
      <c r="MFA60" s="121"/>
      <c r="MFB60" s="125"/>
      <c r="MFC60" s="5"/>
      <c r="MFD60" s="117"/>
      <c r="MFE60" s="4"/>
      <c r="MFF60" s="126"/>
      <c r="MFG60" s="127"/>
      <c r="MFH60" s="121"/>
      <c r="MFI60" s="5"/>
      <c r="MFJ60" s="5"/>
      <c r="MFK60" s="124"/>
      <c r="MFL60" s="121"/>
      <c r="MFM60" s="125"/>
      <c r="MFN60" s="5"/>
      <c r="MFO60" s="117"/>
      <c r="MFP60" s="4"/>
      <c r="MFQ60" s="126"/>
      <c r="MFR60" s="127"/>
      <c r="MFS60" s="121"/>
      <c r="MFT60" s="5"/>
      <c r="MFU60" s="5"/>
      <c r="MFV60" s="124"/>
      <c r="MFW60" s="121"/>
      <c r="MFX60" s="125"/>
      <c r="MFY60" s="5"/>
      <c r="MFZ60" s="117"/>
      <c r="MGA60" s="4"/>
      <c r="MGB60" s="126"/>
      <c r="MGC60" s="127"/>
      <c r="MGD60" s="121"/>
      <c r="MGE60" s="5"/>
      <c r="MGF60" s="5"/>
      <c r="MGG60" s="124"/>
      <c r="MGH60" s="121"/>
      <c r="MGI60" s="125"/>
      <c r="MGJ60" s="5"/>
      <c r="MGK60" s="117"/>
      <c r="MGL60" s="4"/>
      <c r="MGM60" s="126"/>
      <c r="MGN60" s="127"/>
      <c r="MGO60" s="121"/>
      <c r="MGP60" s="5"/>
      <c r="MGQ60" s="5"/>
      <c r="MGR60" s="124"/>
      <c r="MGS60" s="121"/>
      <c r="MGT60" s="125"/>
      <c r="MGU60" s="5"/>
      <c r="MGV60" s="117"/>
      <c r="MGW60" s="4"/>
      <c r="MGX60" s="126"/>
      <c r="MGY60" s="127"/>
      <c r="MGZ60" s="121"/>
      <c r="MHA60" s="5"/>
      <c r="MHB60" s="5"/>
      <c r="MHC60" s="124"/>
      <c r="MHD60" s="121"/>
      <c r="MHE60" s="125"/>
      <c r="MHF60" s="5"/>
      <c r="MHG60" s="117"/>
      <c r="MHH60" s="4"/>
      <c r="MHI60" s="126"/>
      <c r="MHJ60" s="127"/>
      <c r="MHK60" s="121"/>
      <c r="MHL60" s="5"/>
      <c r="MHM60" s="5"/>
      <c r="MHN60" s="124"/>
      <c r="MHO60" s="121"/>
      <c r="MHP60" s="125"/>
      <c r="MHQ60" s="5"/>
      <c r="MHR60" s="117"/>
      <c r="MHS60" s="4"/>
      <c r="MHT60" s="126"/>
      <c r="MHU60" s="127"/>
      <c r="MHV60" s="121"/>
      <c r="MHW60" s="5"/>
      <c r="MHX60" s="5"/>
      <c r="MHY60" s="124"/>
      <c r="MHZ60" s="121"/>
      <c r="MIA60" s="125"/>
      <c r="MIB60" s="5"/>
      <c r="MIC60" s="117"/>
      <c r="MID60" s="4"/>
      <c r="MIE60" s="126"/>
      <c r="MIF60" s="127"/>
      <c r="MIG60" s="121"/>
      <c r="MIH60" s="5"/>
      <c r="MII60" s="5"/>
      <c r="MIJ60" s="124"/>
      <c r="MIK60" s="121"/>
      <c r="MIL60" s="125"/>
      <c r="MIM60" s="5"/>
      <c r="MIN60" s="117"/>
      <c r="MIO60" s="4"/>
      <c r="MIP60" s="126"/>
      <c r="MIQ60" s="127"/>
      <c r="MIR60" s="121"/>
      <c r="MIS60" s="5"/>
      <c r="MIT60" s="5"/>
      <c r="MIU60" s="124"/>
      <c r="MIV60" s="121"/>
      <c r="MIW60" s="125"/>
      <c r="MIX60" s="5"/>
      <c r="MIY60" s="117"/>
      <c r="MIZ60" s="4"/>
      <c r="MJA60" s="126"/>
      <c r="MJB60" s="127"/>
      <c r="MJC60" s="121"/>
      <c r="MJD60" s="5"/>
      <c r="MJE60" s="5"/>
      <c r="MJF60" s="124"/>
      <c r="MJG60" s="121"/>
      <c r="MJH60" s="125"/>
      <c r="MJI60" s="5"/>
      <c r="MJJ60" s="117"/>
      <c r="MJK60" s="4"/>
      <c r="MJL60" s="126"/>
      <c r="MJM60" s="127"/>
      <c r="MJN60" s="121"/>
      <c r="MJO60" s="5"/>
      <c r="MJP60" s="5"/>
      <c r="MJQ60" s="124"/>
      <c r="MJR60" s="121"/>
      <c r="MJS60" s="125"/>
      <c r="MJT60" s="5"/>
      <c r="MJU60" s="117"/>
      <c r="MJV60" s="4"/>
      <c r="MJW60" s="126"/>
      <c r="MJX60" s="127"/>
      <c r="MJY60" s="121"/>
      <c r="MJZ60" s="5"/>
      <c r="MKA60" s="5"/>
      <c r="MKB60" s="124"/>
      <c r="MKC60" s="121"/>
      <c r="MKD60" s="125"/>
      <c r="MKE60" s="5"/>
      <c r="MKF60" s="117"/>
      <c r="MKG60" s="4"/>
      <c r="MKH60" s="126"/>
      <c r="MKI60" s="127"/>
      <c r="MKJ60" s="121"/>
      <c r="MKK60" s="5"/>
      <c r="MKL60" s="5"/>
      <c r="MKM60" s="124"/>
      <c r="MKN60" s="121"/>
      <c r="MKO60" s="125"/>
      <c r="MKP60" s="5"/>
      <c r="MKQ60" s="117"/>
      <c r="MKR60" s="4"/>
      <c r="MKS60" s="126"/>
      <c r="MKT60" s="127"/>
      <c r="MKU60" s="121"/>
      <c r="MKV60" s="5"/>
      <c r="MKW60" s="5"/>
      <c r="MKX60" s="124"/>
      <c r="MKY60" s="121"/>
      <c r="MKZ60" s="125"/>
      <c r="MLA60" s="5"/>
      <c r="MLB60" s="117"/>
      <c r="MLC60" s="4"/>
      <c r="MLD60" s="126"/>
      <c r="MLE60" s="127"/>
      <c r="MLF60" s="121"/>
      <c r="MLG60" s="5"/>
      <c r="MLH60" s="5"/>
      <c r="MLI60" s="124"/>
      <c r="MLJ60" s="121"/>
      <c r="MLK60" s="125"/>
      <c r="MLL60" s="5"/>
      <c r="MLM60" s="117"/>
      <c r="MLN60" s="4"/>
      <c r="MLO60" s="126"/>
      <c r="MLP60" s="127"/>
      <c r="MLQ60" s="121"/>
      <c r="MLR60" s="5"/>
      <c r="MLS60" s="5"/>
      <c r="MLT60" s="124"/>
      <c r="MLU60" s="121"/>
      <c r="MLV60" s="125"/>
      <c r="MLW60" s="5"/>
      <c r="MLX60" s="117"/>
      <c r="MLY60" s="4"/>
      <c r="MLZ60" s="126"/>
      <c r="MMA60" s="127"/>
      <c r="MMB60" s="121"/>
      <c r="MMC60" s="5"/>
      <c r="MMD60" s="5"/>
      <c r="MME60" s="124"/>
      <c r="MMF60" s="121"/>
      <c r="MMG60" s="125"/>
      <c r="MMH60" s="5"/>
      <c r="MMI60" s="117"/>
      <c r="MMJ60" s="4"/>
      <c r="MMK60" s="126"/>
      <c r="MML60" s="127"/>
      <c r="MMM60" s="121"/>
      <c r="MMN60" s="5"/>
      <c r="MMO60" s="5"/>
      <c r="MMP60" s="124"/>
      <c r="MMQ60" s="121"/>
      <c r="MMR60" s="125"/>
      <c r="MMS60" s="5"/>
      <c r="MMT60" s="117"/>
      <c r="MMU60" s="4"/>
      <c r="MMV60" s="126"/>
      <c r="MMW60" s="127"/>
      <c r="MMX60" s="121"/>
      <c r="MMY60" s="5"/>
      <c r="MMZ60" s="5"/>
      <c r="MNA60" s="124"/>
      <c r="MNB60" s="121"/>
      <c r="MNC60" s="125"/>
      <c r="MND60" s="5"/>
      <c r="MNE60" s="117"/>
      <c r="MNF60" s="4"/>
      <c r="MNG60" s="126"/>
      <c r="MNH60" s="127"/>
      <c r="MNI60" s="121"/>
      <c r="MNJ60" s="5"/>
      <c r="MNK60" s="5"/>
      <c r="MNL60" s="124"/>
      <c r="MNM60" s="121"/>
      <c r="MNN60" s="125"/>
      <c r="MNO60" s="5"/>
      <c r="MNP60" s="117"/>
      <c r="MNQ60" s="4"/>
      <c r="MNR60" s="126"/>
      <c r="MNS60" s="127"/>
      <c r="MNT60" s="121"/>
      <c r="MNU60" s="5"/>
      <c r="MNV60" s="5"/>
      <c r="MNW60" s="124"/>
      <c r="MNX60" s="121"/>
      <c r="MNY60" s="125"/>
      <c r="MNZ60" s="5"/>
      <c r="MOA60" s="117"/>
      <c r="MOB60" s="4"/>
      <c r="MOC60" s="126"/>
      <c r="MOD60" s="127"/>
      <c r="MOE60" s="121"/>
      <c r="MOF60" s="5"/>
      <c r="MOG60" s="5"/>
      <c r="MOH60" s="124"/>
      <c r="MOI60" s="121"/>
      <c r="MOJ60" s="125"/>
      <c r="MOK60" s="5"/>
      <c r="MOL60" s="117"/>
      <c r="MOM60" s="4"/>
      <c r="MON60" s="126"/>
      <c r="MOO60" s="127"/>
      <c r="MOP60" s="121"/>
      <c r="MOQ60" s="5"/>
      <c r="MOR60" s="5"/>
      <c r="MOS60" s="124"/>
      <c r="MOT60" s="121"/>
      <c r="MOU60" s="125"/>
      <c r="MOV60" s="5"/>
      <c r="MOW60" s="117"/>
      <c r="MOX60" s="4"/>
      <c r="MOY60" s="126"/>
      <c r="MOZ60" s="127"/>
      <c r="MPA60" s="121"/>
      <c r="MPB60" s="5"/>
      <c r="MPC60" s="5"/>
      <c r="MPD60" s="124"/>
      <c r="MPE60" s="121"/>
      <c r="MPF60" s="125"/>
      <c r="MPG60" s="5"/>
      <c r="MPH60" s="117"/>
      <c r="MPI60" s="4"/>
      <c r="MPJ60" s="126"/>
      <c r="MPK60" s="127"/>
      <c r="MPL60" s="121"/>
      <c r="MPM60" s="5"/>
      <c r="MPN60" s="5"/>
      <c r="MPO60" s="124"/>
      <c r="MPP60" s="121"/>
      <c r="MPQ60" s="125"/>
      <c r="MPR60" s="5"/>
      <c r="MPS60" s="117"/>
      <c r="MPT60" s="4"/>
      <c r="MPU60" s="126"/>
      <c r="MPV60" s="127"/>
      <c r="MPW60" s="121"/>
      <c r="MPX60" s="5"/>
      <c r="MPY60" s="5"/>
      <c r="MPZ60" s="124"/>
      <c r="MQA60" s="121"/>
      <c r="MQB60" s="125"/>
      <c r="MQC60" s="5"/>
      <c r="MQD60" s="117"/>
      <c r="MQE60" s="4"/>
      <c r="MQF60" s="126"/>
      <c r="MQG60" s="127"/>
      <c r="MQH60" s="121"/>
      <c r="MQI60" s="5"/>
      <c r="MQJ60" s="5"/>
      <c r="MQK60" s="124"/>
      <c r="MQL60" s="121"/>
      <c r="MQM60" s="125"/>
      <c r="MQN60" s="5"/>
      <c r="MQO60" s="117"/>
      <c r="MQP60" s="4"/>
      <c r="MQQ60" s="126"/>
      <c r="MQR60" s="127"/>
      <c r="MQS60" s="121"/>
      <c r="MQT60" s="5"/>
      <c r="MQU60" s="5"/>
      <c r="MQV60" s="124"/>
      <c r="MQW60" s="121"/>
      <c r="MQX60" s="125"/>
      <c r="MQY60" s="5"/>
      <c r="MQZ60" s="117"/>
      <c r="MRA60" s="4"/>
      <c r="MRB60" s="126"/>
      <c r="MRC60" s="127"/>
      <c r="MRD60" s="121"/>
      <c r="MRE60" s="5"/>
      <c r="MRF60" s="5"/>
      <c r="MRG60" s="124"/>
      <c r="MRH60" s="121"/>
      <c r="MRI60" s="125"/>
      <c r="MRJ60" s="5"/>
      <c r="MRK60" s="117"/>
      <c r="MRL60" s="4"/>
      <c r="MRM60" s="126"/>
      <c r="MRN60" s="127"/>
      <c r="MRO60" s="121"/>
      <c r="MRP60" s="5"/>
      <c r="MRQ60" s="5"/>
      <c r="MRR60" s="124"/>
      <c r="MRS60" s="121"/>
      <c r="MRT60" s="125"/>
      <c r="MRU60" s="5"/>
      <c r="MRV60" s="117"/>
      <c r="MRW60" s="4"/>
      <c r="MRX60" s="126"/>
      <c r="MRY60" s="127"/>
      <c r="MRZ60" s="121"/>
      <c r="MSA60" s="5"/>
      <c r="MSB60" s="5"/>
      <c r="MSC60" s="124"/>
      <c r="MSD60" s="121"/>
      <c r="MSE60" s="125"/>
      <c r="MSF60" s="5"/>
      <c r="MSG60" s="117"/>
      <c r="MSH60" s="4"/>
      <c r="MSI60" s="126"/>
      <c r="MSJ60" s="127"/>
      <c r="MSK60" s="121"/>
      <c r="MSL60" s="5"/>
      <c r="MSM60" s="5"/>
      <c r="MSN60" s="124"/>
      <c r="MSO60" s="121"/>
      <c r="MSP60" s="125"/>
      <c r="MSQ60" s="5"/>
      <c r="MSR60" s="117"/>
      <c r="MSS60" s="4"/>
      <c r="MST60" s="126"/>
      <c r="MSU60" s="127"/>
      <c r="MSV60" s="121"/>
      <c r="MSW60" s="5"/>
      <c r="MSX60" s="5"/>
      <c r="MSY60" s="124"/>
      <c r="MSZ60" s="121"/>
      <c r="MTA60" s="125"/>
      <c r="MTB60" s="5"/>
      <c r="MTC60" s="117"/>
      <c r="MTD60" s="4"/>
      <c r="MTE60" s="126"/>
      <c r="MTF60" s="127"/>
      <c r="MTG60" s="121"/>
      <c r="MTH60" s="5"/>
      <c r="MTI60" s="5"/>
      <c r="MTJ60" s="124"/>
      <c r="MTK60" s="121"/>
      <c r="MTL60" s="125"/>
      <c r="MTM60" s="5"/>
      <c r="MTN60" s="117"/>
      <c r="MTO60" s="4"/>
      <c r="MTP60" s="126"/>
      <c r="MTQ60" s="127"/>
      <c r="MTR60" s="121"/>
      <c r="MTS60" s="5"/>
      <c r="MTT60" s="5"/>
      <c r="MTU60" s="124"/>
      <c r="MTV60" s="121"/>
      <c r="MTW60" s="125"/>
      <c r="MTX60" s="5"/>
      <c r="MTY60" s="117"/>
      <c r="MTZ60" s="4"/>
      <c r="MUA60" s="126"/>
      <c r="MUB60" s="127"/>
      <c r="MUC60" s="121"/>
      <c r="MUD60" s="5"/>
      <c r="MUE60" s="5"/>
      <c r="MUF60" s="124"/>
      <c r="MUG60" s="121"/>
      <c r="MUH60" s="125"/>
      <c r="MUI60" s="5"/>
      <c r="MUJ60" s="117"/>
      <c r="MUK60" s="4"/>
      <c r="MUL60" s="126"/>
      <c r="MUM60" s="127"/>
      <c r="MUN60" s="121"/>
      <c r="MUO60" s="5"/>
      <c r="MUP60" s="5"/>
      <c r="MUQ60" s="124"/>
      <c r="MUR60" s="121"/>
      <c r="MUS60" s="125"/>
      <c r="MUT60" s="5"/>
      <c r="MUU60" s="117"/>
      <c r="MUV60" s="4"/>
      <c r="MUW60" s="126"/>
      <c r="MUX60" s="127"/>
      <c r="MUY60" s="121"/>
      <c r="MUZ60" s="5"/>
      <c r="MVA60" s="5"/>
      <c r="MVB60" s="124"/>
      <c r="MVC60" s="121"/>
      <c r="MVD60" s="125"/>
      <c r="MVE60" s="5"/>
      <c r="MVF60" s="117"/>
      <c r="MVG60" s="4"/>
      <c r="MVH60" s="126"/>
      <c r="MVI60" s="127"/>
      <c r="MVJ60" s="121"/>
      <c r="MVK60" s="5"/>
      <c r="MVL60" s="5"/>
      <c r="MVM60" s="124"/>
      <c r="MVN60" s="121"/>
      <c r="MVO60" s="125"/>
      <c r="MVP60" s="5"/>
      <c r="MVQ60" s="117"/>
      <c r="MVR60" s="4"/>
      <c r="MVS60" s="126"/>
      <c r="MVT60" s="127"/>
      <c r="MVU60" s="121"/>
      <c r="MVV60" s="5"/>
      <c r="MVW60" s="5"/>
      <c r="MVX60" s="124"/>
      <c r="MVY60" s="121"/>
      <c r="MVZ60" s="125"/>
      <c r="MWA60" s="5"/>
      <c r="MWB60" s="117"/>
      <c r="MWC60" s="4"/>
      <c r="MWD60" s="126"/>
      <c r="MWE60" s="127"/>
      <c r="MWF60" s="121"/>
      <c r="MWG60" s="5"/>
      <c r="MWH60" s="5"/>
      <c r="MWI60" s="124"/>
      <c r="MWJ60" s="121"/>
      <c r="MWK60" s="125"/>
      <c r="MWL60" s="5"/>
      <c r="MWM60" s="117"/>
      <c r="MWN60" s="4"/>
      <c r="MWO60" s="126"/>
      <c r="MWP60" s="127"/>
      <c r="MWQ60" s="121"/>
      <c r="MWR60" s="5"/>
      <c r="MWS60" s="5"/>
      <c r="MWT60" s="124"/>
      <c r="MWU60" s="121"/>
      <c r="MWV60" s="125"/>
      <c r="MWW60" s="5"/>
      <c r="MWX60" s="117"/>
      <c r="MWY60" s="4"/>
      <c r="MWZ60" s="126"/>
      <c r="MXA60" s="127"/>
      <c r="MXB60" s="121"/>
      <c r="MXC60" s="5"/>
      <c r="MXD60" s="5"/>
      <c r="MXE60" s="124"/>
      <c r="MXF60" s="121"/>
      <c r="MXG60" s="125"/>
      <c r="MXH60" s="5"/>
      <c r="MXI60" s="117"/>
      <c r="MXJ60" s="4"/>
      <c r="MXK60" s="126"/>
      <c r="MXL60" s="127"/>
      <c r="MXM60" s="121"/>
      <c r="MXN60" s="5"/>
      <c r="MXO60" s="5"/>
      <c r="MXP60" s="124"/>
      <c r="MXQ60" s="121"/>
      <c r="MXR60" s="125"/>
      <c r="MXS60" s="5"/>
      <c r="MXT60" s="117"/>
      <c r="MXU60" s="4"/>
      <c r="MXV60" s="126"/>
      <c r="MXW60" s="127"/>
      <c r="MXX60" s="121"/>
      <c r="MXY60" s="5"/>
      <c r="MXZ60" s="5"/>
      <c r="MYA60" s="124"/>
      <c r="MYB60" s="121"/>
      <c r="MYC60" s="125"/>
      <c r="MYD60" s="5"/>
      <c r="MYE60" s="117"/>
      <c r="MYF60" s="4"/>
      <c r="MYG60" s="126"/>
      <c r="MYH60" s="127"/>
      <c r="MYI60" s="121"/>
      <c r="MYJ60" s="5"/>
      <c r="MYK60" s="5"/>
      <c r="MYL60" s="124"/>
      <c r="MYM60" s="121"/>
      <c r="MYN60" s="125"/>
      <c r="MYO60" s="5"/>
      <c r="MYP60" s="117"/>
      <c r="MYQ60" s="4"/>
      <c r="MYR60" s="126"/>
      <c r="MYS60" s="127"/>
      <c r="MYT60" s="121"/>
      <c r="MYU60" s="5"/>
      <c r="MYV60" s="5"/>
      <c r="MYW60" s="124"/>
      <c r="MYX60" s="121"/>
      <c r="MYY60" s="125"/>
      <c r="MYZ60" s="5"/>
      <c r="MZA60" s="117"/>
      <c r="MZB60" s="4"/>
      <c r="MZC60" s="126"/>
      <c r="MZD60" s="127"/>
      <c r="MZE60" s="121"/>
      <c r="MZF60" s="5"/>
      <c r="MZG60" s="5"/>
      <c r="MZH60" s="124"/>
      <c r="MZI60" s="121"/>
      <c r="MZJ60" s="125"/>
      <c r="MZK60" s="5"/>
      <c r="MZL60" s="117"/>
      <c r="MZM60" s="4"/>
      <c r="MZN60" s="126"/>
      <c r="MZO60" s="127"/>
      <c r="MZP60" s="121"/>
      <c r="MZQ60" s="5"/>
      <c r="MZR60" s="5"/>
      <c r="MZS60" s="124"/>
      <c r="MZT60" s="121"/>
      <c r="MZU60" s="125"/>
      <c r="MZV60" s="5"/>
      <c r="MZW60" s="117"/>
      <c r="MZX60" s="4"/>
      <c r="MZY60" s="126"/>
      <c r="MZZ60" s="127"/>
      <c r="NAA60" s="121"/>
      <c r="NAB60" s="5"/>
      <c r="NAC60" s="5"/>
      <c r="NAD60" s="124"/>
      <c r="NAE60" s="121"/>
      <c r="NAF60" s="125"/>
      <c r="NAG60" s="5"/>
      <c r="NAH60" s="117"/>
      <c r="NAI60" s="4"/>
      <c r="NAJ60" s="126"/>
      <c r="NAK60" s="127"/>
      <c r="NAL60" s="121"/>
      <c r="NAM60" s="5"/>
      <c r="NAN60" s="5"/>
      <c r="NAO60" s="124"/>
      <c r="NAP60" s="121"/>
      <c r="NAQ60" s="125"/>
      <c r="NAR60" s="5"/>
      <c r="NAS60" s="117"/>
      <c r="NAT60" s="4"/>
      <c r="NAU60" s="126"/>
      <c r="NAV60" s="127"/>
      <c r="NAW60" s="121"/>
      <c r="NAX60" s="5"/>
      <c r="NAY60" s="5"/>
      <c r="NAZ60" s="124"/>
      <c r="NBA60" s="121"/>
      <c r="NBB60" s="125"/>
      <c r="NBC60" s="5"/>
      <c r="NBD60" s="117"/>
      <c r="NBE60" s="4"/>
      <c r="NBF60" s="126"/>
      <c r="NBG60" s="127"/>
      <c r="NBH60" s="121"/>
      <c r="NBI60" s="5"/>
      <c r="NBJ60" s="5"/>
      <c r="NBK60" s="124"/>
      <c r="NBL60" s="121"/>
      <c r="NBM60" s="125"/>
      <c r="NBN60" s="5"/>
      <c r="NBO60" s="117"/>
      <c r="NBP60" s="4"/>
      <c r="NBQ60" s="126"/>
      <c r="NBR60" s="127"/>
      <c r="NBS60" s="121"/>
      <c r="NBT60" s="5"/>
      <c r="NBU60" s="5"/>
      <c r="NBV60" s="124"/>
      <c r="NBW60" s="121"/>
      <c r="NBX60" s="125"/>
      <c r="NBY60" s="5"/>
      <c r="NBZ60" s="117"/>
      <c r="NCA60" s="4"/>
      <c r="NCB60" s="126"/>
      <c r="NCC60" s="127"/>
      <c r="NCD60" s="121"/>
      <c r="NCE60" s="5"/>
      <c r="NCF60" s="5"/>
      <c r="NCG60" s="124"/>
      <c r="NCH60" s="121"/>
      <c r="NCI60" s="125"/>
      <c r="NCJ60" s="5"/>
      <c r="NCK60" s="117"/>
      <c r="NCL60" s="4"/>
      <c r="NCM60" s="126"/>
      <c r="NCN60" s="127"/>
      <c r="NCO60" s="121"/>
      <c r="NCP60" s="5"/>
      <c r="NCQ60" s="5"/>
      <c r="NCR60" s="124"/>
      <c r="NCS60" s="121"/>
      <c r="NCT60" s="125"/>
      <c r="NCU60" s="5"/>
      <c r="NCV60" s="117"/>
      <c r="NCW60" s="4"/>
      <c r="NCX60" s="126"/>
      <c r="NCY60" s="127"/>
      <c r="NCZ60" s="121"/>
      <c r="NDA60" s="5"/>
      <c r="NDB60" s="5"/>
      <c r="NDC60" s="124"/>
      <c r="NDD60" s="121"/>
      <c r="NDE60" s="125"/>
      <c r="NDF60" s="5"/>
      <c r="NDG60" s="117"/>
      <c r="NDH60" s="4"/>
      <c r="NDI60" s="126"/>
      <c r="NDJ60" s="127"/>
      <c r="NDK60" s="121"/>
      <c r="NDL60" s="5"/>
      <c r="NDM60" s="5"/>
      <c r="NDN60" s="124"/>
      <c r="NDO60" s="121"/>
      <c r="NDP60" s="125"/>
      <c r="NDQ60" s="5"/>
      <c r="NDR60" s="117"/>
      <c r="NDS60" s="4"/>
      <c r="NDT60" s="126"/>
      <c r="NDU60" s="127"/>
      <c r="NDV60" s="121"/>
      <c r="NDW60" s="5"/>
      <c r="NDX60" s="5"/>
      <c r="NDY60" s="124"/>
      <c r="NDZ60" s="121"/>
      <c r="NEA60" s="125"/>
      <c r="NEB60" s="5"/>
      <c r="NEC60" s="117"/>
      <c r="NED60" s="4"/>
      <c r="NEE60" s="126"/>
      <c r="NEF60" s="127"/>
      <c r="NEG60" s="121"/>
      <c r="NEH60" s="5"/>
      <c r="NEI60" s="5"/>
      <c r="NEJ60" s="124"/>
      <c r="NEK60" s="121"/>
      <c r="NEL60" s="125"/>
      <c r="NEM60" s="5"/>
      <c r="NEN60" s="117"/>
      <c r="NEO60" s="4"/>
      <c r="NEP60" s="126"/>
      <c r="NEQ60" s="127"/>
      <c r="NER60" s="121"/>
      <c r="NES60" s="5"/>
      <c r="NET60" s="5"/>
      <c r="NEU60" s="124"/>
      <c r="NEV60" s="121"/>
      <c r="NEW60" s="125"/>
      <c r="NEX60" s="5"/>
      <c r="NEY60" s="117"/>
      <c r="NEZ60" s="4"/>
      <c r="NFA60" s="126"/>
      <c r="NFB60" s="127"/>
      <c r="NFC60" s="121"/>
      <c r="NFD60" s="5"/>
      <c r="NFE60" s="5"/>
      <c r="NFF60" s="124"/>
      <c r="NFG60" s="121"/>
      <c r="NFH60" s="125"/>
      <c r="NFI60" s="5"/>
      <c r="NFJ60" s="117"/>
      <c r="NFK60" s="4"/>
      <c r="NFL60" s="126"/>
      <c r="NFM60" s="127"/>
      <c r="NFN60" s="121"/>
      <c r="NFO60" s="5"/>
      <c r="NFP60" s="5"/>
      <c r="NFQ60" s="124"/>
      <c r="NFR60" s="121"/>
      <c r="NFS60" s="125"/>
      <c r="NFT60" s="5"/>
      <c r="NFU60" s="117"/>
      <c r="NFV60" s="4"/>
      <c r="NFW60" s="126"/>
      <c r="NFX60" s="127"/>
      <c r="NFY60" s="121"/>
      <c r="NFZ60" s="5"/>
      <c r="NGA60" s="5"/>
      <c r="NGB60" s="124"/>
      <c r="NGC60" s="121"/>
      <c r="NGD60" s="125"/>
      <c r="NGE60" s="5"/>
      <c r="NGF60" s="117"/>
      <c r="NGG60" s="4"/>
      <c r="NGH60" s="126"/>
      <c r="NGI60" s="127"/>
      <c r="NGJ60" s="121"/>
      <c r="NGK60" s="5"/>
      <c r="NGL60" s="5"/>
      <c r="NGM60" s="124"/>
      <c r="NGN60" s="121"/>
      <c r="NGO60" s="125"/>
      <c r="NGP60" s="5"/>
      <c r="NGQ60" s="117"/>
      <c r="NGR60" s="4"/>
      <c r="NGS60" s="126"/>
      <c r="NGT60" s="127"/>
      <c r="NGU60" s="121"/>
      <c r="NGV60" s="5"/>
      <c r="NGW60" s="5"/>
      <c r="NGX60" s="124"/>
      <c r="NGY60" s="121"/>
      <c r="NGZ60" s="125"/>
      <c r="NHA60" s="5"/>
      <c r="NHB60" s="117"/>
      <c r="NHC60" s="4"/>
      <c r="NHD60" s="126"/>
      <c r="NHE60" s="127"/>
      <c r="NHF60" s="121"/>
      <c r="NHG60" s="5"/>
      <c r="NHH60" s="5"/>
      <c r="NHI60" s="124"/>
      <c r="NHJ60" s="121"/>
      <c r="NHK60" s="125"/>
      <c r="NHL60" s="5"/>
      <c r="NHM60" s="117"/>
      <c r="NHN60" s="4"/>
      <c r="NHO60" s="126"/>
      <c r="NHP60" s="127"/>
      <c r="NHQ60" s="121"/>
      <c r="NHR60" s="5"/>
      <c r="NHS60" s="5"/>
      <c r="NHT60" s="124"/>
      <c r="NHU60" s="121"/>
      <c r="NHV60" s="125"/>
      <c r="NHW60" s="5"/>
      <c r="NHX60" s="117"/>
      <c r="NHY60" s="4"/>
      <c r="NHZ60" s="126"/>
      <c r="NIA60" s="127"/>
      <c r="NIB60" s="121"/>
      <c r="NIC60" s="5"/>
      <c r="NID60" s="5"/>
      <c r="NIE60" s="124"/>
      <c r="NIF60" s="121"/>
      <c r="NIG60" s="125"/>
      <c r="NIH60" s="5"/>
      <c r="NII60" s="117"/>
      <c r="NIJ60" s="4"/>
      <c r="NIK60" s="126"/>
      <c r="NIL60" s="127"/>
      <c r="NIM60" s="121"/>
      <c r="NIN60" s="5"/>
      <c r="NIO60" s="5"/>
      <c r="NIP60" s="124"/>
      <c r="NIQ60" s="121"/>
      <c r="NIR60" s="125"/>
      <c r="NIS60" s="5"/>
      <c r="NIT60" s="117"/>
      <c r="NIU60" s="4"/>
      <c r="NIV60" s="126"/>
      <c r="NIW60" s="127"/>
      <c r="NIX60" s="121"/>
      <c r="NIY60" s="5"/>
      <c r="NIZ60" s="5"/>
      <c r="NJA60" s="124"/>
      <c r="NJB60" s="121"/>
      <c r="NJC60" s="125"/>
      <c r="NJD60" s="5"/>
      <c r="NJE60" s="117"/>
      <c r="NJF60" s="4"/>
      <c r="NJG60" s="126"/>
      <c r="NJH60" s="127"/>
      <c r="NJI60" s="121"/>
      <c r="NJJ60" s="5"/>
      <c r="NJK60" s="5"/>
      <c r="NJL60" s="124"/>
      <c r="NJM60" s="121"/>
      <c r="NJN60" s="125"/>
      <c r="NJO60" s="5"/>
      <c r="NJP60" s="117"/>
      <c r="NJQ60" s="4"/>
      <c r="NJR60" s="126"/>
      <c r="NJS60" s="127"/>
      <c r="NJT60" s="121"/>
      <c r="NJU60" s="5"/>
      <c r="NJV60" s="5"/>
      <c r="NJW60" s="124"/>
      <c r="NJX60" s="121"/>
      <c r="NJY60" s="125"/>
      <c r="NJZ60" s="5"/>
      <c r="NKA60" s="117"/>
      <c r="NKB60" s="4"/>
      <c r="NKC60" s="126"/>
      <c r="NKD60" s="127"/>
      <c r="NKE60" s="121"/>
      <c r="NKF60" s="5"/>
      <c r="NKG60" s="5"/>
      <c r="NKH60" s="124"/>
      <c r="NKI60" s="121"/>
      <c r="NKJ60" s="125"/>
      <c r="NKK60" s="5"/>
      <c r="NKL60" s="117"/>
      <c r="NKM60" s="4"/>
      <c r="NKN60" s="126"/>
      <c r="NKO60" s="127"/>
      <c r="NKP60" s="121"/>
      <c r="NKQ60" s="5"/>
      <c r="NKR60" s="5"/>
      <c r="NKS60" s="124"/>
      <c r="NKT60" s="121"/>
      <c r="NKU60" s="125"/>
      <c r="NKV60" s="5"/>
      <c r="NKW60" s="117"/>
      <c r="NKX60" s="4"/>
      <c r="NKY60" s="126"/>
      <c r="NKZ60" s="127"/>
      <c r="NLA60" s="121"/>
      <c r="NLB60" s="5"/>
      <c r="NLC60" s="5"/>
      <c r="NLD60" s="124"/>
      <c r="NLE60" s="121"/>
      <c r="NLF60" s="125"/>
      <c r="NLG60" s="5"/>
      <c r="NLH60" s="117"/>
      <c r="NLI60" s="4"/>
      <c r="NLJ60" s="126"/>
      <c r="NLK60" s="127"/>
      <c r="NLL60" s="121"/>
      <c r="NLM60" s="5"/>
      <c r="NLN60" s="5"/>
      <c r="NLO60" s="124"/>
      <c r="NLP60" s="121"/>
      <c r="NLQ60" s="125"/>
      <c r="NLR60" s="5"/>
      <c r="NLS60" s="117"/>
      <c r="NLT60" s="4"/>
      <c r="NLU60" s="126"/>
      <c r="NLV60" s="127"/>
      <c r="NLW60" s="121"/>
      <c r="NLX60" s="5"/>
      <c r="NLY60" s="5"/>
      <c r="NLZ60" s="124"/>
      <c r="NMA60" s="121"/>
      <c r="NMB60" s="125"/>
      <c r="NMC60" s="5"/>
      <c r="NMD60" s="117"/>
      <c r="NME60" s="4"/>
      <c r="NMF60" s="126"/>
      <c r="NMG60" s="127"/>
      <c r="NMH60" s="121"/>
      <c r="NMI60" s="5"/>
      <c r="NMJ60" s="5"/>
      <c r="NMK60" s="124"/>
      <c r="NML60" s="121"/>
      <c r="NMM60" s="125"/>
      <c r="NMN60" s="5"/>
      <c r="NMO60" s="117"/>
      <c r="NMP60" s="4"/>
      <c r="NMQ60" s="126"/>
      <c r="NMR60" s="127"/>
      <c r="NMS60" s="121"/>
      <c r="NMT60" s="5"/>
      <c r="NMU60" s="5"/>
      <c r="NMV60" s="124"/>
      <c r="NMW60" s="121"/>
      <c r="NMX60" s="125"/>
      <c r="NMY60" s="5"/>
      <c r="NMZ60" s="117"/>
      <c r="NNA60" s="4"/>
      <c r="NNB60" s="126"/>
      <c r="NNC60" s="127"/>
      <c r="NND60" s="121"/>
      <c r="NNE60" s="5"/>
      <c r="NNF60" s="5"/>
      <c r="NNG60" s="124"/>
      <c r="NNH60" s="121"/>
      <c r="NNI60" s="125"/>
      <c r="NNJ60" s="5"/>
      <c r="NNK60" s="117"/>
      <c r="NNL60" s="4"/>
      <c r="NNM60" s="126"/>
      <c r="NNN60" s="127"/>
      <c r="NNO60" s="121"/>
      <c r="NNP60" s="5"/>
      <c r="NNQ60" s="5"/>
      <c r="NNR60" s="124"/>
      <c r="NNS60" s="121"/>
      <c r="NNT60" s="125"/>
      <c r="NNU60" s="5"/>
      <c r="NNV60" s="117"/>
      <c r="NNW60" s="4"/>
      <c r="NNX60" s="126"/>
      <c r="NNY60" s="127"/>
      <c r="NNZ60" s="121"/>
      <c r="NOA60" s="5"/>
      <c r="NOB60" s="5"/>
      <c r="NOC60" s="124"/>
      <c r="NOD60" s="121"/>
      <c r="NOE60" s="125"/>
      <c r="NOF60" s="5"/>
      <c r="NOG60" s="117"/>
      <c r="NOH60" s="4"/>
      <c r="NOI60" s="126"/>
      <c r="NOJ60" s="127"/>
      <c r="NOK60" s="121"/>
      <c r="NOL60" s="5"/>
      <c r="NOM60" s="5"/>
      <c r="NON60" s="124"/>
      <c r="NOO60" s="121"/>
      <c r="NOP60" s="125"/>
      <c r="NOQ60" s="5"/>
      <c r="NOR60" s="117"/>
      <c r="NOS60" s="4"/>
      <c r="NOT60" s="126"/>
      <c r="NOU60" s="127"/>
      <c r="NOV60" s="121"/>
      <c r="NOW60" s="5"/>
      <c r="NOX60" s="5"/>
      <c r="NOY60" s="124"/>
      <c r="NOZ60" s="121"/>
      <c r="NPA60" s="125"/>
      <c r="NPB60" s="5"/>
      <c r="NPC60" s="117"/>
      <c r="NPD60" s="4"/>
      <c r="NPE60" s="126"/>
      <c r="NPF60" s="127"/>
      <c r="NPG60" s="121"/>
      <c r="NPH60" s="5"/>
      <c r="NPI60" s="5"/>
      <c r="NPJ60" s="124"/>
      <c r="NPK60" s="121"/>
      <c r="NPL60" s="125"/>
      <c r="NPM60" s="5"/>
      <c r="NPN60" s="117"/>
      <c r="NPO60" s="4"/>
      <c r="NPP60" s="126"/>
      <c r="NPQ60" s="127"/>
      <c r="NPR60" s="121"/>
      <c r="NPS60" s="5"/>
      <c r="NPT60" s="5"/>
      <c r="NPU60" s="124"/>
      <c r="NPV60" s="121"/>
      <c r="NPW60" s="125"/>
      <c r="NPX60" s="5"/>
      <c r="NPY60" s="117"/>
      <c r="NPZ60" s="4"/>
      <c r="NQA60" s="126"/>
      <c r="NQB60" s="127"/>
      <c r="NQC60" s="121"/>
      <c r="NQD60" s="5"/>
      <c r="NQE60" s="5"/>
      <c r="NQF60" s="124"/>
      <c r="NQG60" s="121"/>
      <c r="NQH60" s="125"/>
      <c r="NQI60" s="5"/>
      <c r="NQJ60" s="117"/>
      <c r="NQK60" s="4"/>
      <c r="NQL60" s="126"/>
      <c r="NQM60" s="127"/>
      <c r="NQN60" s="121"/>
      <c r="NQO60" s="5"/>
      <c r="NQP60" s="5"/>
      <c r="NQQ60" s="124"/>
      <c r="NQR60" s="121"/>
      <c r="NQS60" s="125"/>
      <c r="NQT60" s="5"/>
      <c r="NQU60" s="117"/>
      <c r="NQV60" s="4"/>
      <c r="NQW60" s="126"/>
      <c r="NQX60" s="127"/>
      <c r="NQY60" s="121"/>
      <c r="NQZ60" s="5"/>
      <c r="NRA60" s="5"/>
      <c r="NRB60" s="124"/>
      <c r="NRC60" s="121"/>
      <c r="NRD60" s="125"/>
      <c r="NRE60" s="5"/>
      <c r="NRF60" s="117"/>
      <c r="NRG60" s="4"/>
      <c r="NRH60" s="126"/>
      <c r="NRI60" s="127"/>
      <c r="NRJ60" s="121"/>
      <c r="NRK60" s="5"/>
      <c r="NRL60" s="5"/>
      <c r="NRM60" s="124"/>
      <c r="NRN60" s="121"/>
      <c r="NRO60" s="125"/>
      <c r="NRP60" s="5"/>
      <c r="NRQ60" s="117"/>
      <c r="NRR60" s="4"/>
      <c r="NRS60" s="126"/>
      <c r="NRT60" s="127"/>
      <c r="NRU60" s="121"/>
      <c r="NRV60" s="5"/>
      <c r="NRW60" s="5"/>
      <c r="NRX60" s="124"/>
      <c r="NRY60" s="121"/>
      <c r="NRZ60" s="125"/>
      <c r="NSA60" s="5"/>
      <c r="NSB60" s="117"/>
      <c r="NSC60" s="4"/>
      <c r="NSD60" s="126"/>
      <c r="NSE60" s="127"/>
      <c r="NSF60" s="121"/>
      <c r="NSG60" s="5"/>
      <c r="NSH60" s="5"/>
      <c r="NSI60" s="124"/>
      <c r="NSJ60" s="121"/>
      <c r="NSK60" s="125"/>
      <c r="NSL60" s="5"/>
      <c r="NSM60" s="117"/>
      <c r="NSN60" s="4"/>
      <c r="NSO60" s="126"/>
      <c r="NSP60" s="127"/>
      <c r="NSQ60" s="121"/>
      <c r="NSR60" s="5"/>
      <c r="NSS60" s="5"/>
      <c r="NST60" s="124"/>
      <c r="NSU60" s="121"/>
      <c r="NSV60" s="125"/>
      <c r="NSW60" s="5"/>
      <c r="NSX60" s="117"/>
      <c r="NSY60" s="4"/>
      <c r="NSZ60" s="126"/>
      <c r="NTA60" s="127"/>
      <c r="NTB60" s="121"/>
      <c r="NTC60" s="5"/>
      <c r="NTD60" s="5"/>
      <c r="NTE60" s="124"/>
      <c r="NTF60" s="121"/>
      <c r="NTG60" s="125"/>
      <c r="NTH60" s="5"/>
      <c r="NTI60" s="117"/>
      <c r="NTJ60" s="4"/>
      <c r="NTK60" s="126"/>
      <c r="NTL60" s="127"/>
      <c r="NTM60" s="121"/>
      <c r="NTN60" s="5"/>
      <c r="NTO60" s="5"/>
      <c r="NTP60" s="124"/>
      <c r="NTQ60" s="121"/>
      <c r="NTR60" s="125"/>
      <c r="NTS60" s="5"/>
      <c r="NTT60" s="117"/>
      <c r="NTU60" s="4"/>
      <c r="NTV60" s="126"/>
      <c r="NTW60" s="127"/>
      <c r="NTX60" s="121"/>
      <c r="NTY60" s="5"/>
      <c r="NTZ60" s="5"/>
      <c r="NUA60" s="124"/>
      <c r="NUB60" s="121"/>
      <c r="NUC60" s="125"/>
      <c r="NUD60" s="5"/>
      <c r="NUE60" s="117"/>
      <c r="NUF60" s="4"/>
      <c r="NUG60" s="126"/>
      <c r="NUH60" s="127"/>
      <c r="NUI60" s="121"/>
      <c r="NUJ60" s="5"/>
      <c r="NUK60" s="5"/>
      <c r="NUL60" s="124"/>
      <c r="NUM60" s="121"/>
      <c r="NUN60" s="125"/>
      <c r="NUO60" s="5"/>
      <c r="NUP60" s="117"/>
      <c r="NUQ60" s="4"/>
      <c r="NUR60" s="126"/>
      <c r="NUS60" s="127"/>
      <c r="NUT60" s="121"/>
      <c r="NUU60" s="5"/>
      <c r="NUV60" s="5"/>
      <c r="NUW60" s="124"/>
      <c r="NUX60" s="121"/>
      <c r="NUY60" s="125"/>
      <c r="NUZ60" s="5"/>
      <c r="NVA60" s="117"/>
      <c r="NVB60" s="4"/>
      <c r="NVC60" s="126"/>
      <c r="NVD60" s="127"/>
      <c r="NVE60" s="121"/>
      <c r="NVF60" s="5"/>
      <c r="NVG60" s="5"/>
      <c r="NVH60" s="124"/>
      <c r="NVI60" s="121"/>
      <c r="NVJ60" s="125"/>
      <c r="NVK60" s="5"/>
      <c r="NVL60" s="117"/>
      <c r="NVM60" s="4"/>
      <c r="NVN60" s="126"/>
      <c r="NVO60" s="127"/>
      <c r="NVP60" s="121"/>
      <c r="NVQ60" s="5"/>
      <c r="NVR60" s="5"/>
      <c r="NVS60" s="124"/>
      <c r="NVT60" s="121"/>
      <c r="NVU60" s="125"/>
      <c r="NVV60" s="5"/>
      <c r="NVW60" s="117"/>
      <c r="NVX60" s="4"/>
      <c r="NVY60" s="126"/>
      <c r="NVZ60" s="127"/>
      <c r="NWA60" s="121"/>
      <c r="NWB60" s="5"/>
      <c r="NWC60" s="5"/>
      <c r="NWD60" s="124"/>
      <c r="NWE60" s="121"/>
      <c r="NWF60" s="125"/>
      <c r="NWG60" s="5"/>
      <c r="NWH60" s="117"/>
      <c r="NWI60" s="4"/>
      <c r="NWJ60" s="126"/>
      <c r="NWK60" s="127"/>
      <c r="NWL60" s="121"/>
      <c r="NWM60" s="5"/>
      <c r="NWN60" s="5"/>
      <c r="NWO60" s="124"/>
      <c r="NWP60" s="121"/>
      <c r="NWQ60" s="125"/>
      <c r="NWR60" s="5"/>
      <c r="NWS60" s="117"/>
      <c r="NWT60" s="4"/>
      <c r="NWU60" s="126"/>
      <c r="NWV60" s="127"/>
      <c r="NWW60" s="121"/>
      <c r="NWX60" s="5"/>
      <c r="NWY60" s="5"/>
      <c r="NWZ60" s="124"/>
      <c r="NXA60" s="121"/>
      <c r="NXB60" s="125"/>
      <c r="NXC60" s="5"/>
      <c r="NXD60" s="117"/>
      <c r="NXE60" s="4"/>
      <c r="NXF60" s="126"/>
      <c r="NXG60" s="127"/>
      <c r="NXH60" s="121"/>
      <c r="NXI60" s="5"/>
      <c r="NXJ60" s="5"/>
      <c r="NXK60" s="124"/>
      <c r="NXL60" s="121"/>
      <c r="NXM60" s="125"/>
      <c r="NXN60" s="5"/>
      <c r="NXO60" s="117"/>
      <c r="NXP60" s="4"/>
      <c r="NXQ60" s="126"/>
      <c r="NXR60" s="127"/>
      <c r="NXS60" s="121"/>
      <c r="NXT60" s="5"/>
      <c r="NXU60" s="5"/>
      <c r="NXV60" s="124"/>
      <c r="NXW60" s="121"/>
      <c r="NXX60" s="125"/>
      <c r="NXY60" s="5"/>
      <c r="NXZ60" s="117"/>
      <c r="NYA60" s="4"/>
      <c r="NYB60" s="126"/>
      <c r="NYC60" s="127"/>
      <c r="NYD60" s="121"/>
      <c r="NYE60" s="5"/>
      <c r="NYF60" s="5"/>
      <c r="NYG60" s="124"/>
      <c r="NYH60" s="121"/>
      <c r="NYI60" s="125"/>
      <c r="NYJ60" s="5"/>
      <c r="NYK60" s="117"/>
      <c r="NYL60" s="4"/>
      <c r="NYM60" s="126"/>
      <c r="NYN60" s="127"/>
      <c r="NYO60" s="121"/>
      <c r="NYP60" s="5"/>
      <c r="NYQ60" s="5"/>
      <c r="NYR60" s="124"/>
      <c r="NYS60" s="121"/>
      <c r="NYT60" s="125"/>
      <c r="NYU60" s="5"/>
      <c r="NYV60" s="117"/>
      <c r="NYW60" s="4"/>
      <c r="NYX60" s="126"/>
      <c r="NYY60" s="127"/>
      <c r="NYZ60" s="121"/>
      <c r="NZA60" s="5"/>
      <c r="NZB60" s="5"/>
      <c r="NZC60" s="124"/>
      <c r="NZD60" s="121"/>
      <c r="NZE60" s="125"/>
      <c r="NZF60" s="5"/>
      <c r="NZG60" s="117"/>
      <c r="NZH60" s="4"/>
      <c r="NZI60" s="126"/>
      <c r="NZJ60" s="127"/>
      <c r="NZK60" s="121"/>
      <c r="NZL60" s="5"/>
      <c r="NZM60" s="5"/>
      <c r="NZN60" s="124"/>
      <c r="NZO60" s="121"/>
      <c r="NZP60" s="125"/>
      <c r="NZQ60" s="5"/>
      <c r="NZR60" s="117"/>
      <c r="NZS60" s="4"/>
      <c r="NZT60" s="126"/>
      <c r="NZU60" s="127"/>
      <c r="NZV60" s="121"/>
      <c r="NZW60" s="5"/>
      <c r="NZX60" s="5"/>
      <c r="NZY60" s="124"/>
      <c r="NZZ60" s="121"/>
      <c r="OAA60" s="125"/>
      <c r="OAB60" s="5"/>
      <c r="OAC60" s="117"/>
      <c r="OAD60" s="4"/>
      <c r="OAE60" s="126"/>
      <c r="OAF60" s="127"/>
      <c r="OAG60" s="121"/>
      <c r="OAH60" s="5"/>
      <c r="OAI60" s="5"/>
      <c r="OAJ60" s="124"/>
      <c r="OAK60" s="121"/>
      <c r="OAL60" s="125"/>
      <c r="OAM60" s="5"/>
      <c r="OAN60" s="117"/>
      <c r="OAO60" s="4"/>
      <c r="OAP60" s="126"/>
      <c r="OAQ60" s="127"/>
      <c r="OAR60" s="121"/>
      <c r="OAS60" s="5"/>
      <c r="OAT60" s="5"/>
      <c r="OAU60" s="124"/>
      <c r="OAV60" s="121"/>
      <c r="OAW60" s="125"/>
      <c r="OAX60" s="5"/>
      <c r="OAY60" s="117"/>
      <c r="OAZ60" s="4"/>
      <c r="OBA60" s="126"/>
      <c r="OBB60" s="127"/>
      <c r="OBC60" s="121"/>
      <c r="OBD60" s="5"/>
      <c r="OBE60" s="5"/>
      <c r="OBF60" s="124"/>
      <c r="OBG60" s="121"/>
      <c r="OBH60" s="125"/>
      <c r="OBI60" s="5"/>
      <c r="OBJ60" s="117"/>
      <c r="OBK60" s="4"/>
      <c r="OBL60" s="126"/>
      <c r="OBM60" s="127"/>
      <c r="OBN60" s="121"/>
      <c r="OBO60" s="5"/>
      <c r="OBP60" s="5"/>
      <c r="OBQ60" s="124"/>
      <c r="OBR60" s="121"/>
      <c r="OBS60" s="125"/>
      <c r="OBT60" s="5"/>
      <c r="OBU60" s="117"/>
      <c r="OBV60" s="4"/>
      <c r="OBW60" s="126"/>
      <c r="OBX60" s="127"/>
      <c r="OBY60" s="121"/>
      <c r="OBZ60" s="5"/>
      <c r="OCA60" s="5"/>
      <c r="OCB60" s="124"/>
      <c r="OCC60" s="121"/>
      <c r="OCD60" s="125"/>
      <c r="OCE60" s="5"/>
      <c r="OCF60" s="117"/>
      <c r="OCG60" s="4"/>
      <c r="OCH60" s="126"/>
      <c r="OCI60" s="127"/>
      <c r="OCJ60" s="121"/>
      <c r="OCK60" s="5"/>
      <c r="OCL60" s="5"/>
      <c r="OCM60" s="124"/>
      <c r="OCN60" s="121"/>
      <c r="OCO60" s="125"/>
      <c r="OCP60" s="5"/>
      <c r="OCQ60" s="117"/>
      <c r="OCR60" s="4"/>
      <c r="OCS60" s="126"/>
      <c r="OCT60" s="127"/>
      <c r="OCU60" s="121"/>
      <c r="OCV60" s="5"/>
      <c r="OCW60" s="5"/>
      <c r="OCX60" s="124"/>
      <c r="OCY60" s="121"/>
      <c r="OCZ60" s="125"/>
      <c r="ODA60" s="5"/>
      <c r="ODB60" s="117"/>
      <c r="ODC60" s="4"/>
      <c r="ODD60" s="126"/>
      <c r="ODE60" s="127"/>
      <c r="ODF60" s="121"/>
      <c r="ODG60" s="5"/>
      <c r="ODH60" s="5"/>
      <c r="ODI60" s="124"/>
      <c r="ODJ60" s="121"/>
      <c r="ODK60" s="125"/>
      <c r="ODL60" s="5"/>
      <c r="ODM60" s="117"/>
      <c r="ODN60" s="4"/>
      <c r="ODO60" s="126"/>
      <c r="ODP60" s="127"/>
      <c r="ODQ60" s="121"/>
      <c r="ODR60" s="5"/>
      <c r="ODS60" s="5"/>
      <c r="ODT60" s="124"/>
      <c r="ODU60" s="121"/>
      <c r="ODV60" s="125"/>
      <c r="ODW60" s="5"/>
      <c r="ODX60" s="117"/>
      <c r="ODY60" s="4"/>
      <c r="ODZ60" s="126"/>
      <c r="OEA60" s="127"/>
      <c r="OEB60" s="121"/>
      <c r="OEC60" s="5"/>
      <c r="OED60" s="5"/>
      <c r="OEE60" s="124"/>
      <c r="OEF60" s="121"/>
      <c r="OEG60" s="125"/>
      <c r="OEH60" s="5"/>
      <c r="OEI60" s="117"/>
      <c r="OEJ60" s="4"/>
      <c r="OEK60" s="126"/>
      <c r="OEL60" s="127"/>
      <c r="OEM60" s="121"/>
      <c r="OEN60" s="5"/>
      <c r="OEO60" s="5"/>
      <c r="OEP60" s="124"/>
      <c r="OEQ60" s="121"/>
      <c r="OER60" s="125"/>
      <c r="OES60" s="5"/>
      <c r="OET60" s="117"/>
      <c r="OEU60" s="4"/>
      <c r="OEV60" s="126"/>
      <c r="OEW60" s="127"/>
      <c r="OEX60" s="121"/>
      <c r="OEY60" s="5"/>
      <c r="OEZ60" s="5"/>
      <c r="OFA60" s="124"/>
      <c r="OFB60" s="121"/>
      <c r="OFC60" s="125"/>
      <c r="OFD60" s="5"/>
      <c r="OFE60" s="117"/>
      <c r="OFF60" s="4"/>
      <c r="OFG60" s="126"/>
      <c r="OFH60" s="127"/>
      <c r="OFI60" s="121"/>
      <c r="OFJ60" s="5"/>
      <c r="OFK60" s="5"/>
      <c r="OFL60" s="124"/>
      <c r="OFM60" s="121"/>
      <c r="OFN60" s="125"/>
      <c r="OFO60" s="5"/>
      <c r="OFP60" s="117"/>
      <c r="OFQ60" s="4"/>
      <c r="OFR60" s="126"/>
      <c r="OFS60" s="127"/>
      <c r="OFT60" s="121"/>
      <c r="OFU60" s="5"/>
      <c r="OFV60" s="5"/>
      <c r="OFW60" s="124"/>
      <c r="OFX60" s="121"/>
      <c r="OFY60" s="125"/>
      <c r="OFZ60" s="5"/>
      <c r="OGA60" s="117"/>
      <c r="OGB60" s="4"/>
      <c r="OGC60" s="126"/>
      <c r="OGD60" s="127"/>
      <c r="OGE60" s="121"/>
      <c r="OGF60" s="5"/>
      <c r="OGG60" s="5"/>
      <c r="OGH60" s="124"/>
      <c r="OGI60" s="121"/>
      <c r="OGJ60" s="125"/>
      <c r="OGK60" s="5"/>
      <c r="OGL60" s="117"/>
      <c r="OGM60" s="4"/>
      <c r="OGN60" s="126"/>
      <c r="OGO60" s="127"/>
      <c r="OGP60" s="121"/>
      <c r="OGQ60" s="5"/>
      <c r="OGR60" s="5"/>
      <c r="OGS60" s="124"/>
      <c r="OGT60" s="121"/>
      <c r="OGU60" s="125"/>
      <c r="OGV60" s="5"/>
      <c r="OGW60" s="117"/>
      <c r="OGX60" s="4"/>
      <c r="OGY60" s="126"/>
      <c r="OGZ60" s="127"/>
      <c r="OHA60" s="121"/>
      <c r="OHB60" s="5"/>
      <c r="OHC60" s="5"/>
      <c r="OHD60" s="124"/>
      <c r="OHE60" s="121"/>
      <c r="OHF60" s="125"/>
      <c r="OHG60" s="5"/>
      <c r="OHH60" s="117"/>
      <c r="OHI60" s="4"/>
      <c r="OHJ60" s="126"/>
      <c r="OHK60" s="127"/>
      <c r="OHL60" s="121"/>
      <c r="OHM60" s="5"/>
      <c r="OHN60" s="5"/>
      <c r="OHO60" s="124"/>
      <c r="OHP60" s="121"/>
      <c r="OHQ60" s="125"/>
      <c r="OHR60" s="5"/>
      <c r="OHS60" s="117"/>
      <c r="OHT60" s="4"/>
      <c r="OHU60" s="126"/>
      <c r="OHV60" s="127"/>
      <c r="OHW60" s="121"/>
      <c r="OHX60" s="5"/>
      <c r="OHY60" s="5"/>
      <c r="OHZ60" s="124"/>
      <c r="OIA60" s="121"/>
      <c r="OIB60" s="125"/>
      <c r="OIC60" s="5"/>
      <c r="OID60" s="117"/>
      <c r="OIE60" s="4"/>
      <c r="OIF60" s="126"/>
      <c r="OIG60" s="127"/>
      <c r="OIH60" s="121"/>
      <c r="OII60" s="5"/>
      <c r="OIJ60" s="5"/>
      <c r="OIK60" s="124"/>
      <c r="OIL60" s="121"/>
      <c r="OIM60" s="125"/>
      <c r="OIN60" s="5"/>
      <c r="OIO60" s="117"/>
      <c r="OIP60" s="4"/>
      <c r="OIQ60" s="126"/>
      <c r="OIR60" s="127"/>
      <c r="OIS60" s="121"/>
      <c r="OIT60" s="5"/>
      <c r="OIU60" s="5"/>
      <c r="OIV60" s="124"/>
      <c r="OIW60" s="121"/>
      <c r="OIX60" s="125"/>
      <c r="OIY60" s="5"/>
      <c r="OIZ60" s="117"/>
      <c r="OJA60" s="4"/>
      <c r="OJB60" s="126"/>
      <c r="OJC60" s="127"/>
      <c r="OJD60" s="121"/>
      <c r="OJE60" s="5"/>
      <c r="OJF60" s="5"/>
      <c r="OJG60" s="124"/>
      <c r="OJH60" s="121"/>
      <c r="OJI60" s="125"/>
      <c r="OJJ60" s="5"/>
      <c r="OJK60" s="117"/>
      <c r="OJL60" s="4"/>
      <c r="OJM60" s="126"/>
      <c r="OJN60" s="127"/>
      <c r="OJO60" s="121"/>
      <c r="OJP60" s="5"/>
      <c r="OJQ60" s="5"/>
      <c r="OJR60" s="124"/>
      <c r="OJS60" s="121"/>
      <c r="OJT60" s="125"/>
      <c r="OJU60" s="5"/>
      <c r="OJV60" s="117"/>
      <c r="OJW60" s="4"/>
      <c r="OJX60" s="126"/>
      <c r="OJY60" s="127"/>
      <c r="OJZ60" s="121"/>
      <c r="OKA60" s="5"/>
      <c r="OKB60" s="5"/>
      <c r="OKC60" s="124"/>
      <c r="OKD60" s="121"/>
      <c r="OKE60" s="125"/>
      <c r="OKF60" s="5"/>
      <c r="OKG60" s="117"/>
      <c r="OKH60" s="4"/>
      <c r="OKI60" s="126"/>
      <c r="OKJ60" s="127"/>
      <c r="OKK60" s="121"/>
      <c r="OKL60" s="5"/>
      <c r="OKM60" s="5"/>
      <c r="OKN60" s="124"/>
      <c r="OKO60" s="121"/>
      <c r="OKP60" s="125"/>
      <c r="OKQ60" s="5"/>
      <c r="OKR60" s="117"/>
      <c r="OKS60" s="4"/>
      <c r="OKT60" s="126"/>
      <c r="OKU60" s="127"/>
      <c r="OKV60" s="121"/>
      <c r="OKW60" s="5"/>
      <c r="OKX60" s="5"/>
      <c r="OKY60" s="124"/>
      <c r="OKZ60" s="121"/>
      <c r="OLA60" s="125"/>
      <c r="OLB60" s="5"/>
      <c r="OLC60" s="117"/>
      <c r="OLD60" s="4"/>
      <c r="OLE60" s="126"/>
      <c r="OLF60" s="127"/>
      <c r="OLG60" s="121"/>
      <c r="OLH60" s="5"/>
      <c r="OLI60" s="5"/>
      <c r="OLJ60" s="124"/>
      <c r="OLK60" s="121"/>
      <c r="OLL60" s="125"/>
      <c r="OLM60" s="5"/>
      <c r="OLN60" s="117"/>
      <c r="OLO60" s="4"/>
      <c r="OLP60" s="126"/>
      <c r="OLQ60" s="127"/>
      <c r="OLR60" s="121"/>
      <c r="OLS60" s="5"/>
      <c r="OLT60" s="5"/>
      <c r="OLU60" s="124"/>
      <c r="OLV60" s="121"/>
      <c r="OLW60" s="125"/>
      <c r="OLX60" s="5"/>
      <c r="OLY60" s="117"/>
      <c r="OLZ60" s="4"/>
      <c r="OMA60" s="126"/>
      <c r="OMB60" s="127"/>
      <c r="OMC60" s="121"/>
      <c r="OMD60" s="5"/>
      <c r="OME60" s="5"/>
      <c r="OMF60" s="124"/>
      <c r="OMG60" s="121"/>
      <c r="OMH60" s="125"/>
      <c r="OMI60" s="5"/>
      <c r="OMJ60" s="117"/>
      <c r="OMK60" s="4"/>
      <c r="OML60" s="126"/>
      <c r="OMM60" s="127"/>
      <c r="OMN60" s="121"/>
      <c r="OMO60" s="5"/>
      <c r="OMP60" s="5"/>
      <c r="OMQ60" s="124"/>
      <c r="OMR60" s="121"/>
      <c r="OMS60" s="125"/>
      <c r="OMT60" s="5"/>
      <c r="OMU60" s="117"/>
      <c r="OMV60" s="4"/>
      <c r="OMW60" s="126"/>
      <c r="OMX60" s="127"/>
      <c r="OMY60" s="121"/>
      <c r="OMZ60" s="5"/>
      <c r="ONA60" s="5"/>
      <c r="ONB60" s="124"/>
      <c r="ONC60" s="121"/>
      <c r="OND60" s="125"/>
      <c r="ONE60" s="5"/>
      <c r="ONF60" s="117"/>
      <c r="ONG60" s="4"/>
      <c r="ONH60" s="126"/>
      <c r="ONI60" s="127"/>
      <c r="ONJ60" s="121"/>
      <c r="ONK60" s="5"/>
      <c r="ONL60" s="5"/>
      <c r="ONM60" s="124"/>
      <c r="ONN60" s="121"/>
      <c r="ONO60" s="125"/>
      <c r="ONP60" s="5"/>
      <c r="ONQ60" s="117"/>
      <c r="ONR60" s="4"/>
      <c r="ONS60" s="126"/>
      <c r="ONT60" s="127"/>
      <c r="ONU60" s="121"/>
      <c r="ONV60" s="5"/>
      <c r="ONW60" s="5"/>
      <c r="ONX60" s="124"/>
      <c r="ONY60" s="121"/>
      <c r="ONZ60" s="125"/>
      <c r="OOA60" s="5"/>
      <c r="OOB60" s="117"/>
      <c r="OOC60" s="4"/>
      <c r="OOD60" s="126"/>
      <c r="OOE60" s="127"/>
      <c r="OOF60" s="121"/>
      <c r="OOG60" s="5"/>
      <c r="OOH60" s="5"/>
      <c r="OOI60" s="124"/>
      <c r="OOJ60" s="121"/>
      <c r="OOK60" s="125"/>
      <c r="OOL60" s="5"/>
      <c r="OOM60" s="117"/>
      <c r="OON60" s="4"/>
      <c r="OOO60" s="126"/>
      <c r="OOP60" s="127"/>
      <c r="OOQ60" s="121"/>
      <c r="OOR60" s="5"/>
      <c r="OOS60" s="5"/>
      <c r="OOT60" s="124"/>
      <c r="OOU60" s="121"/>
      <c r="OOV60" s="125"/>
      <c r="OOW60" s="5"/>
      <c r="OOX60" s="117"/>
      <c r="OOY60" s="4"/>
      <c r="OOZ60" s="126"/>
      <c r="OPA60" s="127"/>
      <c r="OPB60" s="121"/>
      <c r="OPC60" s="5"/>
      <c r="OPD60" s="5"/>
      <c r="OPE60" s="124"/>
      <c r="OPF60" s="121"/>
      <c r="OPG60" s="125"/>
      <c r="OPH60" s="5"/>
      <c r="OPI60" s="117"/>
      <c r="OPJ60" s="4"/>
      <c r="OPK60" s="126"/>
      <c r="OPL60" s="127"/>
      <c r="OPM60" s="121"/>
      <c r="OPN60" s="5"/>
      <c r="OPO60" s="5"/>
      <c r="OPP60" s="124"/>
      <c r="OPQ60" s="121"/>
      <c r="OPR60" s="125"/>
      <c r="OPS60" s="5"/>
      <c r="OPT60" s="117"/>
      <c r="OPU60" s="4"/>
      <c r="OPV60" s="126"/>
      <c r="OPW60" s="127"/>
      <c r="OPX60" s="121"/>
      <c r="OPY60" s="5"/>
      <c r="OPZ60" s="5"/>
      <c r="OQA60" s="124"/>
      <c r="OQB60" s="121"/>
      <c r="OQC60" s="125"/>
      <c r="OQD60" s="5"/>
      <c r="OQE60" s="117"/>
      <c r="OQF60" s="4"/>
      <c r="OQG60" s="126"/>
      <c r="OQH60" s="127"/>
      <c r="OQI60" s="121"/>
      <c r="OQJ60" s="5"/>
      <c r="OQK60" s="5"/>
      <c r="OQL60" s="124"/>
      <c r="OQM60" s="121"/>
      <c r="OQN60" s="125"/>
      <c r="OQO60" s="5"/>
      <c r="OQP60" s="117"/>
      <c r="OQQ60" s="4"/>
      <c r="OQR60" s="126"/>
      <c r="OQS60" s="127"/>
      <c r="OQT60" s="121"/>
      <c r="OQU60" s="5"/>
      <c r="OQV60" s="5"/>
      <c r="OQW60" s="124"/>
      <c r="OQX60" s="121"/>
      <c r="OQY60" s="125"/>
      <c r="OQZ60" s="5"/>
      <c r="ORA60" s="117"/>
      <c r="ORB60" s="4"/>
      <c r="ORC60" s="126"/>
      <c r="ORD60" s="127"/>
      <c r="ORE60" s="121"/>
      <c r="ORF60" s="5"/>
      <c r="ORG60" s="5"/>
      <c r="ORH60" s="124"/>
      <c r="ORI60" s="121"/>
      <c r="ORJ60" s="125"/>
      <c r="ORK60" s="5"/>
      <c r="ORL60" s="117"/>
      <c r="ORM60" s="4"/>
      <c r="ORN60" s="126"/>
      <c r="ORO60" s="127"/>
      <c r="ORP60" s="121"/>
      <c r="ORQ60" s="5"/>
      <c r="ORR60" s="5"/>
      <c r="ORS60" s="124"/>
      <c r="ORT60" s="121"/>
      <c r="ORU60" s="125"/>
      <c r="ORV60" s="5"/>
      <c r="ORW60" s="117"/>
      <c r="ORX60" s="4"/>
      <c r="ORY60" s="126"/>
      <c r="ORZ60" s="127"/>
      <c r="OSA60" s="121"/>
      <c r="OSB60" s="5"/>
      <c r="OSC60" s="5"/>
      <c r="OSD60" s="124"/>
      <c r="OSE60" s="121"/>
      <c r="OSF60" s="125"/>
      <c r="OSG60" s="5"/>
      <c r="OSH60" s="117"/>
      <c r="OSI60" s="4"/>
      <c r="OSJ60" s="126"/>
      <c r="OSK60" s="127"/>
      <c r="OSL60" s="121"/>
      <c r="OSM60" s="5"/>
      <c r="OSN60" s="5"/>
      <c r="OSO60" s="124"/>
      <c r="OSP60" s="121"/>
      <c r="OSQ60" s="125"/>
      <c r="OSR60" s="5"/>
      <c r="OSS60" s="117"/>
      <c r="OST60" s="4"/>
      <c r="OSU60" s="126"/>
      <c r="OSV60" s="127"/>
      <c r="OSW60" s="121"/>
      <c r="OSX60" s="5"/>
      <c r="OSY60" s="5"/>
      <c r="OSZ60" s="124"/>
      <c r="OTA60" s="121"/>
      <c r="OTB60" s="125"/>
      <c r="OTC60" s="5"/>
      <c r="OTD60" s="117"/>
      <c r="OTE60" s="4"/>
      <c r="OTF60" s="126"/>
      <c r="OTG60" s="127"/>
      <c r="OTH60" s="121"/>
      <c r="OTI60" s="5"/>
      <c r="OTJ60" s="5"/>
      <c r="OTK60" s="124"/>
      <c r="OTL60" s="121"/>
      <c r="OTM60" s="125"/>
      <c r="OTN60" s="5"/>
      <c r="OTO60" s="117"/>
      <c r="OTP60" s="4"/>
      <c r="OTQ60" s="126"/>
      <c r="OTR60" s="127"/>
      <c r="OTS60" s="121"/>
      <c r="OTT60" s="5"/>
      <c r="OTU60" s="5"/>
      <c r="OTV60" s="124"/>
      <c r="OTW60" s="121"/>
      <c r="OTX60" s="125"/>
      <c r="OTY60" s="5"/>
      <c r="OTZ60" s="117"/>
      <c r="OUA60" s="4"/>
      <c r="OUB60" s="126"/>
      <c r="OUC60" s="127"/>
      <c r="OUD60" s="121"/>
      <c r="OUE60" s="5"/>
      <c r="OUF60" s="5"/>
      <c r="OUG60" s="124"/>
      <c r="OUH60" s="121"/>
      <c r="OUI60" s="125"/>
      <c r="OUJ60" s="5"/>
      <c r="OUK60" s="117"/>
      <c r="OUL60" s="4"/>
      <c r="OUM60" s="126"/>
      <c r="OUN60" s="127"/>
      <c r="OUO60" s="121"/>
      <c r="OUP60" s="5"/>
      <c r="OUQ60" s="5"/>
      <c r="OUR60" s="124"/>
      <c r="OUS60" s="121"/>
      <c r="OUT60" s="125"/>
      <c r="OUU60" s="5"/>
      <c r="OUV60" s="117"/>
      <c r="OUW60" s="4"/>
      <c r="OUX60" s="126"/>
      <c r="OUY60" s="127"/>
      <c r="OUZ60" s="121"/>
      <c r="OVA60" s="5"/>
      <c r="OVB60" s="5"/>
      <c r="OVC60" s="124"/>
      <c r="OVD60" s="121"/>
      <c r="OVE60" s="125"/>
      <c r="OVF60" s="5"/>
      <c r="OVG60" s="117"/>
      <c r="OVH60" s="4"/>
      <c r="OVI60" s="126"/>
      <c r="OVJ60" s="127"/>
      <c r="OVK60" s="121"/>
      <c r="OVL60" s="5"/>
      <c r="OVM60" s="5"/>
      <c r="OVN60" s="124"/>
      <c r="OVO60" s="121"/>
      <c r="OVP60" s="125"/>
      <c r="OVQ60" s="5"/>
      <c r="OVR60" s="117"/>
      <c r="OVS60" s="4"/>
      <c r="OVT60" s="126"/>
      <c r="OVU60" s="127"/>
      <c r="OVV60" s="121"/>
      <c r="OVW60" s="5"/>
      <c r="OVX60" s="5"/>
      <c r="OVY60" s="124"/>
      <c r="OVZ60" s="121"/>
      <c r="OWA60" s="125"/>
      <c r="OWB60" s="5"/>
      <c r="OWC60" s="117"/>
      <c r="OWD60" s="4"/>
      <c r="OWE60" s="126"/>
      <c r="OWF60" s="127"/>
      <c r="OWG60" s="121"/>
      <c r="OWH60" s="5"/>
      <c r="OWI60" s="5"/>
      <c r="OWJ60" s="124"/>
      <c r="OWK60" s="121"/>
      <c r="OWL60" s="125"/>
      <c r="OWM60" s="5"/>
      <c r="OWN60" s="117"/>
      <c r="OWO60" s="4"/>
      <c r="OWP60" s="126"/>
      <c r="OWQ60" s="127"/>
      <c r="OWR60" s="121"/>
      <c r="OWS60" s="5"/>
      <c r="OWT60" s="5"/>
      <c r="OWU60" s="124"/>
      <c r="OWV60" s="121"/>
      <c r="OWW60" s="125"/>
      <c r="OWX60" s="5"/>
      <c r="OWY60" s="117"/>
      <c r="OWZ60" s="4"/>
      <c r="OXA60" s="126"/>
      <c r="OXB60" s="127"/>
      <c r="OXC60" s="121"/>
      <c r="OXD60" s="5"/>
      <c r="OXE60" s="5"/>
      <c r="OXF60" s="124"/>
      <c r="OXG60" s="121"/>
      <c r="OXH60" s="125"/>
      <c r="OXI60" s="5"/>
      <c r="OXJ60" s="117"/>
      <c r="OXK60" s="4"/>
      <c r="OXL60" s="126"/>
      <c r="OXM60" s="127"/>
      <c r="OXN60" s="121"/>
      <c r="OXO60" s="5"/>
      <c r="OXP60" s="5"/>
      <c r="OXQ60" s="124"/>
      <c r="OXR60" s="121"/>
      <c r="OXS60" s="125"/>
      <c r="OXT60" s="5"/>
      <c r="OXU60" s="117"/>
      <c r="OXV60" s="4"/>
      <c r="OXW60" s="126"/>
      <c r="OXX60" s="127"/>
      <c r="OXY60" s="121"/>
      <c r="OXZ60" s="5"/>
      <c r="OYA60" s="5"/>
      <c r="OYB60" s="124"/>
      <c r="OYC60" s="121"/>
      <c r="OYD60" s="125"/>
      <c r="OYE60" s="5"/>
      <c r="OYF60" s="117"/>
      <c r="OYG60" s="4"/>
      <c r="OYH60" s="126"/>
      <c r="OYI60" s="127"/>
      <c r="OYJ60" s="121"/>
      <c r="OYK60" s="5"/>
      <c r="OYL60" s="5"/>
      <c r="OYM60" s="124"/>
      <c r="OYN60" s="121"/>
      <c r="OYO60" s="125"/>
      <c r="OYP60" s="5"/>
      <c r="OYQ60" s="117"/>
      <c r="OYR60" s="4"/>
      <c r="OYS60" s="126"/>
      <c r="OYT60" s="127"/>
      <c r="OYU60" s="121"/>
      <c r="OYV60" s="5"/>
      <c r="OYW60" s="5"/>
      <c r="OYX60" s="124"/>
      <c r="OYY60" s="121"/>
      <c r="OYZ60" s="125"/>
      <c r="OZA60" s="5"/>
      <c r="OZB60" s="117"/>
      <c r="OZC60" s="4"/>
      <c r="OZD60" s="126"/>
      <c r="OZE60" s="127"/>
      <c r="OZF60" s="121"/>
      <c r="OZG60" s="5"/>
      <c r="OZH60" s="5"/>
      <c r="OZI60" s="124"/>
      <c r="OZJ60" s="121"/>
      <c r="OZK60" s="125"/>
      <c r="OZL60" s="5"/>
      <c r="OZM60" s="117"/>
      <c r="OZN60" s="4"/>
      <c r="OZO60" s="126"/>
      <c r="OZP60" s="127"/>
      <c r="OZQ60" s="121"/>
      <c r="OZR60" s="5"/>
      <c r="OZS60" s="5"/>
      <c r="OZT60" s="124"/>
      <c r="OZU60" s="121"/>
      <c r="OZV60" s="125"/>
      <c r="OZW60" s="5"/>
      <c r="OZX60" s="117"/>
      <c r="OZY60" s="4"/>
      <c r="OZZ60" s="126"/>
      <c r="PAA60" s="127"/>
      <c r="PAB60" s="121"/>
      <c r="PAC60" s="5"/>
      <c r="PAD60" s="5"/>
      <c r="PAE60" s="124"/>
      <c r="PAF60" s="121"/>
      <c r="PAG60" s="125"/>
      <c r="PAH60" s="5"/>
      <c r="PAI60" s="117"/>
      <c r="PAJ60" s="4"/>
      <c r="PAK60" s="126"/>
      <c r="PAL60" s="127"/>
      <c r="PAM60" s="121"/>
      <c r="PAN60" s="5"/>
      <c r="PAO60" s="5"/>
      <c r="PAP60" s="124"/>
      <c r="PAQ60" s="121"/>
      <c r="PAR60" s="125"/>
      <c r="PAS60" s="5"/>
      <c r="PAT60" s="117"/>
      <c r="PAU60" s="4"/>
      <c r="PAV60" s="126"/>
      <c r="PAW60" s="127"/>
      <c r="PAX60" s="121"/>
      <c r="PAY60" s="5"/>
      <c r="PAZ60" s="5"/>
      <c r="PBA60" s="124"/>
      <c r="PBB60" s="121"/>
      <c r="PBC60" s="125"/>
      <c r="PBD60" s="5"/>
      <c r="PBE60" s="117"/>
      <c r="PBF60" s="4"/>
      <c r="PBG60" s="126"/>
      <c r="PBH60" s="127"/>
      <c r="PBI60" s="121"/>
      <c r="PBJ60" s="5"/>
      <c r="PBK60" s="5"/>
      <c r="PBL60" s="124"/>
      <c r="PBM60" s="121"/>
      <c r="PBN60" s="125"/>
      <c r="PBO60" s="5"/>
      <c r="PBP60" s="117"/>
      <c r="PBQ60" s="4"/>
      <c r="PBR60" s="126"/>
      <c r="PBS60" s="127"/>
      <c r="PBT60" s="121"/>
      <c r="PBU60" s="5"/>
      <c r="PBV60" s="5"/>
      <c r="PBW60" s="124"/>
      <c r="PBX60" s="121"/>
      <c r="PBY60" s="125"/>
      <c r="PBZ60" s="5"/>
      <c r="PCA60" s="117"/>
      <c r="PCB60" s="4"/>
      <c r="PCC60" s="126"/>
      <c r="PCD60" s="127"/>
      <c r="PCE60" s="121"/>
      <c r="PCF60" s="5"/>
      <c r="PCG60" s="5"/>
      <c r="PCH60" s="124"/>
      <c r="PCI60" s="121"/>
      <c r="PCJ60" s="125"/>
      <c r="PCK60" s="5"/>
      <c r="PCL60" s="117"/>
      <c r="PCM60" s="4"/>
      <c r="PCN60" s="126"/>
      <c r="PCO60" s="127"/>
      <c r="PCP60" s="121"/>
      <c r="PCQ60" s="5"/>
      <c r="PCR60" s="5"/>
      <c r="PCS60" s="124"/>
      <c r="PCT60" s="121"/>
      <c r="PCU60" s="125"/>
      <c r="PCV60" s="5"/>
      <c r="PCW60" s="117"/>
      <c r="PCX60" s="4"/>
      <c r="PCY60" s="126"/>
      <c r="PCZ60" s="127"/>
      <c r="PDA60" s="121"/>
      <c r="PDB60" s="5"/>
      <c r="PDC60" s="5"/>
      <c r="PDD60" s="124"/>
      <c r="PDE60" s="121"/>
      <c r="PDF60" s="125"/>
      <c r="PDG60" s="5"/>
      <c r="PDH60" s="117"/>
      <c r="PDI60" s="4"/>
      <c r="PDJ60" s="126"/>
      <c r="PDK60" s="127"/>
      <c r="PDL60" s="121"/>
      <c r="PDM60" s="5"/>
      <c r="PDN60" s="5"/>
      <c r="PDO60" s="124"/>
      <c r="PDP60" s="121"/>
      <c r="PDQ60" s="125"/>
      <c r="PDR60" s="5"/>
      <c r="PDS60" s="117"/>
      <c r="PDT60" s="4"/>
      <c r="PDU60" s="126"/>
      <c r="PDV60" s="127"/>
      <c r="PDW60" s="121"/>
      <c r="PDX60" s="5"/>
      <c r="PDY60" s="5"/>
      <c r="PDZ60" s="124"/>
      <c r="PEA60" s="121"/>
      <c r="PEB60" s="125"/>
      <c r="PEC60" s="5"/>
      <c r="PED60" s="117"/>
      <c r="PEE60" s="4"/>
      <c r="PEF60" s="126"/>
      <c r="PEG60" s="127"/>
      <c r="PEH60" s="121"/>
      <c r="PEI60" s="5"/>
      <c r="PEJ60" s="5"/>
      <c r="PEK60" s="124"/>
      <c r="PEL60" s="121"/>
      <c r="PEM60" s="125"/>
      <c r="PEN60" s="5"/>
      <c r="PEO60" s="117"/>
      <c r="PEP60" s="4"/>
      <c r="PEQ60" s="126"/>
      <c r="PER60" s="127"/>
      <c r="PES60" s="121"/>
      <c r="PET60" s="5"/>
      <c r="PEU60" s="5"/>
      <c r="PEV60" s="124"/>
      <c r="PEW60" s="121"/>
      <c r="PEX60" s="125"/>
      <c r="PEY60" s="5"/>
      <c r="PEZ60" s="117"/>
      <c r="PFA60" s="4"/>
      <c r="PFB60" s="126"/>
      <c r="PFC60" s="127"/>
      <c r="PFD60" s="121"/>
      <c r="PFE60" s="5"/>
      <c r="PFF60" s="5"/>
      <c r="PFG60" s="124"/>
      <c r="PFH60" s="121"/>
      <c r="PFI60" s="125"/>
      <c r="PFJ60" s="5"/>
      <c r="PFK60" s="117"/>
      <c r="PFL60" s="4"/>
      <c r="PFM60" s="126"/>
      <c r="PFN60" s="127"/>
      <c r="PFO60" s="121"/>
      <c r="PFP60" s="5"/>
      <c r="PFQ60" s="5"/>
      <c r="PFR60" s="124"/>
      <c r="PFS60" s="121"/>
      <c r="PFT60" s="125"/>
      <c r="PFU60" s="5"/>
      <c r="PFV60" s="117"/>
      <c r="PFW60" s="4"/>
      <c r="PFX60" s="126"/>
      <c r="PFY60" s="127"/>
      <c r="PFZ60" s="121"/>
      <c r="PGA60" s="5"/>
      <c r="PGB60" s="5"/>
      <c r="PGC60" s="124"/>
      <c r="PGD60" s="121"/>
      <c r="PGE60" s="125"/>
      <c r="PGF60" s="5"/>
      <c r="PGG60" s="117"/>
      <c r="PGH60" s="4"/>
      <c r="PGI60" s="126"/>
      <c r="PGJ60" s="127"/>
      <c r="PGK60" s="121"/>
      <c r="PGL60" s="5"/>
      <c r="PGM60" s="5"/>
      <c r="PGN60" s="124"/>
      <c r="PGO60" s="121"/>
      <c r="PGP60" s="125"/>
      <c r="PGQ60" s="5"/>
      <c r="PGR60" s="117"/>
      <c r="PGS60" s="4"/>
      <c r="PGT60" s="126"/>
      <c r="PGU60" s="127"/>
      <c r="PGV60" s="121"/>
      <c r="PGW60" s="5"/>
      <c r="PGX60" s="5"/>
      <c r="PGY60" s="124"/>
      <c r="PGZ60" s="121"/>
      <c r="PHA60" s="125"/>
      <c r="PHB60" s="5"/>
      <c r="PHC60" s="117"/>
      <c r="PHD60" s="4"/>
      <c r="PHE60" s="126"/>
      <c r="PHF60" s="127"/>
      <c r="PHG60" s="121"/>
      <c r="PHH60" s="5"/>
      <c r="PHI60" s="5"/>
      <c r="PHJ60" s="124"/>
      <c r="PHK60" s="121"/>
      <c r="PHL60" s="125"/>
      <c r="PHM60" s="5"/>
      <c r="PHN60" s="117"/>
      <c r="PHO60" s="4"/>
      <c r="PHP60" s="126"/>
      <c r="PHQ60" s="127"/>
      <c r="PHR60" s="121"/>
      <c r="PHS60" s="5"/>
      <c r="PHT60" s="5"/>
      <c r="PHU60" s="124"/>
      <c r="PHV60" s="121"/>
      <c r="PHW60" s="125"/>
      <c r="PHX60" s="5"/>
      <c r="PHY60" s="117"/>
      <c r="PHZ60" s="4"/>
      <c r="PIA60" s="126"/>
      <c r="PIB60" s="127"/>
      <c r="PIC60" s="121"/>
      <c r="PID60" s="5"/>
      <c r="PIE60" s="5"/>
      <c r="PIF60" s="124"/>
      <c r="PIG60" s="121"/>
      <c r="PIH60" s="125"/>
      <c r="PII60" s="5"/>
      <c r="PIJ60" s="117"/>
      <c r="PIK60" s="4"/>
      <c r="PIL60" s="126"/>
      <c r="PIM60" s="127"/>
      <c r="PIN60" s="121"/>
      <c r="PIO60" s="5"/>
      <c r="PIP60" s="5"/>
      <c r="PIQ60" s="124"/>
      <c r="PIR60" s="121"/>
      <c r="PIS60" s="125"/>
      <c r="PIT60" s="5"/>
      <c r="PIU60" s="117"/>
      <c r="PIV60" s="4"/>
      <c r="PIW60" s="126"/>
      <c r="PIX60" s="127"/>
      <c r="PIY60" s="121"/>
      <c r="PIZ60" s="5"/>
      <c r="PJA60" s="5"/>
      <c r="PJB60" s="124"/>
      <c r="PJC60" s="121"/>
      <c r="PJD60" s="125"/>
      <c r="PJE60" s="5"/>
      <c r="PJF60" s="117"/>
      <c r="PJG60" s="4"/>
      <c r="PJH60" s="126"/>
      <c r="PJI60" s="127"/>
      <c r="PJJ60" s="121"/>
      <c r="PJK60" s="5"/>
      <c r="PJL60" s="5"/>
      <c r="PJM60" s="124"/>
      <c r="PJN60" s="121"/>
      <c r="PJO60" s="125"/>
      <c r="PJP60" s="5"/>
      <c r="PJQ60" s="117"/>
      <c r="PJR60" s="4"/>
      <c r="PJS60" s="126"/>
      <c r="PJT60" s="127"/>
      <c r="PJU60" s="121"/>
      <c r="PJV60" s="5"/>
      <c r="PJW60" s="5"/>
      <c r="PJX60" s="124"/>
      <c r="PJY60" s="121"/>
      <c r="PJZ60" s="125"/>
      <c r="PKA60" s="5"/>
      <c r="PKB60" s="117"/>
      <c r="PKC60" s="4"/>
      <c r="PKD60" s="126"/>
      <c r="PKE60" s="127"/>
      <c r="PKF60" s="121"/>
      <c r="PKG60" s="5"/>
      <c r="PKH60" s="5"/>
      <c r="PKI60" s="124"/>
      <c r="PKJ60" s="121"/>
      <c r="PKK60" s="125"/>
      <c r="PKL60" s="5"/>
      <c r="PKM60" s="117"/>
      <c r="PKN60" s="4"/>
      <c r="PKO60" s="126"/>
      <c r="PKP60" s="127"/>
      <c r="PKQ60" s="121"/>
      <c r="PKR60" s="5"/>
      <c r="PKS60" s="5"/>
      <c r="PKT60" s="124"/>
      <c r="PKU60" s="121"/>
      <c r="PKV60" s="125"/>
      <c r="PKW60" s="5"/>
      <c r="PKX60" s="117"/>
      <c r="PKY60" s="4"/>
      <c r="PKZ60" s="126"/>
      <c r="PLA60" s="127"/>
      <c r="PLB60" s="121"/>
      <c r="PLC60" s="5"/>
      <c r="PLD60" s="5"/>
      <c r="PLE60" s="124"/>
      <c r="PLF60" s="121"/>
      <c r="PLG60" s="125"/>
      <c r="PLH60" s="5"/>
      <c r="PLI60" s="117"/>
      <c r="PLJ60" s="4"/>
      <c r="PLK60" s="126"/>
      <c r="PLL60" s="127"/>
      <c r="PLM60" s="121"/>
      <c r="PLN60" s="5"/>
      <c r="PLO60" s="5"/>
      <c r="PLP60" s="124"/>
      <c r="PLQ60" s="121"/>
      <c r="PLR60" s="125"/>
      <c r="PLS60" s="5"/>
      <c r="PLT60" s="117"/>
      <c r="PLU60" s="4"/>
      <c r="PLV60" s="126"/>
      <c r="PLW60" s="127"/>
      <c r="PLX60" s="121"/>
      <c r="PLY60" s="5"/>
      <c r="PLZ60" s="5"/>
      <c r="PMA60" s="124"/>
      <c r="PMB60" s="121"/>
      <c r="PMC60" s="125"/>
      <c r="PMD60" s="5"/>
      <c r="PME60" s="117"/>
      <c r="PMF60" s="4"/>
      <c r="PMG60" s="126"/>
      <c r="PMH60" s="127"/>
      <c r="PMI60" s="121"/>
      <c r="PMJ60" s="5"/>
      <c r="PMK60" s="5"/>
      <c r="PML60" s="124"/>
      <c r="PMM60" s="121"/>
      <c r="PMN60" s="125"/>
      <c r="PMO60" s="5"/>
      <c r="PMP60" s="117"/>
      <c r="PMQ60" s="4"/>
      <c r="PMR60" s="126"/>
      <c r="PMS60" s="127"/>
      <c r="PMT60" s="121"/>
      <c r="PMU60" s="5"/>
      <c r="PMV60" s="5"/>
      <c r="PMW60" s="124"/>
      <c r="PMX60" s="121"/>
      <c r="PMY60" s="125"/>
      <c r="PMZ60" s="5"/>
      <c r="PNA60" s="117"/>
      <c r="PNB60" s="4"/>
      <c r="PNC60" s="126"/>
      <c r="PND60" s="127"/>
      <c r="PNE60" s="121"/>
      <c r="PNF60" s="5"/>
      <c r="PNG60" s="5"/>
      <c r="PNH60" s="124"/>
      <c r="PNI60" s="121"/>
      <c r="PNJ60" s="125"/>
      <c r="PNK60" s="5"/>
      <c r="PNL60" s="117"/>
      <c r="PNM60" s="4"/>
      <c r="PNN60" s="126"/>
      <c r="PNO60" s="127"/>
      <c r="PNP60" s="121"/>
      <c r="PNQ60" s="5"/>
      <c r="PNR60" s="5"/>
      <c r="PNS60" s="124"/>
      <c r="PNT60" s="121"/>
      <c r="PNU60" s="125"/>
      <c r="PNV60" s="5"/>
      <c r="PNW60" s="117"/>
      <c r="PNX60" s="4"/>
      <c r="PNY60" s="126"/>
      <c r="PNZ60" s="127"/>
      <c r="POA60" s="121"/>
      <c r="POB60" s="5"/>
      <c r="POC60" s="5"/>
      <c r="POD60" s="124"/>
      <c r="POE60" s="121"/>
      <c r="POF60" s="125"/>
      <c r="POG60" s="5"/>
      <c r="POH60" s="117"/>
      <c r="POI60" s="4"/>
      <c r="POJ60" s="126"/>
      <c r="POK60" s="127"/>
      <c r="POL60" s="121"/>
      <c r="POM60" s="5"/>
      <c r="PON60" s="5"/>
      <c r="POO60" s="124"/>
      <c r="POP60" s="121"/>
      <c r="POQ60" s="125"/>
      <c r="POR60" s="5"/>
      <c r="POS60" s="117"/>
      <c r="POT60" s="4"/>
      <c r="POU60" s="126"/>
      <c r="POV60" s="127"/>
      <c r="POW60" s="121"/>
      <c r="POX60" s="5"/>
      <c r="POY60" s="5"/>
      <c r="POZ60" s="124"/>
      <c r="PPA60" s="121"/>
      <c r="PPB60" s="125"/>
      <c r="PPC60" s="5"/>
      <c r="PPD60" s="117"/>
      <c r="PPE60" s="4"/>
      <c r="PPF60" s="126"/>
      <c r="PPG60" s="127"/>
      <c r="PPH60" s="121"/>
      <c r="PPI60" s="5"/>
      <c r="PPJ60" s="5"/>
      <c r="PPK60" s="124"/>
      <c r="PPL60" s="121"/>
      <c r="PPM60" s="125"/>
      <c r="PPN60" s="5"/>
      <c r="PPO60" s="117"/>
      <c r="PPP60" s="4"/>
      <c r="PPQ60" s="126"/>
      <c r="PPR60" s="127"/>
      <c r="PPS60" s="121"/>
      <c r="PPT60" s="5"/>
      <c r="PPU60" s="5"/>
      <c r="PPV60" s="124"/>
      <c r="PPW60" s="121"/>
      <c r="PPX60" s="125"/>
      <c r="PPY60" s="5"/>
      <c r="PPZ60" s="117"/>
      <c r="PQA60" s="4"/>
      <c r="PQB60" s="126"/>
      <c r="PQC60" s="127"/>
      <c r="PQD60" s="121"/>
      <c r="PQE60" s="5"/>
      <c r="PQF60" s="5"/>
      <c r="PQG60" s="124"/>
      <c r="PQH60" s="121"/>
      <c r="PQI60" s="125"/>
      <c r="PQJ60" s="5"/>
      <c r="PQK60" s="117"/>
      <c r="PQL60" s="4"/>
      <c r="PQM60" s="126"/>
      <c r="PQN60" s="127"/>
      <c r="PQO60" s="121"/>
      <c r="PQP60" s="5"/>
      <c r="PQQ60" s="5"/>
      <c r="PQR60" s="124"/>
      <c r="PQS60" s="121"/>
      <c r="PQT60" s="125"/>
      <c r="PQU60" s="5"/>
      <c r="PQV60" s="117"/>
      <c r="PQW60" s="4"/>
      <c r="PQX60" s="126"/>
      <c r="PQY60" s="127"/>
      <c r="PQZ60" s="121"/>
      <c r="PRA60" s="5"/>
      <c r="PRB60" s="5"/>
      <c r="PRC60" s="124"/>
      <c r="PRD60" s="121"/>
      <c r="PRE60" s="125"/>
      <c r="PRF60" s="5"/>
      <c r="PRG60" s="117"/>
      <c r="PRH60" s="4"/>
      <c r="PRI60" s="126"/>
      <c r="PRJ60" s="127"/>
      <c r="PRK60" s="121"/>
      <c r="PRL60" s="5"/>
      <c r="PRM60" s="5"/>
      <c r="PRN60" s="124"/>
      <c r="PRO60" s="121"/>
      <c r="PRP60" s="125"/>
      <c r="PRQ60" s="5"/>
      <c r="PRR60" s="117"/>
      <c r="PRS60" s="4"/>
      <c r="PRT60" s="126"/>
      <c r="PRU60" s="127"/>
      <c r="PRV60" s="121"/>
      <c r="PRW60" s="5"/>
      <c r="PRX60" s="5"/>
      <c r="PRY60" s="124"/>
      <c r="PRZ60" s="121"/>
      <c r="PSA60" s="125"/>
      <c r="PSB60" s="5"/>
      <c r="PSC60" s="117"/>
      <c r="PSD60" s="4"/>
      <c r="PSE60" s="126"/>
      <c r="PSF60" s="127"/>
      <c r="PSG60" s="121"/>
      <c r="PSH60" s="5"/>
      <c r="PSI60" s="5"/>
      <c r="PSJ60" s="124"/>
      <c r="PSK60" s="121"/>
      <c r="PSL60" s="125"/>
      <c r="PSM60" s="5"/>
      <c r="PSN60" s="117"/>
      <c r="PSO60" s="4"/>
      <c r="PSP60" s="126"/>
      <c r="PSQ60" s="127"/>
      <c r="PSR60" s="121"/>
      <c r="PSS60" s="5"/>
      <c r="PST60" s="5"/>
      <c r="PSU60" s="124"/>
      <c r="PSV60" s="121"/>
      <c r="PSW60" s="125"/>
      <c r="PSX60" s="5"/>
      <c r="PSY60" s="117"/>
      <c r="PSZ60" s="4"/>
      <c r="PTA60" s="126"/>
      <c r="PTB60" s="127"/>
      <c r="PTC60" s="121"/>
      <c r="PTD60" s="5"/>
      <c r="PTE60" s="5"/>
      <c r="PTF60" s="124"/>
      <c r="PTG60" s="121"/>
      <c r="PTH60" s="125"/>
      <c r="PTI60" s="5"/>
      <c r="PTJ60" s="117"/>
      <c r="PTK60" s="4"/>
      <c r="PTL60" s="126"/>
      <c r="PTM60" s="127"/>
      <c r="PTN60" s="121"/>
      <c r="PTO60" s="5"/>
      <c r="PTP60" s="5"/>
      <c r="PTQ60" s="124"/>
      <c r="PTR60" s="121"/>
      <c r="PTS60" s="125"/>
      <c r="PTT60" s="5"/>
      <c r="PTU60" s="117"/>
      <c r="PTV60" s="4"/>
      <c r="PTW60" s="126"/>
      <c r="PTX60" s="127"/>
      <c r="PTY60" s="121"/>
      <c r="PTZ60" s="5"/>
      <c r="PUA60" s="5"/>
      <c r="PUB60" s="124"/>
      <c r="PUC60" s="121"/>
      <c r="PUD60" s="125"/>
      <c r="PUE60" s="5"/>
      <c r="PUF60" s="117"/>
      <c r="PUG60" s="4"/>
      <c r="PUH60" s="126"/>
      <c r="PUI60" s="127"/>
      <c r="PUJ60" s="121"/>
      <c r="PUK60" s="5"/>
      <c r="PUL60" s="5"/>
      <c r="PUM60" s="124"/>
      <c r="PUN60" s="121"/>
      <c r="PUO60" s="125"/>
      <c r="PUP60" s="5"/>
      <c r="PUQ60" s="117"/>
      <c r="PUR60" s="4"/>
      <c r="PUS60" s="126"/>
      <c r="PUT60" s="127"/>
      <c r="PUU60" s="121"/>
      <c r="PUV60" s="5"/>
      <c r="PUW60" s="5"/>
      <c r="PUX60" s="124"/>
      <c r="PUY60" s="121"/>
      <c r="PUZ60" s="125"/>
      <c r="PVA60" s="5"/>
      <c r="PVB60" s="117"/>
      <c r="PVC60" s="4"/>
      <c r="PVD60" s="126"/>
      <c r="PVE60" s="127"/>
      <c r="PVF60" s="121"/>
      <c r="PVG60" s="5"/>
      <c r="PVH60" s="5"/>
      <c r="PVI60" s="124"/>
      <c r="PVJ60" s="121"/>
      <c r="PVK60" s="125"/>
      <c r="PVL60" s="5"/>
      <c r="PVM60" s="117"/>
      <c r="PVN60" s="4"/>
      <c r="PVO60" s="126"/>
      <c r="PVP60" s="127"/>
      <c r="PVQ60" s="121"/>
      <c r="PVR60" s="5"/>
      <c r="PVS60" s="5"/>
      <c r="PVT60" s="124"/>
      <c r="PVU60" s="121"/>
      <c r="PVV60" s="125"/>
      <c r="PVW60" s="5"/>
      <c r="PVX60" s="117"/>
      <c r="PVY60" s="4"/>
      <c r="PVZ60" s="126"/>
      <c r="PWA60" s="127"/>
      <c r="PWB60" s="121"/>
      <c r="PWC60" s="5"/>
      <c r="PWD60" s="5"/>
      <c r="PWE60" s="124"/>
      <c r="PWF60" s="121"/>
      <c r="PWG60" s="125"/>
      <c r="PWH60" s="5"/>
      <c r="PWI60" s="117"/>
      <c r="PWJ60" s="4"/>
      <c r="PWK60" s="126"/>
      <c r="PWL60" s="127"/>
      <c r="PWM60" s="121"/>
      <c r="PWN60" s="5"/>
      <c r="PWO60" s="5"/>
      <c r="PWP60" s="124"/>
      <c r="PWQ60" s="121"/>
      <c r="PWR60" s="125"/>
      <c r="PWS60" s="5"/>
      <c r="PWT60" s="117"/>
      <c r="PWU60" s="4"/>
      <c r="PWV60" s="126"/>
      <c r="PWW60" s="127"/>
      <c r="PWX60" s="121"/>
      <c r="PWY60" s="5"/>
      <c r="PWZ60" s="5"/>
      <c r="PXA60" s="124"/>
      <c r="PXB60" s="121"/>
      <c r="PXC60" s="125"/>
      <c r="PXD60" s="5"/>
      <c r="PXE60" s="117"/>
      <c r="PXF60" s="4"/>
      <c r="PXG60" s="126"/>
      <c r="PXH60" s="127"/>
      <c r="PXI60" s="121"/>
      <c r="PXJ60" s="5"/>
      <c r="PXK60" s="5"/>
      <c r="PXL60" s="124"/>
      <c r="PXM60" s="121"/>
      <c r="PXN60" s="125"/>
      <c r="PXO60" s="5"/>
      <c r="PXP60" s="117"/>
      <c r="PXQ60" s="4"/>
      <c r="PXR60" s="126"/>
      <c r="PXS60" s="127"/>
      <c r="PXT60" s="121"/>
      <c r="PXU60" s="5"/>
      <c r="PXV60" s="5"/>
      <c r="PXW60" s="124"/>
      <c r="PXX60" s="121"/>
      <c r="PXY60" s="125"/>
      <c r="PXZ60" s="5"/>
      <c r="PYA60" s="117"/>
      <c r="PYB60" s="4"/>
      <c r="PYC60" s="126"/>
      <c r="PYD60" s="127"/>
      <c r="PYE60" s="121"/>
      <c r="PYF60" s="5"/>
      <c r="PYG60" s="5"/>
      <c r="PYH60" s="124"/>
      <c r="PYI60" s="121"/>
      <c r="PYJ60" s="125"/>
      <c r="PYK60" s="5"/>
      <c r="PYL60" s="117"/>
      <c r="PYM60" s="4"/>
      <c r="PYN60" s="126"/>
      <c r="PYO60" s="127"/>
      <c r="PYP60" s="121"/>
      <c r="PYQ60" s="5"/>
      <c r="PYR60" s="5"/>
      <c r="PYS60" s="124"/>
      <c r="PYT60" s="121"/>
      <c r="PYU60" s="125"/>
      <c r="PYV60" s="5"/>
      <c r="PYW60" s="117"/>
      <c r="PYX60" s="4"/>
      <c r="PYY60" s="126"/>
      <c r="PYZ60" s="127"/>
      <c r="PZA60" s="121"/>
      <c r="PZB60" s="5"/>
      <c r="PZC60" s="5"/>
      <c r="PZD60" s="124"/>
      <c r="PZE60" s="121"/>
      <c r="PZF60" s="125"/>
      <c r="PZG60" s="5"/>
      <c r="PZH60" s="117"/>
      <c r="PZI60" s="4"/>
      <c r="PZJ60" s="126"/>
      <c r="PZK60" s="127"/>
      <c r="PZL60" s="121"/>
      <c r="PZM60" s="5"/>
      <c r="PZN60" s="5"/>
      <c r="PZO60" s="124"/>
      <c r="PZP60" s="121"/>
      <c r="PZQ60" s="125"/>
      <c r="PZR60" s="5"/>
      <c r="PZS60" s="117"/>
      <c r="PZT60" s="4"/>
      <c r="PZU60" s="126"/>
      <c r="PZV60" s="127"/>
      <c r="PZW60" s="121"/>
      <c r="PZX60" s="5"/>
      <c r="PZY60" s="5"/>
      <c r="PZZ60" s="124"/>
      <c r="QAA60" s="121"/>
      <c r="QAB60" s="125"/>
      <c r="QAC60" s="5"/>
      <c r="QAD60" s="117"/>
      <c r="QAE60" s="4"/>
      <c r="QAF60" s="126"/>
      <c r="QAG60" s="127"/>
      <c r="QAH60" s="121"/>
      <c r="QAI60" s="5"/>
      <c r="QAJ60" s="5"/>
      <c r="QAK60" s="124"/>
      <c r="QAL60" s="121"/>
      <c r="QAM60" s="125"/>
      <c r="QAN60" s="5"/>
      <c r="QAO60" s="117"/>
      <c r="QAP60" s="4"/>
      <c r="QAQ60" s="126"/>
      <c r="QAR60" s="127"/>
      <c r="QAS60" s="121"/>
      <c r="QAT60" s="5"/>
      <c r="QAU60" s="5"/>
      <c r="QAV60" s="124"/>
      <c r="QAW60" s="121"/>
      <c r="QAX60" s="125"/>
      <c r="QAY60" s="5"/>
      <c r="QAZ60" s="117"/>
      <c r="QBA60" s="4"/>
      <c r="QBB60" s="126"/>
      <c r="QBC60" s="127"/>
      <c r="QBD60" s="121"/>
      <c r="QBE60" s="5"/>
      <c r="QBF60" s="5"/>
      <c r="QBG60" s="124"/>
      <c r="QBH60" s="121"/>
      <c r="QBI60" s="125"/>
      <c r="QBJ60" s="5"/>
      <c r="QBK60" s="117"/>
      <c r="QBL60" s="4"/>
      <c r="QBM60" s="126"/>
      <c r="QBN60" s="127"/>
      <c r="QBO60" s="121"/>
      <c r="QBP60" s="5"/>
      <c r="QBQ60" s="5"/>
      <c r="QBR60" s="124"/>
      <c r="QBS60" s="121"/>
      <c r="QBT60" s="125"/>
      <c r="QBU60" s="5"/>
      <c r="QBV60" s="117"/>
      <c r="QBW60" s="4"/>
      <c r="QBX60" s="126"/>
      <c r="QBY60" s="127"/>
      <c r="QBZ60" s="121"/>
      <c r="QCA60" s="5"/>
      <c r="QCB60" s="5"/>
      <c r="QCC60" s="124"/>
      <c r="QCD60" s="121"/>
      <c r="QCE60" s="125"/>
      <c r="QCF60" s="5"/>
      <c r="QCG60" s="117"/>
      <c r="QCH60" s="4"/>
      <c r="QCI60" s="126"/>
      <c r="QCJ60" s="127"/>
      <c r="QCK60" s="121"/>
      <c r="QCL60" s="5"/>
      <c r="QCM60" s="5"/>
      <c r="QCN60" s="124"/>
      <c r="QCO60" s="121"/>
      <c r="QCP60" s="125"/>
      <c r="QCQ60" s="5"/>
      <c r="QCR60" s="117"/>
      <c r="QCS60" s="4"/>
      <c r="QCT60" s="126"/>
      <c r="QCU60" s="127"/>
      <c r="QCV60" s="121"/>
      <c r="QCW60" s="5"/>
      <c r="QCX60" s="5"/>
      <c r="QCY60" s="124"/>
      <c r="QCZ60" s="121"/>
      <c r="QDA60" s="125"/>
      <c r="QDB60" s="5"/>
      <c r="QDC60" s="117"/>
      <c r="QDD60" s="4"/>
      <c r="QDE60" s="126"/>
      <c r="QDF60" s="127"/>
      <c r="QDG60" s="121"/>
      <c r="QDH60" s="5"/>
      <c r="QDI60" s="5"/>
      <c r="QDJ60" s="124"/>
      <c r="QDK60" s="121"/>
      <c r="QDL60" s="125"/>
      <c r="QDM60" s="5"/>
      <c r="QDN60" s="117"/>
      <c r="QDO60" s="4"/>
      <c r="QDP60" s="126"/>
      <c r="QDQ60" s="127"/>
      <c r="QDR60" s="121"/>
      <c r="QDS60" s="5"/>
      <c r="QDT60" s="5"/>
      <c r="QDU60" s="124"/>
      <c r="QDV60" s="121"/>
      <c r="QDW60" s="125"/>
      <c r="QDX60" s="5"/>
      <c r="QDY60" s="117"/>
      <c r="QDZ60" s="4"/>
      <c r="QEA60" s="126"/>
      <c r="QEB60" s="127"/>
      <c r="QEC60" s="121"/>
      <c r="QED60" s="5"/>
      <c r="QEE60" s="5"/>
      <c r="QEF60" s="124"/>
      <c r="QEG60" s="121"/>
      <c r="QEH60" s="125"/>
      <c r="QEI60" s="5"/>
      <c r="QEJ60" s="117"/>
      <c r="QEK60" s="4"/>
      <c r="QEL60" s="126"/>
      <c r="QEM60" s="127"/>
      <c r="QEN60" s="121"/>
      <c r="QEO60" s="5"/>
      <c r="QEP60" s="5"/>
      <c r="QEQ60" s="124"/>
      <c r="QER60" s="121"/>
      <c r="QES60" s="125"/>
      <c r="QET60" s="5"/>
      <c r="QEU60" s="117"/>
      <c r="QEV60" s="4"/>
      <c r="QEW60" s="126"/>
      <c r="QEX60" s="127"/>
      <c r="QEY60" s="121"/>
      <c r="QEZ60" s="5"/>
      <c r="QFA60" s="5"/>
      <c r="QFB60" s="124"/>
      <c r="QFC60" s="121"/>
      <c r="QFD60" s="125"/>
      <c r="QFE60" s="5"/>
      <c r="QFF60" s="117"/>
      <c r="QFG60" s="4"/>
      <c r="QFH60" s="126"/>
      <c r="QFI60" s="127"/>
      <c r="QFJ60" s="121"/>
      <c r="QFK60" s="5"/>
      <c r="QFL60" s="5"/>
      <c r="QFM60" s="124"/>
      <c r="QFN60" s="121"/>
      <c r="QFO60" s="125"/>
      <c r="QFP60" s="5"/>
      <c r="QFQ60" s="117"/>
      <c r="QFR60" s="4"/>
      <c r="QFS60" s="126"/>
      <c r="QFT60" s="127"/>
      <c r="QFU60" s="121"/>
      <c r="QFV60" s="5"/>
      <c r="QFW60" s="5"/>
      <c r="QFX60" s="124"/>
      <c r="QFY60" s="121"/>
      <c r="QFZ60" s="125"/>
      <c r="QGA60" s="5"/>
      <c r="QGB60" s="117"/>
      <c r="QGC60" s="4"/>
      <c r="QGD60" s="126"/>
      <c r="QGE60" s="127"/>
      <c r="QGF60" s="121"/>
      <c r="QGG60" s="5"/>
      <c r="QGH60" s="5"/>
      <c r="QGI60" s="124"/>
      <c r="QGJ60" s="121"/>
      <c r="QGK60" s="125"/>
      <c r="QGL60" s="5"/>
      <c r="QGM60" s="117"/>
      <c r="QGN60" s="4"/>
      <c r="QGO60" s="126"/>
      <c r="QGP60" s="127"/>
      <c r="QGQ60" s="121"/>
      <c r="QGR60" s="5"/>
      <c r="QGS60" s="5"/>
      <c r="QGT60" s="124"/>
      <c r="QGU60" s="121"/>
      <c r="QGV60" s="125"/>
      <c r="QGW60" s="5"/>
      <c r="QGX60" s="117"/>
      <c r="QGY60" s="4"/>
      <c r="QGZ60" s="126"/>
      <c r="QHA60" s="127"/>
      <c r="QHB60" s="121"/>
      <c r="QHC60" s="5"/>
      <c r="QHD60" s="5"/>
      <c r="QHE60" s="124"/>
      <c r="QHF60" s="121"/>
      <c r="QHG60" s="125"/>
      <c r="QHH60" s="5"/>
      <c r="QHI60" s="117"/>
      <c r="QHJ60" s="4"/>
      <c r="QHK60" s="126"/>
      <c r="QHL60" s="127"/>
      <c r="QHM60" s="121"/>
      <c r="QHN60" s="5"/>
      <c r="QHO60" s="5"/>
      <c r="QHP60" s="124"/>
      <c r="QHQ60" s="121"/>
      <c r="QHR60" s="125"/>
      <c r="QHS60" s="5"/>
      <c r="QHT60" s="117"/>
      <c r="QHU60" s="4"/>
      <c r="QHV60" s="126"/>
      <c r="QHW60" s="127"/>
      <c r="QHX60" s="121"/>
      <c r="QHY60" s="5"/>
      <c r="QHZ60" s="5"/>
      <c r="QIA60" s="124"/>
      <c r="QIB60" s="121"/>
      <c r="QIC60" s="125"/>
      <c r="QID60" s="5"/>
      <c r="QIE60" s="117"/>
      <c r="QIF60" s="4"/>
      <c r="QIG60" s="126"/>
      <c r="QIH60" s="127"/>
      <c r="QII60" s="121"/>
      <c r="QIJ60" s="5"/>
      <c r="QIK60" s="5"/>
      <c r="QIL60" s="124"/>
      <c r="QIM60" s="121"/>
      <c r="QIN60" s="125"/>
      <c r="QIO60" s="5"/>
      <c r="QIP60" s="117"/>
      <c r="QIQ60" s="4"/>
      <c r="QIR60" s="126"/>
      <c r="QIS60" s="127"/>
      <c r="QIT60" s="121"/>
      <c r="QIU60" s="5"/>
      <c r="QIV60" s="5"/>
      <c r="QIW60" s="124"/>
      <c r="QIX60" s="121"/>
      <c r="QIY60" s="125"/>
      <c r="QIZ60" s="5"/>
      <c r="QJA60" s="117"/>
      <c r="QJB60" s="4"/>
      <c r="QJC60" s="126"/>
      <c r="QJD60" s="127"/>
      <c r="QJE60" s="121"/>
      <c r="QJF60" s="5"/>
      <c r="QJG60" s="5"/>
      <c r="QJH60" s="124"/>
      <c r="QJI60" s="121"/>
      <c r="QJJ60" s="125"/>
      <c r="QJK60" s="5"/>
      <c r="QJL60" s="117"/>
      <c r="QJM60" s="4"/>
      <c r="QJN60" s="126"/>
      <c r="QJO60" s="127"/>
      <c r="QJP60" s="121"/>
      <c r="QJQ60" s="5"/>
      <c r="QJR60" s="5"/>
      <c r="QJS60" s="124"/>
      <c r="QJT60" s="121"/>
      <c r="QJU60" s="125"/>
      <c r="QJV60" s="5"/>
      <c r="QJW60" s="117"/>
      <c r="QJX60" s="4"/>
      <c r="QJY60" s="126"/>
      <c r="QJZ60" s="127"/>
      <c r="QKA60" s="121"/>
      <c r="QKB60" s="5"/>
      <c r="QKC60" s="5"/>
      <c r="QKD60" s="124"/>
      <c r="QKE60" s="121"/>
      <c r="QKF60" s="125"/>
      <c r="QKG60" s="5"/>
      <c r="QKH60" s="117"/>
      <c r="QKI60" s="4"/>
      <c r="QKJ60" s="126"/>
      <c r="QKK60" s="127"/>
      <c r="QKL60" s="121"/>
      <c r="QKM60" s="5"/>
      <c r="QKN60" s="5"/>
      <c r="QKO60" s="124"/>
      <c r="QKP60" s="121"/>
      <c r="QKQ60" s="125"/>
      <c r="QKR60" s="5"/>
      <c r="QKS60" s="117"/>
      <c r="QKT60" s="4"/>
      <c r="QKU60" s="126"/>
      <c r="QKV60" s="127"/>
      <c r="QKW60" s="121"/>
      <c r="QKX60" s="5"/>
      <c r="QKY60" s="5"/>
      <c r="QKZ60" s="124"/>
      <c r="QLA60" s="121"/>
      <c r="QLB60" s="125"/>
      <c r="QLC60" s="5"/>
      <c r="QLD60" s="117"/>
      <c r="QLE60" s="4"/>
      <c r="QLF60" s="126"/>
      <c r="QLG60" s="127"/>
      <c r="QLH60" s="121"/>
      <c r="QLI60" s="5"/>
      <c r="QLJ60" s="5"/>
      <c r="QLK60" s="124"/>
      <c r="QLL60" s="121"/>
      <c r="QLM60" s="125"/>
      <c r="QLN60" s="5"/>
      <c r="QLO60" s="117"/>
      <c r="QLP60" s="4"/>
      <c r="QLQ60" s="126"/>
      <c r="QLR60" s="127"/>
      <c r="QLS60" s="121"/>
      <c r="QLT60" s="5"/>
      <c r="QLU60" s="5"/>
      <c r="QLV60" s="124"/>
      <c r="QLW60" s="121"/>
      <c r="QLX60" s="125"/>
      <c r="QLY60" s="5"/>
      <c r="QLZ60" s="117"/>
      <c r="QMA60" s="4"/>
      <c r="QMB60" s="126"/>
      <c r="QMC60" s="127"/>
      <c r="QMD60" s="121"/>
      <c r="QME60" s="5"/>
      <c r="QMF60" s="5"/>
      <c r="QMG60" s="124"/>
      <c r="QMH60" s="121"/>
      <c r="QMI60" s="125"/>
      <c r="QMJ60" s="5"/>
      <c r="QMK60" s="117"/>
      <c r="QML60" s="4"/>
      <c r="QMM60" s="126"/>
      <c r="QMN60" s="127"/>
      <c r="QMO60" s="121"/>
      <c r="QMP60" s="5"/>
      <c r="QMQ60" s="5"/>
      <c r="QMR60" s="124"/>
      <c r="QMS60" s="121"/>
      <c r="QMT60" s="125"/>
      <c r="QMU60" s="5"/>
      <c r="QMV60" s="117"/>
      <c r="QMW60" s="4"/>
      <c r="QMX60" s="126"/>
      <c r="QMY60" s="127"/>
      <c r="QMZ60" s="121"/>
      <c r="QNA60" s="5"/>
      <c r="QNB60" s="5"/>
      <c r="QNC60" s="124"/>
      <c r="QND60" s="121"/>
      <c r="QNE60" s="125"/>
      <c r="QNF60" s="5"/>
      <c r="QNG60" s="117"/>
      <c r="QNH60" s="4"/>
      <c r="QNI60" s="126"/>
      <c r="QNJ60" s="127"/>
      <c r="QNK60" s="121"/>
      <c r="QNL60" s="5"/>
      <c r="QNM60" s="5"/>
      <c r="QNN60" s="124"/>
      <c r="QNO60" s="121"/>
      <c r="QNP60" s="125"/>
      <c r="QNQ60" s="5"/>
      <c r="QNR60" s="117"/>
      <c r="QNS60" s="4"/>
      <c r="QNT60" s="126"/>
      <c r="QNU60" s="127"/>
      <c r="QNV60" s="121"/>
      <c r="QNW60" s="5"/>
      <c r="QNX60" s="5"/>
      <c r="QNY60" s="124"/>
      <c r="QNZ60" s="121"/>
      <c r="QOA60" s="125"/>
      <c r="QOB60" s="5"/>
      <c r="QOC60" s="117"/>
      <c r="QOD60" s="4"/>
      <c r="QOE60" s="126"/>
      <c r="QOF60" s="127"/>
      <c r="QOG60" s="121"/>
      <c r="QOH60" s="5"/>
      <c r="QOI60" s="5"/>
      <c r="QOJ60" s="124"/>
      <c r="QOK60" s="121"/>
      <c r="QOL60" s="125"/>
      <c r="QOM60" s="5"/>
      <c r="QON60" s="117"/>
      <c r="QOO60" s="4"/>
      <c r="QOP60" s="126"/>
      <c r="QOQ60" s="127"/>
      <c r="QOR60" s="121"/>
      <c r="QOS60" s="5"/>
      <c r="QOT60" s="5"/>
      <c r="QOU60" s="124"/>
      <c r="QOV60" s="121"/>
      <c r="QOW60" s="125"/>
      <c r="QOX60" s="5"/>
      <c r="QOY60" s="117"/>
      <c r="QOZ60" s="4"/>
      <c r="QPA60" s="126"/>
      <c r="QPB60" s="127"/>
      <c r="QPC60" s="121"/>
      <c r="QPD60" s="5"/>
      <c r="QPE60" s="5"/>
      <c r="QPF60" s="124"/>
      <c r="QPG60" s="121"/>
      <c r="QPH60" s="125"/>
      <c r="QPI60" s="5"/>
      <c r="QPJ60" s="117"/>
      <c r="QPK60" s="4"/>
      <c r="QPL60" s="126"/>
      <c r="QPM60" s="127"/>
      <c r="QPN60" s="121"/>
      <c r="QPO60" s="5"/>
      <c r="QPP60" s="5"/>
      <c r="QPQ60" s="124"/>
      <c r="QPR60" s="121"/>
      <c r="QPS60" s="125"/>
      <c r="QPT60" s="5"/>
      <c r="QPU60" s="117"/>
      <c r="QPV60" s="4"/>
      <c r="QPW60" s="126"/>
      <c r="QPX60" s="127"/>
      <c r="QPY60" s="121"/>
      <c r="QPZ60" s="5"/>
      <c r="QQA60" s="5"/>
      <c r="QQB60" s="124"/>
      <c r="QQC60" s="121"/>
      <c r="QQD60" s="125"/>
      <c r="QQE60" s="5"/>
      <c r="QQF60" s="117"/>
      <c r="QQG60" s="4"/>
      <c r="QQH60" s="126"/>
      <c r="QQI60" s="127"/>
      <c r="QQJ60" s="121"/>
      <c r="QQK60" s="5"/>
      <c r="QQL60" s="5"/>
      <c r="QQM60" s="124"/>
      <c r="QQN60" s="121"/>
      <c r="QQO60" s="125"/>
      <c r="QQP60" s="5"/>
      <c r="QQQ60" s="117"/>
      <c r="QQR60" s="4"/>
      <c r="QQS60" s="126"/>
      <c r="QQT60" s="127"/>
      <c r="QQU60" s="121"/>
      <c r="QQV60" s="5"/>
      <c r="QQW60" s="5"/>
      <c r="QQX60" s="124"/>
      <c r="QQY60" s="121"/>
      <c r="QQZ60" s="125"/>
      <c r="QRA60" s="5"/>
      <c r="QRB60" s="117"/>
      <c r="QRC60" s="4"/>
      <c r="QRD60" s="126"/>
      <c r="QRE60" s="127"/>
      <c r="QRF60" s="121"/>
      <c r="QRG60" s="5"/>
      <c r="QRH60" s="5"/>
      <c r="QRI60" s="124"/>
      <c r="QRJ60" s="121"/>
      <c r="QRK60" s="125"/>
      <c r="QRL60" s="5"/>
      <c r="QRM60" s="117"/>
      <c r="QRN60" s="4"/>
      <c r="QRO60" s="126"/>
      <c r="QRP60" s="127"/>
      <c r="QRQ60" s="121"/>
      <c r="QRR60" s="5"/>
      <c r="QRS60" s="5"/>
      <c r="QRT60" s="124"/>
      <c r="QRU60" s="121"/>
      <c r="QRV60" s="125"/>
      <c r="QRW60" s="5"/>
      <c r="QRX60" s="117"/>
      <c r="QRY60" s="4"/>
      <c r="QRZ60" s="126"/>
      <c r="QSA60" s="127"/>
      <c r="QSB60" s="121"/>
      <c r="QSC60" s="5"/>
      <c r="QSD60" s="5"/>
      <c r="QSE60" s="124"/>
      <c r="QSF60" s="121"/>
      <c r="QSG60" s="125"/>
      <c r="QSH60" s="5"/>
      <c r="QSI60" s="117"/>
      <c r="QSJ60" s="4"/>
      <c r="QSK60" s="126"/>
      <c r="QSL60" s="127"/>
      <c r="QSM60" s="121"/>
      <c r="QSN60" s="5"/>
      <c r="QSO60" s="5"/>
      <c r="QSP60" s="124"/>
      <c r="QSQ60" s="121"/>
      <c r="QSR60" s="125"/>
      <c r="QSS60" s="5"/>
      <c r="QST60" s="117"/>
      <c r="QSU60" s="4"/>
      <c r="QSV60" s="126"/>
      <c r="QSW60" s="127"/>
      <c r="QSX60" s="121"/>
      <c r="QSY60" s="5"/>
      <c r="QSZ60" s="5"/>
      <c r="QTA60" s="124"/>
      <c r="QTB60" s="121"/>
      <c r="QTC60" s="125"/>
      <c r="QTD60" s="5"/>
      <c r="QTE60" s="117"/>
      <c r="QTF60" s="4"/>
      <c r="QTG60" s="126"/>
      <c r="QTH60" s="127"/>
      <c r="QTI60" s="121"/>
      <c r="QTJ60" s="5"/>
      <c r="QTK60" s="5"/>
      <c r="QTL60" s="124"/>
      <c r="QTM60" s="121"/>
      <c r="QTN60" s="125"/>
      <c r="QTO60" s="5"/>
      <c r="QTP60" s="117"/>
      <c r="QTQ60" s="4"/>
      <c r="QTR60" s="126"/>
      <c r="QTS60" s="127"/>
      <c r="QTT60" s="121"/>
      <c r="QTU60" s="5"/>
      <c r="QTV60" s="5"/>
      <c r="QTW60" s="124"/>
      <c r="QTX60" s="121"/>
      <c r="QTY60" s="125"/>
      <c r="QTZ60" s="5"/>
      <c r="QUA60" s="117"/>
      <c r="QUB60" s="4"/>
      <c r="QUC60" s="126"/>
      <c r="QUD60" s="127"/>
      <c r="QUE60" s="121"/>
      <c r="QUF60" s="5"/>
      <c r="QUG60" s="5"/>
      <c r="QUH60" s="124"/>
      <c r="QUI60" s="121"/>
      <c r="QUJ60" s="125"/>
      <c r="QUK60" s="5"/>
      <c r="QUL60" s="117"/>
      <c r="QUM60" s="4"/>
      <c r="QUN60" s="126"/>
      <c r="QUO60" s="127"/>
      <c r="QUP60" s="121"/>
      <c r="QUQ60" s="5"/>
      <c r="QUR60" s="5"/>
      <c r="QUS60" s="124"/>
      <c r="QUT60" s="121"/>
      <c r="QUU60" s="125"/>
      <c r="QUV60" s="5"/>
      <c r="QUW60" s="117"/>
      <c r="QUX60" s="4"/>
      <c r="QUY60" s="126"/>
      <c r="QUZ60" s="127"/>
      <c r="QVA60" s="121"/>
      <c r="QVB60" s="5"/>
      <c r="QVC60" s="5"/>
      <c r="QVD60" s="124"/>
      <c r="QVE60" s="121"/>
      <c r="QVF60" s="125"/>
      <c r="QVG60" s="5"/>
      <c r="QVH60" s="117"/>
      <c r="QVI60" s="4"/>
      <c r="QVJ60" s="126"/>
      <c r="QVK60" s="127"/>
      <c r="QVL60" s="121"/>
      <c r="QVM60" s="5"/>
      <c r="QVN60" s="5"/>
      <c r="QVO60" s="124"/>
      <c r="QVP60" s="121"/>
      <c r="QVQ60" s="125"/>
      <c r="QVR60" s="5"/>
      <c r="QVS60" s="117"/>
      <c r="QVT60" s="4"/>
      <c r="QVU60" s="126"/>
      <c r="QVV60" s="127"/>
      <c r="QVW60" s="121"/>
      <c r="QVX60" s="5"/>
      <c r="QVY60" s="5"/>
      <c r="QVZ60" s="124"/>
      <c r="QWA60" s="121"/>
      <c r="QWB60" s="125"/>
      <c r="QWC60" s="5"/>
      <c r="QWD60" s="117"/>
      <c r="QWE60" s="4"/>
      <c r="QWF60" s="126"/>
      <c r="QWG60" s="127"/>
      <c r="QWH60" s="121"/>
      <c r="QWI60" s="5"/>
      <c r="QWJ60" s="5"/>
      <c r="QWK60" s="124"/>
      <c r="QWL60" s="121"/>
      <c r="QWM60" s="125"/>
      <c r="QWN60" s="5"/>
      <c r="QWO60" s="117"/>
      <c r="QWP60" s="4"/>
      <c r="QWQ60" s="126"/>
      <c r="QWR60" s="127"/>
      <c r="QWS60" s="121"/>
      <c r="QWT60" s="5"/>
      <c r="QWU60" s="5"/>
      <c r="QWV60" s="124"/>
      <c r="QWW60" s="121"/>
      <c r="QWX60" s="125"/>
      <c r="QWY60" s="5"/>
      <c r="QWZ60" s="117"/>
      <c r="QXA60" s="4"/>
      <c r="QXB60" s="126"/>
      <c r="QXC60" s="127"/>
      <c r="QXD60" s="121"/>
      <c r="QXE60" s="5"/>
      <c r="QXF60" s="5"/>
      <c r="QXG60" s="124"/>
      <c r="QXH60" s="121"/>
      <c r="QXI60" s="125"/>
      <c r="QXJ60" s="5"/>
      <c r="QXK60" s="117"/>
      <c r="QXL60" s="4"/>
      <c r="QXM60" s="126"/>
      <c r="QXN60" s="127"/>
      <c r="QXO60" s="121"/>
      <c r="QXP60" s="5"/>
      <c r="QXQ60" s="5"/>
      <c r="QXR60" s="124"/>
      <c r="QXS60" s="121"/>
      <c r="QXT60" s="125"/>
      <c r="QXU60" s="5"/>
      <c r="QXV60" s="117"/>
      <c r="QXW60" s="4"/>
      <c r="QXX60" s="126"/>
      <c r="QXY60" s="127"/>
      <c r="QXZ60" s="121"/>
      <c r="QYA60" s="5"/>
      <c r="QYB60" s="5"/>
      <c r="QYC60" s="124"/>
      <c r="QYD60" s="121"/>
      <c r="QYE60" s="125"/>
      <c r="QYF60" s="5"/>
      <c r="QYG60" s="117"/>
      <c r="QYH60" s="4"/>
      <c r="QYI60" s="126"/>
      <c r="QYJ60" s="127"/>
      <c r="QYK60" s="121"/>
      <c r="QYL60" s="5"/>
      <c r="QYM60" s="5"/>
      <c r="QYN60" s="124"/>
      <c r="QYO60" s="121"/>
      <c r="QYP60" s="125"/>
      <c r="QYQ60" s="5"/>
      <c r="QYR60" s="117"/>
      <c r="QYS60" s="4"/>
      <c r="QYT60" s="126"/>
      <c r="QYU60" s="127"/>
      <c r="QYV60" s="121"/>
      <c r="QYW60" s="5"/>
      <c r="QYX60" s="5"/>
      <c r="QYY60" s="124"/>
      <c r="QYZ60" s="121"/>
      <c r="QZA60" s="125"/>
      <c r="QZB60" s="5"/>
      <c r="QZC60" s="117"/>
      <c r="QZD60" s="4"/>
      <c r="QZE60" s="126"/>
      <c r="QZF60" s="127"/>
      <c r="QZG60" s="121"/>
      <c r="QZH60" s="5"/>
      <c r="QZI60" s="5"/>
      <c r="QZJ60" s="124"/>
      <c r="QZK60" s="121"/>
      <c r="QZL60" s="125"/>
      <c r="QZM60" s="5"/>
      <c r="QZN60" s="117"/>
      <c r="QZO60" s="4"/>
      <c r="QZP60" s="126"/>
      <c r="QZQ60" s="127"/>
      <c r="QZR60" s="121"/>
      <c r="QZS60" s="5"/>
      <c r="QZT60" s="5"/>
      <c r="QZU60" s="124"/>
      <c r="QZV60" s="121"/>
      <c r="QZW60" s="125"/>
      <c r="QZX60" s="5"/>
      <c r="QZY60" s="117"/>
      <c r="QZZ60" s="4"/>
      <c r="RAA60" s="126"/>
      <c r="RAB60" s="127"/>
      <c r="RAC60" s="121"/>
      <c r="RAD60" s="5"/>
      <c r="RAE60" s="5"/>
      <c r="RAF60" s="124"/>
      <c r="RAG60" s="121"/>
      <c r="RAH60" s="125"/>
      <c r="RAI60" s="5"/>
      <c r="RAJ60" s="117"/>
      <c r="RAK60" s="4"/>
      <c r="RAL60" s="126"/>
      <c r="RAM60" s="127"/>
      <c r="RAN60" s="121"/>
      <c r="RAO60" s="5"/>
      <c r="RAP60" s="5"/>
      <c r="RAQ60" s="124"/>
      <c r="RAR60" s="121"/>
      <c r="RAS60" s="125"/>
      <c r="RAT60" s="5"/>
      <c r="RAU60" s="117"/>
      <c r="RAV60" s="4"/>
      <c r="RAW60" s="126"/>
      <c r="RAX60" s="127"/>
      <c r="RAY60" s="121"/>
      <c r="RAZ60" s="5"/>
      <c r="RBA60" s="5"/>
      <c r="RBB60" s="124"/>
      <c r="RBC60" s="121"/>
      <c r="RBD60" s="125"/>
      <c r="RBE60" s="5"/>
      <c r="RBF60" s="117"/>
      <c r="RBG60" s="4"/>
      <c r="RBH60" s="126"/>
      <c r="RBI60" s="127"/>
      <c r="RBJ60" s="121"/>
      <c r="RBK60" s="5"/>
      <c r="RBL60" s="5"/>
      <c r="RBM60" s="124"/>
      <c r="RBN60" s="121"/>
      <c r="RBO60" s="125"/>
      <c r="RBP60" s="5"/>
      <c r="RBQ60" s="117"/>
      <c r="RBR60" s="4"/>
      <c r="RBS60" s="126"/>
      <c r="RBT60" s="127"/>
      <c r="RBU60" s="121"/>
      <c r="RBV60" s="5"/>
      <c r="RBW60" s="5"/>
      <c r="RBX60" s="124"/>
      <c r="RBY60" s="121"/>
      <c r="RBZ60" s="125"/>
      <c r="RCA60" s="5"/>
      <c r="RCB60" s="117"/>
      <c r="RCC60" s="4"/>
      <c r="RCD60" s="126"/>
      <c r="RCE60" s="127"/>
      <c r="RCF60" s="121"/>
      <c r="RCG60" s="5"/>
      <c r="RCH60" s="5"/>
      <c r="RCI60" s="124"/>
      <c r="RCJ60" s="121"/>
      <c r="RCK60" s="125"/>
      <c r="RCL60" s="5"/>
      <c r="RCM60" s="117"/>
      <c r="RCN60" s="4"/>
      <c r="RCO60" s="126"/>
      <c r="RCP60" s="127"/>
      <c r="RCQ60" s="121"/>
      <c r="RCR60" s="5"/>
      <c r="RCS60" s="5"/>
      <c r="RCT60" s="124"/>
      <c r="RCU60" s="121"/>
      <c r="RCV60" s="125"/>
      <c r="RCW60" s="5"/>
      <c r="RCX60" s="117"/>
      <c r="RCY60" s="4"/>
      <c r="RCZ60" s="126"/>
      <c r="RDA60" s="127"/>
      <c r="RDB60" s="121"/>
      <c r="RDC60" s="5"/>
      <c r="RDD60" s="5"/>
      <c r="RDE60" s="124"/>
      <c r="RDF60" s="121"/>
      <c r="RDG60" s="125"/>
      <c r="RDH60" s="5"/>
      <c r="RDI60" s="117"/>
      <c r="RDJ60" s="4"/>
      <c r="RDK60" s="126"/>
      <c r="RDL60" s="127"/>
      <c r="RDM60" s="121"/>
      <c r="RDN60" s="5"/>
      <c r="RDO60" s="5"/>
      <c r="RDP60" s="124"/>
      <c r="RDQ60" s="121"/>
      <c r="RDR60" s="125"/>
      <c r="RDS60" s="5"/>
      <c r="RDT60" s="117"/>
      <c r="RDU60" s="4"/>
      <c r="RDV60" s="126"/>
      <c r="RDW60" s="127"/>
      <c r="RDX60" s="121"/>
      <c r="RDY60" s="5"/>
      <c r="RDZ60" s="5"/>
      <c r="REA60" s="124"/>
      <c r="REB60" s="121"/>
      <c r="REC60" s="125"/>
      <c r="RED60" s="5"/>
      <c r="REE60" s="117"/>
      <c r="REF60" s="4"/>
      <c r="REG60" s="126"/>
      <c r="REH60" s="127"/>
      <c r="REI60" s="121"/>
      <c r="REJ60" s="5"/>
      <c r="REK60" s="5"/>
      <c r="REL60" s="124"/>
      <c r="REM60" s="121"/>
      <c r="REN60" s="125"/>
      <c r="REO60" s="5"/>
      <c r="REP60" s="117"/>
      <c r="REQ60" s="4"/>
      <c r="RER60" s="126"/>
      <c r="RES60" s="127"/>
      <c r="RET60" s="121"/>
      <c r="REU60" s="5"/>
      <c r="REV60" s="5"/>
      <c r="REW60" s="124"/>
      <c r="REX60" s="121"/>
      <c r="REY60" s="125"/>
      <c r="REZ60" s="5"/>
      <c r="RFA60" s="117"/>
      <c r="RFB60" s="4"/>
      <c r="RFC60" s="126"/>
      <c r="RFD60" s="127"/>
      <c r="RFE60" s="121"/>
      <c r="RFF60" s="5"/>
      <c r="RFG60" s="5"/>
      <c r="RFH60" s="124"/>
      <c r="RFI60" s="121"/>
      <c r="RFJ60" s="125"/>
      <c r="RFK60" s="5"/>
      <c r="RFL60" s="117"/>
      <c r="RFM60" s="4"/>
      <c r="RFN60" s="126"/>
      <c r="RFO60" s="127"/>
      <c r="RFP60" s="121"/>
      <c r="RFQ60" s="5"/>
      <c r="RFR60" s="5"/>
      <c r="RFS60" s="124"/>
      <c r="RFT60" s="121"/>
      <c r="RFU60" s="125"/>
      <c r="RFV60" s="5"/>
      <c r="RFW60" s="117"/>
      <c r="RFX60" s="4"/>
      <c r="RFY60" s="126"/>
      <c r="RFZ60" s="127"/>
      <c r="RGA60" s="121"/>
      <c r="RGB60" s="5"/>
      <c r="RGC60" s="5"/>
      <c r="RGD60" s="124"/>
      <c r="RGE60" s="121"/>
      <c r="RGF60" s="125"/>
      <c r="RGG60" s="5"/>
      <c r="RGH60" s="117"/>
      <c r="RGI60" s="4"/>
      <c r="RGJ60" s="126"/>
      <c r="RGK60" s="127"/>
      <c r="RGL60" s="121"/>
      <c r="RGM60" s="5"/>
      <c r="RGN60" s="5"/>
      <c r="RGO60" s="124"/>
      <c r="RGP60" s="121"/>
      <c r="RGQ60" s="125"/>
      <c r="RGR60" s="5"/>
      <c r="RGS60" s="117"/>
      <c r="RGT60" s="4"/>
      <c r="RGU60" s="126"/>
      <c r="RGV60" s="127"/>
      <c r="RGW60" s="121"/>
      <c r="RGX60" s="5"/>
      <c r="RGY60" s="5"/>
      <c r="RGZ60" s="124"/>
      <c r="RHA60" s="121"/>
      <c r="RHB60" s="125"/>
      <c r="RHC60" s="5"/>
      <c r="RHD60" s="117"/>
      <c r="RHE60" s="4"/>
      <c r="RHF60" s="126"/>
      <c r="RHG60" s="127"/>
      <c r="RHH60" s="121"/>
      <c r="RHI60" s="5"/>
      <c r="RHJ60" s="5"/>
      <c r="RHK60" s="124"/>
      <c r="RHL60" s="121"/>
      <c r="RHM60" s="125"/>
      <c r="RHN60" s="5"/>
      <c r="RHO60" s="117"/>
      <c r="RHP60" s="4"/>
      <c r="RHQ60" s="126"/>
      <c r="RHR60" s="127"/>
      <c r="RHS60" s="121"/>
      <c r="RHT60" s="5"/>
      <c r="RHU60" s="5"/>
      <c r="RHV60" s="124"/>
      <c r="RHW60" s="121"/>
      <c r="RHX60" s="125"/>
      <c r="RHY60" s="5"/>
      <c r="RHZ60" s="117"/>
      <c r="RIA60" s="4"/>
      <c r="RIB60" s="126"/>
      <c r="RIC60" s="127"/>
      <c r="RID60" s="121"/>
      <c r="RIE60" s="5"/>
      <c r="RIF60" s="5"/>
      <c r="RIG60" s="124"/>
      <c r="RIH60" s="121"/>
      <c r="RII60" s="125"/>
      <c r="RIJ60" s="5"/>
      <c r="RIK60" s="117"/>
      <c r="RIL60" s="4"/>
      <c r="RIM60" s="126"/>
      <c r="RIN60" s="127"/>
      <c r="RIO60" s="121"/>
      <c r="RIP60" s="5"/>
      <c r="RIQ60" s="5"/>
      <c r="RIR60" s="124"/>
      <c r="RIS60" s="121"/>
      <c r="RIT60" s="125"/>
      <c r="RIU60" s="5"/>
      <c r="RIV60" s="117"/>
      <c r="RIW60" s="4"/>
      <c r="RIX60" s="126"/>
      <c r="RIY60" s="127"/>
      <c r="RIZ60" s="121"/>
      <c r="RJA60" s="5"/>
      <c r="RJB60" s="5"/>
      <c r="RJC60" s="124"/>
      <c r="RJD60" s="121"/>
      <c r="RJE60" s="125"/>
      <c r="RJF60" s="5"/>
      <c r="RJG60" s="117"/>
      <c r="RJH60" s="4"/>
      <c r="RJI60" s="126"/>
      <c r="RJJ60" s="127"/>
      <c r="RJK60" s="121"/>
      <c r="RJL60" s="5"/>
      <c r="RJM60" s="5"/>
      <c r="RJN60" s="124"/>
      <c r="RJO60" s="121"/>
      <c r="RJP60" s="125"/>
      <c r="RJQ60" s="5"/>
      <c r="RJR60" s="117"/>
      <c r="RJS60" s="4"/>
      <c r="RJT60" s="126"/>
      <c r="RJU60" s="127"/>
      <c r="RJV60" s="121"/>
      <c r="RJW60" s="5"/>
      <c r="RJX60" s="5"/>
      <c r="RJY60" s="124"/>
      <c r="RJZ60" s="121"/>
      <c r="RKA60" s="125"/>
      <c r="RKB60" s="5"/>
      <c r="RKC60" s="117"/>
      <c r="RKD60" s="4"/>
      <c r="RKE60" s="126"/>
      <c r="RKF60" s="127"/>
      <c r="RKG60" s="121"/>
      <c r="RKH60" s="5"/>
      <c r="RKI60" s="5"/>
      <c r="RKJ60" s="124"/>
      <c r="RKK60" s="121"/>
      <c r="RKL60" s="125"/>
      <c r="RKM60" s="5"/>
      <c r="RKN60" s="117"/>
      <c r="RKO60" s="4"/>
      <c r="RKP60" s="126"/>
      <c r="RKQ60" s="127"/>
      <c r="RKR60" s="121"/>
      <c r="RKS60" s="5"/>
      <c r="RKT60" s="5"/>
      <c r="RKU60" s="124"/>
      <c r="RKV60" s="121"/>
      <c r="RKW60" s="125"/>
      <c r="RKX60" s="5"/>
      <c r="RKY60" s="117"/>
      <c r="RKZ60" s="4"/>
      <c r="RLA60" s="126"/>
      <c r="RLB60" s="127"/>
      <c r="RLC60" s="121"/>
      <c r="RLD60" s="5"/>
      <c r="RLE60" s="5"/>
      <c r="RLF60" s="124"/>
      <c r="RLG60" s="121"/>
      <c r="RLH60" s="125"/>
      <c r="RLI60" s="5"/>
      <c r="RLJ60" s="117"/>
      <c r="RLK60" s="4"/>
      <c r="RLL60" s="126"/>
      <c r="RLM60" s="127"/>
      <c r="RLN60" s="121"/>
      <c r="RLO60" s="5"/>
      <c r="RLP60" s="5"/>
      <c r="RLQ60" s="124"/>
      <c r="RLR60" s="121"/>
      <c r="RLS60" s="125"/>
      <c r="RLT60" s="5"/>
      <c r="RLU60" s="117"/>
      <c r="RLV60" s="4"/>
      <c r="RLW60" s="126"/>
      <c r="RLX60" s="127"/>
      <c r="RLY60" s="121"/>
      <c r="RLZ60" s="5"/>
      <c r="RMA60" s="5"/>
      <c r="RMB60" s="124"/>
      <c r="RMC60" s="121"/>
      <c r="RMD60" s="125"/>
      <c r="RME60" s="5"/>
      <c r="RMF60" s="117"/>
      <c r="RMG60" s="4"/>
      <c r="RMH60" s="126"/>
      <c r="RMI60" s="127"/>
      <c r="RMJ60" s="121"/>
      <c r="RMK60" s="5"/>
      <c r="RML60" s="5"/>
      <c r="RMM60" s="124"/>
      <c r="RMN60" s="121"/>
      <c r="RMO60" s="125"/>
      <c r="RMP60" s="5"/>
      <c r="RMQ60" s="117"/>
      <c r="RMR60" s="4"/>
      <c r="RMS60" s="126"/>
      <c r="RMT60" s="127"/>
      <c r="RMU60" s="121"/>
      <c r="RMV60" s="5"/>
      <c r="RMW60" s="5"/>
      <c r="RMX60" s="124"/>
      <c r="RMY60" s="121"/>
      <c r="RMZ60" s="125"/>
      <c r="RNA60" s="5"/>
      <c r="RNB60" s="117"/>
      <c r="RNC60" s="4"/>
      <c r="RND60" s="126"/>
      <c r="RNE60" s="127"/>
      <c r="RNF60" s="121"/>
      <c r="RNG60" s="5"/>
      <c r="RNH60" s="5"/>
      <c r="RNI60" s="124"/>
      <c r="RNJ60" s="121"/>
      <c r="RNK60" s="125"/>
      <c r="RNL60" s="5"/>
      <c r="RNM60" s="117"/>
      <c r="RNN60" s="4"/>
      <c r="RNO60" s="126"/>
      <c r="RNP60" s="127"/>
      <c r="RNQ60" s="121"/>
      <c r="RNR60" s="5"/>
      <c r="RNS60" s="5"/>
      <c r="RNT60" s="124"/>
      <c r="RNU60" s="121"/>
      <c r="RNV60" s="125"/>
      <c r="RNW60" s="5"/>
      <c r="RNX60" s="117"/>
      <c r="RNY60" s="4"/>
      <c r="RNZ60" s="126"/>
      <c r="ROA60" s="127"/>
      <c r="ROB60" s="121"/>
      <c r="ROC60" s="5"/>
      <c r="ROD60" s="5"/>
      <c r="ROE60" s="124"/>
      <c r="ROF60" s="121"/>
      <c r="ROG60" s="125"/>
      <c r="ROH60" s="5"/>
      <c r="ROI60" s="117"/>
      <c r="ROJ60" s="4"/>
      <c r="ROK60" s="126"/>
      <c r="ROL60" s="127"/>
      <c r="ROM60" s="121"/>
      <c r="RON60" s="5"/>
      <c r="ROO60" s="5"/>
      <c r="ROP60" s="124"/>
      <c r="ROQ60" s="121"/>
      <c r="ROR60" s="125"/>
      <c r="ROS60" s="5"/>
      <c r="ROT60" s="117"/>
      <c r="ROU60" s="4"/>
      <c r="ROV60" s="126"/>
      <c r="ROW60" s="127"/>
      <c r="ROX60" s="121"/>
      <c r="ROY60" s="5"/>
      <c r="ROZ60" s="5"/>
      <c r="RPA60" s="124"/>
      <c r="RPB60" s="121"/>
      <c r="RPC60" s="125"/>
      <c r="RPD60" s="5"/>
      <c r="RPE60" s="117"/>
      <c r="RPF60" s="4"/>
      <c r="RPG60" s="126"/>
      <c r="RPH60" s="127"/>
      <c r="RPI60" s="121"/>
      <c r="RPJ60" s="5"/>
      <c r="RPK60" s="5"/>
      <c r="RPL60" s="124"/>
      <c r="RPM60" s="121"/>
      <c r="RPN60" s="125"/>
      <c r="RPO60" s="5"/>
      <c r="RPP60" s="117"/>
      <c r="RPQ60" s="4"/>
      <c r="RPR60" s="126"/>
      <c r="RPS60" s="127"/>
      <c r="RPT60" s="121"/>
      <c r="RPU60" s="5"/>
      <c r="RPV60" s="5"/>
      <c r="RPW60" s="124"/>
      <c r="RPX60" s="121"/>
      <c r="RPY60" s="125"/>
      <c r="RPZ60" s="5"/>
      <c r="RQA60" s="117"/>
      <c r="RQB60" s="4"/>
      <c r="RQC60" s="126"/>
      <c r="RQD60" s="127"/>
      <c r="RQE60" s="121"/>
      <c r="RQF60" s="5"/>
      <c r="RQG60" s="5"/>
      <c r="RQH60" s="124"/>
      <c r="RQI60" s="121"/>
      <c r="RQJ60" s="125"/>
      <c r="RQK60" s="5"/>
      <c r="RQL60" s="117"/>
      <c r="RQM60" s="4"/>
      <c r="RQN60" s="126"/>
      <c r="RQO60" s="127"/>
      <c r="RQP60" s="121"/>
      <c r="RQQ60" s="5"/>
      <c r="RQR60" s="5"/>
      <c r="RQS60" s="124"/>
      <c r="RQT60" s="121"/>
      <c r="RQU60" s="125"/>
      <c r="RQV60" s="5"/>
      <c r="RQW60" s="117"/>
      <c r="RQX60" s="4"/>
      <c r="RQY60" s="126"/>
      <c r="RQZ60" s="127"/>
      <c r="RRA60" s="121"/>
      <c r="RRB60" s="5"/>
      <c r="RRC60" s="5"/>
      <c r="RRD60" s="124"/>
      <c r="RRE60" s="121"/>
      <c r="RRF60" s="125"/>
      <c r="RRG60" s="5"/>
      <c r="RRH60" s="117"/>
      <c r="RRI60" s="4"/>
      <c r="RRJ60" s="126"/>
      <c r="RRK60" s="127"/>
      <c r="RRL60" s="121"/>
      <c r="RRM60" s="5"/>
      <c r="RRN60" s="5"/>
      <c r="RRO60" s="124"/>
      <c r="RRP60" s="121"/>
      <c r="RRQ60" s="125"/>
      <c r="RRR60" s="5"/>
      <c r="RRS60" s="117"/>
      <c r="RRT60" s="4"/>
      <c r="RRU60" s="126"/>
      <c r="RRV60" s="127"/>
      <c r="RRW60" s="121"/>
      <c r="RRX60" s="5"/>
      <c r="RRY60" s="5"/>
      <c r="RRZ60" s="124"/>
      <c r="RSA60" s="121"/>
      <c r="RSB60" s="125"/>
      <c r="RSC60" s="5"/>
      <c r="RSD60" s="117"/>
      <c r="RSE60" s="4"/>
      <c r="RSF60" s="126"/>
      <c r="RSG60" s="127"/>
      <c r="RSH60" s="121"/>
      <c r="RSI60" s="5"/>
      <c r="RSJ60" s="5"/>
      <c r="RSK60" s="124"/>
      <c r="RSL60" s="121"/>
      <c r="RSM60" s="125"/>
      <c r="RSN60" s="5"/>
      <c r="RSO60" s="117"/>
      <c r="RSP60" s="4"/>
      <c r="RSQ60" s="126"/>
      <c r="RSR60" s="127"/>
      <c r="RSS60" s="121"/>
      <c r="RST60" s="5"/>
      <c r="RSU60" s="5"/>
      <c r="RSV60" s="124"/>
      <c r="RSW60" s="121"/>
      <c r="RSX60" s="125"/>
      <c r="RSY60" s="5"/>
      <c r="RSZ60" s="117"/>
      <c r="RTA60" s="4"/>
      <c r="RTB60" s="126"/>
      <c r="RTC60" s="127"/>
      <c r="RTD60" s="121"/>
      <c r="RTE60" s="5"/>
      <c r="RTF60" s="5"/>
      <c r="RTG60" s="124"/>
      <c r="RTH60" s="121"/>
      <c r="RTI60" s="125"/>
      <c r="RTJ60" s="5"/>
      <c r="RTK60" s="117"/>
      <c r="RTL60" s="4"/>
      <c r="RTM60" s="126"/>
      <c r="RTN60" s="127"/>
      <c r="RTO60" s="121"/>
      <c r="RTP60" s="5"/>
      <c r="RTQ60" s="5"/>
      <c r="RTR60" s="124"/>
      <c r="RTS60" s="121"/>
      <c r="RTT60" s="125"/>
      <c r="RTU60" s="5"/>
      <c r="RTV60" s="117"/>
      <c r="RTW60" s="4"/>
      <c r="RTX60" s="126"/>
      <c r="RTY60" s="127"/>
      <c r="RTZ60" s="121"/>
      <c r="RUA60" s="5"/>
      <c r="RUB60" s="5"/>
      <c r="RUC60" s="124"/>
      <c r="RUD60" s="121"/>
      <c r="RUE60" s="125"/>
      <c r="RUF60" s="5"/>
      <c r="RUG60" s="117"/>
      <c r="RUH60" s="4"/>
      <c r="RUI60" s="126"/>
      <c r="RUJ60" s="127"/>
      <c r="RUK60" s="121"/>
      <c r="RUL60" s="5"/>
      <c r="RUM60" s="5"/>
      <c r="RUN60" s="124"/>
      <c r="RUO60" s="121"/>
      <c r="RUP60" s="125"/>
      <c r="RUQ60" s="5"/>
      <c r="RUR60" s="117"/>
      <c r="RUS60" s="4"/>
      <c r="RUT60" s="126"/>
      <c r="RUU60" s="127"/>
      <c r="RUV60" s="121"/>
      <c r="RUW60" s="5"/>
      <c r="RUX60" s="5"/>
      <c r="RUY60" s="124"/>
      <c r="RUZ60" s="121"/>
      <c r="RVA60" s="125"/>
      <c r="RVB60" s="5"/>
      <c r="RVC60" s="117"/>
      <c r="RVD60" s="4"/>
      <c r="RVE60" s="126"/>
      <c r="RVF60" s="127"/>
      <c r="RVG60" s="121"/>
      <c r="RVH60" s="5"/>
      <c r="RVI60" s="5"/>
      <c r="RVJ60" s="124"/>
      <c r="RVK60" s="121"/>
      <c r="RVL60" s="125"/>
      <c r="RVM60" s="5"/>
      <c r="RVN60" s="117"/>
      <c r="RVO60" s="4"/>
      <c r="RVP60" s="126"/>
      <c r="RVQ60" s="127"/>
      <c r="RVR60" s="121"/>
      <c r="RVS60" s="5"/>
      <c r="RVT60" s="5"/>
      <c r="RVU60" s="124"/>
      <c r="RVV60" s="121"/>
      <c r="RVW60" s="125"/>
      <c r="RVX60" s="5"/>
      <c r="RVY60" s="117"/>
      <c r="RVZ60" s="4"/>
      <c r="RWA60" s="126"/>
      <c r="RWB60" s="127"/>
      <c r="RWC60" s="121"/>
      <c r="RWD60" s="5"/>
      <c r="RWE60" s="5"/>
      <c r="RWF60" s="124"/>
      <c r="RWG60" s="121"/>
      <c r="RWH60" s="125"/>
      <c r="RWI60" s="5"/>
      <c r="RWJ60" s="117"/>
      <c r="RWK60" s="4"/>
      <c r="RWL60" s="126"/>
      <c r="RWM60" s="127"/>
      <c r="RWN60" s="121"/>
      <c r="RWO60" s="5"/>
      <c r="RWP60" s="5"/>
      <c r="RWQ60" s="124"/>
      <c r="RWR60" s="121"/>
      <c r="RWS60" s="125"/>
      <c r="RWT60" s="5"/>
      <c r="RWU60" s="117"/>
      <c r="RWV60" s="4"/>
      <c r="RWW60" s="126"/>
      <c r="RWX60" s="127"/>
      <c r="RWY60" s="121"/>
      <c r="RWZ60" s="5"/>
      <c r="RXA60" s="5"/>
      <c r="RXB60" s="124"/>
      <c r="RXC60" s="121"/>
      <c r="RXD60" s="125"/>
      <c r="RXE60" s="5"/>
      <c r="RXF60" s="117"/>
      <c r="RXG60" s="4"/>
      <c r="RXH60" s="126"/>
      <c r="RXI60" s="127"/>
      <c r="RXJ60" s="121"/>
      <c r="RXK60" s="5"/>
      <c r="RXL60" s="5"/>
      <c r="RXM60" s="124"/>
      <c r="RXN60" s="121"/>
      <c r="RXO60" s="125"/>
      <c r="RXP60" s="5"/>
      <c r="RXQ60" s="117"/>
      <c r="RXR60" s="4"/>
      <c r="RXS60" s="126"/>
      <c r="RXT60" s="127"/>
      <c r="RXU60" s="121"/>
      <c r="RXV60" s="5"/>
      <c r="RXW60" s="5"/>
      <c r="RXX60" s="124"/>
      <c r="RXY60" s="121"/>
      <c r="RXZ60" s="125"/>
      <c r="RYA60" s="5"/>
      <c r="RYB60" s="117"/>
      <c r="RYC60" s="4"/>
      <c r="RYD60" s="126"/>
      <c r="RYE60" s="127"/>
      <c r="RYF60" s="121"/>
      <c r="RYG60" s="5"/>
      <c r="RYH60" s="5"/>
      <c r="RYI60" s="124"/>
      <c r="RYJ60" s="121"/>
      <c r="RYK60" s="125"/>
      <c r="RYL60" s="5"/>
      <c r="RYM60" s="117"/>
      <c r="RYN60" s="4"/>
      <c r="RYO60" s="126"/>
      <c r="RYP60" s="127"/>
      <c r="RYQ60" s="121"/>
      <c r="RYR60" s="5"/>
      <c r="RYS60" s="5"/>
      <c r="RYT60" s="124"/>
      <c r="RYU60" s="121"/>
      <c r="RYV60" s="125"/>
      <c r="RYW60" s="5"/>
      <c r="RYX60" s="117"/>
      <c r="RYY60" s="4"/>
      <c r="RYZ60" s="126"/>
      <c r="RZA60" s="127"/>
      <c r="RZB60" s="121"/>
      <c r="RZC60" s="5"/>
      <c r="RZD60" s="5"/>
      <c r="RZE60" s="124"/>
      <c r="RZF60" s="121"/>
      <c r="RZG60" s="125"/>
      <c r="RZH60" s="5"/>
      <c r="RZI60" s="117"/>
      <c r="RZJ60" s="4"/>
      <c r="RZK60" s="126"/>
      <c r="RZL60" s="127"/>
      <c r="RZM60" s="121"/>
      <c r="RZN60" s="5"/>
      <c r="RZO60" s="5"/>
      <c r="RZP60" s="124"/>
      <c r="RZQ60" s="121"/>
      <c r="RZR60" s="125"/>
      <c r="RZS60" s="5"/>
      <c r="RZT60" s="117"/>
      <c r="RZU60" s="4"/>
      <c r="RZV60" s="126"/>
      <c r="RZW60" s="127"/>
      <c r="RZX60" s="121"/>
      <c r="RZY60" s="5"/>
      <c r="RZZ60" s="5"/>
      <c r="SAA60" s="124"/>
      <c r="SAB60" s="121"/>
      <c r="SAC60" s="125"/>
      <c r="SAD60" s="5"/>
      <c r="SAE60" s="117"/>
      <c r="SAF60" s="4"/>
      <c r="SAG60" s="126"/>
      <c r="SAH60" s="127"/>
      <c r="SAI60" s="121"/>
      <c r="SAJ60" s="5"/>
      <c r="SAK60" s="5"/>
      <c r="SAL60" s="124"/>
      <c r="SAM60" s="121"/>
      <c r="SAN60" s="125"/>
      <c r="SAO60" s="5"/>
      <c r="SAP60" s="117"/>
      <c r="SAQ60" s="4"/>
      <c r="SAR60" s="126"/>
      <c r="SAS60" s="127"/>
      <c r="SAT60" s="121"/>
      <c r="SAU60" s="5"/>
      <c r="SAV60" s="5"/>
      <c r="SAW60" s="124"/>
      <c r="SAX60" s="121"/>
      <c r="SAY60" s="125"/>
      <c r="SAZ60" s="5"/>
      <c r="SBA60" s="117"/>
      <c r="SBB60" s="4"/>
      <c r="SBC60" s="126"/>
      <c r="SBD60" s="127"/>
      <c r="SBE60" s="121"/>
      <c r="SBF60" s="5"/>
      <c r="SBG60" s="5"/>
      <c r="SBH60" s="124"/>
      <c r="SBI60" s="121"/>
      <c r="SBJ60" s="125"/>
      <c r="SBK60" s="5"/>
      <c r="SBL60" s="117"/>
      <c r="SBM60" s="4"/>
      <c r="SBN60" s="126"/>
      <c r="SBO60" s="127"/>
      <c r="SBP60" s="121"/>
      <c r="SBQ60" s="5"/>
      <c r="SBR60" s="5"/>
      <c r="SBS60" s="124"/>
      <c r="SBT60" s="121"/>
      <c r="SBU60" s="125"/>
      <c r="SBV60" s="5"/>
      <c r="SBW60" s="117"/>
      <c r="SBX60" s="4"/>
      <c r="SBY60" s="126"/>
      <c r="SBZ60" s="127"/>
      <c r="SCA60" s="121"/>
      <c r="SCB60" s="5"/>
      <c r="SCC60" s="5"/>
      <c r="SCD60" s="124"/>
      <c r="SCE60" s="121"/>
      <c r="SCF60" s="125"/>
      <c r="SCG60" s="5"/>
      <c r="SCH60" s="117"/>
      <c r="SCI60" s="4"/>
      <c r="SCJ60" s="126"/>
      <c r="SCK60" s="127"/>
      <c r="SCL60" s="121"/>
      <c r="SCM60" s="5"/>
      <c r="SCN60" s="5"/>
      <c r="SCO60" s="124"/>
      <c r="SCP60" s="121"/>
      <c r="SCQ60" s="125"/>
      <c r="SCR60" s="5"/>
      <c r="SCS60" s="117"/>
      <c r="SCT60" s="4"/>
      <c r="SCU60" s="126"/>
      <c r="SCV60" s="127"/>
      <c r="SCW60" s="121"/>
      <c r="SCX60" s="5"/>
      <c r="SCY60" s="5"/>
      <c r="SCZ60" s="124"/>
      <c r="SDA60" s="121"/>
      <c r="SDB60" s="125"/>
      <c r="SDC60" s="5"/>
      <c r="SDD60" s="117"/>
      <c r="SDE60" s="4"/>
      <c r="SDF60" s="126"/>
      <c r="SDG60" s="127"/>
      <c r="SDH60" s="121"/>
      <c r="SDI60" s="5"/>
      <c r="SDJ60" s="5"/>
      <c r="SDK60" s="124"/>
      <c r="SDL60" s="121"/>
      <c r="SDM60" s="125"/>
      <c r="SDN60" s="5"/>
      <c r="SDO60" s="117"/>
      <c r="SDP60" s="4"/>
      <c r="SDQ60" s="126"/>
      <c r="SDR60" s="127"/>
      <c r="SDS60" s="121"/>
      <c r="SDT60" s="5"/>
      <c r="SDU60" s="5"/>
      <c r="SDV60" s="124"/>
      <c r="SDW60" s="121"/>
      <c r="SDX60" s="125"/>
      <c r="SDY60" s="5"/>
      <c r="SDZ60" s="117"/>
      <c r="SEA60" s="4"/>
      <c r="SEB60" s="126"/>
      <c r="SEC60" s="127"/>
      <c r="SED60" s="121"/>
      <c r="SEE60" s="5"/>
      <c r="SEF60" s="5"/>
      <c r="SEG60" s="124"/>
      <c r="SEH60" s="121"/>
      <c r="SEI60" s="125"/>
      <c r="SEJ60" s="5"/>
      <c r="SEK60" s="117"/>
      <c r="SEL60" s="4"/>
      <c r="SEM60" s="126"/>
      <c r="SEN60" s="127"/>
      <c r="SEO60" s="121"/>
      <c r="SEP60" s="5"/>
      <c r="SEQ60" s="5"/>
      <c r="SER60" s="124"/>
      <c r="SES60" s="121"/>
      <c r="SET60" s="125"/>
      <c r="SEU60" s="5"/>
      <c r="SEV60" s="117"/>
      <c r="SEW60" s="4"/>
      <c r="SEX60" s="126"/>
      <c r="SEY60" s="127"/>
      <c r="SEZ60" s="121"/>
      <c r="SFA60" s="5"/>
      <c r="SFB60" s="5"/>
      <c r="SFC60" s="124"/>
      <c r="SFD60" s="121"/>
      <c r="SFE60" s="125"/>
      <c r="SFF60" s="5"/>
      <c r="SFG60" s="117"/>
      <c r="SFH60" s="4"/>
      <c r="SFI60" s="126"/>
      <c r="SFJ60" s="127"/>
      <c r="SFK60" s="121"/>
      <c r="SFL60" s="5"/>
      <c r="SFM60" s="5"/>
      <c r="SFN60" s="124"/>
      <c r="SFO60" s="121"/>
      <c r="SFP60" s="125"/>
      <c r="SFQ60" s="5"/>
      <c r="SFR60" s="117"/>
      <c r="SFS60" s="4"/>
      <c r="SFT60" s="126"/>
      <c r="SFU60" s="127"/>
      <c r="SFV60" s="121"/>
      <c r="SFW60" s="5"/>
      <c r="SFX60" s="5"/>
      <c r="SFY60" s="124"/>
      <c r="SFZ60" s="121"/>
      <c r="SGA60" s="125"/>
      <c r="SGB60" s="5"/>
      <c r="SGC60" s="117"/>
      <c r="SGD60" s="4"/>
      <c r="SGE60" s="126"/>
      <c r="SGF60" s="127"/>
      <c r="SGG60" s="121"/>
      <c r="SGH60" s="5"/>
      <c r="SGI60" s="5"/>
      <c r="SGJ60" s="124"/>
      <c r="SGK60" s="121"/>
      <c r="SGL60" s="125"/>
      <c r="SGM60" s="5"/>
      <c r="SGN60" s="117"/>
      <c r="SGO60" s="4"/>
      <c r="SGP60" s="126"/>
      <c r="SGQ60" s="127"/>
      <c r="SGR60" s="121"/>
      <c r="SGS60" s="5"/>
      <c r="SGT60" s="5"/>
      <c r="SGU60" s="124"/>
      <c r="SGV60" s="121"/>
      <c r="SGW60" s="125"/>
      <c r="SGX60" s="5"/>
      <c r="SGY60" s="117"/>
      <c r="SGZ60" s="4"/>
      <c r="SHA60" s="126"/>
      <c r="SHB60" s="127"/>
      <c r="SHC60" s="121"/>
      <c r="SHD60" s="5"/>
      <c r="SHE60" s="5"/>
      <c r="SHF60" s="124"/>
      <c r="SHG60" s="121"/>
      <c r="SHH60" s="125"/>
      <c r="SHI60" s="5"/>
      <c r="SHJ60" s="117"/>
      <c r="SHK60" s="4"/>
      <c r="SHL60" s="126"/>
      <c r="SHM60" s="127"/>
      <c r="SHN60" s="121"/>
      <c r="SHO60" s="5"/>
      <c r="SHP60" s="5"/>
      <c r="SHQ60" s="124"/>
      <c r="SHR60" s="121"/>
      <c r="SHS60" s="125"/>
      <c r="SHT60" s="5"/>
      <c r="SHU60" s="117"/>
      <c r="SHV60" s="4"/>
      <c r="SHW60" s="126"/>
      <c r="SHX60" s="127"/>
      <c r="SHY60" s="121"/>
      <c r="SHZ60" s="5"/>
      <c r="SIA60" s="5"/>
      <c r="SIB60" s="124"/>
      <c r="SIC60" s="121"/>
      <c r="SID60" s="125"/>
      <c r="SIE60" s="5"/>
      <c r="SIF60" s="117"/>
      <c r="SIG60" s="4"/>
      <c r="SIH60" s="126"/>
      <c r="SII60" s="127"/>
      <c r="SIJ60" s="121"/>
      <c r="SIK60" s="5"/>
      <c r="SIL60" s="5"/>
      <c r="SIM60" s="124"/>
      <c r="SIN60" s="121"/>
      <c r="SIO60" s="125"/>
      <c r="SIP60" s="5"/>
      <c r="SIQ60" s="117"/>
      <c r="SIR60" s="4"/>
      <c r="SIS60" s="126"/>
      <c r="SIT60" s="127"/>
      <c r="SIU60" s="121"/>
      <c r="SIV60" s="5"/>
      <c r="SIW60" s="5"/>
      <c r="SIX60" s="124"/>
      <c r="SIY60" s="121"/>
      <c r="SIZ60" s="125"/>
      <c r="SJA60" s="5"/>
      <c r="SJB60" s="117"/>
      <c r="SJC60" s="4"/>
      <c r="SJD60" s="126"/>
      <c r="SJE60" s="127"/>
      <c r="SJF60" s="121"/>
      <c r="SJG60" s="5"/>
      <c r="SJH60" s="5"/>
      <c r="SJI60" s="124"/>
      <c r="SJJ60" s="121"/>
      <c r="SJK60" s="125"/>
      <c r="SJL60" s="5"/>
      <c r="SJM60" s="117"/>
      <c r="SJN60" s="4"/>
      <c r="SJO60" s="126"/>
      <c r="SJP60" s="127"/>
      <c r="SJQ60" s="121"/>
      <c r="SJR60" s="5"/>
      <c r="SJS60" s="5"/>
      <c r="SJT60" s="124"/>
      <c r="SJU60" s="121"/>
      <c r="SJV60" s="125"/>
      <c r="SJW60" s="5"/>
      <c r="SJX60" s="117"/>
      <c r="SJY60" s="4"/>
      <c r="SJZ60" s="126"/>
      <c r="SKA60" s="127"/>
      <c r="SKB60" s="121"/>
      <c r="SKC60" s="5"/>
      <c r="SKD60" s="5"/>
      <c r="SKE60" s="124"/>
      <c r="SKF60" s="121"/>
      <c r="SKG60" s="125"/>
      <c r="SKH60" s="5"/>
      <c r="SKI60" s="117"/>
      <c r="SKJ60" s="4"/>
      <c r="SKK60" s="126"/>
      <c r="SKL60" s="127"/>
      <c r="SKM60" s="121"/>
      <c r="SKN60" s="5"/>
      <c r="SKO60" s="5"/>
      <c r="SKP60" s="124"/>
      <c r="SKQ60" s="121"/>
      <c r="SKR60" s="125"/>
      <c r="SKS60" s="5"/>
      <c r="SKT60" s="117"/>
      <c r="SKU60" s="4"/>
      <c r="SKV60" s="126"/>
      <c r="SKW60" s="127"/>
      <c r="SKX60" s="121"/>
      <c r="SKY60" s="5"/>
      <c r="SKZ60" s="5"/>
      <c r="SLA60" s="124"/>
      <c r="SLB60" s="121"/>
      <c r="SLC60" s="125"/>
      <c r="SLD60" s="5"/>
      <c r="SLE60" s="117"/>
      <c r="SLF60" s="4"/>
      <c r="SLG60" s="126"/>
      <c r="SLH60" s="127"/>
      <c r="SLI60" s="121"/>
      <c r="SLJ60" s="5"/>
      <c r="SLK60" s="5"/>
      <c r="SLL60" s="124"/>
      <c r="SLM60" s="121"/>
      <c r="SLN60" s="125"/>
      <c r="SLO60" s="5"/>
      <c r="SLP60" s="117"/>
      <c r="SLQ60" s="4"/>
      <c r="SLR60" s="126"/>
      <c r="SLS60" s="127"/>
      <c r="SLT60" s="121"/>
      <c r="SLU60" s="5"/>
      <c r="SLV60" s="5"/>
      <c r="SLW60" s="124"/>
      <c r="SLX60" s="121"/>
      <c r="SLY60" s="125"/>
      <c r="SLZ60" s="5"/>
      <c r="SMA60" s="117"/>
      <c r="SMB60" s="4"/>
      <c r="SMC60" s="126"/>
      <c r="SMD60" s="127"/>
      <c r="SME60" s="121"/>
      <c r="SMF60" s="5"/>
      <c r="SMG60" s="5"/>
      <c r="SMH60" s="124"/>
      <c r="SMI60" s="121"/>
      <c r="SMJ60" s="125"/>
      <c r="SMK60" s="5"/>
      <c r="SML60" s="117"/>
      <c r="SMM60" s="4"/>
      <c r="SMN60" s="126"/>
      <c r="SMO60" s="127"/>
      <c r="SMP60" s="121"/>
      <c r="SMQ60" s="5"/>
      <c r="SMR60" s="5"/>
      <c r="SMS60" s="124"/>
      <c r="SMT60" s="121"/>
      <c r="SMU60" s="125"/>
      <c r="SMV60" s="5"/>
      <c r="SMW60" s="117"/>
      <c r="SMX60" s="4"/>
      <c r="SMY60" s="126"/>
      <c r="SMZ60" s="127"/>
      <c r="SNA60" s="121"/>
      <c r="SNB60" s="5"/>
      <c r="SNC60" s="5"/>
      <c r="SND60" s="124"/>
      <c r="SNE60" s="121"/>
      <c r="SNF60" s="125"/>
      <c r="SNG60" s="5"/>
      <c r="SNH60" s="117"/>
      <c r="SNI60" s="4"/>
      <c r="SNJ60" s="126"/>
      <c r="SNK60" s="127"/>
      <c r="SNL60" s="121"/>
      <c r="SNM60" s="5"/>
      <c r="SNN60" s="5"/>
      <c r="SNO60" s="124"/>
      <c r="SNP60" s="121"/>
      <c r="SNQ60" s="125"/>
      <c r="SNR60" s="5"/>
      <c r="SNS60" s="117"/>
      <c r="SNT60" s="4"/>
      <c r="SNU60" s="126"/>
      <c r="SNV60" s="127"/>
      <c r="SNW60" s="121"/>
      <c r="SNX60" s="5"/>
      <c r="SNY60" s="5"/>
      <c r="SNZ60" s="124"/>
      <c r="SOA60" s="121"/>
      <c r="SOB60" s="125"/>
      <c r="SOC60" s="5"/>
      <c r="SOD60" s="117"/>
      <c r="SOE60" s="4"/>
      <c r="SOF60" s="126"/>
      <c r="SOG60" s="127"/>
      <c r="SOH60" s="121"/>
      <c r="SOI60" s="5"/>
      <c r="SOJ60" s="5"/>
      <c r="SOK60" s="124"/>
      <c r="SOL60" s="121"/>
      <c r="SOM60" s="125"/>
      <c r="SON60" s="5"/>
      <c r="SOO60" s="117"/>
      <c r="SOP60" s="4"/>
      <c r="SOQ60" s="126"/>
      <c r="SOR60" s="127"/>
      <c r="SOS60" s="121"/>
      <c r="SOT60" s="5"/>
      <c r="SOU60" s="5"/>
      <c r="SOV60" s="124"/>
      <c r="SOW60" s="121"/>
      <c r="SOX60" s="125"/>
      <c r="SOY60" s="5"/>
      <c r="SOZ60" s="117"/>
      <c r="SPA60" s="4"/>
      <c r="SPB60" s="126"/>
      <c r="SPC60" s="127"/>
      <c r="SPD60" s="121"/>
      <c r="SPE60" s="5"/>
      <c r="SPF60" s="5"/>
      <c r="SPG60" s="124"/>
      <c r="SPH60" s="121"/>
      <c r="SPI60" s="125"/>
      <c r="SPJ60" s="5"/>
      <c r="SPK60" s="117"/>
      <c r="SPL60" s="4"/>
      <c r="SPM60" s="126"/>
      <c r="SPN60" s="127"/>
      <c r="SPO60" s="121"/>
      <c r="SPP60" s="5"/>
      <c r="SPQ60" s="5"/>
      <c r="SPR60" s="124"/>
      <c r="SPS60" s="121"/>
      <c r="SPT60" s="125"/>
      <c r="SPU60" s="5"/>
      <c r="SPV60" s="117"/>
      <c r="SPW60" s="4"/>
      <c r="SPX60" s="126"/>
      <c r="SPY60" s="127"/>
      <c r="SPZ60" s="121"/>
      <c r="SQA60" s="5"/>
      <c r="SQB60" s="5"/>
      <c r="SQC60" s="124"/>
      <c r="SQD60" s="121"/>
      <c r="SQE60" s="125"/>
      <c r="SQF60" s="5"/>
      <c r="SQG60" s="117"/>
      <c r="SQH60" s="4"/>
      <c r="SQI60" s="126"/>
      <c r="SQJ60" s="127"/>
      <c r="SQK60" s="121"/>
      <c r="SQL60" s="5"/>
      <c r="SQM60" s="5"/>
      <c r="SQN60" s="124"/>
      <c r="SQO60" s="121"/>
      <c r="SQP60" s="125"/>
      <c r="SQQ60" s="5"/>
      <c r="SQR60" s="117"/>
      <c r="SQS60" s="4"/>
      <c r="SQT60" s="126"/>
      <c r="SQU60" s="127"/>
      <c r="SQV60" s="121"/>
      <c r="SQW60" s="5"/>
      <c r="SQX60" s="5"/>
      <c r="SQY60" s="124"/>
      <c r="SQZ60" s="121"/>
      <c r="SRA60" s="125"/>
      <c r="SRB60" s="5"/>
      <c r="SRC60" s="117"/>
      <c r="SRD60" s="4"/>
      <c r="SRE60" s="126"/>
      <c r="SRF60" s="127"/>
      <c r="SRG60" s="121"/>
      <c r="SRH60" s="5"/>
      <c r="SRI60" s="5"/>
      <c r="SRJ60" s="124"/>
      <c r="SRK60" s="121"/>
      <c r="SRL60" s="125"/>
      <c r="SRM60" s="5"/>
      <c r="SRN60" s="117"/>
      <c r="SRO60" s="4"/>
      <c r="SRP60" s="126"/>
      <c r="SRQ60" s="127"/>
      <c r="SRR60" s="121"/>
      <c r="SRS60" s="5"/>
      <c r="SRT60" s="5"/>
      <c r="SRU60" s="124"/>
      <c r="SRV60" s="121"/>
      <c r="SRW60" s="125"/>
      <c r="SRX60" s="5"/>
      <c r="SRY60" s="117"/>
      <c r="SRZ60" s="4"/>
      <c r="SSA60" s="126"/>
      <c r="SSB60" s="127"/>
      <c r="SSC60" s="121"/>
      <c r="SSD60" s="5"/>
      <c r="SSE60" s="5"/>
      <c r="SSF60" s="124"/>
      <c r="SSG60" s="121"/>
      <c r="SSH60" s="125"/>
      <c r="SSI60" s="5"/>
      <c r="SSJ60" s="117"/>
      <c r="SSK60" s="4"/>
      <c r="SSL60" s="126"/>
      <c r="SSM60" s="127"/>
      <c r="SSN60" s="121"/>
      <c r="SSO60" s="5"/>
      <c r="SSP60" s="5"/>
      <c r="SSQ60" s="124"/>
      <c r="SSR60" s="121"/>
      <c r="SSS60" s="125"/>
      <c r="SST60" s="5"/>
      <c r="SSU60" s="117"/>
      <c r="SSV60" s="4"/>
      <c r="SSW60" s="126"/>
      <c r="SSX60" s="127"/>
      <c r="SSY60" s="121"/>
      <c r="SSZ60" s="5"/>
      <c r="STA60" s="5"/>
      <c r="STB60" s="124"/>
      <c r="STC60" s="121"/>
      <c r="STD60" s="125"/>
      <c r="STE60" s="5"/>
      <c r="STF60" s="117"/>
      <c r="STG60" s="4"/>
      <c r="STH60" s="126"/>
      <c r="STI60" s="127"/>
      <c r="STJ60" s="121"/>
      <c r="STK60" s="5"/>
      <c r="STL60" s="5"/>
      <c r="STM60" s="124"/>
      <c r="STN60" s="121"/>
      <c r="STO60" s="125"/>
      <c r="STP60" s="5"/>
      <c r="STQ60" s="117"/>
      <c r="STR60" s="4"/>
      <c r="STS60" s="126"/>
      <c r="STT60" s="127"/>
      <c r="STU60" s="121"/>
      <c r="STV60" s="5"/>
      <c r="STW60" s="5"/>
      <c r="STX60" s="124"/>
      <c r="STY60" s="121"/>
      <c r="STZ60" s="125"/>
      <c r="SUA60" s="5"/>
      <c r="SUB60" s="117"/>
      <c r="SUC60" s="4"/>
      <c r="SUD60" s="126"/>
      <c r="SUE60" s="127"/>
      <c r="SUF60" s="121"/>
      <c r="SUG60" s="5"/>
      <c r="SUH60" s="5"/>
      <c r="SUI60" s="124"/>
      <c r="SUJ60" s="121"/>
      <c r="SUK60" s="125"/>
      <c r="SUL60" s="5"/>
      <c r="SUM60" s="117"/>
      <c r="SUN60" s="4"/>
      <c r="SUO60" s="126"/>
      <c r="SUP60" s="127"/>
      <c r="SUQ60" s="121"/>
      <c r="SUR60" s="5"/>
      <c r="SUS60" s="5"/>
      <c r="SUT60" s="124"/>
      <c r="SUU60" s="121"/>
      <c r="SUV60" s="125"/>
      <c r="SUW60" s="5"/>
      <c r="SUX60" s="117"/>
      <c r="SUY60" s="4"/>
      <c r="SUZ60" s="126"/>
      <c r="SVA60" s="127"/>
      <c r="SVB60" s="121"/>
      <c r="SVC60" s="5"/>
      <c r="SVD60" s="5"/>
      <c r="SVE60" s="124"/>
      <c r="SVF60" s="121"/>
      <c r="SVG60" s="125"/>
      <c r="SVH60" s="5"/>
      <c r="SVI60" s="117"/>
      <c r="SVJ60" s="4"/>
      <c r="SVK60" s="126"/>
      <c r="SVL60" s="127"/>
      <c r="SVM60" s="121"/>
      <c r="SVN60" s="5"/>
      <c r="SVO60" s="5"/>
      <c r="SVP60" s="124"/>
      <c r="SVQ60" s="121"/>
      <c r="SVR60" s="125"/>
      <c r="SVS60" s="5"/>
      <c r="SVT60" s="117"/>
      <c r="SVU60" s="4"/>
      <c r="SVV60" s="126"/>
      <c r="SVW60" s="127"/>
      <c r="SVX60" s="121"/>
      <c r="SVY60" s="5"/>
      <c r="SVZ60" s="5"/>
      <c r="SWA60" s="124"/>
      <c r="SWB60" s="121"/>
      <c r="SWC60" s="125"/>
      <c r="SWD60" s="5"/>
      <c r="SWE60" s="117"/>
      <c r="SWF60" s="4"/>
      <c r="SWG60" s="126"/>
      <c r="SWH60" s="127"/>
      <c r="SWI60" s="121"/>
      <c r="SWJ60" s="5"/>
      <c r="SWK60" s="5"/>
      <c r="SWL60" s="124"/>
      <c r="SWM60" s="121"/>
      <c r="SWN60" s="125"/>
      <c r="SWO60" s="5"/>
      <c r="SWP60" s="117"/>
      <c r="SWQ60" s="4"/>
      <c r="SWR60" s="126"/>
      <c r="SWS60" s="127"/>
      <c r="SWT60" s="121"/>
      <c r="SWU60" s="5"/>
      <c r="SWV60" s="5"/>
      <c r="SWW60" s="124"/>
      <c r="SWX60" s="121"/>
      <c r="SWY60" s="125"/>
      <c r="SWZ60" s="5"/>
      <c r="SXA60" s="117"/>
      <c r="SXB60" s="4"/>
      <c r="SXC60" s="126"/>
      <c r="SXD60" s="127"/>
      <c r="SXE60" s="121"/>
      <c r="SXF60" s="5"/>
      <c r="SXG60" s="5"/>
      <c r="SXH60" s="124"/>
      <c r="SXI60" s="121"/>
      <c r="SXJ60" s="125"/>
      <c r="SXK60" s="5"/>
      <c r="SXL60" s="117"/>
      <c r="SXM60" s="4"/>
      <c r="SXN60" s="126"/>
      <c r="SXO60" s="127"/>
      <c r="SXP60" s="121"/>
      <c r="SXQ60" s="5"/>
      <c r="SXR60" s="5"/>
      <c r="SXS60" s="124"/>
      <c r="SXT60" s="121"/>
      <c r="SXU60" s="125"/>
      <c r="SXV60" s="5"/>
      <c r="SXW60" s="117"/>
      <c r="SXX60" s="4"/>
      <c r="SXY60" s="126"/>
      <c r="SXZ60" s="127"/>
      <c r="SYA60" s="121"/>
      <c r="SYB60" s="5"/>
      <c r="SYC60" s="5"/>
      <c r="SYD60" s="124"/>
      <c r="SYE60" s="121"/>
      <c r="SYF60" s="125"/>
      <c r="SYG60" s="5"/>
      <c r="SYH60" s="117"/>
      <c r="SYI60" s="4"/>
      <c r="SYJ60" s="126"/>
      <c r="SYK60" s="127"/>
      <c r="SYL60" s="121"/>
      <c r="SYM60" s="5"/>
      <c r="SYN60" s="5"/>
      <c r="SYO60" s="124"/>
      <c r="SYP60" s="121"/>
      <c r="SYQ60" s="125"/>
      <c r="SYR60" s="5"/>
      <c r="SYS60" s="117"/>
      <c r="SYT60" s="4"/>
      <c r="SYU60" s="126"/>
      <c r="SYV60" s="127"/>
      <c r="SYW60" s="121"/>
      <c r="SYX60" s="5"/>
      <c r="SYY60" s="5"/>
      <c r="SYZ60" s="124"/>
      <c r="SZA60" s="121"/>
      <c r="SZB60" s="125"/>
      <c r="SZC60" s="5"/>
      <c r="SZD60" s="117"/>
      <c r="SZE60" s="4"/>
      <c r="SZF60" s="126"/>
      <c r="SZG60" s="127"/>
      <c r="SZH60" s="121"/>
      <c r="SZI60" s="5"/>
      <c r="SZJ60" s="5"/>
      <c r="SZK60" s="124"/>
      <c r="SZL60" s="121"/>
      <c r="SZM60" s="125"/>
      <c r="SZN60" s="5"/>
      <c r="SZO60" s="117"/>
      <c r="SZP60" s="4"/>
      <c r="SZQ60" s="126"/>
      <c r="SZR60" s="127"/>
      <c r="SZS60" s="121"/>
      <c r="SZT60" s="5"/>
      <c r="SZU60" s="5"/>
      <c r="SZV60" s="124"/>
      <c r="SZW60" s="121"/>
      <c r="SZX60" s="125"/>
      <c r="SZY60" s="5"/>
      <c r="SZZ60" s="117"/>
      <c r="TAA60" s="4"/>
      <c r="TAB60" s="126"/>
      <c r="TAC60" s="127"/>
      <c r="TAD60" s="121"/>
      <c r="TAE60" s="5"/>
      <c r="TAF60" s="5"/>
      <c r="TAG60" s="124"/>
      <c r="TAH60" s="121"/>
      <c r="TAI60" s="125"/>
      <c r="TAJ60" s="5"/>
      <c r="TAK60" s="117"/>
      <c r="TAL60" s="4"/>
      <c r="TAM60" s="126"/>
      <c r="TAN60" s="127"/>
      <c r="TAO60" s="121"/>
      <c r="TAP60" s="5"/>
      <c r="TAQ60" s="5"/>
      <c r="TAR60" s="124"/>
      <c r="TAS60" s="121"/>
      <c r="TAT60" s="125"/>
      <c r="TAU60" s="5"/>
      <c r="TAV60" s="117"/>
      <c r="TAW60" s="4"/>
      <c r="TAX60" s="126"/>
      <c r="TAY60" s="127"/>
      <c r="TAZ60" s="121"/>
      <c r="TBA60" s="5"/>
      <c r="TBB60" s="5"/>
      <c r="TBC60" s="124"/>
      <c r="TBD60" s="121"/>
      <c r="TBE60" s="125"/>
      <c r="TBF60" s="5"/>
      <c r="TBG60" s="117"/>
      <c r="TBH60" s="4"/>
      <c r="TBI60" s="126"/>
      <c r="TBJ60" s="127"/>
      <c r="TBK60" s="121"/>
      <c r="TBL60" s="5"/>
      <c r="TBM60" s="5"/>
      <c r="TBN60" s="124"/>
      <c r="TBO60" s="121"/>
      <c r="TBP60" s="125"/>
      <c r="TBQ60" s="5"/>
      <c r="TBR60" s="117"/>
      <c r="TBS60" s="4"/>
      <c r="TBT60" s="126"/>
      <c r="TBU60" s="127"/>
      <c r="TBV60" s="121"/>
      <c r="TBW60" s="5"/>
      <c r="TBX60" s="5"/>
      <c r="TBY60" s="124"/>
      <c r="TBZ60" s="121"/>
      <c r="TCA60" s="125"/>
      <c r="TCB60" s="5"/>
      <c r="TCC60" s="117"/>
      <c r="TCD60" s="4"/>
      <c r="TCE60" s="126"/>
      <c r="TCF60" s="127"/>
      <c r="TCG60" s="121"/>
      <c r="TCH60" s="5"/>
      <c r="TCI60" s="5"/>
      <c r="TCJ60" s="124"/>
      <c r="TCK60" s="121"/>
      <c r="TCL60" s="125"/>
      <c r="TCM60" s="5"/>
      <c r="TCN60" s="117"/>
      <c r="TCO60" s="4"/>
      <c r="TCP60" s="126"/>
      <c r="TCQ60" s="127"/>
      <c r="TCR60" s="121"/>
      <c r="TCS60" s="5"/>
      <c r="TCT60" s="5"/>
      <c r="TCU60" s="124"/>
      <c r="TCV60" s="121"/>
      <c r="TCW60" s="125"/>
      <c r="TCX60" s="5"/>
      <c r="TCY60" s="117"/>
      <c r="TCZ60" s="4"/>
      <c r="TDA60" s="126"/>
      <c r="TDB60" s="127"/>
      <c r="TDC60" s="121"/>
      <c r="TDD60" s="5"/>
      <c r="TDE60" s="5"/>
      <c r="TDF60" s="124"/>
      <c r="TDG60" s="121"/>
      <c r="TDH60" s="125"/>
      <c r="TDI60" s="5"/>
      <c r="TDJ60" s="117"/>
      <c r="TDK60" s="4"/>
      <c r="TDL60" s="126"/>
      <c r="TDM60" s="127"/>
      <c r="TDN60" s="121"/>
      <c r="TDO60" s="5"/>
      <c r="TDP60" s="5"/>
      <c r="TDQ60" s="124"/>
      <c r="TDR60" s="121"/>
      <c r="TDS60" s="125"/>
      <c r="TDT60" s="5"/>
      <c r="TDU60" s="117"/>
      <c r="TDV60" s="4"/>
      <c r="TDW60" s="126"/>
      <c r="TDX60" s="127"/>
      <c r="TDY60" s="121"/>
      <c r="TDZ60" s="5"/>
      <c r="TEA60" s="5"/>
      <c r="TEB60" s="124"/>
      <c r="TEC60" s="121"/>
      <c r="TED60" s="125"/>
      <c r="TEE60" s="5"/>
      <c r="TEF60" s="117"/>
      <c r="TEG60" s="4"/>
      <c r="TEH60" s="126"/>
      <c r="TEI60" s="127"/>
      <c r="TEJ60" s="121"/>
      <c r="TEK60" s="5"/>
      <c r="TEL60" s="5"/>
      <c r="TEM60" s="124"/>
      <c r="TEN60" s="121"/>
      <c r="TEO60" s="125"/>
      <c r="TEP60" s="5"/>
      <c r="TEQ60" s="117"/>
      <c r="TER60" s="4"/>
      <c r="TES60" s="126"/>
      <c r="TET60" s="127"/>
      <c r="TEU60" s="121"/>
      <c r="TEV60" s="5"/>
      <c r="TEW60" s="5"/>
      <c r="TEX60" s="124"/>
      <c r="TEY60" s="121"/>
      <c r="TEZ60" s="125"/>
      <c r="TFA60" s="5"/>
      <c r="TFB60" s="117"/>
      <c r="TFC60" s="4"/>
      <c r="TFD60" s="126"/>
      <c r="TFE60" s="127"/>
      <c r="TFF60" s="121"/>
      <c r="TFG60" s="5"/>
      <c r="TFH60" s="5"/>
      <c r="TFI60" s="124"/>
      <c r="TFJ60" s="121"/>
      <c r="TFK60" s="125"/>
      <c r="TFL60" s="5"/>
      <c r="TFM60" s="117"/>
      <c r="TFN60" s="4"/>
      <c r="TFO60" s="126"/>
      <c r="TFP60" s="127"/>
      <c r="TFQ60" s="121"/>
      <c r="TFR60" s="5"/>
      <c r="TFS60" s="5"/>
      <c r="TFT60" s="124"/>
      <c r="TFU60" s="121"/>
      <c r="TFV60" s="125"/>
      <c r="TFW60" s="5"/>
      <c r="TFX60" s="117"/>
      <c r="TFY60" s="4"/>
      <c r="TFZ60" s="126"/>
      <c r="TGA60" s="127"/>
      <c r="TGB60" s="121"/>
      <c r="TGC60" s="5"/>
      <c r="TGD60" s="5"/>
      <c r="TGE60" s="124"/>
      <c r="TGF60" s="121"/>
      <c r="TGG60" s="125"/>
      <c r="TGH60" s="5"/>
      <c r="TGI60" s="117"/>
      <c r="TGJ60" s="4"/>
      <c r="TGK60" s="126"/>
      <c r="TGL60" s="127"/>
      <c r="TGM60" s="121"/>
      <c r="TGN60" s="5"/>
      <c r="TGO60" s="5"/>
      <c r="TGP60" s="124"/>
      <c r="TGQ60" s="121"/>
      <c r="TGR60" s="125"/>
      <c r="TGS60" s="5"/>
      <c r="TGT60" s="117"/>
      <c r="TGU60" s="4"/>
      <c r="TGV60" s="126"/>
      <c r="TGW60" s="127"/>
      <c r="TGX60" s="121"/>
      <c r="TGY60" s="5"/>
      <c r="TGZ60" s="5"/>
      <c r="THA60" s="124"/>
      <c r="THB60" s="121"/>
      <c r="THC60" s="125"/>
      <c r="THD60" s="5"/>
      <c r="THE60" s="117"/>
      <c r="THF60" s="4"/>
      <c r="THG60" s="126"/>
      <c r="THH60" s="127"/>
      <c r="THI60" s="121"/>
      <c r="THJ60" s="5"/>
      <c r="THK60" s="5"/>
      <c r="THL60" s="124"/>
      <c r="THM60" s="121"/>
      <c r="THN60" s="125"/>
      <c r="THO60" s="5"/>
      <c r="THP60" s="117"/>
      <c r="THQ60" s="4"/>
      <c r="THR60" s="126"/>
      <c r="THS60" s="127"/>
      <c r="THT60" s="121"/>
      <c r="THU60" s="5"/>
      <c r="THV60" s="5"/>
      <c r="THW60" s="124"/>
      <c r="THX60" s="121"/>
      <c r="THY60" s="125"/>
      <c r="THZ60" s="5"/>
      <c r="TIA60" s="117"/>
      <c r="TIB60" s="4"/>
      <c r="TIC60" s="126"/>
      <c r="TID60" s="127"/>
      <c r="TIE60" s="121"/>
      <c r="TIF60" s="5"/>
      <c r="TIG60" s="5"/>
      <c r="TIH60" s="124"/>
      <c r="TII60" s="121"/>
      <c r="TIJ60" s="125"/>
      <c r="TIK60" s="5"/>
      <c r="TIL60" s="117"/>
      <c r="TIM60" s="4"/>
      <c r="TIN60" s="126"/>
      <c r="TIO60" s="127"/>
      <c r="TIP60" s="121"/>
      <c r="TIQ60" s="5"/>
      <c r="TIR60" s="5"/>
      <c r="TIS60" s="124"/>
      <c r="TIT60" s="121"/>
      <c r="TIU60" s="125"/>
      <c r="TIV60" s="5"/>
      <c r="TIW60" s="117"/>
      <c r="TIX60" s="4"/>
      <c r="TIY60" s="126"/>
      <c r="TIZ60" s="127"/>
      <c r="TJA60" s="121"/>
      <c r="TJB60" s="5"/>
      <c r="TJC60" s="5"/>
      <c r="TJD60" s="124"/>
      <c r="TJE60" s="121"/>
      <c r="TJF60" s="125"/>
      <c r="TJG60" s="5"/>
      <c r="TJH60" s="117"/>
      <c r="TJI60" s="4"/>
      <c r="TJJ60" s="126"/>
      <c r="TJK60" s="127"/>
      <c r="TJL60" s="121"/>
      <c r="TJM60" s="5"/>
      <c r="TJN60" s="5"/>
      <c r="TJO60" s="124"/>
      <c r="TJP60" s="121"/>
      <c r="TJQ60" s="125"/>
      <c r="TJR60" s="5"/>
      <c r="TJS60" s="117"/>
      <c r="TJT60" s="4"/>
      <c r="TJU60" s="126"/>
      <c r="TJV60" s="127"/>
      <c r="TJW60" s="121"/>
      <c r="TJX60" s="5"/>
      <c r="TJY60" s="5"/>
      <c r="TJZ60" s="124"/>
      <c r="TKA60" s="121"/>
      <c r="TKB60" s="125"/>
      <c r="TKC60" s="5"/>
      <c r="TKD60" s="117"/>
      <c r="TKE60" s="4"/>
      <c r="TKF60" s="126"/>
      <c r="TKG60" s="127"/>
      <c r="TKH60" s="121"/>
      <c r="TKI60" s="5"/>
      <c r="TKJ60" s="5"/>
      <c r="TKK60" s="124"/>
      <c r="TKL60" s="121"/>
      <c r="TKM60" s="125"/>
      <c r="TKN60" s="5"/>
      <c r="TKO60" s="117"/>
      <c r="TKP60" s="4"/>
      <c r="TKQ60" s="126"/>
      <c r="TKR60" s="127"/>
      <c r="TKS60" s="121"/>
      <c r="TKT60" s="5"/>
      <c r="TKU60" s="5"/>
      <c r="TKV60" s="124"/>
      <c r="TKW60" s="121"/>
      <c r="TKX60" s="125"/>
      <c r="TKY60" s="5"/>
      <c r="TKZ60" s="117"/>
      <c r="TLA60" s="4"/>
      <c r="TLB60" s="126"/>
      <c r="TLC60" s="127"/>
      <c r="TLD60" s="121"/>
      <c r="TLE60" s="5"/>
      <c r="TLF60" s="5"/>
      <c r="TLG60" s="124"/>
      <c r="TLH60" s="121"/>
      <c r="TLI60" s="125"/>
      <c r="TLJ60" s="5"/>
      <c r="TLK60" s="117"/>
      <c r="TLL60" s="4"/>
      <c r="TLM60" s="126"/>
      <c r="TLN60" s="127"/>
      <c r="TLO60" s="121"/>
      <c r="TLP60" s="5"/>
      <c r="TLQ60" s="5"/>
      <c r="TLR60" s="124"/>
      <c r="TLS60" s="121"/>
      <c r="TLT60" s="125"/>
      <c r="TLU60" s="5"/>
      <c r="TLV60" s="117"/>
      <c r="TLW60" s="4"/>
      <c r="TLX60" s="126"/>
      <c r="TLY60" s="127"/>
      <c r="TLZ60" s="121"/>
      <c r="TMA60" s="5"/>
      <c r="TMB60" s="5"/>
      <c r="TMC60" s="124"/>
      <c r="TMD60" s="121"/>
      <c r="TME60" s="125"/>
      <c r="TMF60" s="5"/>
      <c r="TMG60" s="117"/>
      <c r="TMH60" s="4"/>
      <c r="TMI60" s="126"/>
      <c r="TMJ60" s="127"/>
      <c r="TMK60" s="121"/>
      <c r="TML60" s="5"/>
      <c r="TMM60" s="5"/>
      <c r="TMN60" s="124"/>
      <c r="TMO60" s="121"/>
      <c r="TMP60" s="125"/>
      <c r="TMQ60" s="5"/>
      <c r="TMR60" s="117"/>
      <c r="TMS60" s="4"/>
      <c r="TMT60" s="126"/>
      <c r="TMU60" s="127"/>
      <c r="TMV60" s="121"/>
      <c r="TMW60" s="5"/>
      <c r="TMX60" s="5"/>
      <c r="TMY60" s="124"/>
      <c r="TMZ60" s="121"/>
      <c r="TNA60" s="125"/>
      <c r="TNB60" s="5"/>
      <c r="TNC60" s="117"/>
      <c r="TND60" s="4"/>
      <c r="TNE60" s="126"/>
      <c r="TNF60" s="127"/>
      <c r="TNG60" s="121"/>
      <c r="TNH60" s="5"/>
      <c r="TNI60" s="5"/>
      <c r="TNJ60" s="124"/>
      <c r="TNK60" s="121"/>
      <c r="TNL60" s="125"/>
      <c r="TNM60" s="5"/>
      <c r="TNN60" s="117"/>
      <c r="TNO60" s="4"/>
      <c r="TNP60" s="126"/>
      <c r="TNQ60" s="127"/>
      <c r="TNR60" s="121"/>
      <c r="TNS60" s="5"/>
      <c r="TNT60" s="5"/>
      <c r="TNU60" s="124"/>
      <c r="TNV60" s="121"/>
      <c r="TNW60" s="125"/>
      <c r="TNX60" s="5"/>
      <c r="TNY60" s="117"/>
      <c r="TNZ60" s="4"/>
      <c r="TOA60" s="126"/>
      <c r="TOB60" s="127"/>
      <c r="TOC60" s="121"/>
      <c r="TOD60" s="5"/>
      <c r="TOE60" s="5"/>
      <c r="TOF60" s="124"/>
      <c r="TOG60" s="121"/>
      <c r="TOH60" s="125"/>
      <c r="TOI60" s="5"/>
      <c r="TOJ60" s="117"/>
      <c r="TOK60" s="4"/>
      <c r="TOL60" s="126"/>
      <c r="TOM60" s="127"/>
      <c r="TON60" s="121"/>
      <c r="TOO60" s="5"/>
      <c r="TOP60" s="5"/>
      <c r="TOQ60" s="124"/>
      <c r="TOR60" s="121"/>
      <c r="TOS60" s="125"/>
      <c r="TOT60" s="5"/>
      <c r="TOU60" s="117"/>
      <c r="TOV60" s="4"/>
      <c r="TOW60" s="126"/>
      <c r="TOX60" s="127"/>
      <c r="TOY60" s="121"/>
      <c r="TOZ60" s="5"/>
      <c r="TPA60" s="5"/>
      <c r="TPB60" s="124"/>
      <c r="TPC60" s="121"/>
      <c r="TPD60" s="125"/>
      <c r="TPE60" s="5"/>
      <c r="TPF60" s="117"/>
      <c r="TPG60" s="4"/>
      <c r="TPH60" s="126"/>
      <c r="TPI60" s="127"/>
      <c r="TPJ60" s="121"/>
      <c r="TPK60" s="5"/>
      <c r="TPL60" s="5"/>
      <c r="TPM60" s="124"/>
      <c r="TPN60" s="121"/>
      <c r="TPO60" s="125"/>
      <c r="TPP60" s="5"/>
      <c r="TPQ60" s="117"/>
      <c r="TPR60" s="4"/>
      <c r="TPS60" s="126"/>
      <c r="TPT60" s="127"/>
      <c r="TPU60" s="121"/>
      <c r="TPV60" s="5"/>
      <c r="TPW60" s="5"/>
      <c r="TPX60" s="124"/>
      <c r="TPY60" s="121"/>
      <c r="TPZ60" s="125"/>
      <c r="TQA60" s="5"/>
      <c r="TQB60" s="117"/>
      <c r="TQC60" s="4"/>
      <c r="TQD60" s="126"/>
      <c r="TQE60" s="127"/>
      <c r="TQF60" s="121"/>
      <c r="TQG60" s="5"/>
      <c r="TQH60" s="5"/>
      <c r="TQI60" s="124"/>
      <c r="TQJ60" s="121"/>
      <c r="TQK60" s="125"/>
      <c r="TQL60" s="5"/>
      <c r="TQM60" s="117"/>
      <c r="TQN60" s="4"/>
      <c r="TQO60" s="126"/>
      <c r="TQP60" s="127"/>
      <c r="TQQ60" s="121"/>
      <c r="TQR60" s="5"/>
      <c r="TQS60" s="5"/>
      <c r="TQT60" s="124"/>
      <c r="TQU60" s="121"/>
      <c r="TQV60" s="125"/>
      <c r="TQW60" s="5"/>
      <c r="TQX60" s="117"/>
      <c r="TQY60" s="4"/>
      <c r="TQZ60" s="126"/>
      <c r="TRA60" s="127"/>
      <c r="TRB60" s="121"/>
      <c r="TRC60" s="5"/>
      <c r="TRD60" s="5"/>
      <c r="TRE60" s="124"/>
      <c r="TRF60" s="121"/>
      <c r="TRG60" s="125"/>
      <c r="TRH60" s="5"/>
      <c r="TRI60" s="117"/>
      <c r="TRJ60" s="4"/>
      <c r="TRK60" s="126"/>
      <c r="TRL60" s="127"/>
      <c r="TRM60" s="121"/>
      <c r="TRN60" s="5"/>
      <c r="TRO60" s="5"/>
      <c r="TRP60" s="124"/>
      <c r="TRQ60" s="121"/>
      <c r="TRR60" s="125"/>
      <c r="TRS60" s="5"/>
      <c r="TRT60" s="117"/>
      <c r="TRU60" s="4"/>
      <c r="TRV60" s="126"/>
      <c r="TRW60" s="127"/>
      <c r="TRX60" s="121"/>
      <c r="TRY60" s="5"/>
      <c r="TRZ60" s="5"/>
      <c r="TSA60" s="124"/>
      <c r="TSB60" s="121"/>
      <c r="TSC60" s="125"/>
      <c r="TSD60" s="5"/>
      <c r="TSE60" s="117"/>
      <c r="TSF60" s="4"/>
      <c r="TSG60" s="126"/>
      <c r="TSH60" s="127"/>
      <c r="TSI60" s="121"/>
      <c r="TSJ60" s="5"/>
      <c r="TSK60" s="5"/>
      <c r="TSL60" s="124"/>
      <c r="TSM60" s="121"/>
      <c r="TSN60" s="125"/>
      <c r="TSO60" s="5"/>
      <c r="TSP60" s="117"/>
      <c r="TSQ60" s="4"/>
      <c r="TSR60" s="126"/>
      <c r="TSS60" s="127"/>
      <c r="TST60" s="121"/>
      <c r="TSU60" s="5"/>
      <c r="TSV60" s="5"/>
      <c r="TSW60" s="124"/>
      <c r="TSX60" s="121"/>
      <c r="TSY60" s="125"/>
      <c r="TSZ60" s="5"/>
      <c r="TTA60" s="117"/>
      <c r="TTB60" s="4"/>
      <c r="TTC60" s="126"/>
      <c r="TTD60" s="127"/>
      <c r="TTE60" s="121"/>
      <c r="TTF60" s="5"/>
      <c r="TTG60" s="5"/>
      <c r="TTH60" s="124"/>
      <c r="TTI60" s="121"/>
      <c r="TTJ60" s="125"/>
      <c r="TTK60" s="5"/>
      <c r="TTL60" s="117"/>
      <c r="TTM60" s="4"/>
      <c r="TTN60" s="126"/>
      <c r="TTO60" s="127"/>
      <c r="TTP60" s="121"/>
      <c r="TTQ60" s="5"/>
      <c r="TTR60" s="5"/>
      <c r="TTS60" s="124"/>
      <c r="TTT60" s="121"/>
      <c r="TTU60" s="125"/>
      <c r="TTV60" s="5"/>
      <c r="TTW60" s="117"/>
      <c r="TTX60" s="4"/>
      <c r="TTY60" s="126"/>
      <c r="TTZ60" s="127"/>
      <c r="TUA60" s="121"/>
      <c r="TUB60" s="5"/>
      <c r="TUC60" s="5"/>
      <c r="TUD60" s="124"/>
      <c r="TUE60" s="121"/>
      <c r="TUF60" s="125"/>
      <c r="TUG60" s="5"/>
      <c r="TUH60" s="117"/>
      <c r="TUI60" s="4"/>
      <c r="TUJ60" s="126"/>
      <c r="TUK60" s="127"/>
      <c r="TUL60" s="121"/>
      <c r="TUM60" s="5"/>
      <c r="TUN60" s="5"/>
      <c r="TUO60" s="124"/>
      <c r="TUP60" s="121"/>
      <c r="TUQ60" s="125"/>
      <c r="TUR60" s="5"/>
      <c r="TUS60" s="117"/>
      <c r="TUT60" s="4"/>
      <c r="TUU60" s="126"/>
      <c r="TUV60" s="127"/>
      <c r="TUW60" s="121"/>
      <c r="TUX60" s="5"/>
      <c r="TUY60" s="5"/>
      <c r="TUZ60" s="124"/>
      <c r="TVA60" s="121"/>
      <c r="TVB60" s="125"/>
      <c r="TVC60" s="5"/>
      <c r="TVD60" s="117"/>
      <c r="TVE60" s="4"/>
      <c r="TVF60" s="126"/>
      <c r="TVG60" s="127"/>
      <c r="TVH60" s="121"/>
      <c r="TVI60" s="5"/>
      <c r="TVJ60" s="5"/>
      <c r="TVK60" s="124"/>
      <c r="TVL60" s="121"/>
      <c r="TVM60" s="125"/>
      <c r="TVN60" s="5"/>
      <c r="TVO60" s="117"/>
      <c r="TVP60" s="4"/>
      <c r="TVQ60" s="126"/>
      <c r="TVR60" s="127"/>
      <c r="TVS60" s="121"/>
      <c r="TVT60" s="5"/>
      <c r="TVU60" s="5"/>
      <c r="TVV60" s="124"/>
      <c r="TVW60" s="121"/>
      <c r="TVX60" s="125"/>
      <c r="TVY60" s="5"/>
      <c r="TVZ60" s="117"/>
      <c r="TWA60" s="4"/>
      <c r="TWB60" s="126"/>
      <c r="TWC60" s="127"/>
      <c r="TWD60" s="121"/>
      <c r="TWE60" s="5"/>
      <c r="TWF60" s="5"/>
      <c r="TWG60" s="124"/>
      <c r="TWH60" s="121"/>
      <c r="TWI60" s="125"/>
      <c r="TWJ60" s="5"/>
      <c r="TWK60" s="117"/>
      <c r="TWL60" s="4"/>
      <c r="TWM60" s="126"/>
      <c r="TWN60" s="127"/>
      <c r="TWO60" s="121"/>
      <c r="TWP60" s="5"/>
      <c r="TWQ60" s="5"/>
      <c r="TWR60" s="124"/>
      <c r="TWS60" s="121"/>
      <c r="TWT60" s="125"/>
      <c r="TWU60" s="5"/>
      <c r="TWV60" s="117"/>
      <c r="TWW60" s="4"/>
      <c r="TWX60" s="126"/>
      <c r="TWY60" s="127"/>
      <c r="TWZ60" s="121"/>
      <c r="TXA60" s="5"/>
      <c r="TXB60" s="5"/>
      <c r="TXC60" s="124"/>
      <c r="TXD60" s="121"/>
      <c r="TXE60" s="125"/>
      <c r="TXF60" s="5"/>
      <c r="TXG60" s="117"/>
      <c r="TXH60" s="4"/>
      <c r="TXI60" s="126"/>
      <c r="TXJ60" s="127"/>
      <c r="TXK60" s="121"/>
      <c r="TXL60" s="5"/>
      <c r="TXM60" s="5"/>
      <c r="TXN60" s="124"/>
      <c r="TXO60" s="121"/>
      <c r="TXP60" s="125"/>
      <c r="TXQ60" s="5"/>
      <c r="TXR60" s="117"/>
      <c r="TXS60" s="4"/>
      <c r="TXT60" s="126"/>
      <c r="TXU60" s="127"/>
      <c r="TXV60" s="121"/>
      <c r="TXW60" s="5"/>
      <c r="TXX60" s="5"/>
      <c r="TXY60" s="124"/>
      <c r="TXZ60" s="121"/>
      <c r="TYA60" s="125"/>
      <c r="TYB60" s="5"/>
      <c r="TYC60" s="117"/>
      <c r="TYD60" s="4"/>
      <c r="TYE60" s="126"/>
      <c r="TYF60" s="127"/>
      <c r="TYG60" s="121"/>
      <c r="TYH60" s="5"/>
      <c r="TYI60" s="5"/>
      <c r="TYJ60" s="124"/>
      <c r="TYK60" s="121"/>
      <c r="TYL60" s="125"/>
      <c r="TYM60" s="5"/>
      <c r="TYN60" s="117"/>
      <c r="TYO60" s="4"/>
      <c r="TYP60" s="126"/>
      <c r="TYQ60" s="127"/>
      <c r="TYR60" s="121"/>
      <c r="TYS60" s="5"/>
      <c r="TYT60" s="5"/>
      <c r="TYU60" s="124"/>
      <c r="TYV60" s="121"/>
      <c r="TYW60" s="125"/>
      <c r="TYX60" s="5"/>
      <c r="TYY60" s="117"/>
      <c r="TYZ60" s="4"/>
      <c r="TZA60" s="126"/>
      <c r="TZB60" s="127"/>
      <c r="TZC60" s="121"/>
      <c r="TZD60" s="5"/>
      <c r="TZE60" s="5"/>
      <c r="TZF60" s="124"/>
      <c r="TZG60" s="121"/>
      <c r="TZH60" s="125"/>
      <c r="TZI60" s="5"/>
      <c r="TZJ60" s="117"/>
      <c r="TZK60" s="4"/>
      <c r="TZL60" s="126"/>
      <c r="TZM60" s="127"/>
      <c r="TZN60" s="121"/>
      <c r="TZO60" s="5"/>
      <c r="TZP60" s="5"/>
      <c r="TZQ60" s="124"/>
      <c r="TZR60" s="121"/>
      <c r="TZS60" s="125"/>
      <c r="TZT60" s="5"/>
      <c r="TZU60" s="117"/>
      <c r="TZV60" s="4"/>
      <c r="TZW60" s="126"/>
      <c r="TZX60" s="127"/>
      <c r="TZY60" s="121"/>
      <c r="TZZ60" s="5"/>
      <c r="UAA60" s="5"/>
      <c r="UAB60" s="124"/>
      <c r="UAC60" s="121"/>
      <c r="UAD60" s="125"/>
      <c r="UAE60" s="5"/>
      <c r="UAF60" s="117"/>
      <c r="UAG60" s="4"/>
      <c r="UAH60" s="126"/>
      <c r="UAI60" s="127"/>
      <c r="UAJ60" s="121"/>
      <c r="UAK60" s="5"/>
      <c r="UAL60" s="5"/>
      <c r="UAM60" s="124"/>
      <c r="UAN60" s="121"/>
      <c r="UAO60" s="125"/>
      <c r="UAP60" s="5"/>
      <c r="UAQ60" s="117"/>
      <c r="UAR60" s="4"/>
      <c r="UAS60" s="126"/>
      <c r="UAT60" s="127"/>
      <c r="UAU60" s="121"/>
      <c r="UAV60" s="5"/>
      <c r="UAW60" s="5"/>
      <c r="UAX60" s="124"/>
      <c r="UAY60" s="121"/>
      <c r="UAZ60" s="125"/>
      <c r="UBA60" s="5"/>
      <c r="UBB60" s="117"/>
      <c r="UBC60" s="4"/>
      <c r="UBD60" s="126"/>
      <c r="UBE60" s="127"/>
      <c r="UBF60" s="121"/>
      <c r="UBG60" s="5"/>
      <c r="UBH60" s="5"/>
      <c r="UBI60" s="124"/>
      <c r="UBJ60" s="121"/>
      <c r="UBK60" s="125"/>
      <c r="UBL60" s="5"/>
      <c r="UBM60" s="117"/>
      <c r="UBN60" s="4"/>
      <c r="UBO60" s="126"/>
      <c r="UBP60" s="127"/>
      <c r="UBQ60" s="121"/>
      <c r="UBR60" s="5"/>
      <c r="UBS60" s="5"/>
      <c r="UBT60" s="124"/>
      <c r="UBU60" s="121"/>
      <c r="UBV60" s="125"/>
      <c r="UBW60" s="5"/>
      <c r="UBX60" s="117"/>
      <c r="UBY60" s="4"/>
      <c r="UBZ60" s="126"/>
      <c r="UCA60" s="127"/>
      <c r="UCB60" s="121"/>
      <c r="UCC60" s="5"/>
      <c r="UCD60" s="5"/>
      <c r="UCE60" s="124"/>
      <c r="UCF60" s="121"/>
      <c r="UCG60" s="125"/>
      <c r="UCH60" s="5"/>
      <c r="UCI60" s="117"/>
      <c r="UCJ60" s="4"/>
      <c r="UCK60" s="126"/>
      <c r="UCL60" s="127"/>
      <c r="UCM60" s="121"/>
      <c r="UCN60" s="5"/>
      <c r="UCO60" s="5"/>
      <c r="UCP60" s="124"/>
      <c r="UCQ60" s="121"/>
      <c r="UCR60" s="125"/>
      <c r="UCS60" s="5"/>
      <c r="UCT60" s="117"/>
      <c r="UCU60" s="4"/>
      <c r="UCV60" s="126"/>
      <c r="UCW60" s="127"/>
      <c r="UCX60" s="121"/>
      <c r="UCY60" s="5"/>
      <c r="UCZ60" s="5"/>
      <c r="UDA60" s="124"/>
      <c r="UDB60" s="121"/>
      <c r="UDC60" s="125"/>
      <c r="UDD60" s="5"/>
      <c r="UDE60" s="117"/>
      <c r="UDF60" s="4"/>
      <c r="UDG60" s="126"/>
      <c r="UDH60" s="127"/>
      <c r="UDI60" s="121"/>
      <c r="UDJ60" s="5"/>
      <c r="UDK60" s="5"/>
      <c r="UDL60" s="124"/>
      <c r="UDM60" s="121"/>
      <c r="UDN60" s="125"/>
      <c r="UDO60" s="5"/>
      <c r="UDP60" s="117"/>
      <c r="UDQ60" s="4"/>
      <c r="UDR60" s="126"/>
      <c r="UDS60" s="127"/>
      <c r="UDT60" s="121"/>
      <c r="UDU60" s="5"/>
      <c r="UDV60" s="5"/>
      <c r="UDW60" s="124"/>
      <c r="UDX60" s="121"/>
      <c r="UDY60" s="125"/>
      <c r="UDZ60" s="5"/>
      <c r="UEA60" s="117"/>
      <c r="UEB60" s="4"/>
      <c r="UEC60" s="126"/>
      <c r="UED60" s="127"/>
      <c r="UEE60" s="121"/>
      <c r="UEF60" s="5"/>
      <c r="UEG60" s="5"/>
      <c r="UEH60" s="124"/>
      <c r="UEI60" s="121"/>
      <c r="UEJ60" s="125"/>
      <c r="UEK60" s="5"/>
      <c r="UEL60" s="117"/>
      <c r="UEM60" s="4"/>
      <c r="UEN60" s="126"/>
      <c r="UEO60" s="127"/>
      <c r="UEP60" s="121"/>
      <c r="UEQ60" s="5"/>
      <c r="UER60" s="5"/>
      <c r="UES60" s="124"/>
      <c r="UET60" s="121"/>
      <c r="UEU60" s="125"/>
      <c r="UEV60" s="5"/>
      <c r="UEW60" s="117"/>
      <c r="UEX60" s="4"/>
      <c r="UEY60" s="126"/>
      <c r="UEZ60" s="127"/>
      <c r="UFA60" s="121"/>
      <c r="UFB60" s="5"/>
      <c r="UFC60" s="5"/>
      <c r="UFD60" s="124"/>
      <c r="UFE60" s="121"/>
      <c r="UFF60" s="125"/>
      <c r="UFG60" s="5"/>
      <c r="UFH60" s="117"/>
      <c r="UFI60" s="4"/>
      <c r="UFJ60" s="126"/>
      <c r="UFK60" s="127"/>
      <c r="UFL60" s="121"/>
      <c r="UFM60" s="5"/>
      <c r="UFN60" s="5"/>
      <c r="UFO60" s="124"/>
      <c r="UFP60" s="121"/>
      <c r="UFQ60" s="125"/>
      <c r="UFR60" s="5"/>
      <c r="UFS60" s="117"/>
      <c r="UFT60" s="4"/>
      <c r="UFU60" s="126"/>
      <c r="UFV60" s="127"/>
      <c r="UFW60" s="121"/>
      <c r="UFX60" s="5"/>
      <c r="UFY60" s="5"/>
      <c r="UFZ60" s="124"/>
      <c r="UGA60" s="121"/>
      <c r="UGB60" s="125"/>
      <c r="UGC60" s="5"/>
      <c r="UGD60" s="117"/>
      <c r="UGE60" s="4"/>
      <c r="UGF60" s="126"/>
      <c r="UGG60" s="127"/>
      <c r="UGH60" s="121"/>
      <c r="UGI60" s="5"/>
      <c r="UGJ60" s="5"/>
      <c r="UGK60" s="124"/>
      <c r="UGL60" s="121"/>
      <c r="UGM60" s="125"/>
      <c r="UGN60" s="5"/>
      <c r="UGO60" s="117"/>
      <c r="UGP60" s="4"/>
      <c r="UGQ60" s="126"/>
      <c r="UGR60" s="127"/>
      <c r="UGS60" s="121"/>
      <c r="UGT60" s="5"/>
      <c r="UGU60" s="5"/>
      <c r="UGV60" s="124"/>
      <c r="UGW60" s="121"/>
      <c r="UGX60" s="125"/>
      <c r="UGY60" s="5"/>
      <c r="UGZ60" s="117"/>
      <c r="UHA60" s="4"/>
      <c r="UHB60" s="126"/>
      <c r="UHC60" s="127"/>
      <c r="UHD60" s="121"/>
      <c r="UHE60" s="5"/>
      <c r="UHF60" s="5"/>
      <c r="UHG60" s="124"/>
      <c r="UHH60" s="121"/>
      <c r="UHI60" s="125"/>
      <c r="UHJ60" s="5"/>
      <c r="UHK60" s="117"/>
      <c r="UHL60" s="4"/>
      <c r="UHM60" s="126"/>
      <c r="UHN60" s="127"/>
      <c r="UHO60" s="121"/>
      <c r="UHP60" s="5"/>
      <c r="UHQ60" s="5"/>
      <c r="UHR60" s="124"/>
      <c r="UHS60" s="121"/>
      <c r="UHT60" s="125"/>
      <c r="UHU60" s="5"/>
      <c r="UHV60" s="117"/>
      <c r="UHW60" s="4"/>
      <c r="UHX60" s="126"/>
      <c r="UHY60" s="127"/>
      <c r="UHZ60" s="121"/>
      <c r="UIA60" s="5"/>
      <c r="UIB60" s="5"/>
      <c r="UIC60" s="124"/>
      <c r="UID60" s="121"/>
      <c r="UIE60" s="125"/>
      <c r="UIF60" s="5"/>
      <c r="UIG60" s="117"/>
      <c r="UIH60" s="4"/>
      <c r="UII60" s="126"/>
      <c r="UIJ60" s="127"/>
      <c r="UIK60" s="121"/>
      <c r="UIL60" s="5"/>
      <c r="UIM60" s="5"/>
      <c r="UIN60" s="124"/>
      <c r="UIO60" s="121"/>
      <c r="UIP60" s="125"/>
      <c r="UIQ60" s="5"/>
      <c r="UIR60" s="117"/>
      <c r="UIS60" s="4"/>
      <c r="UIT60" s="126"/>
      <c r="UIU60" s="127"/>
      <c r="UIV60" s="121"/>
      <c r="UIW60" s="5"/>
      <c r="UIX60" s="5"/>
      <c r="UIY60" s="124"/>
      <c r="UIZ60" s="121"/>
      <c r="UJA60" s="125"/>
      <c r="UJB60" s="5"/>
      <c r="UJC60" s="117"/>
      <c r="UJD60" s="4"/>
      <c r="UJE60" s="126"/>
      <c r="UJF60" s="127"/>
      <c r="UJG60" s="121"/>
      <c r="UJH60" s="5"/>
      <c r="UJI60" s="5"/>
      <c r="UJJ60" s="124"/>
      <c r="UJK60" s="121"/>
      <c r="UJL60" s="125"/>
      <c r="UJM60" s="5"/>
      <c r="UJN60" s="117"/>
      <c r="UJO60" s="4"/>
      <c r="UJP60" s="126"/>
      <c r="UJQ60" s="127"/>
      <c r="UJR60" s="121"/>
      <c r="UJS60" s="5"/>
      <c r="UJT60" s="5"/>
      <c r="UJU60" s="124"/>
      <c r="UJV60" s="121"/>
      <c r="UJW60" s="125"/>
      <c r="UJX60" s="5"/>
      <c r="UJY60" s="117"/>
      <c r="UJZ60" s="4"/>
      <c r="UKA60" s="126"/>
      <c r="UKB60" s="127"/>
      <c r="UKC60" s="121"/>
      <c r="UKD60" s="5"/>
      <c r="UKE60" s="5"/>
      <c r="UKF60" s="124"/>
      <c r="UKG60" s="121"/>
      <c r="UKH60" s="125"/>
      <c r="UKI60" s="5"/>
      <c r="UKJ60" s="117"/>
      <c r="UKK60" s="4"/>
      <c r="UKL60" s="126"/>
      <c r="UKM60" s="127"/>
      <c r="UKN60" s="121"/>
      <c r="UKO60" s="5"/>
      <c r="UKP60" s="5"/>
      <c r="UKQ60" s="124"/>
      <c r="UKR60" s="121"/>
      <c r="UKS60" s="125"/>
      <c r="UKT60" s="5"/>
      <c r="UKU60" s="117"/>
      <c r="UKV60" s="4"/>
      <c r="UKW60" s="126"/>
      <c r="UKX60" s="127"/>
      <c r="UKY60" s="121"/>
      <c r="UKZ60" s="5"/>
      <c r="ULA60" s="5"/>
      <c r="ULB60" s="124"/>
      <c r="ULC60" s="121"/>
      <c r="ULD60" s="125"/>
      <c r="ULE60" s="5"/>
      <c r="ULF60" s="117"/>
      <c r="ULG60" s="4"/>
      <c r="ULH60" s="126"/>
      <c r="ULI60" s="127"/>
      <c r="ULJ60" s="121"/>
      <c r="ULK60" s="5"/>
      <c r="ULL60" s="5"/>
      <c r="ULM60" s="124"/>
      <c r="ULN60" s="121"/>
      <c r="ULO60" s="125"/>
      <c r="ULP60" s="5"/>
      <c r="ULQ60" s="117"/>
      <c r="ULR60" s="4"/>
      <c r="ULS60" s="126"/>
      <c r="ULT60" s="127"/>
      <c r="ULU60" s="121"/>
      <c r="ULV60" s="5"/>
      <c r="ULW60" s="5"/>
      <c r="ULX60" s="124"/>
      <c r="ULY60" s="121"/>
      <c r="ULZ60" s="125"/>
      <c r="UMA60" s="5"/>
      <c r="UMB60" s="117"/>
      <c r="UMC60" s="4"/>
      <c r="UMD60" s="126"/>
      <c r="UME60" s="127"/>
      <c r="UMF60" s="121"/>
      <c r="UMG60" s="5"/>
      <c r="UMH60" s="5"/>
      <c r="UMI60" s="124"/>
      <c r="UMJ60" s="121"/>
      <c r="UMK60" s="125"/>
      <c r="UML60" s="5"/>
      <c r="UMM60" s="117"/>
      <c r="UMN60" s="4"/>
      <c r="UMO60" s="126"/>
      <c r="UMP60" s="127"/>
      <c r="UMQ60" s="121"/>
      <c r="UMR60" s="5"/>
      <c r="UMS60" s="5"/>
      <c r="UMT60" s="124"/>
      <c r="UMU60" s="121"/>
      <c r="UMV60" s="125"/>
      <c r="UMW60" s="5"/>
      <c r="UMX60" s="117"/>
      <c r="UMY60" s="4"/>
      <c r="UMZ60" s="126"/>
      <c r="UNA60" s="127"/>
      <c r="UNB60" s="121"/>
      <c r="UNC60" s="5"/>
      <c r="UND60" s="5"/>
      <c r="UNE60" s="124"/>
      <c r="UNF60" s="121"/>
      <c r="UNG60" s="125"/>
      <c r="UNH60" s="5"/>
      <c r="UNI60" s="117"/>
      <c r="UNJ60" s="4"/>
      <c r="UNK60" s="126"/>
      <c r="UNL60" s="127"/>
      <c r="UNM60" s="121"/>
      <c r="UNN60" s="5"/>
      <c r="UNO60" s="5"/>
      <c r="UNP60" s="124"/>
      <c r="UNQ60" s="121"/>
      <c r="UNR60" s="125"/>
      <c r="UNS60" s="5"/>
      <c r="UNT60" s="117"/>
      <c r="UNU60" s="4"/>
      <c r="UNV60" s="126"/>
      <c r="UNW60" s="127"/>
      <c r="UNX60" s="121"/>
      <c r="UNY60" s="5"/>
      <c r="UNZ60" s="5"/>
      <c r="UOA60" s="124"/>
      <c r="UOB60" s="121"/>
      <c r="UOC60" s="125"/>
      <c r="UOD60" s="5"/>
      <c r="UOE60" s="117"/>
      <c r="UOF60" s="4"/>
      <c r="UOG60" s="126"/>
      <c r="UOH60" s="127"/>
      <c r="UOI60" s="121"/>
      <c r="UOJ60" s="5"/>
      <c r="UOK60" s="5"/>
      <c r="UOL60" s="124"/>
      <c r="UOM60" s="121"/>
      <c r="UON60" s="125"/>
      <c r="UOO60" s="5"/>
      <c r="UOP60" s="117"/>
      <c r="UOQ60" s="4"/>
      <c r="UOR60" s="126"/>
      <c r="UOS60" s="127"/>
      <c r="UOT60" s="121"/>
      <c r="UOU60" s="5"/>
      <c r="UOV60" s="5"/>
      <c r="UOW60" s="124"/>
      <c r="UOX60" s="121"/>
      <c r="UOY60" s="125"/>
      <c r="UOZ60" s="5"/>
      <c r="UPA60" s="117"/>
      <c r="UPB60" s="4"/>
      <c r="UPC60" s="126"/>
      <c r="UPD60" s="127"/>
      <c r="UPE60" s="121"/>
      <c r="UPF60" s="5"/>
      <c r="UPG60" s="5"/>
      <c r="UPH60" s="124"/>
      <c r="UPI60" s="121"/>
      <c r="UPJ60" s="125"/>
      <c r="UPK60" s="5"/>
      <c r="UPL60" s="117"/>
      <c r="UPM60" s="4"/>
      <c r="UPN60" s="126"/>
      <c r="UPO60" s="127"/>
      <c r="UPP60" s="121"/>
      <c r="UPQ60" s="5"/>
      <c r="UPR60" s="5"/>
      <c r="UPS60" s="124"/>
      <c r="UPT60" s="121"/>
      <c r="UPU60" s="125"/>
      <c r="UPV60" s="5"/>
      <c r="UPW60" s="117"/>
      <c r="UPX60" s="4"/>
      <c r="UPY60" s="126"/>
      <c r="UPZ60" s="127"/>
      <c r="UQA60" s="121"/>
      <c r="UQB60" s="5"/>
      <c r="UQC60" s="5"/>
      <c r="UQD60" s="124"/>
      <c r="UQE60" s="121"/>
      <c r="UQF60" s="125"/>
      <c r="UQG60" s="5"/>
      <c r="UQH60" s="117"/>
      <c r="UQI60" s="4"/>
      <c r="UQJ60" s="126"/>
      <c r="UQK60" s="127"/>
      <c r="UQL60" s="121"/>
      <c r="UQM60" s="5"/>
      <c r="UQN60" s="5"/>
      <c r="UQO60" s="124"/>
      <c r="UQP60" s="121"/>
      <c r="UQQ60" s="125"/>
      <c r="UQR60" s="5"/>
      <c r="UQS60" s="117"/>
      <c r="UQT60" s="4"/>
      <c r="UQU60" s="126"/>
      <c r="UQV60" s="127"/>
      <c r="UQW60" s="121"/>
      <c r="UQX60" s="5"/>
      <c r="UQY60" s="5"/>
      <c r="UQZ60" s="124"/>
      <c r="URA60" s="121"/>
      <c r="URB60" s="125"/>
      <c r="URC60" s="5"/>
      <c r="URD60" s="117"/>
      <c r="URE60" s="4"/>
      <c r="URF60" s="126"/>
      <c r="URG60" s="127"/>
      <c r="URH60" s="121"/>
      <c r="URI60" s="5"/>
      <c r="URJ60" s="5"/>
      <c r="URK60" s="124"/>
      <c r="URL60" s="121"/>
      <c r="URM60" s="125"/>
      <c r="URN60" s="5"/>
      <c r="URO60" s="117"/>
      <c r="URP60" s="4"/>
      <c r="URQ60" s="126"/>
      <c r="URR60" s="127"/>
      <c r="URS60" s="121"/>
      <c r="URT60" s="5"/>
      <c r="URU60" s="5"/>
      <c r="URV60" s="124"/>
      <c r="URW60" s="121"/>
      <c r="URX60" s="125"/>
      <c r="URY60" s="5"/>
      <c r="URZ60" s="117"/>
      <c r="USA60" s="4"/>
      <c r="USB60" s="126"/>
      <c r="USC60" s="127"/>
      <c r="USD60" s="121"/>
      <c r="USE60" s="5"/>
      <c r="USF60" s="5"/>
      <c r="USG60" s="124"/>
      <c r="USH60" s="121"/>
      <c r="USI60" s="125"/>
      <c r="USJ60" s="5"/>
      <c r="USK60" s="117"/>
      <c r="USL60" s="4"/>
      <c r="USM60" s="126"/>
      <c r="USN60" s="127"/>
      <c r="USO60" s="121"/>
      <c r="USP60" s="5"/>
      <c r="USQ60" s="5"/>
      <c r="USR60" s="124"/>
      <c r="USS60" s="121"/>
      <c r="UST60" s="125"/>
      <c r="USU60" s="5"/>
      <c r="USV60" s="117"/>
      <c r="USW60" s="4"/>
      <c r="USX60" s="126"/>
      <c r="USY60" s="127"/>
      <c r="USZ60" s="121"/>
      <c r="UTA60" s="5"/>
      <c r="UTB60" s="5"/>
      <c r="UTC60" s="124"/>
      <c r="UTD60" s="121"/>
      <c r="UTE60" s="125"/>
      <c r="UTF60" s="5"/>
      <c r="UTG60" s="117"/>
      <c r="UTH60" s="4"/>
      <c r="UTI60" s="126"/>
      <c r="UTJ60" s="127"/>
      <c r="UTK60" s="121"/>
      <c r="UTL60" s="5"/>
      <c r="UTM60" s="5"/>
      <c r="UTN60" s="124"/>
      <c r="UTO60" s="121"/>
      <c r="UTP60" s="125"/>
      <c r="UTQ60" s="5"/>
      <c r="UTR60" s="117"/>
      <c r="UTS60" s="4"/>
      <c r="UTT60" s="126"/>
      <c r="UTU60" s="127"/>
      <c r="UTV60" s="121"/>
      <c r="UTW60" s="5"/>
      <c r="UTX60" s="5"/>
      <c r="UTY60" s="124"/>
      <c r="UTZ60" s="121"/>
      <c r="UUA60" s="125"/>
      <c r="UUB60" s="5"/>
      <c r="UUC60" s="117"/>
      <c r="UUD60" s="4"/>
      <c r="UUE60" s="126"/>
      <c r="UUF60" s="127"/>
      <c r="UUG60" s="121"/>
      <c r="UUH60" s="5"/>
      <c r="UUI60" s="5"/>
      <c r="UUJ60" s="124"/>
      <c r="UUK60" s="121"/>
      <c r="UUL60" s="125"/>
      <c r="UUM60" s="5"/>
      <c r="UUN60" s="117"/>
      <c r="UUO60" s="4"/>
      <c r="UUP60" s="126"/>
      <c r="UUQ60" s="127"/>
      <c r="UUR60" s="121"/>
      <c r="UUS60" s="5"/>
      <c r="UUT60" s="5"/>
      <c r="UUU60" s="124"/>
      <c r="UUV60" s="121"/>
      <c r="UUW60" s="125"/>
      <c r="UUX60" s="5"/>
      <c r="UUY60" s="117"/>
      <c r="UUZ60" s="4"/>
      <c r="UVA60" s="126"/>
      <c r="UVB60" s="127"/>
      <c r="UVC60" s="121"/>
      <c r="UVD60" s="5"/>
      <c r="UVE60" s="5"/>
      <c r="UVF60" s="124"/>
      <c r="UVG60" s="121"/>
      <c r="UVH60" s="125"/>
      <c r="UVI60" s="5"/>
      <c r="UVJ60" s="117"/>
      <c r="UVK60" s="4"/>
      <c r="UVL60" s="126"/>
      <c r="UVM60" s="127"/>
      <c r="UVN60" s="121"/>
      <c r="UVO60" s="5"/>
      <c r="UVP60" s="5"/>
      <c r="UVQ60" s="124"/>
      <c r="UVR60" s="121"/>
      <c r="UVS60" s="125"/>
      <c r="UVT60" s="5"/>
      <c r="UVU60" s="117"/>
      <c r="UVV60" s="4"/>
      <c r="UVW60" s="126"/>
      <c r="UVX60" s="127"/>
      <c r="UVY60" s="121"/>
      <c r="UVZ60" s="5"/>
      <c r="UWA60" s="5"/>
      <c r="UWB60" s="124"/>
      <c r="UWC60" s="121"/>
      <c r="UWD60" s="125"/>
      <c r="UWE60" s="5"/>
      <c r="UWF60" s="117"/>
      <c r="UWG60" s="4"/>
      <c r="UWH60" s="126"/>
      <c r="UWI60" s="127"/>
      <c r="UWJ60" s="121"/>
      <c r="UWK60" s="5"/>
      <c r="UWL60" s="5"/>
      <c r="UWM60" s="124"/>
      <c r="UWN60" s="121"/>
      <c r="UWO60" s="125"/>
      <c r="UWP60" s="5"/>
      <c r="UWQ60" s="117"/>
      <c r="UWR60" s="4"/>
      <c r="UWS60" s="126"/>
      <c r="UWT60" s="127"/>
      <c r="UWU60" s="121"/>
      <c r="UWV60" s="5"/>
      <c r="UWW60" s="5"/>
      <c r="UWX60" s="124"/>
      <c r="UWY60" s="121"/>
      <c r="UWZ60" s="125"/>
      <c r="UXA60" s="5"/>
      <c r="UXB60" s="117"/>
      <c r="UXC60" s="4"/>
      <c r="UXD60" s="126"/>
      <c r="UXE60" s="127"/>
      <c r="UXF60" s="121"/>
      <c r="UXG60" s="5"/>
      <c r="UXH60" s="5"/>
      <c r="UXI60" s="124"/>
      <c r="UXJ60" s="121"/>
      <c r="UXK60" s="125"/>
      <c r="UXL60" s="5"/>
      <c r="UXM60" s="117"/>
      <c r="UXN60" s="4"/>
      <c r="UXO60" s="126"/>
      <c r="UXP60" s="127"/>
      <c r="UXQ60" s="121"/>
      <c r="UXR60" s="5"/>
      <c r="UXS60" s="5"/>
      <c r="UXT60" s="124"/>
      <c r="UXU60" s="121"/>
      <c r="UXV60" s="125"/>
      <c r="UXW60" s="5"/>
      <c r="UXX60" s="117"/>
      <c r="UXY60" s="4"/>
      <c r="UXZ60" s="126"/>
      <c r="UYA60" s="127"/>
      <c r="UYB60" s="121"/>
      <c r="UYC60" s="5"/>
      <c r="UYD60" s="5"/>
      <c r="UYE60" s="124"/>
      <c r="UYF60" s="121"/>
      <c r="UYG60" s="125"/>
      <c r="UYH60" s="5"/>
      <c r="UYI60" s="117"/>
      <c r="UYJ60" s="4"/>
      <c r="UYK60" s="126"/>
      <c r="UYL60" s="127"/>
      <c r="UYM60" s="121"/>
      <c r="UYN60" s="5"/>
      <c r="UYO60" s="5"/>
      <c r="UYP60" s="124"/>
      <c r="UYQ60" s="121"/>
      <c r="UYR60" s="125"/>
      <c r="UYS60" s="5"/>
      <c r="UYT60" s="117"/>
      <c r="UYU60" s="4"/>
      <c r="UYV60" s="126"/>
      <c r="UYW60" s="127"/>
      <c r="UYX60" s="121"/>
      <c r="UYY60" s="5"/>
      <c r="UYZ60" s="5"/>
      <c r="UZA60" s="124"/>
      <c r="UZB60" s="121"/>
      <c r="UZC60" s="125"/>
      <c r="UZD60" s="5"/>
      <c r="UZE60" s="117"/>
      <c r="UZF60" s="4"/>
      <c r="UZG60" s="126"/>
      <c r="UZH60" s="127"/>
      <c r="UZI60" s="121"/>
      <c r="UZJ60" s="5"/>
      <c r="UZK60" s="5"/>
      <c r="UZL60" s="124"/>
      <c r="UZM60" s="121"/>
      <c r="UZN60" s="125"/>
      <c r="UZO60" s="5"/>
      <c r="UZP60" s="117"/>
      <c r="UZQ60" s="4"/>
      <c r="UZR60" s="126"/>
      <c r="UZS60" s="127"/>
      <c r="UZT60" s="121"/>
      <c r="UZU60" s="5"/>
      <c r="UZV60" s="5"/>
      <c r="UZW60" s="124"/>
      <c r="UZX60" s="121"/>
      <c r="UZY60" s="125"/>
      <c r="UZZ60" s="5"/>
      <c r="VAA60" s="117"/>
      <c r="VAB60" s="4"/>
      <c r="VAC60" s="126"/>
      <c r="VAD60" s="127"/>
      <c r="VAE60" s="121"/>
      <c r="VAF60" s="5"/>
      <c r="VAG60" s="5"/>
      <c r="VAH60" s="124"/>
      <c r="VAI60" s="121"/>
      <c r="VAJ60" s="125"/>
      <c r="VAK60" s="5"/>
      <c r="VAL60" s="117"/>
      <c r="VAM60" s="4"/>
      <c r="VAN60" s="126"/>
      <c r="VAO60" s="127"/>
      <c r="VAP60" s="121"/>
      <c r="VAQ60" s="5"/>
      <c r="VAR60" s="5"/>
      <c r="VAS60" s="124"/>
      <c r="VAT60" s="121"/>
      <c r="VAU60" s="125"/>
      <c r="VAV60" s="5"/>
      <c r="VAW60" s="117"/>
      <c r="VAX60" s="4"/>
      <c r="VAY60" s="126"/>
      <c r="VAZ60" s="127"/>
      <c r="VBA60" s="121"/>
      <c r="VBB60" s="5"/>
      <c r="VBC60" s="5"/>
      <c r="VBD60" s="124"/>
      <c r="VBE60" s="121"/>
      <c r="VBF60" s="125"/>
      <c r="VBG60" s="5"/>
      <c r="VBH60" s="117"/>
      <c r="VBI60" s="4"/>
      <c r="VBJ60" s="126"/>
      <c r="VBK60" s="127"/>
      <c r="VBL60" s="121"/>
      <c r="VBM60" s="5"/>
      <c r="VBN60" s="5"/>
      <c r="VBO60" s="124"/>
      <c r="VBP60" s="121"/>
      <c r="VBQ60" s="125"/>
      <c r="VBR60" s="5"/>
      <c r="VBS60" s="117"/>
      <c r="VBT60" s="4"/>
      <c r="VBU60" s="126"/>
      <c r="VBV60" s="127"/>
      <c r="VBW60" s="121"/>
      <c r="VBX60" s="5"/>
      <c r="VBY60" s="5"/>
      <c r="VBZ60" s="124"/>
      <c r="VCA60" s="121"/>
      <c r="VCB60" s="125"/>
      <c r="VCC60" s="5"/>
      <c r="VCD60" s="117"/>
      <c r="VCE60" s="4"/>
      <c r="VCF60" s="126"/>
      <c r="VCG60" s="127"/>
      <c r="VCH60" s="121"/>
      <c r="VCI60" s="5"/>
      <c r="VCJ60" s="5"/>
      <c r="VCK60" s="124"/>
      <c r="VCL60" s="121"/>
      <c r="VCM60" s="125"/>
      <c r="VCN60" s="5"/>
      <c r="VCO60" s="117"/>
      <c r="VCP60" s="4"/>
      <c r="VCQ60" s="126"/>
      <c r="VCR60" s="127"/>
      <c r="VCS60" s="121"/>
      <c r="VCT60" s="5"/>
      <c r="VCU60" s="5"/>
      <c r="VCV60" s="124"/>
      <c r="VCW60" s="121"/>
      <c r="VCX60" s="125"/>
      <c r="VCY60" s="5"/>
      <c r="VCZ60" s="117"/>
      <c r="VDA60" s="4"/>
      <c r="VDB60" s="126"/>
      <c r="VDC60" s="127"/>
      <c r="VDD60" s="121"/>
      <c r="VDE60" s="5"/>
      <c r="VDF60" s="5"/>
      <c r="VDG60" s="124"/>
      <c r="VDH60" s="121"/>
      <c r="VDI60" s="125"/>
      <c r="VDJ60" s="5"/>
      <c r="VDK60" s="117"/>
      <c r="VDL60" s="4"/>
      <c r="VDM60" s="126"/>
      <c r="VDN60" s="127"/>
      <c r="VDO60" s="121"/>
      <c r="VDP60" s="5"/>
      <c r="VDQ60" s="5"/>
      <c r="VDR60" s="124"/>
      <c r="VDS60" s="121"/>
      <c r="VDT60" s="125"/>
      <c r="VDU60" s="5"/>
      <c r="VDV60" s="117"/>
      <c r="VDW60" s="4"/>
      <c r="VDX60" s="126"/>
      <c r="VDY60" s="127"/>
      <c r="VDZ60" s="121"/>
      <c r="VEA60" s="5"/>
      <c r="VEB60" s="5"/>
      <c r="VEC60" s="124"/>
      <c r="VED60" s="121"/>
      <c r="VEE60" s="125"/>
      <c r="VEF60" s="5"/>
      <c r="VEG60" s="117"/>
      <c r="VEH60" s="4"/>
      <c r="VEI60" s="126"/>
      <c r="VEJ60" s="127"/>
      <c r="VEK60" s="121"/>
      <c r="VEL60" s="5"/>
      <c r="VEM60" s="5"/>
      <c r="VEN60" s="124"/>
      <c r="VEO60" s="121"/>
      <c r="VEP60" s="125"/>
      <c r="VEQ60" s="5"/>
      <c r="VER60" s="117"/>
      <c r="VES60" s="4"/>
      <c r="VET60" s="126"/>
      <c r="VEU60" s="127"/>
      <c r="VEV60" s="121"/>
      <c r="VEW60" s="5"/>
      <c r="VEX60" s="5"/>
      <c r="VEY60" s="124"/>
      <c r="VEZ60" s="121"/>
      <c r="VFA60" s="125"/>
      <c r="VFB60" s="5"/>
      <c r="VFC60" s="117"/>
      <c r="VFD60" s="4"/>
      <c r="VFE60" s="126"/>
      <c r="VFF60" s="127"/>
      <c r="VFG60" s="121"/>
      <c r="VFH60" s="5"/>
      <c r="VFI60" s="5"/>
      <c r="VFJ60" s="124"/>
      <c r="VFK60" s="121"/>
      <c r="VFL60" s="125"/>
      <c r="VFM60" s="5"/>
      <c r="VFN60" s="117"/>
      <c r="VFO60" s="4"/>
      <c r="VFP60" s="126"/>
      <c r="VFQ60" s="127"/>
      <c r="VFR60" s="121"/>
      <c r="VFS60" s="5"/>
      <c r="VFT60" s="5"/>
      <c r="VFU60" s="124"/>
      <c r="VFV60" s="121"/>
      <c r="VFW60" s="125"/>
      <c r="VFX60" s="5"/>
      <c r="VFY60" s="117"/>
      <c r="VFZ60" s="4"/>
      <c r="VGA60" s="126"/>
      <c r="VGB60" s="127"/>
      <c r="VGC60" s="121"/>
      <c r="VGD60" s="5"/>
      <c r="VGE60" s="5"/>
      <c r="VGF60" s="124"/>
      <c r="VGG60" s="121"/>
      <c r="VGH60" s="125"/>
      <c r="VGI60" s="5"/>
      <c r="VGJ60" s="117"/>
      <c r="VGK60" s="4"/>
      <c r="VGL60" s="126"/>
      <c r="VGM60" s="127"/>
      <c r="VGN60" s="121"/>
      <c r="VGO60" s="5"/>
      <c r="VGP60" s="5"/>
      <c r="VGQ60" s="124"/>
      <c r="VGR60" s="121"/>
      <c r="VGS60" s="125"/>
      <c r="VGT60" s="5"/>
      <c r="VGU60" s="117"/>
      <c r="VGV60" s="4"/>
      <c r="VGW60" s="126"/>
      <c r="VGX60" s="127"/>
      <c r="VGY60" s="121"/>
      <c r="VGZ60" s="5"/>
      <c r="VHA60" s="5"/>
      <c r="VHB60" s="124"/>
      <c r="VHC60" s="121"/>
      <c r="VHD60" s="125"/>
      <c r="VHE60" s="5"/>
      <c r="VHF60" s="117"/>
      <c r="VHG60" s="4"/>
      <c r="VHH60" s="126"/>
      <c r="VHI60" s="127"/>
      <c r="VHJ60" s="121"/>
      <c r="VHK60" s="5"/>
      <c r="VHL60" s="5"/>
      <c r="VHM60" s="124"/>
      <c r="VHN60" s="121"/>
      <c r="VHO60" s="125"/>
      <c r="VHP60" s="5"/>
      <c r="VHQ60" s="117"/>
      <c r="VHR60" s="4"/>
      <c r="VHS60" s="126"/>
      <c r="VHT60" s="127"/>
      <c r="VHU60" s="121"/>
      <c r="VHV60" s="5"/>
      <c r="VHW60" s="5"/>
      <c r="VHX60" s="124"/>
      <c r="VHY60" s="121"/>
      <c r="VHZ60" s="125"/>
      <c r="VIA60" s="5"/>
      <c r="VIB60" s="117"/>
      <c r="VIC60" s="4"/>
      <c r="VID60" s="126"/>
      <c r="VIE60" s="127"/>
      <c r="VIF60" s="121"/>
      <c r="VIG60" s="5"/>
      <c r="VIH60" s="5"/>
      <c r="VII60" s="124"/>
      <c r="VIJ60" s="121"/>
      <c r="VIK60" s="125"/>
      <c r="VIL60" s="5"/>
      <c r="VIM60" s="117"/>
      <c r="VIN60" s="4"/>
      <c r="VIO60" s="126"/>
      <c r="VIP60" s="127"/>
      <c r="VIQ60" s="121"/>
      <c r="VIR60" s="5"/>
      <c r="VIS60" s="5"/>
      <c r="VIT60" s="124"/>
      <c r="VIU60" s="121"/>
      <c r="VIV60" s="125"/>
      <c r="VIW60" s="5"/>
      <c r="VIX60" s="117"/>
      <c r="VIY60" s="4"/>
      <c r="VIZ60" s="126"/>
      <c r="VJA60" s="127"/>
      <c r="VJB60" s="121"/>
      <c r="VJC60" s="5"/>
      <c r="VJD60" s="5"/>
      <c r="VJE60" s="124"/>
      <c r="VJF60" s="121"/>
      <c r="VJG60" s="125"/>
      <c r="VJH60" s="5"/>
      <c r="VJI60" s="117"/>
      <c r="VJJ60" s="4"/>
      <c r="VJK60" s="126"/>
      <c r="VJL60" s="127"/>
      <c r="VJM60" s="121"/>
      <c r="VJN60" s="5"/>
      <c r="VJO60" s="5"/>
      <c r="VJP60" s="124"/>
      <c r="VJQ60" s="121"/>
      <c r="VJR60" s="125"/>
      <c r="VJS60" s="5"/>
      <c r="VJT60" s="117"/>
      <c r="VJU60" s="4"/>
      <c r="VJV60" s="126"/>
      <c r="VJW60" s="127"/>
      <c r="VJX60" s="121"/>
      <c r="VJY60" s="5"/>
      <c r="VJZ60" s="5"/>
      <c r="VKA60" s="124"/>
      <c r="VKB60" s="121"/>
      <c r="VKC60" s="125"/>
      <c r="VKD60" s="5"/>
      <c r="VKE60" s="117"/>
      <c r="VKF60" s="4"/>
      <c r="VKG60" s="126"/>
      <c r="VKH60" s="127"/>
      <c r="VKI60" s="121"/>
      <c r="VKJ60" s="5"/>
      <c r="VKK60" s="5"/>
      <c r="VKL60" s="124"/>
      <c r="VKM60" s="121"/>
      <c r="VKN60" s="125"/>
      <c r="VKO60" s="5"/>
      <c r="VKP60" s="117"/>
      <c r="VKQ60" s="4"/>
      <c r="VKR60" s="126"/>
      <c r="VKS60" s="127"/>
      <c r="VKT60" s="121"/>
      <c r="VKU60" s="5"/>
      <c r="VKV60" s="5"/>
      <c r="VKW60" s="124"/>
      <c r="VKX60" s="121"/>
      <c r="VKY60" s="125"/>
      <c r="VKZ60" s="5"/>
      <c r="VLA60" s="117"/>
      <c r="VLB60" s="4"/>
      <c r="VLC60" s="126"/>
      <c r="VLD60" s="127"/>
      <c r="VLE60" s="121"/>
      <c r="VLF60" s="5"/>
      <c r="VLG60" s="5"/>
      <c r="VLH60" s="124"/>
      <c r="VLI60" s="121"/>
      <c r="VLJ60" s="125"/>
      <c r="VLK60" s="5"/>
      <c r="VLL60" s="117"/>
      <c r="VLM60" s="4"/>
      <c r="VLN60" s="126"/>
      <c r="VLO60" s="127"/>
      <c r="VLP60" s="121"/>
      <c r="VLQ60" s="5"/>
      <c r="VLR60" s="5"/>
      <c r="VLS60" s="124"/>
      <c r="VLT60" s="121"/>
      <c r="VLU60" s="125"/>
      <c r="VLV60" s="5"/>
      <c r="VLW60" s="117"/>
      <c r="VLX60" s="4"/>
      <c r="VLY60" s="126"/>
      <c r="VLZ60" s="127"/>
      <c r="VMA60" s="121"/>
      <c r="VMB60" s="5"/>
      <c r="VMC60" s="5"/>
      <c r="VMD60" s="124"/>
      <c r="VME60" s="121"/>
      <c r="VMF60" s="125"/>
      <c r="VMG60" s="5"/>
      <c r="VMH60" s="117"/>
      <c r="VMI60" s="4"/>
      <c r="VMJ60" s="126"/>
      <c r="VMK60" s="127"/>
      <c r="VML60" s="121"/>
      <c r="VMM60" s="5"/>
      <c r="VMN60" s="5"/>
      <c r="VMO60" s="124"/>
      <c r="VMP60" s="121"/>
      <c r="VMQ60" s="125"/>
      <c r="VMR60" s="5"/>
      <c r="VMS60" s="117"/>
      <c r="VMT60" s="4"/>
      <c r="VMU60" s="126"/>
      <c r="VMV60" s="127"/>
      <c r="VMW60" s="121"/>
      <c r="VMX60" s="5"/>
      <c r="VMY60" s="5"/>
      <c r="VMZ60" s="124"/>
      <c r="VNA60" s="121"/>
      <c r="VNB60" s="125"/>
      <c r="VNC60" s="5"/>
      <c r="VND60" s="117"/>
      <c r="VNE60" s="4"/>
      <c r="VNF60" s="126"/>
      <c r="VNG60" s="127"/>
      <c r="VNH60" s="121"/>
      <c r="VNI60" s="5"/>
      <c r="VNJ60" s="5"/>
      <c r="VNK60" s="124"/>
      <c r="VNL60" s="121"/>
      <c r="VNM60" s="125"/>
      <c r="VNN60" s="5"/>
      <c r="VNO60" s="117"/>
      <c r="VNP60" s="4"/>
      <c r="VNQ60" s="126"/>
      <c r="VNR60" s="127"/>
      <c r="VNS60" s="121"/>
      <c r="VNT60" s="5"/>
      <c r="VNU60" s="5"/>
      <c r="VNV60" s="124"/>
      <c r="VNW60" s="121"/>
      <c r="VNX60" s="125"/>
      <c r="VNY60" s="5"/>
      <c r="VNZ60" s="117"/>
      <c r="VOA60" s="4"/>
      <c r="VOB60" s="126"/>
      <c r="VOC60" s="127"/>
      <c r="VOD60" s="121"/>
      <c r="VOE60" s="5"/>
      <c r="VOF60" s="5"/>
      <c r="VOG60" s="124"/>
      <c r="VOH60" s="121"/>
      <c r="VOI60" s="125"/>
      <c r="VOJ60" s="5"/>
      <c r="VOK60" s="117"/>
      <c r="VOL60" s="4"/>
      <c r="VOM60" s="126"/>
      <c r="VON60" s="127"/>
      <c r="VOO60" s="121"/>
      <c r="VOP60" s="5"/>
      <c r="VOQ60" s="5"/>
      <c r="VOR60" s="124"/>
      <c r="VOS60" s="121"/>
      <c r="VOT60" s="125"/>
      <c r="VOU60" s="5"/>
      <c r="VOV60" s="117"/>
      <c r="VOW60" s="4"/>
      <c r="VOX60" s="126"/>
      <c r="VOY60" s="127"/>
      <c r="VOZ60" s="121"/>
      <c r="VPA60" s="5"/>
      <c r="VPB60" s="5"/>
      <c r="VPC60" s="124"/>
      <c r="VPD60" s="121"/>
      <c r="VPE60" s="125"/>
      <c r="VPF60" s="5"/>
      <c r="VPG60" s="117"/>
      <c r="VPH60" s="4"/>
      <c r="VPI60" s="126"/>
      <c r="VPJ60" s="127"/>
      <c r="VPK60" s="121"/>
      <c r="VPL60" s="5"/>
      <c r="VPM60" s="5"/>
      <c r="VPN60" s="124"/>
      <c r="VPO60" s="121"/>
      <c r="VPP60" s="125"/>
      <c r="VPQ60" s="5"/>
      <c r="VPR60" s="117"/>
      <c r="VPS60" s="4"/>
      <c r="VPT60" s="126"/>
      <c r="VPU60" s="127"/>
      <c r="VPV60" s="121"/>
      <c r="VPW60" s="5"/>
      <c r="VPX60" s="5"/>
      <c r="VPY60" s="124"/>
      <c r="VPZ60" s="121"/>
      <c r="VQA60" s="125"/>
      <c r="VQB60" s="5"/>
      <c r="VQC60" s="117"/>
      <c r="VQD60" s="4"/>
      <c r="VQE60" s="126"/>
      <c r="VQF60" s="127"/>
      <c r="VQG60" s="121"/>
      <c r="VQH60" s="5"/>
      <c r="VQI60" s="5"/>
      <c r="VQJ60" s="124"/>
      <c r="VQK60" s="121"/>
      <c r="VQL60" s="125"/>
      <c r="VQM60" s="5"/>
      <c r="VQN60" s="117"/>
      <c r="VQO60" s="4"/>
      <c r="VQP60" s="126"/>
      <c r="VQQ60" s="127"/>
      <c r="VQR60" s="121"/>
      <c r="VQS60" s="5"/>
      <c r="VQT60" s="5"/>
      <c r="VQU60" s="124"/>
      <c r="VQV60" s="121"/>
      <c r="VQW60" s="125"/>
      <c r="VQX60" s="5"/>
      <c r="VQY60" s="117"/>
      <c r="VQZ60" s="4"/>
      <c r="VRA60" s="126"/>
      <c r="VRB60" s="127"/>
      <c r="VRC60" s="121"/>
      <c r="VRD60" s="5"/>
      <c r="VRE60" s="5"/>
      <c r="VRF60" s="124"/>
      <c r="VRG60" s="121"/>
      <c r="VRH60" s="125"/>
      <c r="VRI60" s="5"/>
      <c r="VRJ60" s="117"/>
      <c r="VRK60" s="4"/>
      <c r="VRL60" s="126"/>
      <c r="VRM60" s="127"/>
      <c r="VRN60" s="121"/>
      <c r="VRO60" s="5"/>
      <c r="VRP60" s="5"/>
      <c r="VRQ60" s="124"/>
      <c r="VRR60" s="121"/>
      <c r="VRS60" s="125"/>
      <c r="VRT60" s="5"/>
      <c r="VRU60" s="117"/>
      <c r="VRV60" s="4"/>
      <c r="VRW60" s="126"/>
      <c r="VRX60" s="127"/>
      <c r="VRY60" s="121"/>
      <c r="VRZ60" s="5"/>
      <c r="VSA60" s="5"/>
      <c r="VSB60" s="124"/>
      <c r="VSC60" s="121"/>
      <c r="VSD60" s="125"/>
      <c r="VSE60" s="5"/>
      <c r="VSF60" s="117"/>
      <c r="VSG60" s="4"/>
      <c r="VSH60" s="126"/>
      <c r="VSI60" s="127"/>
      <c r="VSJ60" s="121"/>
      <c r="VSK60" s="5"/>
      <c r="VSL60" s="5"/>
      <c r="VSM60" s="124"/>
      <c r="VSN60" s="121"/>
      <c r="VSO60" s="125"/>
      <c r="VSP60" s="5"/>
      <c r="VSQ60" s="117"/>
      <c r="VSR60" s="4"/>
      <c r="VSS60" s="126"/>
      <c r="VST60" s="127"/>
      <c r="VSU60" s="121"/>
      <c r="VSV60" s="5"/>
      <c r="VSW60" s="5"/>
      <c r="VSX60" s="124"/>
      <c r="VSY60" s="121"/>
      <c r="VSZ60" s="125"/>
      <c r="VTA60" s="5"/>
      <c r="VTB60" s="117"/>
      <c r="VTC60" s="4"/>
      <c r="VTD60" s="126"/>
      <c r="VTE60" s="127"/>
      <c r="VTF60" s="121"/>
      <c r="VTG60" s="5"/>
      <c r="VTH60" s="5"/>
      <c r="VTI60" s="124"/>
      <c r="VTJ60" s="121"/>
      <c r="VTK60" s="125"/>
      <c r="VTL60" s="5"/>
      <c r="VTM60" s="117"/>
      <c r="VTN60" s="4"/>
      <c r="VTO60" s="126"/>
      <c r="VTP60" s="127"/>
      <c r="VTQ60" s="121"/>
      <c r="VTR60" s="5"/>
      <c r="VTS60" s="5"/>
      <c r="VTT60" s="124"/>
      <c r="VTU60" s="121"/>
      <c r="VTV60" s="125"/>
      <c r="VTW60" s="5"/>
      <c r="VTX60" s="117"/>
      <c r="VTY60" s="4"/>
      <c r="VTZ60" s="126"/>
      <c r="VUA60" s="127"/>
      <c r="VUB60" s="121"/>
      <c r="VUC60" s="5"/>
      <c r="VUD60" s="5"/>
      <c r="VUE60" s="124"/>
      <c r="VUF60" s="121"/>
      <c r="VUG60" s="125"/>
      <c r="VUH60" s="5"/>
      <c r="VUI60" s="117"/>
      <c r="VUJ60" s="4"/>
      <c r="VUK60" s="126"/>
      <c r="VUL60" s="127"/>
      <c r="VUM60" s="121"/>
      <c r="VUN60" s="5"/>
      <c r="VUO60" s="5"/>
      <c r="VUP60" s="124"/>
      <c r="VUQ60" s="121"/>
      <c r="VUR60" s="125"/>
      <c r="VUS60" s="5"/>
      <c r="VUT60" s="117"/>
      <c r="VUU60" s="4"/>
      <c r="VUV60" s="126"/>
      <c r="VUW60" s="127"/>
      <c r="VUX60" s="121"/>
      <c r="VUY60" s="5"/>
      <c r="VUZ60" s="5"/>
      <c r="VVA60" s="124"/>
      <c r="VVB60" s="121"/>
      <c r="VVC60" s="125"/>
      <c r="VVD60" s="5"/>
      <c r="VVE60" s="117"/>
      <c r="VVF60" s="4"/>
      <c r="VVG60" s="126"/>
      <c r="VVH60" s="127"/>
      <c r="VVI60" s="121"/>
      <c r="VVJ60" s="5"/>
      <c r="VVK60" s="5"/>
      <c r="VVL60" s="124"/>
      <c r="VVM60" s="121"/>
      <c r="VVN60" s="125"/>
      <c r="VVO60" s="5"/>
      <c r="VVP60" s="117"/>
      <c r="VVQ60" s="4"/>
      <c r="VVR60" s="126"/>
      <c r="VVS60" s="127"/>
      <c r="VVT60" s="121"/>
      <c r="VVU60" s="5"/>
      <c r="VVV60" s="5"/>
      <c r="VVW60" s="124"/>
      <c r="VVX60" s="121"/>
      <c r="VVY60" s="125"/>
      <c r="VVZ60" s="5"/>
      <c r="VWA60" s="117"/>
      <c r="VWB60" s="4"/>
      <c r="VWC60" s="126"/>
      <c r="VWD60" s="127"/>
      <c r="VWE60" s="121"/>
      <c r="VWF60" s="5"/>
      <c r="VWG60" s="5"/>
      <c r="VWH60" s="124"/>
      <c r="VWI60" s="121"/>
      <c r="VWJ60" s="125"/>
      <c r="VWK60" s="5"/>
      <c r="VWL60" s="117"/>
      <c r="VWM60" s="4"/>
      <c r="VWN60" s="126"/>
      <c r="VWO60" s="127"/>
      <c r="VWP60" s="121"/>
      <c r="VWQ60" s="5"/>
      <c r="VWR60" s="5"/>
      <c r="VWS60" s="124"/>
      <c r="VWT60" s="121"/>
      <c r="VWU60" s="125"/>
      <c r="VWV60" s="5"/>
      <c r="VWW60" s="117"/>
      <c r="VWX60" s="4"/>
      <c r="VWY60" s="126"/>
      <c r="VWZ60" s="127"/>
      <c r="VXA60" s="121"/>
      <c r="VXB60" s="5"/>
      <c r="VXC60" s="5"/>
      <c r="VXD60" s="124"/>
      <c r="VXE60" s="121"/>
      <c r="VXF60" s="125"/>
      <c r="VXG60" s="5"/>
      <c r="VXH60" s="117"/>
      <c r="VXI60" s="4"/>
      <c r="VXJ60" s="126"/>
      <c r="VXK60" s="127"/>
      <c r="VXL60" s="121"/>
      <c r="VXM60" s="5"/>
      <c r="VXN60" s="5"/>
      <c r="VXO60" s="124"/>
      <c r="VXP60" s="121"/>
      <c r="VXQ60" s="125"/>
      <c r="VXR60" s="5"/>
      <c r="VXS60" s="117"/>
      <c r="VXT60" s="4"/>
      <c r="VXU60" s="126"/>
      <c r="VXV60" s="127"/>
      <c r="VXW60" s="121"/>
      <c r="VXX60" s="5"/>
      <c r="VXY60" s="5"/>
      <c r="VXZ60" s="124"/>
      <c r="VYA60" s="121"/>
      <c r="VYB60" s="125"/>
      <c r="VYC60" s="5"/>
      <c r="VYD60" s="117"/>
      <c r="VYE60" s="4"/>
      <c r="VYF60" s="126"/>
      <c r="VYG60" s="127"/>
      <c r="VYH60" s="121"/>
      <c r="VYI60" s="5"/>
      <c r="VYJ60" s="5"/>
      <c r="VYK60" s="124"/>
      <c r="VYL60" s="121"/>
      <c r="VYM60" s="125"/>
      <c r="VYN60" s="5"/>
      <c r="VYO60" s="117"/>
      <c r="VYP60" s="4"/>
      <c r="VYQ60" s="126"/>
      <c r="VYR60" s="127"/>
      <c r="VYS60" s="121"/>
      <c r="VYT60" s="5"/>
      <c r="VYU60" s="5"/>
      <c r="VYV60" s="124"/>
      <c r="VYW60" s="121"/>
      <c r="VYX60" s="125"/>
      <c r="VYY60" s="5"/>
      <c r="VYZ60" s="117"/>
      <c r="VZA60" s="4"/>
      <c r="VZB60" s="126"/>
      <c r="VZC60" s="127"/>
      <c r="VZD60" s="121"/>
      <c r="VZE60" s="5"/>
      <c r="VZF60" s="5"/>
      <c r="VZG60" s="124"/>
      <c r="VZH60" s="121"/>
      <c r="VZI60" s="125"/>
      <c r="VZJ60" s="5"/>
      <c r="VZK60" s="117"/>
      <c r="VZL60" s="4"/>
      <c r="VZM60" s="126"/>
      <c r="VZN60" s="127"/>
      <c r="VZO60" s="121"/>
      <c r="VZP60" s="5"/>
      <c r="VZQ60" s="5"/>
      <c r="VZR60" s="124"/>
      <c r="VZS60" s="121"/>
      <c r="VZT60" s="125"/>
      <c r="VZU60" s="5"/>
      <c r="VZV60" s="117"/>
      <c r="VZW60" s="4"/>
      <c r="VZX60" s="126"/>
      <c r="VZY60" s="127"/>
      <c r="VZZ60" s="121"/>
      <c r="WAA60" s="5"/>
      <c r="WAB60" s="5"/>
      <c r="WAC60" s="124"/>
      <c r="WAD60" s="121"/>
      <c r="WAE60" s="125"/>
      <c r="WAF60" s="5"/>
      <c r="WAG60" s="117"/>
      <c r="WAH60" s="4"/>
      <c r="WAI60" s="126"/>
      <c r="WAJ60" s="127"/>
      <c r="WAK60" s="121"/>
      <c r="WAL60" s="5"/>
      <c r="WAM60" s="5"/>
      <c r="WAN60" s="124"/>
      <c r="WAO60" s="121"/>
      <c r="WAP60" s="125"/>
      <c r="WAQ60" s="5"/>
      <c r="WAR60" s="117"/>
      <c r="WAS60" s="4"/>
      <c r="WAT60" s="126"/>
      <c r="WAU60" s="127"/>
      <c r="WAV60" s="121"/>
      <c r="WAW60" s="5"/>
      <c r="WAX60" s="5"/>
      <c r="WAY60" s="124"/>
      <c r="WAZ60" s="121"/>
      <c r="WBA60" s="125"/>
      <c r="WBB60" s="5"/>
      <c r="WBC60" s="117"/>
      <c r="WBD60" s="4"/>
      <c r="WBE60" s="126"/>
      <c r="WBF60" s="127"/>
      <c r="WBG60" s="121"/>
      <c r="WBH60" s="5"/>
      <c r="WBI60" s="5"/>
      <c r="WBJ60" s="124"/>
      <c r="WBK60" s="121"/>
      <c r="WBL60" s="125"/>
      <c r="WBM60" s="5"/>
      <c r="WBN60" s="117"/>
      <c r="WBO60" s="4"/>
      <c r="WBP60" s="126"/>
      <c r="WBQ60" s="127"/>
      <c r="WBR60" s="121"/>
      <c r="WBS60" s="5"/>
      <c r="WBT60" s="5"/>
      <c r="WBU60" s="124"/>
      <c r="WBV60" s="121"/>
      <c r="WBW60" s="125"/>
      <c r="WBX60" s="5"/>
      <c r="WBY60" s="117"/>
      <c r="WBZ60" s="4"/>
      <c r="WCA60" s="126"/>
      <c r="WCB60" s="127"/>
      <c r="WCC60" s="121"/>
      <c r="WCD60" s="5"/>
      <c r="WCE60" s="5"/>
      <c r="WCF60" s="124"/>
      <c r="WCG60" s="121"/>
      <c r="WCH60" s="125"/>
      <c r="WCI60" s="5"/>
      <c r="WCJ60" s="117"/>
      <c r="WCK60" s="4"/>
      <c r="WCL60" s="126"/>
      <c r="WCM60" s="127"/>
      <c r="WCN60" s="121"/>
      <c r="WCO60" s="5"/>
      <c r="WCP60" s="5"/>
      <c r="WCQ60" s="124"/>
      <c r="WCR60" s="121"/>
      <c r="WCS60" s="125"/>
      <c r="WCT60" s="5"/>
      <c r="WCU60" s="117"/>
      <c r="WCV60" s="4"/>
      <c r="WCW60" s="126"/>
      <c r="WCX60" s="127"/>
      <c r="WCY60" s="121"/>
      <c r="WCZ60" s="5"/>
      <c r="WDA60" s="5"/>
      <c r="WDB60" s="124"/>
      <c r="WDC60" s="121"/>
      <c r="WDD60" s="125"/>
      <c r="WDE60" s="5"/>
      <c r="WDF60" s="117"/>
      <c r="WDG60" s="4"/>
      <c r="WDH60" s="126"/>
      <c r="WDI60" s="127"/>
      <c r="WDJ60" s="121"/>
      <c r="WDK60" s="5"/>
      <c r="WDL60" s="5"/>
      <c r="WDM60" s="124"/>
      <c r="WDN60" s="121"/>
      <c r="WDO60" s="125"/>
      <c r="WDP60" s="5"/>
      <c r="WDQ60" s="117"/>
      <c r="WDR60" s="4"/>
      <c r="WDS60" s="126"/>
      <c r="WDT60" s="127"/>
      <c r="WDU60" s="121"/>
      <c r="WDV60" s="5"/>
      <c r="WDW60" s="5"/>
      <c r="WDX60" s="124"/>
      <c r="WDY60" s="121"/>
      <c r="WDZ60" s="125"/>
      <c r="WEA60" s="5"/>
      <c r="WEB60" s="117"/>
      <c r="WEC60" s="4"/>
      <c r="WED60" s="126"/>
      <c r="WEE60" s="127"/>
      <c r="WEF60" s="121"/>
      <c r="WEG60" s="5"/>
      <c r="WEH60" s="5"/>
      <c r="WEI60" s="124"/>
      <c r="WEJ60" s="121"/>
      <c r="WEK60" s="125"/>
      <c r="WEL60" s="5"/>
      <c r="WEM60" s="117"/>
      <c r="WEN60" s="4"/>
      <c r="WEO60" s="126"/>
      <c r="WEP60" s="127"/>
      <c r="WEQ60" s="121"/>
      <c r="WER60" s="5"/>
      <c r="WES60" s="5"/>
      <c r="WET60" s="124"/>
      <c r="WEU60" s="121"/>
      <c r="WEV60" s="125"/>
      <c r="WEW60" s="5"/>
      <c r="WEX60" s="117"/>
      <c r="WEY60" s="4"/>
      <c r="WEZ60" s="126"/>
      <c r="WFA60" s="127"/>
      <c r="WFB60" s="121"/>
      <c r="WFC60" s="5"/>
      <c r="WFD60" s="5"/>
      <c r="WFE60" s="124"/>
      <c r="WFF60" s="121"/>
      <c r="WFG60" s="125"/>
      <c r="WFH60" s="5"/>
      <c r="WFI60" s="117"/>
      <c r="WFJ60" s="4"/>
      <c r="WFK60" s="126"/>
      <c r="WFL60" s="127"/>
      <c r="WFM60" s="121"/>
      <c r="WFN60" s="5"/>
      <c r="WFO60" s="5"/>
      <c r="WFP60" s="124"/>
      <c r="WFQ60" s="121"/>
      <c r="WFR60" s="125"/>
      <c r="WFS60" s="5"/>
      <c r="WFT60" s="117"/>
      <c r="WFU60" s="4"/>
      <c r="WFV60" s="126"/>
      <c r="WFW60" s="127"/>
      <c r="WFX60" s="121"/>
      <c r="WFY60" s="5"/>
      <c r="WFZ60" s="5"/>
      <c r="WGA60" s="124"/>
      <c r="WGB60" s="121"/>
      <c r="WGC60" s="125"/>
      <c r="WGD60" s="5"/>
      <c r="WGE60" s="117"/>
      <c r="WGF60" s="4"/>
      <c r="WGG60" s="126"/>
      <c r="WGH60" s="127"/>
      <c r="WGI60" s="121"/>
      <c r="WGJ60" s="5"/>
      <c r="WGK60" s="5"/>
      <c r="WGL60" s="124"/>
      <c r="WGM60" s="121"/>
      <c r="WGN60" s="125"/>
      <c r="WGO60" s="5"/>
      <c r="WGP60" s="117"/>
      <c r="WGQ60" s="4"/>
      <c r="WGR60" s="126"/>
      <c r="WGS60" s="127"/>
      <c r="WGT60" s="121"/>
      <c r="WGU60" s="5"/>
      <c r="WGV60" s="5"/>
      <c r="WGW60" s="124"/>
      <c r="WGX60" s="121"/>
      <c r="WGY60" s="125"/>
      <c r="WGZ60" s="5"/>
      <c r="WHA60" s="117"/>
      <c r="WHB60" s="4"/>
      <c r="WHC60" s="126"/>
      <c r="WHD60" s="127"/>
      <c r="WHE60" s="121"/>
      <c r="WHF60" s="5"/>
      <c r="WHG60" s="5"/>
      <c r="WHH60" s="124"/>
      <c r="WHI60" s="121"/>
      <c r="WHJ60" s="125"/>
      <c r="WHK60" s="5"/>
      <c r="WHL60" s="117"/>
      <c r="WHM60" s="4"/>
      <c r="WHN60" s="126"/>
      <c r="WHO60" s="127"/>
      <c r="WHP60" s="121"/>
      <c r="WHQ60" s="5"/>
      <c r="WHR60" s="5"/>
      <c r="WHS60" s="124"/>
      <c r="WHT60" s="121"/>
      <c r="WHU60" s="125"/>
      <c r="WHV60" s="5"/>
      <c r="WHW60" s="117"/>
      <c r="WHX60" s="4"/>
      <c r="WHY60" s="126"/>
      <c r="WHZ60" s="127"/>
      <c r="WIA60" s="121"/>
      <c r="WIB60" s="5"/>
      <c r="WIC60" s="5"/>
      <c r="WID60" s="124"/>
      <c r="WIE60" s="121"/>
      <c r="WIF60" s="125"/>
      <c r="WIG60" s="5"/>
      <c r="WIH60" s="117"/>
      <c r="WII60" s="4"/>
      <c r="WIJ60" s="126"/>
      <c r="WIK60" s="127"/>
      <c r="WIL60" s="121"/>
      <c r="WIM60" s="5"/>
      <c r="WIN60" s="5"/>
      <c r="WIO60" s="124"/>
      <c r="WIP60" s="121"/>
      <c r="WIQ60" s="125"/>
      <c r="WIR60" s="5"/>
      <c r="WIS60" s="117"/>
      <c r="WIT60" s="4"/>
      <c r="WIU60" s="126"/>
      <c r="WIV60" s="127"/>
      <c r="WIW60" s="121"/>
      <c r="WIX60" s="5"/>
      <c r="WIY60" s="5"/>
      <c r="WIZ60" s="124"/>
      <c r="WJA60" s="121"/>
      <c r="WJB60" s="125"/>
      <c r="WJC60" s="5"/>
      <c r="WJD60" s="117"/>
      <c r="WJE60" s="4"/>
      <c r="WJF60" s="126"/>
      <c r="WJG60" s="127"/>
      <c r="WJH60" s="121"/>
      <c r="WJI60" s="5"/>
      <c r="WJJ60" s="5"/>
      <c r="WJK60" s="124"/>
      <c r="WJL60" s="121"/>
      <c r="WJM60" s="125"/>
      <c r="WJN60" s="5"/>
      <c r="WJO60" s="117"/>
      <c r="WJP60" s="4"/>
      <c r="WJQ60" s="126"/>
      <c r="WJR60" s="127"/>
      <c r="WJS60" s="121"/>
      <c r="WJT60" s="5"/>
      <c r="WJU60" s="5"/>
      <c r="WJV60" s="124"/>
      <c r="WJW60" s="121"/>
      <c r="WJX60" s="125"/>
      <c r="WJY60" s="5"/>
      <c r="WJZ60" s="117"/>
      <c r="WKA60" s="4"/>
      <c r="WKB60" s="126"/>
      <c r="WKC60" s="127"/>
      <c r="WKD60" s="121"/>
      <c r="WKE60" s="5"/>
      <c r="WKF60" s="5"/>
      <c r="WKG60" s="124"/>
      <c r="WKH60" s="121"/>
      <c r="WKI60" s="125"/>
      <c r="WKJ60" s="5"/>
      <c r="WKK60" s="117"/>
      <c r="WKL60" s="4"/>
      <c r="WKM60" s="126"/>
      <c r="WKN60" s="127"/>
      <c r="WKO60" s="121"/>
      <c r="WKP60" s="5"/>
      <c r="WKQ60" s="5"/>
      <c r="WKR60" s="124"/>
      <c r="WKS60" s="121"/>
      <c r="WKT60" s="125"/>
      <c r="WKU60" s="5"/>
      <c r="WKV60" s="117"/>
      <c r="WKW60" s="4"/>
      <c r="WKX60" s="126"/>
      <c r="WKY60" s="127"/>
      <c r="WKZ60" s="121"/>
      <c r="WLA60" s="5"/>
      <c r="WLB60" s="5"/>
      <c r="WLC60" s="124"/>
      <c r="WLD60" s="121"/>
      <c r="WLE60" s="125"/>
      <c r="WLF60" s="5"/>
      <c r="WLG60" s="117"/>
      <c r="WLH60" s="4"/>
      <c r="WLI60" s="126"/>
      <c r="WLJ60" s="127"/>
      <c r="WLK60" s="121"/>
      <c r="WLL60" s="5"/>
      <c r="WLM60" s="5"/>
      <c r="WLN60" s="124"/>
      <c r="WLO60" s="121"/>
      <c r="WLP60" s="125"/>
      <c r="WLQ60" s="5"/>
      <c r="WLR60" s="117"/>
      <c r="WLS60" s="4"/>
      <c r="WLT60" s="126"/>
      <c r="WLU60" s="127"/>
      <c r="WLV60" s="121"/>
      <c r="WLW60" s="5"/>
      <c r="WLX60" s="5"/>
      <c r="WLY60" s="124"/>
      <c r="WLZ60" s="121"/>
      <c r="WMA60" s="125"/>
      <c r="WMB60" s="5"/>
      <c r="WMC60" s="117"/>
      <c r="WMD60" s="4"/>
      <c r="WME60" s="126"/>
      <c r="WMF60" s="127"/>
      <c r="WMG60" s="121"/>
      <c r="WMH60" s="5"/>
      <c r="WMI60" s="5"/>
      <c r="WMJ60" s="124"/>
      <c r="WMK60" s="121"/>
      <c r="WML60" s="125"/>
      <c r="WMM60" s="5"/>
      <c r="WMN60" s="117"/>
      <c r="WMO60" s="4"/>
      <c r="WMP60" s="126"/>
      <c r="WMQ60" s="127"/>
      <c r="WMR60" s="121"/>
      <c r="WMS60" s="5"/>
      <c r="WMT60" s="5"/>
      <c r="WMU60" s="124"/>
      <c r="WMV60" s="121"/>
      <c r="WMW60" s="125"/>
      <c r="WMX60" s="5"/>
      <c r="WMY60" s="117"/>
      <c r="WMZ60" s="4"/>
      <c r="WNA60" s="126"/>
      <c r="WNB60" s="127"/>
      <c r="WNC60" s="121"/>
      <c r="WND60" s="5"/>
      <c r="WNE60" s="5"/>
      <c r="WNF60" s="124"/>
      <c r="WNG60" s="121"/>
      <c r="WNH60" s="125"/>
      <c r="WNI60" s="5"/>
      <c r="WNJ60" s="117"/>
      <c r="WNK60" s="4"/>
      <c r="WNL60" s="126"/>
      <c r="WNM60" s="127"/>
      <c r="WNN60" s="121"/>
      <c r="WNO60" s="5"/>
      <c r="WNP60" s="5"/>
      <c r="WNQ60" s="124"/>
      <c r="WNR60" s="121"/>
      <c r="WNS60" s="125"/>
      <c r="WNT60" s="5"/>
      <c r="WNU60" s="117"/>
      <c r="WNV60" s="4"/>
      <c r="WNW60" s="126"/>
      <c r="WNX60" s="127"/>
      <c r="WNY60" s="121"/>
      <c r="WNZ60" s="5"/>
      <c r="WOA60" s="5"/>
      <c r="WOB60" s="124"/>
      <c r="WOC60" s="121"/>
      <c r="WOD60" s="125"/>
      <c r="WOE60" s="5"/>
      <c r="WOF60" s="117"/>
      <c r="WOG60" s="4"/>
      <c r="WOH60" s="126"/>
      <c r="WOI60" s="127"/>
      <c r="WOJ60" s="121"/>
      <c r="WOK60" s="5"/>
      <c r="WOL60" s="5"/>
      <c r="WOM60" s="124"/>
      <c r="WON60" s="121"/>
      <c r="WOO60" s="125"/>
      <c r="WOP60" s="5"/>
      <c r="WOQ60" s="117"/>
      <c r="WOR60" s="4"/>
      <c r="WOS60" s="126"/>
      <c r="WOT60" s="127"/>
      <c r="WOU60" s="121"/>
      <c r="WOV60" s="5"/>
      <c r="WOW60" s="5"/>
      <c r="WOX60" s="124"/>
      <c r="WOY60" s="121"/>
      <c r="WOZ60" s="125"/>
      <c r="WPA60" s="5"/>
      <c r="WPB60" s="117"/>
      <c r="WPC60" s="4"/>
      <c r="WPD60" s="126"/>
      <c r="WPE60" s="127"/>
      <c r="WPF60" s="121"/>
      <c r="WPG60" s="5"/>
      <c r="WPH60" s="5"/>
      <c r="WPI60" s="124"/>
      <c r="WPJ60" s="121"/>
      <c r="WPK60" s="125"/>
      <c r="WPL60" s="5"/>
      <c r="WPM60" s="117"/>
      <c r="WPN60" s="4"/>
      <c r="WPO60" s="126"/>
      <c r="WPP60" s="127"/>
      <c r="WPQ60" s="121"/>
      <c r="WPR60" s="5"/>
      <c r="WPS60" s="5"/>
      <c r="WPT60" s="124"/>
      <c r="WPU60" s="121"/>
      <c r="WPV60" s="125"/>
      <c r="WPW60" s="5"/>
      <c r="WPX60" s="117"/>
      <c r="WPY60" s="4"/>
      <c r="WPZ60" s="126"/>
      <c r="WQA60" s="127"/>
      <c r="WQB60" s="121"/>
      <c r="WQC60" s="5"/>
      <c r="WQD60" s="5"/>
      <c r="WQE60" s="124"/>
      <c r="WQF60" s="121"/>
      <c r="WQG60" s="125"/>
      <c r="WQH60" s="5"/>
      <c r="WQI60" s="117"/>
      <c r="WQJ60" s="4"/>
      <c r="WQK60" s="126"/>
      <c r="WQL60" s="127"/>
      <c r="WQM60" s="121"/>
      <c r="WQN60" s="5"/>
      <c r="WQO60" s="5"/>
      <c r="WQP60" s="124"/>
      <c r="WQQ60" s="121"/>
      <c r="WQR60" s="125"/>
      <c r="WQS60" s="5"/>
      <c r="WQT60" s="117"/>
      <c r="WQU60" s="4"/>
      <c r="WQV60" s="126"/>
      <c r="WQW60" s="127"/>
      <c r="WQX60" s="121"/>
      <c r="WQY60" s="5"/>
      <c r="WQZ60" s="5"/>
      <c r="WRA60" s="124"/>
      <c r="WRB60" s="121"/>
      <c r="WRC60" s="125"/>
      <c r="WRD60" s="5"/>
      <c r="WRE60" s="117"/>
      <c r="WRF60" s="4"/>
      <c r="WRG60" s="126"/>
      <c r="WRH60" s="127"/>
      <c r="WRI60" s="121"/>
      <c r="WRJ60" s="5"/>
      <c r="WRK60" s="5"/>
      <c r="WRL60" s="124"/>
      <c r="WRM60" s="121"/>
      <c r="WRN60" s="125"/>
      <c r="WRO60" s="5"/>
      <c r="WRP60" s="117"/>
      <c r="WRQ60" s="4"/>
      <c r="WRR60" s="126"/>
      <c r="WRS60" s="127"/>
      <c r="WRT60" s="121"/>
      <c r="WRU60" s="5"/>
      <c r="WRV60" s="5"/>
      <c r="WRW60" s="124"/>
      <c r="WRX60" s="121"/>
      <c r="WRY60" s="125"/>
      <c r="WRZ60" s="5"/>
      <c r="WSA60" s="117"/>
      <c r="WSB60" s="4"/>
      <c r="WSC60" s="126"/>
      <c r="WSD60" s="127"/>
      <c r="WSE60" s="121"/>
      <c r="WSF60" s="5"/>
      <c r="WSG60" s="5"/>
      <c r="WSH60" s="124"/>
      <c r="WSI60" s="121"/>
      <c r="WSJ60" s="125"/>
      <c r="WSK60" s="5"/>
      <c r="WSL60" s="117"/>
      <c r="WSM60" s="4"/>
      <c r="WSN60" s="126"/>
      <c r="WSO60" s="127"/>
      <c r="WSP60" s="121"/>
      <c r="WSQ60" s="5"/>
      <c r="WSR60" s="5"/>
      <c r="WSS60" s="124"/>
      <c r="WST60" s="121"/>
      <c r="WSU60" s="125"/>
      <c r="WSV60" s="5"/>
      <c r="WSW60" s="117"/>
      <c r="WSX60" s="4"/>
      <c r="WSY60" s="126"/>
      <c r="WSZ60" s="127"/>
      <c r="WTA60" s="121"/>
      <c r="WTB60" s="5"/>
      <c r="WTC60" s="5"/>
      <c r="WTD60" s="124"/>
      <c r="WTE60" s="121"/>
      <c r="WTF60" s="125"/>
      <c r="WTG60" s="5"/>
      <c r="WTH60" s="117"/>
      <c r="WTI60" s="4"/>
      <c r="WTJ60" s="126"/>
      <c r="WTK60" s="127"/>
      <c r="WTL60" s="121"/>
      <c r="WTM60" s="5"/>
      <c r="WTN60" s="5"/>
      <c r="WTO60" s="124"/>
      <c r="WTP60" s="121"/>
      <c r="WTQ60" s="125"/>
      <c r="WTR60" s="5"/>
      <c r="WTS60" s="117"/>
      <c r="WTT60" s="4"/>
      <c r="WTU60" s="126"/>
      <c r="WTV60" s="127"/>
      <c r="WTW60" s="121"/>
      <c r="WTX60" s="5"/>
      <c r="WTY60" s="5"/>
      <c r="WTZ60" s="124"/>
      <c r="WUA60" s="121"/>
      <c r="WUB60" s="125"/>
      <c r="WUC60" s="5"/>
      <c r="WUD60" s="117"/>
      <c r="WUE60" s="4"/>
      <c r="WUF60" s="126"/>
      <c r="WUG60" s="127"/>
      <c r="WUH60" s="121"/>
      <c r="WUI60" s="5"/>
      <c r="WUJ60" s="5"/>
      <c r="WUK60" s="124"/>
      <c r="WUL60" s="121"/>
      <c r="WUM60" s="125"/>
      <c r="WUN60" s="5"/>
      <c r="WUO60" s="117"/>
      <c r="WUP60" s="4"/>
      <c r="WUQ60" s="126"/>
      <c r="WUR60" s="127"/>
      <c r="WUS60" s="121"/>
      <c r="WUT60" s="5"/>
      <c r="WUU60" s="5"/>
      <c r="WUV60" s="124"/>
      <c r="WUW60" s="121"/>
      <c r="WUX60" s="125"/>
      <c r="WUY60" s="5"/>
      <c r="WUZ60" s="117"/>
      <c r="WVA60" s="4"/>
      <c r="WVB60" s="126"/>
      <c r="WVC60" s="127"/>
      <c r="WVD60" s="121"/>
      <c r="WVE60" s="5"/>
      <c r="WVF60" s="5"/>
      <c r="WVG60" s="124"/>
      <c r="WVH60" s="121"/>
      <c r="WVI60" s="125"/>
      <c r="WVJ60" s="5"/>
      <c r="WVK60" s="117"/>
      <c r="WVL60" s="4"/>
      <c r="WVM60" s="126"/>
      <c r="WVN60" s="127"/>
      <c r="WVO60" s="121"/>
      <c r="WVP60" s="5"/>
      <c r="WVQ60" s="5"/>
      <c r="WVR60" s="124"/>
      <c r="WVS60" s="121"/>
      <c r="WVT60" s="125"/>
      <c r="WVU60" s="5"/>
      <c r="WVV60" s="117"/>
      <c r="WVW60" s="4"/>
      <c r="WVX60" s="126"/>
      <c r="WVY60" s="127"/>
      <c r="WVZ60" s="121"/>
      <c r="WWA60" s="5"/>
      <c r="WWB60" s="5"/>
      <c r="WWC60" s="124"/>
      <c r="WWD60" s="121"/>
      <c r="WWE60" s="125"/>
      <c r="WWF60" s="5"/>
      <c r="WWG60" s="117"/>
      <c r="WWH60" s="4"/>
      <c r="WWI60" s="126"/>
      <c r="WWJ60" s="127"/>
      <c r="WWK60" s="121"/>
      <c r="WWL60" s="5"/>
      <c r="WWM60" s="5"/>
      <c r="WWN60" s="124"/>
      <c r="WWO60" s="121"/>
      <c r="WWP60" s="125"/>
      <c r="WWQ60" s="5"/>
      <c r="WWR60" s="117"/>
      <c r="WWS60" s="4"/>
      <c r="WWT60" s="126"/>
      <c r="WWU60" s="127"/>
      <c r="WWV60" s="121"/>
      <c r="WWW60" s="5"/>
      <c r="WWX60" s="5"/>
      <c r="WWY60" s="124"/>
      <c r="WWZ60" s="121"/>
      <c r="WXA60" s="125"/>
      <c r="WXB60" s="5"/>
      <c r="WXC60" s="117"/>
      <c r="WXD60" s="4"/>
      <c r="WXE60" s="126"/>
      <c r="WXF60" s="127"/>
      <c r="WXG60" s="121"/>
      <c r="WXH60" s="5"/>
      <c r="WXI60" s="5"/>
      <c r="WXJ60" s="124"/>
      <c r="WXK60" s="121"/>
      <c r="WXL60" s="125"/>
      <c r="WXM60" s="5"/>
      <c r="WXN60" s="117"/>
      <c r="WXO60" s="4"/>
      <c r="WXP60" s="126"/>
      <c r="WXQ60" s="127"/>
      <c r="WXR60" s="121"/>
      <c r="WXS60" s="5"/>
      <c r="WXT60" s="5"/>
      <c r="WXU60" s="124"/>
      <c r="WXV60" s="121"/>
      <c r="WXW60" s="125"/>
      <c r="WXX60" s="5"/>
      <c r="WXY60" s="117"/>
      <c r="WXZ60" s="4"/>
      <c r="WYA60" s="126"/>
      <c r="WYB60" s="127"/>
      <c r="WYC60" s="121"/>
      <c r="WYD60" s="5"/>
      <c r="WYE60" s="5"/>
      <c r="WYF60" s="124"/>
      <c r="WYG60" s="121"/>
      <c r="WYH60" s="125"/>
      <c r="WYI60" s="5"/>
      <c r="WYJ60" s="117"/>
      <c r="WYK60" s="4"/>
      <c r="WYL60" s="126"/>
      <c r="WYM60" s="127"/>
      <c r="WYN60" s="121"/>
      <c r="WYO60" s="5"/>
      <c r="WYP60" s="5"/>
      <c r="WYQ60" s="124"/>
      <c r="WYR60" s="121"/>
      <c r="WYS60" s="125"/>
      <c r="WYT60" s="5"/>
      <c r="WYU60" s="117"/>
      <c r="WYV60" s="4"/>
      <c r="WYW60" s="126"/>
      <c r="WYX60" s="127"/>
      <c r="WYY60" s="121"/>
      <c r="WYZ60" s="5"/>
      <c r="WZA60" s="5"/>
      <c r="WZB60" s="124"/>
      <c r="WZC60" s="121"/>
      <c r="WZD60" s="125"/>
      <c r="WZE60" s="5"/>
      <c r="WZF60" s="117"/>
      <c r="WZG60" s="4"/>
      <c r="WZH60" s="126"/>
      <c r="WZI60" s="127"/>
      <c r="WZJ60" s="121"/>
      <c r="WZK60" s="5"/>
      <c r="WZL60" s="5"/>
      <c r="WZM60" s="124"/>
      <c r="WZN60" s="121"/>
      <c r="WZO60" s="125"/>
      <c r="WZP60" s="5"/>
      <c r="WZQ60" s="117"/>
      <c r="WZR60" s="4"/>
      <c r="WZS60" s="126"/>
      <c r="WZT60" s="127"/>
      <c r="WZU60" s="121"/>
      <c r="WZV60" s="5"/>
      <c r="WZW60" s="5"/>
      <c r="WZX60" s="124"/>
      <c r="WZY60" s="121"/>
      <c r="WZZ60" s="125"/>
      <c r="XAA60" s="5"/>
      <c r="XAB60" s="117"/>
      <c r="XAC60" s="4"/>
      <c r="XAD60" s="126"/>
      <c r="XAE60" s="127"/>
      <c r="XAF60" s="121"/>
      <c r="XAG60" s="5"/>
      <c r="XAH60" s="5"/>
      <c r="XAI60" s="124"/>
      <c r="XAJ60" s="121"/>
      <c r="XAK60" s="125"/>
      <c r="XAL60" s="5"/>
      <c r="XAM60" s="117"/>
      <c r="XAN60" s="4"/>
      <c r="XAO60" s="126"/>
      <c r="XAP60" s="127"/>
      <c r="XAQ60" s="121"/>
      <c r="XAR60" s="5"/>
      <c r="XAS60" s="5"/>
      <c r="XAT60" s="124"/>
      <c r="XAU60" s="121"/>
      <c r="XAV60" s="125"/>
      <c r="XAW60" s="5"/>
      <c r="XAX60" s="117"/>
      <c r="XAY60" s="4"/>
      <c r="XAZ60" s="126"/>
      <c r="XBA60" s="127"/>
      <c r="XBB60" s="121"/>
      <c r="XBC60" s="5"/>
      <c r="XBD60" s="5"/>
      <c r="XBE60" s="124"/>
      <c r="XBF60" s="121"/>
      <c r="XBG60" s="125"/>
      <c r="XBH60" s="5"/>
      <c r="XBI60" s="117"/>
      <c r="XBJ60" s="4"/>
      <c r="XBK60" s="126"/>
      <c r="XBL60" s="127"/>
      <c r="XBM60" s="121"/>
      <c r="XBN60" s="5"/>
      <c r="XBO60" s="5"/>
      <c r="XBP60" s="124"/>
      <c r="XBQ60" s="121"/>
      <c r="XBR60" s="125"/>
      <c r="XBS60" s="5"/>
      <c r="XBT60" s="117"/>
      <c r="XBU60" s="4"/>
      <c r="XBV60" s="126"/>
      <c r="XBW60" s="127"/>
      <c r="XBX60" s="121"/>
      <c r="XBY60" s="5"/>
      <c r="XBZ60" s="5"/>
      <c r="XCA60" s="124"/>
      <c r="XCB60" s="121"/>
      <c r="XCC60" s="125"/>
      <c r="XCD60" s="5"/>
      <c r="XCE60" s="117"/>
      <c r="XCF60" s="4"/>
      <c r="XCG60" s="126"/>
      <c r="XCH60" s="127"/>
      <c r="XCI60" s="121"/>
      <c r="XCJ60" s="5"/>
      <c r="XCK60" s="5"/>
      <c r="XCL60" s="124"/>
      <c r="XCM60" s="121"/>
      <c r="XCN60" s="125"/>
      <c r="XCO60" s="5"/>
      <c r="XCP60" s="117"/>
      <c r="XCQ60" s="4"/>
      <c r="XCR60" s="126"/>
      <c r="XCS60" s="127"/>
      <c r="XCT60" s="121"/>
      <c r="XCU60" s="5"/>
      <c r="XCV60" s="5"/>
      <c r="XCW60" s="124"/>
      <c r="XCX60" s="121"/>
      <c r="XCY60" s="125"/>
      <c r="XCZ60" s="5"/>
      <c r="XDA60" s="117"/>
      <c r="XDB60" s="4"/>
      <c r="XDC60" s="126"/>
      <c r="XDD60" s="127"/>
      <c r="XDE60" s="121"/>
      <c r="XDF60" s="5"/>
      <c r="XDG60" s="5"/>
      <c r="XDH60" s="124"/>
      <c r="XDI60" s="121"/>
      <c r="XDJ60" s="125"/>
      <c r="XDK60" s="5"/>
      <c r="XDL60" s="117"/>
      <c r="XDM60" s="4"/>
      <c r="XDN60" s="126"/>
      <c r="XDO60" s="127"/>
      <c r="XDP60" s="121"/>
      <c r="XDQ60" s="5"/>
      <c r="XDR60" s="5"/>
      <c r="XDS60" s="124"/>
      <c r="XDT60" s="121"/>
      <c r="XDU60" s="125"/>
      <c r="XDV60" s="5"/>
      <c r="XDW60" s="117"/>
      <c r="XDX60" s="4"/>
      <c r="XDY60" s="126"/>
      <c r="XDZ60" s="127"/>
      <c r="XEA60" s="121"/>
      <c r="XEB60" s="5"/>
      <c r="XEC60" s="5"/>
      <c r="XED60" s="124"/>
      <c r="XEE60" s="121"/>
      <c r="XEF60" s="125"/>
      <c r="XEG60" s="5"/>
      <c r="XEH60" s="117"/>
      <c r="XEI60" s="4"/>
      <c r="XEJ60" s="126"/>
      <c r="XEK60" s="127"/>
      <c r="XEL60" s="121"/>
      <c r="XEM60" s="5"/>
      <c r="XEN60" s="5"/>
      <c r="XEO60" s="124"/>
      <c r="XEP60" s="121"/>
      <c r="XEQ60" s="125"/>
      <c r="XER60" s="5"/>
      <c r="XES60" s="117"/>
      <c r="XET60" s="4"/>
      <c r="XEU60" s="126"/>
      <c r="XEV60" s="127"/>
      <c r="XEW60" s="121"/>
      <c r="XEX60" s="5"/>
      <c r="XEY60" s="5"/>
      <c r="XEZ60" s="124"/>
      <c r="XFA60" s="121"/>
      <c r="XFB60" s="125"/>
      <c r="XFC60" s="5"/>
      <c r="XFD60" s="117"/>
    </row>
    <row r="61" spans="1:16384" s="6" customFormat="1" ht="13.2" thickBot="1" x14ac:dyDescent="0.35">
      <c r="A61" s="107">
        <v>6</v>
      </c>
      <c r="B61" s="108" t="s">
        <v>139</v>
      </c>
      <c r="C61" s="109"/>
      <c r="D61" s="110"/>
      <c r="E61" s="111"/>
      <c r="F61" s="112">
        <f>VLOOKUP($K$3,'Data Input'!$A$6:$EQ$910,COLUMN('Data Input'!EL:EL))</f>
        <v>0</v>
      </c>
      <c r="G61" s="112"/>
      <c r="H61" s="112"/>
      <c r="I61" s="113"/>
      <c r="J61" s="112">
        <f>F61</f>
        <v>0</v>
      </c>
      <c r="K61" s="114"/>
      <c r="L61" s="124"/>
      <c r="M61" s="121"/>
      <c r="N61" s="125"/>
      <c r="O61" s="5"/>
      <c r="P61" s="120"/>
      <c r="Q61" s="4"/>
      <c r="R61" s="126"/>
      <c r="S61" s="127"/>
      <c r="T61" s="121"/>
      <c r="U61" s="121"/>
      <c r="V61" s="5"/>
      <c r="W61" s="124"/>
      <c r="X61" s="121"/>
      <c r="Y61" s="125"/>
      <c r="Z61" s="5"/>
      <c r="AA61" s="117"/>
      <c r="AB61" s="4"/>
      <c r="AC61" s="126"/>
      <c r="AD61" s="127"/>
      <c r="AE61" s="121"/>
      <c r="AF61" s="5"/>
      <c r="AG61" s="5"/>
      <c r="AH61" s="124"/>
      <c r="AI61" s="121"/>
      <c r="AJ61" s="125"/>
      <c r="AK61" s="5"/>
      <c r="AL61" s="117"/>
      <c r="AM61" s="4"/>
      <c r="AN61" s="126"/>
      <c r="AO61" s="127"/>
      <c r="AP61" s="121"/>
      <c r="AQ61" s="5"/>
      <c r="AR61" s="5"/>
      <c r="AS61" s="124"/>
      <c r="AT61" s="121"/>
      <c r="AU61" s="125"/>
      <c r="AV61" s="5"/>
      <c r="AW61" s="117"/>
      <c r="AX61" s="4"/>
      <c r="AY61" s="126"/>
      <c r="AZ61" s="127"/>
      <c r="BA61" s="121"/>
      <c r="BB61" s="5"/>
      <c r="BC61" s="5"/>
      <c r="BD61" s="124"/>
      <c r="BE61" s="121"/>
      <c r="BF61" s="125"/>
      <c r="BG61" s="5"/>
      <c r="BH61" s="117"/>
      <c r="BI61" s="4"/>
      <c r="BJ61" s="126"/>
      <c r="BK61" s="127"/>
      <c r="BL61" s="121"/>
      <c r="BM61" s="5"/>
      <c r="BN61" s="5"/>
      <c r="BO61" s="124"/>
      <c r="BP61" s="121"/>
      <c r="BQ61" s="125"/>
      <c r="BR61" s="5"/>
      <c r="BS61" s="117"/>
      <c r="BT61" s="4"/>
      <c r="BU61" s="126"/>
      <c r="BV61" s="127"/>
      <c r="BW61" s="121"/>
      <c r="BX61" s="5"/>
      <c r="BY61" s="5"/>
      <c r="BZ61" s="124"/>
      <c r="CA61" s="121"/>
      <c r="CB61" s="125"/>
      <c r="CC61" s="5"/>
      <c r="CD61" s="117"/>
      <c r="CE61" s="4"/>
      <c r="CF61" s="126"/>
      <c r="CG61" s="127"/>
      <c r="CH61" s="121"/>
      <c r="CI61" s="5"/>
      <c r="CJ61" s="5"/>
      <c r="CK61" s="124"/>
      <c r="CL61" s="121"/>
      <c r="CM61" s="125"/>
      <c r="CN61" s="5"/>
      <c r="CO61" s="117"/>
      <c r="CP61" s="4"/>
      <c r="CQ61" s="126"/>
      <c r="CR61" s="127"/>
      <c r="CS61" s="121"/>
      <c r="CT61" s="5"/>
      <c r="CU61" s="5"/>
      <c r="CV61" s="124"/>
      <c r="CW61" s="121"/>
      <c r="CX61" s="125"/>
      <c r="CY61" s="5"/>
      <c r="CZ61" s="117"/>
      <c r="DA61" s="4"/>
      <c r="DB61" s="126"/>
      <c r="DC61" s="127"/>
      <c r="DD61" s="121"/>
      <c r="DE61" s="5"/>
      <c r="DF61" s="5"/>
      <c r="DG61" s="124"/>
      <c r="DH61" s="121"/>
      <c r="DI61" s="125"/>
      <c r="DJ61" s="5"/>
      <c r="DK61" s="117"/>
      <c r="DL61" s="4"/>
      <c r="DM61" s="126"/>
      <c r="DN61" s="127"/>
      <c r="DO61" s="121"/>
      <c r="DP61" s="5"/>
      <c r="DQ61" s="5"/>
      <c r="DR61" s="124"/>
      <c r="DS61" s="121"/>
      <c r="DT61" s="125"/>
      <c r="DU61" s="5"/>
      <c r="DV61" s="117"/>
      <c r="DW61" s="4"/>
      <c r="DX61" s="126"/>
      <c r="DY61" s="127"/>
      <c r="DZ61" s="121"/>
      <c r="EA61" s="5"/>
      <c r="EB61" s="5"/>
      <c r="EC61" s="124"/>
      <c r="ED61" s="121"/>
      <c r="EE61" s="125"/>
      <c r="EF61" s="5"/>
      <c r="EG61" s="117"/>
      <c r="EH61" s="4"/>
      <c r="EI61" s="126"/>
      <c r="EJ61" s="127"/>
      <c r="EK61" s="121"/>
      <c r="EL61" s="5"/>
      <c r="EM61" s="5"/>
      <c r="EN61" s="124"/>
      <c r="EO61" s="121"/>
      <c r="EP61" s="125"/>
      <c r="EQ61" s="5"/>
      <c r="ER61" s="117"/>
      <c r="ES61" s="4"/>
      <c r="ET61" s="126"/>
      <c r="EU61" s="127"/>
      <c r="EV61" s="121"/>
      <c r="EW61" s="5"/>
      <c r="EX61" s="5"/>
      <c r="EY61" s="124"/>
      <c r="EZ61" s="121"/>
      <c r="FA61" s="125"/>
      <c r="FB61" s="5"/>
      <c r="FC61" s="117"/>
      <c r="FD61" s="4"/>
      <c r="FE61" s="126"/>
      <c r="FF61" s="127"/>
      <c r="FG61" s="121"/>
      <c r="FH61" s="5"/>
      <c r="FI61" s="5"/>
      <c r="FJ61" s="124"/>
      <c r="FK61" s="121"/>
      <c r="FL61" s="125"/>
      <c r="FM61" s="5"/>
      <c r="FN61" s="117"/>
      <c r="FO61" s="4"/>
      <c r="FP61" s="126"/>
      <c r="FQ61" s="127"/>
      <c r="FR61" s="121"/>
      <c r="FS61" s="5"/>
      <c r="FT61" s="5"/>
      <c r="FU61" s="124"/>
      <c r="FV61" s="121"/>
      <c r="FW61" s="125"/>
      <c r="FX61" s="5"/>
      <c r="FY61" s="117"/>
      <c r="FZ61" s="4"/>
      <c r="GA61" s="126"/>
      <c r="GB61" s="127"/>
      <c r="GC61" s="121"/>
      <c r="GD61" s="5"/>
      <c r="GE61" s="5"/>
      <c r="GF61" s="124"/>
      <c r="GG61" s="121"/>
      <c r="GH61" s="125"/>
      <c r="GI61" s="5"/>
      <c r="GJ61" s="117"/>
      <c r="GK61" s="4"/>
      <c r="GL61" s="126"/>
      <c r="GM61" s="127"/>
      <c r="GN61" s="121"/>
      <c r="GO61" s="5"/>
      <c r="GP61" s="5"/>
      <c r="GQ61" s="124"/>
      <c r="GR61" s="121"/>
      <c r="GS61" s="125"/>
      <c r="GT61" s="5"/>
      <c r="GU61" s="117"/>
      <c r="GV61" s="4"/>
      <c r="GW61" s="126"/>
      <c r="GX61" s="127"/>
      <c r="GY61" s="121"/>
      <c r="GZ61" s="5"/>
      <c r="HA61" s="5"/>
      <c r="HB61" s="124"/>
      <c r="HC61" s="121"/>
      <c r="HD61" s="125"/>
      <c r="HE61" s="5"/>
      <c r="HF61" s="117"/>
      <c r="HG61" s="4"/>
      <c r="HH61" s="126"/>
      <c r="HI61" s="127"/>
      <c r="HJ61" s="121"/>
      <c r="HK61" s="5"/>
      <c r="HL61" s="5"/>
      <c r="HM61" s="124"/>
      <c r="HN61" s="121"/>
      <c r="HO61" s="125"/>
      <c r="HP61" s="5"/>
      <c r="HQ61" s="117"/>
      <c r="HR61" s="4"/>
      <c r="HS61" s="126"/>
      <c r="HT61" s="127"/>
      <c r="HU61" s="121"/>
      <c r="HV61" s="5"/>
      <c r="HW61" s="5"/>
      <c r="HX61" s="124"/>
      <c r="HY61" s="121"/>
      <c r="HZ61" s="125"/>
      <c r="IA61" s="5"/>
      <c r="IB61" s="117"/>
      <c r="IC61" s="4"/>
      <c r="ID61" s="126"/>
      <c r="IE61" s="127"/>
      <c r="IF61" s="121"/>
      <c r="IG61" s="5"/>
      <c r="IH61" s="5"/>
      <c r="II61" s="124"/>
      <c r="IJ61" s="121"/>
      <c r="IK61" s="125"/>
      <c r="IL61" s="5"/>
      <c r="IM61" s="117"/>
      <c r="IN61" s="4"/>
      <c r="IO61" s="126"/>
      <c r="IP61" s="127"/>
      <c r="IQ61" s="121"/>
      <c r="IR61" s="5"/>
      <c r="IS61" s="5"/>
      <c r="IT61" s="124"/>
      <c r="IU61" s="121"/>
      <c r="IV61" s="125"/>
      <c r="IW61" s="5"/>
      <c r="IX61" s="117"/>
      <c r="IY61" s="4"/>
      <c r="IZ61" s="126"/>
      <c r="JA61" s="127"/>
      <c r="JB61" s="121"/>
      <c r="JC61" s="5"/>
      <c r="JD61" s="5"/>
      <c r="JE61" s="124"/>
      <c r="JF61" s="121"/>
      <c r="JG61" s="125"/>
      <c r="JH61" s="5"/>
      <c r="JI61" s="117"/>
      <c r="JJ61" s="4"/>
      <c r="JK61" s="126"/>
      <c r="JL61" s="127"/>
      <c r="JM61" s="121"/>
      <c r="JN61" s="5"/>
      <c r="JO61" s="5"/>
      <c r="JP61" s="124"/>
      <c r="JQ61" s="121"/>
      <c r="JR61" s="125"/>
      <c r="JS61" s="5"/>
      <c r="JT61" s="117"/>
      <c r="JU61" s="4"/>
      <c r="JV61" s="126"/>
      <c r="JW61" s="127"/>
      <c r="JX61" s="121"/>
      <c r="JY61" s="5"/>
      <c r="JZ61" s="5"/>
      <c r="KA61" s="124"/>
      <c r="KB61" s="121"/>
      <c r="KC61" s="125"/>
      <c r="KD61" s="5"/>
      <c r="KE61" s="117"/>
      <c r="KF61" s="4"/>
      <c r="KG61" s="126"/>
      <c r="KH61" s="127"/>
      <c r="KI61" s="121"/>
      <c r="KJ61" s="5"/>
      <c r="KK61" s="5"/>
      <c r="KL61" s="124"/>
      <c r="KM61" s="121"/>
      <c r="KN61" s="125"/>
      <c r="KO61" s="5"/>
      <c r="KP61" s="117"/>
      <c r="KQ61" s="4"/>
      <c r="KR61" s="126"/>
      <c r="KS61" s="127"/>
      <c r="KT61" s="121"/>
      <c r="KU61" s="5"/>
      <c r="KV61" s="5"/>
      <c r="KW61" s="124"/>
      <c r="KX61" s="121"/>
      <c r="KY61" s="125"/>
      <c r="KZ61" s="5"/>
      <c r="LA61" s="117"/>
      <c r="LB61" s="4"/>
      <c r="LC61" s="126"/>
      <c r="LD61" s="127"/>
      <c r="LE61" s="121"/>
      <c r="LF61" s="5"/>
      <c r="LG61" s="5"/>
      <c r="LH61" s="124"/>
      <c r="LI61" s="121"/>
      <c r="LJ61" s="125"/>
      <c r="LK61" s="5"/>
      <c r="LL61" s="117"/>
      <c r="LM61" s="4"/>
      <c r="LN61" s="126"/>
      <c r="LO61" s="127"/>
      <c r="LP61" s="121"/>
      <c r="LQ61" s="5"/>
      <c r="LR61" s="5"/>
      <c r="LS61" s="124"/>
      <c r="LT61" s="121"/>
      <c r="LU61" s="125"/>
      <c r="LV61" s="5"/>
      <c r="LW61" s="117"/>
      <c r="LX61" s="4"/>
      <c r="LY61" s="126"/>
      <c r="LZ61" s="127"/>
      <c r="MA61" s="121"/>
      <c r="MB61" s="5"/>
      <c r="MC61" s="5"/>
      <c r="MD61" s="124"/>
      <c r="ME61" s="121"/>
      <c r="MF61" s="125"/>
      <c r="MG61" s="5"/>
      <c r="MH61" s="117"/>
      <c r="MI61" s="4"/>
      <c r="MJ61" s="126"/>
      <c r="MK61" s="127"/>
      <c r="ML61" s="121"/>
      <c r="MM61" s="5"/>
      <c r="MN61" s="5"/>
      <c r="MO61" s="124"/>
      <c r="MP61" s="121"/>
      <c r="MQ61" s="125"/>
      <c r="MR61" s="5"/>
      <c r="MS61" s="117"/>
      <c r="MT61" s="4"/>
      <c r="MU61" s="126"/>
      <c r="MV61" s="127"/>
      <c r="MW61" s="121"/>
      <c r="MX61" s="5"/>
      <c r="MY61" s="5"/>
      <c r="MZ61" s="124"/>
      <c r="NA61" s="121"/>
      <c r="NB61" s="125"/>
      <c r="NC61" s="5"/>
      <c r="ND61" s="117"/>
      <c r="NE61" s="4"/>
      <c r="NF61" s="126"/>
      <c r="NG61" s="127"/>
      <c r="NH61" s="121"/>
      <c r="NI61" s="5"/>
      <c r="NJ61" s="5"/>
      <c r="NK61" s="124"/>
      <c r="NL61" s="121"/>
      <c r="NM61" s="125"/>
      <c r="NN61" s="5"/>
      <c r="NO61" s="117"/>
      <c r="NP61" s="4"/>
      <c r="NQ61" s="126"/>
      <c r="NR61" s="127"/>
      <c r="NS61" s="121"/>
      <c r="NT61" s="5"/>
      <c r="NU61" s="5"/>
      <c r="NV61" s="124"/>
      <c r="NW61" s="121"/>
      <c r="NX61" s="125"/>
      <c r="NY61" s="5"/>
      <c r="NZ61" s="117"/>
      <c r="OA61" s="4"/>
      <c r="OB61" s="126"/>
      <c r="OC61" s="127"/>
      <c r="OD61" s="121"/>
      <c r="OE61" s="5"/>
      <c r="OF61" s="5"/>
      <c r="OG61" s="124"/>
      <c r="OH61" s="121"/>
      <c r="OI61" s="125"/>
      <c r="OJ61" s="5"/>
      <c r="OK61" s="117"/>
      <c r="OL61" s="4"/>
      <c r="OM61" s="126"/>
      <c r="ON61" s="127"/>
      <c r="OO61" s="121"/>
      <c r="OP61" s="5"/>
      <c r="OQ61" s="5"/>
      <c r="OR61" s="124"/>
      <c r="OS61" s="121"/>
      <c r="OT61" s="125"/>
      <c r="OU61" s="5"/>
      <c r="OV61" s="117"/>
      <c r="OW61" s="4"/>
      <c r="OX61" s="126"/>
      <c r="OY61" s="127"/>
      <c r="OZ61" s="121"/>
      <c r="PA61" s="5"/>
      <c r="PB61" s="5"/>
      <c r="PC61" s="124"/>
      <c r="PD61" s="121"/>
      <c r="PE61" s="125"/>
      <c r="PF61" s="5"/>
      <c r="PG61" s="117"/>
      <c r="PH61" s="4"/>
      <c r="PI61" s="126"/>
      <c r="PJ61" s="127"/>
      <c r="PK61" s="121"/>
      <c r="PL61" s="5"/>
      <c r="PM61" s="5"/>
      <c r="PN61" s="124"/>
      <c r="PO61" s="121"/>
      <c r="PP61" s="125"/>
      <c r="PQ61" s="5"/>
      <c r="PR61" s="117"/>
      <c r="PS61" s="4"/>
      <c r="PT61" s="126"/>
      <c r="PU61" s="127"/>
      <c r="PV61" s="121"/>
      <c r="PW61" s="5"/>
      <c r="PX61" s="5"/>
      <c r="PY61" s="124"/>
      <c r="PZ61" s="121"/>
      <c r="QA61" s="125"/>
      <c r="QB61" s="5"/>
      <c r="QC61" s="117"/>
      <c r="QD61" s="4"/>
      <c r="QE61" s="126"/>
      <c r="QF61" s="127"/>
      <c r="QG61" s="121"/>
      <c r="QH61" s="5"/>
      <c r="QI61" s="5"/>
      <c r="QJ61" s="124"/>
      <c r="QK61" s="121"/>
      <c r="QL61" s="125"/>
      <c r="QM61" s="5"/>
      <c r="QN61" s="117"/>
      <c r="QO61" s="4"/>
      <c r="QP61" s="126"/>
      <c r="QQ61" s="127"/>
      <c r="QR61" s="121"/>
      <c r="QS61" s="5"/>
      <c r="QT61" s="5"/>
      <c r="QU61" s="124"/>
      <c r="QV61" s="121"/>
      <c r="QW61" s="125"/>
      <c r="QX61" s="5"/>
      <c r="QY61" s="117"/>
      <c r="QZ61" s="4"/>
      <c r="RA61" s="126"/>
      <c r="RB61" s="127"/>
      <c r="RC61" s="121"/>
      <c r="RD61" s="5"/>
      <c r="RE61" s="5"/>
      <c r="RF61" s="124"/>
      <c r="RG61" s="121"/>
      <c r="RH61" s="125"/>
      <c r="RI61" s="5"/>
      <c r="RJ61" s="117"/>
      <c r="RK61" s="4"/>
      <c r="RL61" s="126"/>
      <c r="RM61" s="127"/>
      <c r="RN61" s="121"/>
      <c r="RO61" s="5"/>
      <c r="RP61" s="5"/>
      <c r="RQ61" s="124"/>
      <c r="RR61" s="121"/>
      <c r="RS61" s="125"/>
      <c r="RT61" s="5"/>
      <c r="RU61" s="117"/>
      <c r="RV61" s="4"/>
      <c r="RW61" s="126"/>
      <c r="RX61" s="127"/>
      <c r="RY61" s="121"/>
      <c r="RZ61" s="5"/>
      <c r="SA61" s="5"/>
      <c r="SB61" s="124"/>
      <c r="SC61" s="121"/>
      <c r="SD61" s="125"/>
      <c r="SE61" s="5"/>
      <c r="SF61" s="117"/>
      <c r="SG61" s="4"/>
      <c r="SH61" s="126"/>
      <c r="SI61" s="127"/>
      <c r="SJ61" s="121"/>
      <c r="SK61" s="5"/>
      <c r="SL61" s="5"/>
      <c r="SM61" s="124"/>
      <c r="SN61" s="121"/>
      <c r="SO61" s="125"/>
      <c r="SP61" s="5"/>
      <c r="SQ61" s="117"/>
      <c r="SR61" s="4"/>
      <c r="SS61" s="126"/>
      <c r="ST61" s="127"/>
      <c r="SU61" s="121"/>
      <c r="SV61" s="5"/>
      <c r="SW61" s="5"/>
      <c r="SX61" s="124"/>
      <c r="SY61" s="121"/>
      <c r="SZ61" s="125"/>
      <c r="TA61" s="5"/>
      <c r="TB61" s="117"/>
      <c r="TC61" s="4"/>
      <c r="TD61" s="126"/>
      <c r="TE61" s="127"/>
      <c r="TF61" s="121"/>
      <c r="TG61" s="5"/>
      <c r="TH61" s="5"/>
      <c r="TI61" s="124"/>
      <c r="TJ61" s="121"/>
      <c r="TK61" s="125"/>
      <c r="TL61" s="5"/>
      <c r="TM61" s="117"/>
      <c r="TN61" s="4"/>
      <c r="TO61" s="126"/>
      <c r="TP61" s="127"/>
      <c r="TQ61" s="121"/>
      <c r="TR61" s="5"/>
      <c r="TS61" s="5"/>
      <c r="TT61" s="124"/>
      <c r="TU61" s="121"/>
      <c r="TV61" s="125"/>
      <c r="TW61" s="5"/>
      <c r="TX61" s="117"/>
      <c r="TY61" s="4"/>
      <c r="TZ61" s="126"/>
      <c r="UA61" s="127"/>
      <c r="UB61" s="121"/>
      <c r="UC61" s="5"/>
      <c r="UD61" s="5"/>
      <c r="UE61" s="124"/>
      <c r="UF61" s="121"/>
      <c r="UG61" s="125"/>
      <c r="UH61" s="5"/>
      <c r="UI61" s="117"/>
      <c r="UJ61" s="4"/>
      <c r="UK61" s="126"/>
      <c r="UL61" s="127"/>
      <c r="UM61" s="121"/>
      <c r="UN61" s="5"/>
      <c r="UO61" s="5"/>
      <c r="UP61" s="124"/>
      <c r="UQ61" s="121"/>
      <c r="UR61" s="125"/>
      <c r="US61" s="5"/>
      <c r="UT61" s="117"/>
      <c r="UU61" s="4"/>
      <c r="UV61" s="126"/>
      <c r="UW61" s="127"/>
      <c r="UX61" s="121"/>
      <c r="UY61" s="5"/>
      <c r="UZ61" s="5"/>
      <c r="VA61" s="124"/>
      <c r="VB61" s="121"/>
      <c r="VC61" s="125"/>
      <c r="VD61" s="5"/>
      <c r="VE61" s="117"/>
      <c r="VF61" s="4"/>
      <c r="VG61" s="126"/>
      <c r="VH61" s="127"/>
      <c r="VI61" s="121"/>
      <c r="VJ61" s="5"/>
      <c r="VK61" s="5"/>
      <c r="VL61" s="124"/>
      <c r="VM61" s="121"/>
      <c r="VN61" s="125"/>
      <c r="VO61" s="5"/>
      <c r="VP61" s="117"/>
      <c r="VQ61" s="4"/>
      <c r="VR61" s="126"/>
      <c r="VS61" s="127"/>
      <c r="VT61" s="121"/>
      <c r="VU61" s="5"/>
      <c r="VV61" s="5"/>
      <c r="VW61" s="124"/>
      <c r="VX61" s="121"/>
      <c r="VY61" s="125"/>
      <c r="VZ61" s="5"/>
      <c r="WA61" s="117"/>
      <c r="WB61" s="4"/>
      <c r="WC61" s="126"/>
      <c r="WD61" s="127"/>
      <c r="WE61" s="121"/>
      <c r="WF61" s="5"/>
      <c r="WG61" s="5"/>
      <c r="WH61" s="124"/>
      <c r="WI61" s="121"/>
      <c r="WJ61" s="125"/>
      <c r="WK61" s="5"/>
      <c r="WL61" s="117"/>
      <c r="WM61" s="4"/>
      <c r="WN61" s="126"/>
      <c r="WO61" s="127"/>
      <c r="WP61" s="121"/>
      <c r="WQ61" s="5"/>
      <c r="WR61" s="5"/>
      <c r="WS61" s="124"/>
      <c r="WT61" s="121"/>
      <c r="WU61" s="125"/>
      <c r="WV61" s="5"/>
      <c r="WW61" s="117"/>
      <c r="WX61" s="4"/>
      <c r="WY61" s="126"/>
      <c r="WZ61" s="127"/>
      <c r="XA61" s="121"/>
      <c r="XB61" s="5"/>
      <c r="XC61" s="5"/>
      <c r="XD61" s="124"/>
      <c r="XE61" s="121"/>
      <c r="XF61" s="125"/>
      <c r="XG61" s="5"/>
      <c r="XH61" s="117"/>
      <c r="XI61" s="4"/>
      <c r="XJ61" s="126"/>
      <c r="XK61" s="127"/>
      <c r="XL61" s="121"/>
      <c r="XM61" s="5"/>
      <c r="XN61" s="5"/>
      <c r="XO61" s="124"/>
      <c r="XP61" s="121"/>
      <c r="XQ61" s="125"/>
      <c r="XR61" s="5"/>
      <c r="XS61" s="117"/>
      <c r="XT61" s="4"/>
      <c r="XU61" s="126"/>
      <c r="XV61" s="127"/>
      <c r="XW61" s="121"/>
      <c r="XX61" s="5"/>
      <c r="XY61" s="5"/>
      <c r="XZ61" s="124"/>
      <c r="YA61" s="121"/>
      <c r="YB61" s="125"/>
      <c r="YC61" s="5"/>
      <c r="YD61" s="117"/>
      <c r="YE61" s="4"/>
      <c r="YF61" s="126"/>
      <c r="YG61" s="127"/>
      <c r="YH61" s="121"/>
      <c r="YI61" s="5"/>
      <c r="YJ61" s="5"/>
      <c r="YK61" s="124"/>
      <c r="YL61" s="121"/>
      <c r="YM61" s="125"/>
      <c r="YN61" s="5"/>
      <c r="YO61" s="117"/>
      <c r="YP61" s="4"/>
      <c r="YQ61" s="126"/>
      <c r="YR61" s="127"/>
      <c r="YS61" s="121"/>
      <c r="YT61" s="5"/>
      <c r="YU61" s="5"/>
      <c r="YV61" s="124"/>
      <c r="YW61" s="121"/>
      <c r="YX61" s="125"/>
      <c r="YY61" s="5"/>
      <c r="YZ61" s="117"/>
      <c r="ZA61" s="4"/>
      <c r="ZB61" s="126"/>
      <c r="ZC61" s="127"/>
      <c r="ZD61" s="121"/>
      <c r="ZE61" s="5"/>
      <c r="ZF61" s="5"/>
      <c r="ZG61" s="124"/>
      <c r="ZH61" s="121"/>
      <c r="ZI61" s="125"/>
      <c r="ZJ61" s="5"/>
      <c r="ZK61" s="117"/>
      <c r="ZL61" s="4"/>
      <c r="ZM61" s="126"/>
      <c r="ZN61" s="127"/>
      <c r="ZO61" s="121"/>
      <c r="ZP61" s="5"/>
      <c r="ZQ61" s="5"/>
      <c r="ZR61" s="124"/>
      <c r="ZS61" s="121"/>
      <c r="ZT61" s="125"/>
      <c r="ZU61" s="5"/>
      <c r="ZV61" s="117"/>
      <c r="ZW61" s="4"/>
      <c r="ZX61" s="126"/>
      <c r="ZY61" s="127"/>
      <c r="ZZ61" s="121"/>
      <c r="AAA61" s="5"/>
      <c r="AAB61" s="5"/>
      <c r="AAC61" s="124"/>
      <c r="AAD61" s="121"/>
      <c r="AAE61" s="125"/>
      <c r="AAF61" s="5"/>
      <c r="AAG61" s="117"/>
      <c r="AAH61" s="4"/>
      <c r="AAI61" s="126"/>
      <c r="AAJ61" s="127"/>
      <c r="AAK61" s="121"/>
      <c r="AAL61" s="5"/>
      <c r="AAM61" s="5"/>
      <c r="AAN61" s="124"/>
      <c r="AAO61" s="121"/>
      <c r="AAP61" s="125"/>
      <c r="AAQ61" s="5"/>
      <c r="AAR61" s="117"/>
      <c r="AAS61" s="4"/>
      <c r="AAT61" s="126"/>
      <c r="AAU61" s="127"/>
      <c r="AAV61" s="121"/>
      <c r="AAW61" s="5"/>
      <c r="AAX61" s="5"/>
      <c r="AAY61" s="124"/>
      <c r="AAZ61" s="121"/>
      <c r="ABA61" s="125"/>
      <c r="ABB61" s="5"/>
      <c r="ABC61" s="117"/>
      <c r="ABD61" s="4"/>
      <c r="ABE61" s="126"/>
      <c r="ABF61" s="127"/>
      <c r="ABG61" s="121"/>
      <c r="ABH61" s="5"/>
      <c r="ABI61" s="5"/>
      <c r="ABJ61" s="124"/>
      <c r="ABK61" s="121"/>
      <c r="ABL61" s="125"/>
      <c r="ABM61" s="5"/>
      <c r="ABN61" s="117"/>
      <c r="ABO61" s="4"/>
      <c r="ABP61" s="126"/>
      <c r="ABQ61" s="127"/>
      <c r="ABR61" s="121"/>
      <c r="ABS61" s="5"/>
      <c r="ABT61" s="5"/>
      <c r="ABU61" s="124"/>
      <c r="ABV61" s="121"/>
      <c r="ABW61" s="125"/>
      <c r="ABX61" s="5"/>
      <c r="ABY61" s="117"/>
      <c r="ABZ61" s="4"/>
      <c r="ACA61" s="126"/>
      <c r="ACB61" s="127"/>
      <c r="ACC61" s="121"/>
      <c r="ACD61" s="5"/>
      <c r="ACE61" s="5"/>
      <c r="ACF61" s="124"/>
      <c r="ACG61" s="121"/>
      <c r="ACH61" s="125"/>
      <c r="ACI61" s="5"/>
      <c r="ACJ61" s="117"/>
      <c r="ACK61" s="4"/>
      <c r="ACL61" s="126"/>
      <c r="ACM61" s="127"/>
      <c r="ACN61" s="121"/>
      <c r="ACO61" s="5"/>
      <c r="ACP61" s="5"/>
      <c r="ACQ61" s="124"/>
      <c r="ACR61" s="121"/>
      <c r="ACS61" s="125"/>
      <c r="ACT61" s="5"/>
      <c r="ACU61" s="117"/>
      <c r="ACV61" s="4"/>
      <c r="ACW61" s="126"/>
      <c r="ACX61" s="127"/>
      <c r="ACY61" s="121"/>
      <c r="ACZ61" s="5"/>
      <c r="ADA61" s="5"/>
      <c r="ADB61" s="124"/>
      <c r="ADC61" s="121"/>
      <c r="ADD61" s="125"/>
      <c r="ADE61" s="5"/>
      <c r="ADF61" s="117"/>
      <c r="ADG61" s="4"/>
      <c r="ADH61" s="126"/>
      <c r="ADI61" s="127"/>
      <c r="ADJ61" s="121"/>
      <c r="ADK61" s="5"/>
      <c r="ADL61" s="5"/>
      <c r="ADM61" s="124"/>
      <c r="ADN61" s="121"/>
      <c r="ADO61" s="125"/>
      <c r="ADP61" s="5"/>
      <c r="ADQ61" s="117"/>
      <c r="ADR61" s="4"/>
      <c r="ADS61" s="126"/>
      <c r="ADT61" s="127"/>
      <c r="ADU61" s="121"/>
      <c r="ADV61" s="5"/>
      <c r="ADW61" s="5"/>
      <c r="ADX61" s="124"/>
      <c r="ADY61" s="121"/>
      <c r="ADZ61" s="125"/>
      <c r="AEA61" s="5"/>
      <c r="AEB61" s="117"/>
      <c r="AEC61" s="4"/>
      <c r="AED61" s="126"/>
      <c r="AEE61" s="127"/>
      <c r="AEF61" s="121"/>
      <c r="AEG61" s="5"/>
      <c r="AEH61" s="5"/>
      <c r="AEI61" s="124"/>
      <c r="AEJ61" s="121"/>
      <c r="AEK61" s="125"/>
      <c r="AEL61" s="5"/>
      <c r="AEM61" s="117"/>
      <c r="AEN61" s="4"/>
      <c r="AEO61" s="126"/>
      <c r="AEP61" s="127"/>
      <c r="AEQ61" s="121"/>
      <c r="AER61" s="5"/>
      <c r="AES61" s="5"/>
      <c r="AET61" s="124"/>
      <c r="AEU61" s="121"/>
      <c r="AEV61" s="125"/>
      <c r="AEW61" s="5"/>
      <c r="AEX61" s="117"/>
      <c r="AEY61" s="4"/>
      <c r="AEZ61" s="126"/>
      <c r="AFA61" s="127"/>
      <c r="AFB61" s="121"/>
      <c r="AFC61" s="5"/>
      <c r="AFD61" s="5"/>
      <c r="AFE61" s="124"/>
      <c r="AFF61" s="121"/>
      <c r="AFG61" s="125"/>
      <c r="AFH61" s="5"/>
      <c r="AFI61" s="117"/>
      <c r="AFJ61" s="4"/>
      <c r="AFK61" s="126"/>
      <c r="AFL61" s="127"/>
      <c r="AFM61" s="121"/>
      <c r="AFN61" s="5"/>
      <c r="AFO61" s="5"/>
      <c r="AFP61" s="124"/>
      <c r="AFQ61" s="121"/>
      <c r="AFR61" s="125"/>
      <c r="AFS61" s="5"/>
      <c r="AFT61" s="117"/>
      <c r="AFU61" s="4"/>
      <c r="AFV61" s="126"/>
      <c r="AFW61" s="127"/>
      <c r="AFX61" s="121"/>
      <c r="AFY61" s="5"/>
      <c r="AFZ61" s="5"/>
      <c r="AGA61" s="124"/>
      <c r="AGB61" s="121"/>
      <c r="AGC61" s="125"/>
      <c r="AGD61" s="5"/>
      <c r="AGE61" s="117"/>
      <c r="AGF61" s="4"/>
      <c r="AGG61" s="126"/>
      <c r="AGH61" s="127"/>
      <c r="AGI61" s="121"/>
      <c r="AGJ61" s="5"/>
      <c r="AGK61" s="5"/>
      <c r="AGL61" s="124"/>
      <c r="AGM61" s="121"/>
      <c r="AGN61" s="125"/>
      <c r="AGO61" s="5"/>
      <c r="AGP61" s="117"/>
      <c r="AGQ61" s="4"/>
      <c r="AGR61" s="126"/>
      <c r="AGS61" s="127"/>
      <c r="AGT61" s="121"/>
      <c r="AGU61" s="5"/>
      <c r="AGV61" s="5"/>
      <c r="AGW61" s="124"/>
      <c r="AGX61" s="121"/>
      <c r="AGY61" s="125"/>
      <c r="AGZ61" s="5"/>
      <c r="AHA61" s="117"/>
      <c r="AHB61" s="4"/>
      <c r="AHC61" s="126"/>
      <c r="AHD61" s="127"/>
      <c r="AHE61" s="121"/>
      <c r="AHF61" s="5"/>
      <c r="AHG61" s="5"/>
      <c r="AHH61" s="124"/>
      <c r="AHI61" s="121"/>
      <c r="AHJ61" s="125"/>
      <c r="AHK61" s="5"/>
      <c r="AHL61" s="117"/>
      <c r="AHM61" s="4"/>
      <c r="AHN61" s="126"/>
      <c r="AHO61" s="127"/>
      <c r="AHP61" s="121"/>
      <c r="AHQ61" s="5"/>
      <c r="AHR61" s="5"/>
      <c r="AHS61" s="124"/>
      <c r="AHT61" s="121"/>
      <c r="AHU61" s="125"/>
      <c r="AHV61" s="5"/>
      <c r="AHW61" s="117"/>
      <c r="AHX61" s="4"/>
      <c r="AHY61" s="126"/>
      <c r="AHZ61" s="127"/>
      <c r="AIA61" s="121"/>
      <c r="AIB61" s="5"/>
      <c r="AIC61" s="5"/>
      <c r="AID61" s="124"/>
      <c r="AIE61" s="121"/>
      <c r="AIF61" s="125"/>
      <c r="AIG61" s="5"/>
      <c r="AIH61" s="117"/>
      <c r="AII61" s="4"/>
      <c r="AIJ61" s="126"/>
      <c r="AIK61" s="127"/>
      <c r="AIL61" s="121"/>
      <c r="AIM61" s="5"/>
      <c r="AIN61" s="5"/>
      <c r="AIO61" s="124"/>
      <c r="AIP61" s="121"/>
      <c r="AIQ61" s="125"/>
      <c r="AIR61" s="5"/>
      <c r="AIS61" s="117"/>
      <c r="AIT61" s="4"/>
      <c r="AIU61" s="126"/>
      <c r="AIV61" s="127"/>
      <c r="AIW61" s="121"/>
      <c r="AIX61" s="5"/>
      <c r="AIY61" s="5"/>
      <c r="AIZ61" s="124"/>
      <c r="AJA61" s="121"/>
      <c r="AJB61" s="125"/>
      <c r="AJC61" s="5"/>
      <c r="AJD61" s="117"/>
      <c r="AJE61" s="4"/>
      <c r="AJF61" s="126"/>
      <c r="AJG61" s="127"/>
      <c r="AJH61" s="121"/>
      <c r="AJI61" s="5"/>
      <c r="AJJ61" s="5"/>
      <c r="AJK61" s="124"/>
      <c r="AJL61" s="121"/>
      <c r="AJM61" s="125"/>
      <c r="AJN61" s="5"/>
      <c r="AJO61" s="117"/>
      <c r="AJP61" s="4"/>
      <c r="AJQ61" s="126"/>
      <c r="AJR61" s="127"/>
      <c r="AJS61" s="121"/>
      <c r="AJT61" s="5"/>
      <c r="AJU61" s="5"/>
      <c r="AJV61" s="124"/>
      <c r="AJW61" s="121"/>
      <c r="AJX61" s="125"/>
      <c r="AJY61" s="5"/>
      <c r="AJZ61" s="117"/>
      <c r="AKA61" s="4"/>
      <c r="AKB61" s="126"/>
      <c r="AKC61" s="127"/>
      <c r="AKD61" s="121"/>
      <c r="AKE61" s="5"/>
      <c r="AKF61" s="5"/>
      <c r="AKG61" s="124"/>
      <c r="AKH61" s="121"/>
      <c r="AKI61" s="125"/>
      <c r="AKJ61" s="5"/>
      <c r="AKK61" s="117"/>
      <c r="AKL61" s="4"/>
      <c r="AKM61" s="126"/>
      <c r="AKN61" s="127"/>
      <c r="AKO61" s="121"/>
      <c r="AKP61" s="5"/>
      <c r="AKQ61" s="5"/>
      <c r="AKR61" s="124"/>
      <c r="AKS61" s="121"/>
      <c r="AKT61" s="125"/>
      <c r="AKU61" s="5"/>
      <c r="AKV61" s="117"/>
      <c r="AKW61" s="4"/>
      <c r="AKX61" s="126"/>
      <c r="AKY61" s="127"/>
      <c r="AKZ61" s="121"/>
      <c r="ALA61" s="5"/>
      <c r="ALB61" s="5"/>
      <c r="ALC61" s="124"/>
      <c r="ALD61" s="121"/>
      <c r="ALE61" s="125"/>
      <c r="ALF61" s="5"/>
      <c r="ALG61" s="117"/>
      <c r="ALH61" s="4"/>
      <c r="ALI61" s="126"/>
      <c r="ALJ61" s="127"/>
      <c r="ALK61" s="121"/>
      <c r="ALL61" s="5"/>
      <c r="ALM61" s="5"/>
      <c r="ALN61" s="124"/>
      <c r="ALO61" s="121"/>
      <c r="ALP61" s="125"/>
      <c r="ALQ61" s="5"/>
      <c r="ALR61" s="117"/>
      <c r="ALS61" s="4"/>
      <c r="ALT61" s="126"/>
      <c r="ALU61" s="127"/>
      <c r="ALV61" s="121"/>
      <c r="ALW61" s="5"/>
      <c r="ALX61" s="5"/>
      <c r="ALY61" s="124"/>
      <c r="ALZ61" s="121"/>
      <c r="AMA61" s="125"/>
      <c r="AMB61" s="5"/>
      <c r="AMC61" s="117"/>
      <c r="AMD61" s="4"/>
      <c r="AME61" s="126"/>
      <c r="AMF61" s="127"/>
      <c r="AMG61" s="121"/>
      <c r="AMH61" s="5"/>
      <c r="AMI61" s="5"/>
      <c r="AMJ61" s="124"/>
      <c r="AMK61" s="121"/>
      <c r="AML61" s="125"/>
      <c r="AMM61" s="5"/>
      <c r="AMN61" s="117"/>
      <c r="AMO61" s="4"/>
      <c r="AMP61" s="126"/>
      <c r="AMQ61" s="127"/>
      <c r="AMR61" s="121"/>
      <c r="AMS61" s="5"/>
      <c r="AMT61" s="5"/>
      <c r="AMU61" s="124"/>
      <c r="AMV61" s="121"/>
      <c r="AMW61" s="125"/>
      <c r="AMX61" s="5"/>
      <c r="AMY61" s="117"/>
      <c r="AMZ61" s="4"/>
      <c r="ANA61" s="126"/>
      <c r="ANB61" s="127"/>
      <c r="ANC61" s="121"/>
      <c r="AND61" s="5"/>
      <c r="ANE61" s="5"/>
      <c r="ANF61" s="124"/>
      <c r="ANG61" s="121"/>
      <c r="ANH61" s="125"/>
      <c r="ANI61" s="5"/>
      <c r="ANJ61" s="117"/>
      <c r="ANK61" s="4"/>
      <c r="ANL61" s="126"/>
      <c r="ANM61" s="127"/>
      <c r="ANN61" s="121"/>
      <c r="ANO61" s="5"/>
      <c r="ANP61" s="5"/>
      <c r="ANQ61" s="124"/>
      <c r="ANR61" s="121"/>
      <c r="ANS61" s="125"/>
      <c r="ANT61" s="5"/>
      <c r="ANU61" s="117"/>
      <c r="ANV61" s="4"/>
      <c r="ANW61" s="126"/>
      <c r="ANX61" s="127"/>
      <c r="ANY61" s="121"/>
      <c r="ANZ61" s="5"/>
      <c r="AOA61" s="5"/>
      <c r="AOB61" s="124"/>
      <c r="AOC61" s="121"/>
      <c r="AOD61" s="125"/>
      <c r="AOE61" s="5"/>
      <c r="AOF61" s="117"/>
      <c r="AOG61" s="4"/>
      <c r="AOH61" s="126"/>
      <c r="AOI61" s="127"/>
      <c r="AOJ61" s="121"/>
      <c r="AOK61" s="5"/>
      <c r="AOL61" s="5"/>
      <c r="AOM61" s="124"/>
      <c r="AON61" s="121"/>
      <c r="AOO61" s="125"/>
      <c r="AOP61" s="5"/>
      <c r="AOQ61" s="117"/>
      <c r="AOR61" s="4"/>
      <c r="AOS61" s="126"/>
      <c r="AOT61" s="127"/>
      <c r="AOU61" s="121"/>
      <c r="AOV61" s="5"/>
      <c r="AOW61" s="5"/>
      <c r="AOX61" s="124"/>
      <c r="AOY61" s="121"/>
      <c r="AOZ61" s="125"/>
      <c r="APA61" s="5"/>
      <c r="APB61" s="117"/>
      <c r="APC61" s="4"/>
      <c r="APD61" s="126"/>
      <c r="APE61" s="127"/>
      <c r="APF61" s="121"/>
      <c r="APG61" s="5"/>
      <c r="APH61" s="5"/>
      <c r="API61" s="124"/>
      <c r="APJ61" s="121"/>
      <c r="APK61" s="125"/>
      <c r="APL61" s="5"/>
      <c r="APM61" s="117"/>
      <c r="APN61" s="4"/>
      <c r="APO61" s="126"/>
      <c r="APP61" s="127"/>
      <c r="APQ61" s="121"/>
      <c r="APR61" s="5"/>
      <c r="APS61" s="5"/>
      <c r="APT61" s="124"/>
      <c r="APU61" s="121"/>
      <c r="APV61" s="125"/>
      <c r="APW61" s="5"/>
      <c r="APX61" s="117"/>
      <c r="APY61" s="4"/>
      <c r="APZ61" s="126"/>
      <c r="AQA61" s="127"/>
      <c r="AQB61" s="121"/>
      <c r="AQC61" s="5"/>
      <c r="AQD61" s="5"/>
      <c r="AQE61" s="124"/>
      <c r="AQF61" s="121"/>
      <c r="AQG61" s="125"/>
      <c r="AQH61" s="5"/>
      <c r="AQI61" s="117"/>
      <c r="AQJ61" s="4"/>
      <c r="AQK61" s="126"/>
      <c r="AQL61" s="127"/>
      <c r="AQM61" s="121"/>
      <c r="AQN61" s="5"/>
      <c r="AQO61" s="5"/>
      <c r="AQP61" s="124"/>
      <c r="AQQ61" s="121"/>
      <c r="AQR61" s="125"/>
      <c r="AQS61" s="5"/>
      <c r="AQT61" s="117"/>
      <c r="AQU61" s="4"/>
      <c r="AQV61" s="126"/>
      <c r="AQW61" s="127"/>
      <c r="AQX61" s="121"/>
      <c r="AQY61" s="5"/>
      <c r="AQZ61" s="5"/>
      <c r="ARA61" s="124"/>
      <c r="ARB61" s="121"/>
      <c r="ARC61" s="125"/>
      <c r="ARD61" s="5"/>
      <c r="ARE61" s="117"/>
      <c r="ARF61" s="4"/>
      <c r="ARG61" s="126"/>
      <c r="ARH61" s="127"/>
      <c r="ARI61" s="121"/>
      <c r="ARJ61" s="5"/>
      <c r="ARK61" s="5"/>
      <c r="ARL61" s="124"/>
      <c r="ARM61" s="121"/>
      <c r="ARN61" s="125"/>
      <c r="ARO61" s="5"/>
      <c r="ARP61" s="117"/>
      <c r="ARQ61" s="4"/>
      <c r="ARR61" s="126"/>
      <c r="ARS61" s="127"/>
      <c r="ART61" s="121"/>
      <c r="ARU61" s="5"/>
      <c r="ARV61" s="5"/>
      <c r="ARW61" s="124"/>
      <c r="ARX61" s="121"/>
      <c r="ARY61" s="125"/>
      <c r="ARZ61" s="5"/>
      <c r="ASA61" s="117"/>
      <c r="ASB61" s="4"/>
      <c r="ASC61" s="126"/>
      <c r="ASD61" s="127"/>
      <c r="ASE61" s="121"/>
      <c r="ASF61" s="5"/>
      <c r="ASG61" s="5"/>
      <c r="ASH61" s="124"/>
      <c r="ASI61" s="121"/>
      <c r="ASJ61" s="125"/>
      <c r="ASK61" s="5"/>
      <c r="ASL61" s="117"/>
      <c r="ASM61" s="4"/>
      <c r="ASN61" s="126"/>
      <c r="ASO61" s="127"/>
      <c r="ASP61" s="121"/>
      <c r="ASQ61" s="5"/>
      <c r="ASR61" s="5"/>
      <c r="ASS61" s="124"/>
      <c r="AST61" s="121"/>
      <c r="ASU61" s="125"/>
      <c r="ASV61" s="5"/>
      <c r="ASW61" s="117"/>
      <c r="ASX61" s="4"/>
      <c r="ASY61" s="126"/>
      <c r="ASZ61" s="127"/>
      <c r="ATA61" s="121"/>
      <c r="ATB61" s="5"/>
      <c r="ATC61" s="5"/>
      <c r="ATD61" s="124"/>
      <c r="ATE61" s="121"/>
      <c r="ATF61" s="125"/>
      <c r="ATG61" s="5"/>
      <c r="ATH61" s="117"/>
      <c r="ATI61" s="4"/>
      <c r="ATJ61" s="126"/>
      <c r="ATK61" s="127"/>
      <c r="ATL61" s="121"/>
      <c r="ATM61" s="5"/>
      <c r="ATN61" s="5"/>
      <c r="ATO61" s="124"/>
      <c r="ATP61" s="121"/>
      <c r="ATQ61" s="125"/>
      <c r="ATR61" s="5"/>
      <c r="ATS61" s="117"/>
      <c r="ATT61" s="4"/>
      <c r="ATU61" s="126"/>
      <c r="ATV61" s="127"/>
      <c r="ATW61" s="121"/>
      <c r="ATX61" s="5"/>
      <c r="ATY61" s="5"/>
      <c r="ATZ61" s="124"/>
      <c r="AUA61" s="121"/>
      <c r="AUB61" s="125"/>
      <c r="AUC61" s="5"/>
      <c r="AUD61" s="117"/>
      <c r="AUE61" s="4"/>
      <c r="AUF61" s="126"/>
      <c r="AUG61" s="127"/>
      <c r="AUH61" s="121"/>
      <c r="AUI61" s="5"/>
      <c r="AUJ61" s="5"/>
      <c r="AUK61" s="124"/>
      <c r="AUL61" s="121"/>
      <c r="AUM61" s="125"/>
      <c r="AUN61" s="5"/>
      <c r="AUO61" s="117"/>
      <c r="AUP61" s="4"/>
      <c r="AUQ61" s="126"/>
      <c r="AUR61" s="127"/>
      <c r="AUS61" s="121"/>
      <c r="AUT61" s="5"/>
      <c r="AUU61" s="5"/>
      <c r="AUV61" s="124"/>
      <c r="AUW61" s="121"/>
      <c r="AUX61" s="125"/>
      <c r="AUY61" s="5"/>
      <c r="AUZ61" s="117"/>
      <c r="AVA61" s="4"/>
      <c r="AVB61" s="126"/>
      <c r="AVC61" s="127"/>
      <c r="AVD61" s="121"/>
      <c r="AVE61" s="5"/>
      <c r="AVF61" s="5"/>
      <c r="AVG61" s="124"/>
      <c r="AVH61" s="121"/>
      <c r="AVI61" s="125"/>
      <c r="AVJ61" s="5"/>
      <c r="AVK61" s="117"/>
      <c r="AVL61" s="4"/>
      <c r="AVM61" s="126"/>
      <c r="AVN61" s="127"/>
      <c r="AVO61" s="121"/>
      <c r="AVP61" s="5"/>
      <c r="AVQ61" s="5"/>
      <c r="AVR61" s="124"/>
      <c r="AVS61" s="121"/>
      <c r="AVT61" s="125"/>
      <c r="AVU61" s="5"/>
      <c r="AVV61" s="117"/>
      <c r="AVW61" s="4"/>
      <c r="AVX61" s="126"/>
      <c r="AVY61" s="127"/>
      <c r="AVZ61" s="121"/>
      <c r="AWA61" s="5"/>
      <c r="AWB61" s="5"/>
      <c r="AWC61" s="124"/>
      <c r="AWD61" s="121"/>
      <c r="AWE61" s="125"/>
      <c r="AWF61" s="5"/>
      <c r="AWG61" s="117"/>
      <c r="AWH61" s="4"/>
      <c r="AWI61" s="126"/>
      <c r="AWJ61" s="127"/>
      <c r="AWK61" s="121"/>
      <c r="AWL61" s="5"/>
      <c r="AWM61" s="5"/>
      <c r="AWN61" s="124"/>
      <c r="AWO61" s="121"/>
      <c r="AWP61" s="125"/>
      <c r="AWQ61" s="5"/>
      <c r="AWR61" s="117"/>
      <c r="AWS61" s="4"/>
      <c r="AWT61" s="126"/>
      <c r="AWU61" s="127"/>
      <c r="AWV61" s="121"/>
      <c r="AWW61" s="5"/>
      <c r="AWX61" s="5"/>
      <c r="AWY61" s="124"/>
      <c r="AWZ61" s="121"/>
      <c r="AXA61" s="125"/>
      <c r="AXB61" s="5"/>
      <c r="AXC61" s="117"/>
      <c r="AXD61" s="4"/>
      <c r="AXE61" s="126"/>
      <c r="AXF61" s="127"/>
      <c r="AXG61" s="121"/>
      <c r="AXH61" s="5"/>
      <c r="AXI61" s="5"/>
      <c r="AXJ61" s="124"/>
      <c r="AXK61" s="121"/>
      <c r="AXL61" s="125"/>
      <c r="AXM61" s="5"/>
      <c r="AXN61" s="117"/>
      <c r="AXO61" s="4"/>
      <c r="AXP61" s="126"/>
      <c r="AXQ61" s="127"/>
      <c r="AXR61" s="121"/>
      <c r="AXS61" s="5"/>
      <c r="AXT61" s="5"/>
      <c r="AXU61" s="124"/>
      <c r="AXV61" s="121"/>
      <c r="AXW61" s="125"/>
      <c r="AXX61" s="5"/>
      <c r="AXY61" s="117"/>
      <c r="AXZ61" s="4"/>
      <c r="AYA61" s="126"/>
      <c r="AYB61" s="127"/>
      <c r="AYC61" s="121"/>
      <c r="AYD61" s="5"/>
      <c r="AYE61" s="5"/>
      <c r="AYF61" s="124"/>
      <c r="AYG61" s="121"/>
      <c r="AYH61" s="125"/>
      <c r="AYI61" s="5"/>
      <c r="AYJ61" s="117"/>
      <c r="AYK61" s="4"/>
      <c r="AYL61" s="126"/>
      <c r="AYM61" s="127"/>
      <c r="AYN61" s="121"/>
      <c r="AYO61" s="5"/>
      <c r="AYP61" s="5"/>
      <c r="AYQ61" s="124"/>
      <c r="AYR61" s="121"/>
      <c r="AYS61" s="125"/>
      <c r="AYT61" s="5"/>
      <c r="AYU61" s="117"/>
      <c r="AYV61" s="4"/>
      <c r="AYW61" s="126"/>
      <c r="AYX61" s="127"/>
      <c r="AYY61" s="121"/>
      <c r="AYZ61" s="5"/>
      <c r="AZA61" s="5"/>
      <c r="AZB61" s="124"/>
      <c r="AZC61" s="121"/>
      <c r="AZD61" s="125"/>
      <c r="AZE61" s="5"/>
      <c r="AZF61" s="117"/>
      <c r="AZG61" s="4"/>
      <c r="AZH61" s="126"/>
      <c r="AZI61" s="127"/>
      <c r="AZJ61" s="121"/>
      <c r="AZK61" s="5"/>
      <c r="AZL61" s="5"/>
      <c r="AZM61" s="124"/>
      <c r="AZN61" s="121"/>
      <c r="AZO61" s="125"/>
      <c r="AZP61" s="5"/>
      <c r="AZQ61" s="117"/>
      <c r="AZR61" s="4"/>
      <c r="AZS61" s="126"/>
      <c r="AZT61" s="127"/>
      <c r="AZU61" s="121"/>
      <c r="AZV61" s="5"/>
      <c r="AZW61" s="5"/>
      <c r="AZX61" s="124"/>
      <c r="AZY61" s="121"/>
      <c r="AZZ61" s="125"/>
      <c r="BAA61" s="5"/>
      <c r="BAB61" s="117"/>
      <c r="BAC61" s="4"/>
      <c r="BAD61" s="126"/>
      <c r="BAE61" s="127"/>
      <c r="BAF61" s="121"/>
      <c r="BAG61" s="5"/>
      <c r="BAH61" s="5"/>
      <c r="BAI61" s="124"/>
      <c r="BAJ61" s="121"/>
      <c r="BAK61" s="125"/>
      <c r="BAL61" s="5"/>
      <c r="BAM61" s="117"/>
      <c r="BAN61" s="4"/>
      <c r="BAO61" s="126"/>
      <c r="BAP61" s="127"/>
      <c r="BAQ61" s="121"/>
      <c r="BAR61" s="5"/>
      <c r="BAS61" s="5"/>
      <c r="BAT61" s="124"/>
      <c r="BAU61" s="121"/>
      <c r="BAV61" s="125"/>
      <c r="BAW61" s="5"/>
      <c r="BAX61" s="117"/>
      <c r="BAY61" s="4"/>
      <c r="BAZ61" s="126"/>
      <c r="BBA61" s="127"/>
      <c r="BBB61" s="121"/>
      <c r="BBC61" s="5"/>
      <c r="BBD61" s="5"/>
      <c r="BBE61" s="124"/>
      <c r="BBF61" s="121"/>
      <c r="BBG61" s="125"/>
      <c r="BBH61" s="5"/>
      <c r="BBI61" s="117"/>
      <c r="BBJ61" s="4"/>
      <c r="BBK61" s="126"/>
      <c r="BBL61" s="127"/>
      <c r="BBM61" s="121"/>
      <c r="BBN61" s="5"/>
      <c r="BBO61" s="5"/>
      <c r="BBP61" s="124"/>
      <c r="BBQ61" s="121"/>
      <c r="BBR61" s="125"/>
      <c r="BBS61" s="5"/>
      <c r="BBT61" s="117"/>
      <c r="BBU61" s="4"/>
      <c r="BBV61" s="126"/>
      <c r="BBW61" s="127"/>
      <c r="BBX61" s="121"/>
      <c r="BBY61" s="5"/>
      <c r="BBZ61" s="5"/>
      <c r="BCA61" s="124"/>
      <c r="BCB61" s="121"/>
      <c r="BCC61" s="125"/>
      <c r="BCD61" s="5"/>
      <c r="BCE61" s="117"/>
      <c r="BCF61" s="4"/>
      <c r="BCG61" s="126"/>
      <c r="BCH61" s="127"/>
      <c r="BCI61" s="121"/>
      <c r="BCJ61" s="5"/>
      <c r="BCK61" s="5"/>
      <c r="BCL61" s="124"/>
      <c r="BCM61" s="121"/>
      <c r="BCN61" s="125"/>
      <c r="BCO61" s="5"/>
      <c r="BCP61" s="117"/>
      <c r="BCQ61" s="4"/>
      <c r="BCR61" s="126"/>
      <c r="BCS61" s="127"/>
      <c r="BCT61" s="121"/>
      <c r="BCU61" s="5"/>
      <c r="BCV61" s="5"/>
      <c r="BCW61" s="124"/>
      <c r="BCX61" s="121"/>
      <c r="BCY61" s="125"/>
      <c r="BCZ61" s="5"/>
      <c r="BDA61" s="117"/>
      <c r="BDB61" s="4"/>
      <c r="BDC61" s="126"/>
      <c r="BDD61" s="127"/>
      <c r="BDE61" s="121"/>
      <c r="BDF61" s="5"/>
      <c r="BDG61" s="5"/>
      <c r="BDH61" s="124"/>
      <c r="BDI61" s="121"/>
      <c r="BDJ61" s="125"/>
      <c r="BDK61" s="5"/>
      <c r="BDL61" s="117"/>
      <c r="BDM61" s="4"/>
      <c r="BDN61" s="126"/>
      <c r="BDO61" s="127"/>
      <c r="BDP61" s="121"/>
      <c r="BDQ61" s="5"/>
      <c r="BDR61" s="5"/>
      <c r="BDS61" s="124"/>
      <c r="BDT61" s="121"/>
      <c r="BDU61" s="125"/>
      <c r="BDV61" s="5"/>
      <c r="BDW61" s="117"/>
      <c r="BDX61" s="4"/>
      <c r="BDY61" s="126"/>
      <c r="BDZ61" s="127"/>
      <c r="BEA61" s="121"/>
      <c r="BEB61" s="5"/>
      <c r="BEC61" s="5"/>
      <c r="BED61" s="124"/>
      <c r="BEE61" s="121"/>
      <c r="BEF61" s="125"/>
      <c r="BEG61" s="5"/>
      <c r="BEH61" s="117"/>
      <c r="BEI61" s="4"/>
      <c r="BEJ61" s="126"/>
      <c r="BEK61" s="127"/>
      <c r="BEL61" s="121"/>
      <c r="BEM61" s="5"/>
      <c r="BEN61" s="5"/>
      <c r="BEO61" s="124"/>
      <c r="BEP61" s="121"/>
      <c r="BEQ61" s="125"/>
      <c r="BER61" s="5"/>
      <c r="BES61" s="117"/>
      <c r="BET61" s="4"/>
      <c r="BEU61" s="126"/>
      <c r="BEV61" s="127"/>
      <c r="BEW61" s="121"/>
      <c r="BEX61" s="5"/>
      <c r="BEY61" s="5"/>
      <c r="BEZ61" s="124"/>
      <c r="BFA61" s="121"/>
      <c r="BFB61" s="125"/>
      <c r="BFC61" s="5"/>
      <c r="BFD61" s="117"/>
      <c r="BFE61" s="4"/>
      <c r="BFF61" s="126"/>
      <c r="BFG61" s="127"/>
      <c r="BFH61" s="121"/>
      <c r="BFI61" s="5"/>
      <c r="BFJ61" s="5"/>
      <c r="BFK61" s="124"/>
      <c r="BFL61" s="121"/>
      <c r="BFM61" s="125"/>
      <c r="BFN61" s="5"/>
      <c r="BFO61" s="117"/>
      <c r="BFP61" s="4"/>
      <c r="BFQ61" s="126"/>
      <c r="BFR61" s="127"/>
      <c r="BFS61" s="121"/>
      <c r="BFT61" s="5"/>
      <c r="BFU61" s="5"/>
      <c r="BFV61" s="124"/>
      <c r="BFW61" s="121"/>
      <c r="BFX61" s="125"/>
      <c r="BFY61" s="5"/>
      <c r="BFZ61" s="117"/>
      <c r="BGA61" s="4"/>
      <c r="BGB61" s="126"/>
      <c r="BGC61" s="127"/>
      <c r="BGD61" s="121"/>
      <c r="BGE61" s="5"/>
      <c r="BGF61" s="5"/>
      <c r="BGG61" s="124"/>
      <c r="BGH61" s="121"/>
      <c r="BGI61" s="125"/>
      <c r="BGJ61" s="5"/>
      <c r="BGK61" s="117"/>
      <c r="BGL61" s="4"/>
      <c r="BGM61" s="126"/>
      <c r="BGN61" s="127"/>
      <c r="BGO61" s="121"/>
      <c r="BGP61" s="5"/>
      <c r="BGQ61" s="5"/>
      <c r="BGR61" s="124"/>
      <c r="BGS61" s="121"/>
      <c r="BGT61" s="125"/>
      <c r="BGU61" s="5"/>
      <c r="BGV61" s="117"/>
      <c r="BGW61" s="4"/>
      <c r="BGX61" s="126"/>
      <c r="BGY61" s="127"/>
      <c r="BGZ61" s="121"/>
      <c r="BHA61" s="5"/>
      <c r="BHB61" s="5"/>
      <c r="BHC61" s="124"/>
      <c r="BHD61" s="121"/>
      <c r="BHE61" s="125"/>
      <c r="BHF61" s="5"/>
      <c r="BHG61" s="117"/>
      <c r="BHH61" s="4"/>
      <c r="BHI61" s="126"/>
      <c r="BHJ61" s="127"/>
      <c r="BHK61" s="121"/>
      <c r="BHL61" s="5"/>
      <c r="BHM61" s="5"/>
      <c r="BHN61" s="124"/>
      <c r="BHO61" s="121"/>
      <c r="BHP61" s="125"/>
      <c r="BHQ61" s="5"/>
      <c r="BHR61" s="117"/>
      <c r="BHS61" s="4"/>
      <c r="BHT61" s="126"/>
      <c r="BHU61" s="127"/>
      <c r="BHV61" s="121"/>
      <c r="BHW61" s="5"/>
      <c r="BHX61" s="5"/>
      <c r="BHY61" s="124"/>
      <c r="BHZ61" s="121"/>
      <c r="BIA61" s="125"/>
      <c r="BIB61" s="5"/>
      <c r="BIC61" s="117"/>
      <c r="BID61" s="4"/>
      <c r="BIE61" s="126"/>
      <c r="BIF61" s="127"/>
      <c r="BIG61" s="121"/>
      <c r="BIH61" s="5"/>
      <c r="BII61" s="5"/>
      <c r="BIJ61" s="124"/>
      <c r="BIK61" s="121"/>
      <c r="BIL61" s="125"/>
      <c r="BIM61" s="5"/>
      <c r="BIN61" s="117"/>
      <c r="BIO61" s="4"/>
      <c r="BIP61" s="126"/>
      <c r="BIQ61" s="127"/>
      <c r="BIR61" s="121"/>
      <c r="BIS61" s="5"/>
      <c r="BIT61" s="5"/>
      <c r="BIU61" s="124"/>
      <c r="BIV61" s="121"/>
      <c r="BIW61" s="125"/>
      <c r="BIX61" s="5"/>
      <c r="BIY61" s="117"/>
      <c r="BIZ61" s="4"/>
      <c r="BJA61" s="126"/>
      <c r="BJB61" s="127"/>
      <c r="BJC61" s="121"/>
      <c r="BJD61" s="5"/>
      <c r="BJE61" s="5"/>
      <c r="BJF61" s="124"/>
      <c r="BJG61" s="121"/>
      <c r="BJH61" s="125"/>
      <c r="BJI61" s="5"/>
      <c r="BJJ61" s="117"/>
      <c r="BJK61" s="4"/>
      <c r="BJL61" s="126"/>
      <c r="BJM61" s="127"/>
      <c r="BJN61" s="121"/>
      <c r="BJO61" s="5"/>
      <c r="BJP61" s="5"/>
      <c r="BJQ61" s="124"/>
      <c r="BJR61" s="121"/>
      <c r="BJS61" s="125"/>
      <c r="BJT61" s="5"/>
      <c r="BJU61" s="117"/>
      <c r="BJV61" s="4"/>
      <c r="BJW61" s="126"/>
      <c r="BJX61" s="127"/>
      <c r="BJY61" s="121"/>
      <c r="BJZ61" s="5"/>
      <c r="BKA61" s="5"/>
      <c r="BKB61" s="124"/>
      <c r="BKC61" s="121"/>
      <c r="BKD61" s="125"/>
      <c r="BKE61" s="5"/>
      <c r="BKF61" s="117"/>
      <c r="BKG61" s="4"/>
      <c r="BKH61" s="126"/>
      <c r="BKI61" s="127"/>
      <c r="BKJ61" s="121"/>
      <c r="BKK61" s="5"/>
      <c r="BKL61" s="5"/>
      <c r="BKM61" s="124"/>
      <c r="BKN61" s="121"/>
      <c r="BKO61" s="125"/>
      <c r="BKP61" s="5"/>
      <c r="BKQ61" s="117"/>
      <c r="BKR61" s="4"/>
      <c r="BKS61" s="126"/>
      <c r="BKT61" s="127"/>
      <c r="BKU61" s="121"/>
      <c r="BKV61" s="5"/>
      <c r="BKW61" s="5"/>
      <c r="BKX61" s="124"/>
      <c r="BKY61" s="121"/>
      <c r="BKZ61" s="125"/>
      <c r="BLA61" s="5"/>
      <c r="BLB61" s="117"/>
      <c r="BLC61" s="4"/>
      <c r="BLD61" s="126"/>
      <c r="BLE61" s="127"/>
      <c r="BLF61" s="121"/>
      <c r="BLG61" s="5"/>
      <c r="BLH61" s="5"/>
      <c r="BLI61" s="124"/>
      <c r="BLJ61" s="121"/>
      <c r="BLK61" s="125"/>
      <c r="BLL61" s="5"/>
      <c r="BLM61" s="117"/>
      <c r="BLN61" s="4"/>
      <c r="BLO61" s="126"/>
      <c r="BLP61" s="127"/>
      <c r="BLQ61" s="121"/>
      <c r="BLR61" s="5"/>
      <c r="BLS61" s="5"/>
      <c r="BLT61" s="124"/>
      <c r="BLU61" s="121"/>
      <c r="BLV61" s="125"/>
      <c r="BLW61" s="5"/>
      <c r="BLX61" s="117"/>
      <c r="BLY61" s="4"/>
      <c r="BLZ61" s="126"/>
      <c r="BMA61" s="127"/>
      <c r="BMB61" s="121"/>
      <c r="BMC61" s="5"/>
      <c r="BMD61" s="5"/>
      <c r="BME61" s="124"/>
      <c r="BMF61" s="121"/>
      <c r="BMG61" s="125"/>
      <c r="BMH61" s="5"/>
      <c r="BMI61" s="117"/>
      <c r="BMJ61" s="4"/>
      <c r="BMK61" s="126"/>
      <c r="BML61" s="127"/>
      <c r="BMM61" s="121"/>
      <c r="BMN61" s="5"/>
      <c r="BMO61" s="5"/>
      <c r="BMP61" s="124"/>
      <c r="BMQ61" s="121"/>
      <c r="BMR61" s="125"/>
      <c r="BMS61" s="5"/>
      <c r="BMT61" s="117"/>
      <c r="BMU61" s="4"/>
      <c r="BMV61" s="126"/>
      <c r="BMW61" s="127"/>
      <c r="BMX61" s="121"/>
      <c r="BMY61" s="5"/>
      <c r="BMZ61" s="5"/>
      <c r="BNA61" s="124"/>
      <c r="BNB61" s="121"/>
      <c r="BNC61" s="125"/>
      <c r="BND61" s="5"/>
      <c r="BNE61" s="117"/>
      <c r="BNF61" s="4"/>
      <c r="BNG61" s="126"/>
      <c r="BNH61" s="127"/>
      <c r="BNI61" s="121"/>
      <c r="BNJ61" s="5"/>
      <c r="BNK61" s="5"/>
      <c r="BNL61" s="124"/>
      <c r="BNM61" s="121"/>
      <c r="BNN61" s="125"/>
      <c r="BNO61" s="5"/>
      <c r="BNP61" s="117"/>
      <c r="BNQ61" s="4"/>
      <c r="BNR61" s="126"/>
      <c r="BNS61" s="127"/>
      <c r="BNT61" s="121"/>
      <c r="BNU61" s="5"/>
      <c r="BNV61" s="5"/>
      <c r="BNW61" s="124"/>
      <c r="BNX61" s="121"/>
      <c r="BNY61" s="125"/>
      <c r="BNZ61" s="5"/>
      <c r="BOA61" s="117"/>
      <c r="BOB61" s="4"/>
      <c r="BOC61" s="126"/>
      <c r="BOD61" s="127"/>
      <c r="BOE61" s="121"/>
      <c r="BOF61" s="5"/>
      <c r="BOG61" s="5"/>
      <c r="BOH61" s="124"/>
      <c r="BOI61" s="121"/>
      <c r="BOJ61" s="125"/>
      <c r="BOK61" s="5"/>
      <c r="BOL61" s="117"/>
      <c r="BOM61" s="4"/>
      <c r="BON61" s="126"/>
      <c r="BOO61" s="127"/>
      <c r="BOP61" s="121"/>
      <c r="BOQ61" s="5"/>
      <c r="BOR61" s="5"/>
      <c r="BOS61" s="124"/>
      <c r="BOT61" s="121"/>
      <c r="BOU61" s="125"/>
      <c r="BOV61" s="5"/>
      <c r="BOW61" s="117"/>
      <c r="BOX61" s="4"/>
      <c r="BOY61" s="126"/>
      <c r="BOZ61" s="127"/>
      <c r="BPA61" s="121"/>
      <c r="BPB61" s="5"/>
      <c r="BPC61" s="5"/>
      <c r="BPD61" s="124"/>
      <c r="BPE61" s="121"/>
      <c r="BPF61" s="125"/>
      <c r="BPG61" s="5"/>
      <c r="BPH61" s="117"/>
      <c r="BPI61" s="4"/>
      <c r="BPJ61" s="126"/>
      <c r="BPK61" s="127"/>
      <c r="BPL61" s="121"/>
      <c r="BPM61" s="5"/>
      <c r="BPN61" s="5"/>
      <c r="BPO61" s="124"/>
      <c r="BPP61" s="121"/>
      <c r="BPQ61" s="125"/>
      <c r="BPR61" s="5"/>
      <c r="BPS61" s="117"/>
      <c r="BPT61" s="4"/>
      <c r="BPU61" s="126"/>
      <c r="BPV61" s="127"/>
      <c r="BPW61" s="121"/>
      <c r="BPX61" s="5"/>
      <c r="BPY61" s="5"/>
      <c r="BPZ61" s="124"/>
      <c r="BQA61" s="121"/>
      <c r="BQB61" s="125"/>
      <c r="BQC61" s="5"/>
      <c r="BQD61" s="117"/>
      <c r="BQE61" s="4"/>
      <c r="BQF61" s="126"/>
      <c r="BQG61" s="127"/>
      <c r="BQH61" s="121"/>
      <c r="BQI61" s="5"/>
      <c r="BQJ61" s="5"/>
      <c r="BQK61" s="124"/>
      <c r="BQL61" s="121"/>
      <c r="BQM61" s="125"/>
      <c r="BQN61" s="5"/>
      <c r="BQO61" s="117"/>
      <c r="BQP61" s="4"/>
      <c r="BQQ61" s="126"/>
      <c r="BQR61" s="127"/>
      <c r="BQS61" s="121"/>
      <c r="BQT61" s="5"/>
      <c r="BQU61" s="5"/>
      <c r="BQV61" s="124"/>
      <c r="BQW61" s="121"/>
      <c r="BQX61" s="125"/>
      <c r="BQY61" s="5"/>
      <c r="BQZ61" s="117"/>
      <c r="BRA61" s="4"/>
      <c r="BRB61" s="126"/>
      <c r="BRC61" s="127"/>
      <c r="BRD61" s="121"/>
      <c r="BRE61" s="5"/>
      <c r="BRF61" s="5"/>
      <c r="BRG61" s="124"/>
      <c r="BRH61" s="121"/>
      <c r="BRI61" s="125"/>
      <c r="BRJ61" s="5"/>
      <c r="BRK61" s="117"/>
      <c r="BRL61" s="4"/>
      <c r="BRM61" s="126"/>
      <c r="BRN61" s="127"/>
      <c r="BRO61" s="121"/>
      <c r="BRP61" s="5"/>
      <c r="BRQ61" s="5"/>
      <c r="BRR61" s="124"/>
      <c r="BRS61" s="121"/>
      <c r="BRT61" s="125"/>
      <c r="BRU61" s="5"/>
      <c r="BRV61" s="117"/>
      <c r="BRW61" s="4"/>
      <c r="BRX61" s="126"/>
      <c r="BRY61" s="127"/>
      <c r="BRZ61" s="121"/>
      <c r="BSA61" s="5"/>
      <c r="BSB61" s="5"/>
      <c r="BSC61" s="124"/>
      <c r="BSD61" s="121"/>
      <c r="BSE61" s="125"/>
      <c r="BSF61" s="5"/>
      <c r="BSG61" s="117"/>
      <c r="BSH61" s="4"/>
      <c r="BSI61" s="126"/>
      <c r="BSJ61" s="127"/>
      <c r="BSK61" s="121"/>
      <c r="BSL61" s="5"/>
      <c r="BSM61" s="5"/>
      <c r="BSN61" s="124"/>
      <c r="BSO61" s="121"/>
      <c r="BSP61" s="125"/>
      <c r="BSQ61" s="5"/>
      <c r="BSR61" s="117"/>
      <c r="BSS61" s="4"/>
      <c r="BST61" s="126"/>
      <c r="BSU61" s="127"/>
      <c r="BSV61" s="121"/>
      <c r="BSW61" s="5"/>
      <c r="BSX61" s="5"/>
      <c r="BSY61" s="124"/>
      <c r="BSZ61" s="121"/>
      <c r="BTA61" s="125"/>
      <c r="BTB61" s="5"/>
      <c r="BTC61" s="117"/>
      <c r="BTD61" s="4"/>
      <c r="BTE61" s="126"/>
      <c r="BTF61" s="127"/>
      <c r="BTG61" s="121"/>
      <c r="BTH61" s="5"/>
      <c r="BTI61" s="5"/>
      <c r="BTJ61" s="124"/>
      <c r="BTK61" s="121"/>
      <c r="BTL61" s="125"/>
      <c r="BTM61" s="5"/>
      <c r="BTN61" s="117"/>
      <c r="BTO61" s="4"/>
      <c r="BTP61" s="126"/>
      <c r="BTQ61" s="127"/>
      <c r="BTR61" s="121"/>
      <c r="BTS61" s="5"/>
      <c r="BTT61" s="5"/>
      <c r="BTU61" s="124"/>
      <c r="BTV61" s="121"/>
      <c r="BTW61" s="125"/>
      <c r="BTX61" s="5"/>
      <c r="BTY61" s="117"/>
      <c r="BTZ61" s="4"/>
      <c r="BUA61" s="126"/>
      <c r="BUB61" s="127"/>
      <c r="BUC61" s="121"/>
      <c r="BUD61" s="5"/>
      <c r="BUE61" s="5"/>
      <c r="BUF61" s="124"/>
      <c r="BUG61" s="121"/>
      <c r="BUH61" s="125"/>
      <c r="BUI61" s="5"/>
      <c r="BUJ61" s="117"/>
      <c r="BUK61" s="4"/>
      <c r="BUL61" s="126"/>
      <c r="BUM61" s="127"/>
      <c r="BUN61" s="121"/>
      <c r="BUO61" s="5"/>
      <c r="BUP61" s="5"/>
      <c r="BUQ61" s="124"/>
      <c r="BUR61" s="121"/>
      <c r="BUS61" s="125"/>
      <c r="BUT61" s="5"/>
      <c r="BUU61" s="117"/>
      <c r="BUV61" s="4"/>
      <c r="BUW61" s="126"/>
      <c r="BUX61" s="127"/>
      <c r="BUY61" s="121"/>
      <c r="BUZ61" s="5"/>
      <c r="BVA61" s="5"/>
      <c r="BVB61" s="124"/>
      <c r="BVC61" s="121"/>
      <c r="BVD61" s="125"/>
      <c r="BVE61" s="5"/>
      <c r="BVF61" s="117"/>
      <c r="BVG61" s="4"/>
      <c r="BVH61" s="126"/>
      <c r="BVI61" s="127"/>
      <c r="BVJ61" s="121"/>
      <c r="BVK61" s="5"/>
      <c r="BVL61" s="5"/>
      <c r="BVM61" s="124"/>
      <c r="BVN61" s="121"/>
      <c r="BVO61" s="125"/>
      <c r="BVP61" s="5"/>
      <c r="BVQ61" s="117"/>
      <c r="BVR61" s="4"/>
      <c r="BVS61" s="126"/>
      <c r="BVT61" s="127"/>
      <c r="BVU61" s="121"/>
      <c r="BVV61" s="5"/>
      <c r="BVW61" s="5"/>
      <c r="BVX61" s="124"/>
      <c r="BVY61" s="121"/>
      <c r="BVZ61" s="125"/>
      <c r="BWA61" s="5"/>
      <c r="BWB61" s="117"/>
      <c r="BWC61" s="4"/>
      <c r="BWD61" s="126"/>
      <c r="BWE61" s="127"/>
      <c r="BWF61" s="121"/>
      <c r="BWG61" s="5"/>
      <c r="BWH61" s="5"/>
      <c r="BWI61" s="124"/>
      <c r="BWJ61" s="121"/>
      <c r="BWK61" s="125"/>
      <c r="BWL61" s="5"/>
      <c r="BWM61" s="117"/>
      <c r="BWN61" s="4"/>
      <c r="BWO61" s="126"/>
      <c r="BWP61" s="127"/>
      <c r="BWQ61" s="121"/>
      <c r="BWR61" s="5"/>
      <c r="BWS61" s="5"/>
      <c r="BWT61" s="124"/>
      <c r="BWU61" s="121"/>
      <c r="BWV61" s="125"/>
      <c r="BWW61" s="5"/>
      <c r="BWX61" s="117"/>
      <c r="BWY61" s="4"/>
      <c r="BWZ61" s="126"/>
      <c r="BXA61" s="127"/>
      <c r="BXB61" s="121"/>
      <c r="BXC61" s="5"/>
      <c r="BXD61" s="5"/>
      <c r="BXE61" s="124"/>
      <c r="BXF61" s="121"/>
      <c r="BXG61" s="125"/>
      <c r="BXH61" s="5"/>
      <c r="BXI61" s="117"/>
      <c r="BXJ61" s="4"/>
      <c r="BXK61" s="126"/>
      <c r="BXL61" s="127"/>
      <c r="BXM61" s="121"/>
      <c r="BXN61" s="5"/>
      <c r="BXO61" s="5"/>
      <c r="BXP61" s="124"/>
      <c r="BXQ61" s="121"/>
      <c r="BXR61" s="125"/>
      <c r="BXS61" s="5"/>
      <c r="BXT61" s="117"/>
      <c r="BXU61" s="4"/>
      <c r="BXV61" s="126"/>
      <c r="BXW61" s="127"/>
      <c r="BXX61" s="121"/>
      <c r="BXY61" s="5"/>
      <c r="BXZ61" s="5"/>
      <c r="BYA61" s="124"/>
      <c r="BYB61" s="121"/>
      <c r="BYC61" s="125"/>
      <c r="BYD61" s="5"/>
      <c r="BYE61" s="117"/>
      <c r="BYF61" s="4"/>
      <c r="BYG61" s="126"/>
      <c r="BYH61" s="127"/>
      <c r="BYI61" s="121"/>
      <c r="BYJ61" s="5"/>
      <c r="BYK61" s="5"/>
      <c r="BYL61" s="124"/>
      <c r="BYM61" s="121"/>
      <c r="BYN61" s="125"/>
      <c r="BYO61" s="5"/>
      <c r="BYP61" s="117"/>
      <c r="BYQ61" s="4"/>
      <c r="BYR61" s="126"/>
      <c r="BYS61" s="127"/>
      <c r="BYT61" s="121"/>
      <c r="BYU61" s="5"/>
      <c r="BYV61" s="5"/>
      <c r="BYW61" s="124"/>
      <c r="BYX61" s="121"/>
      <c r="BYY61" s="125"/>
      <c r="BYZ61" s="5"/>
      <c r="BZA61" s="117"/>
      <c r="BZB61" s="4"/>
      <c r="BZC61" s="126"/>
      <c r="BZD61" s="127"/>
      <c r="BZE61" s="121"/>
      <c r="BZF61" s="5"/>
      <c r="BZG61" s="5"/>
      <c r="BZH61" s="124"/>
      <c r="BZI61" s="121"/>
      <c r="BZJ61" s="125"/>
      <c r="BZK61" s="5"/>
      <c r="BZL61" s="117"/>
      <c r="BZM61" s="4"/>
      <c r="BZN61" s="126"/>
      <c r="BZO61" s="127"/>
      <c r="BZP61" s="121"/>
      <c r="BZQ61" s="5"/>
      <c r="BZR61" s="5"/>
      <c r="BZS61" s="124"/>
      <c r="BZT61" s="121"/>
      <c r="BZU61" s="125"/>
      <c r="BZV61" s="5"/>
      <c r="BZW61" s="117"/>
      <c r="BZX61" s="4"/>
      <c r="BZY61" s="126"/>
      <c r="BZZ61" s="127"/>
      <c r="CAA61" s="121"/>
      <c r="CAB61" s="5"/>
      <c r="CAC61" s="5"/>
      <c r="CAD61" s="124"/>
      <c r="CAE61" s="121"/>
      <c r="CAF61" s="125"/>
      <c r="CAG61" s="5"/>
      <c r="CAH61" s="117"/>
      <c r="CAI61" s="4"/>
      <c r="CAJ61" s="126"/>
      <c r="CAK61" s="127"/>
      <c r="CAL61" s="121"/>
      <c r="CAM61" s="5"/>
      <c r="CAN61" s="5"/>
      <c r="CAO61" s="124"/>
      <c r="CAP61" s="121"/>
      <c r="CAQ61" s="125"/>
      <c r="CAR61" s="5"/>
      <c r="CAS61" s="117"/>
      <c r="CAT61" s="4"/>
      <c r="CAU61" s="126"/>
      <c r="CAV61" s="127"/>
      <c r="CAW61" s="121"/>
      <c r="CAX61" s="5"/>
      <c r="CAY61" s="5"/>
      <c r="CAZ61" s="124"/>
      <c r="CBA61" s="121"/>
      <c r="CBB61" s="125"/>
      <c r="CBC61" s="5"/>
      <c r="CBD61" s="117"/>
      <c r="CBE61" s="4"/>
      <c r="CBF61" s="126"/>
      <c r="CBG61" s="127"/>
      <c r="CBH61" s="121"/>
      <c r="CBI61" s="5"/>
      <c r="CBJ61" s="5"/>
      <c r="CBK61" s="124"/>
      <c r="CBL61" s="121"/>
      <c r="CBM61" s="125"/>
      <c r="CBN61" s="5"/>
      <c r="CBO61" s="117"/>
      <c r="CBP61" s="4"/>
      <c r="CBQ61" s="126"/>
      <c r="CBR61" s="127"/>
      <c r="CBS61" s="121"/>
      <c r="CBT61" s="5"/>
      <c r="CBU61" s="5"/>
      <c r="CBV61" s="124"/>
      <c r="CBW61" s="121"/>
      <c r="CBX61" s="125"/>
      <c r="CBY61" s="5"/>
      <c r="CBZ61" s="117"/>
      <c r="CCA61" s="4"/>
      <c r="CCB61" s="126"/>
      <c r="CCC61" s="127"/>
      <c r="CCD61" s="121"/>
      <c r="CCE61" s="5"/>
      <c r="CCF61" s="5"/>
      <c r="CCG61" s="124"/>
      <c r="CCH61" s="121"/>
      <c r="CCI61" s="125"/>
      <c r="CCJ61" s="5"/>
      <c r="CCK61" s="117"/>
      <c r="CCL61" s="4"/>
      <c r="CCM61" s="126"/>
      <c r="CCN61" s="127"/>
      <c r="CCO61" s="121"/>
      <c r="CCP61" s="5"/>
      <c r="CCQ61" s="5"/>
      <c r="CCR61" s="124"/>
      <c r="CCS61" s="121"/>
      <c r="CCT61" s="125"/>
      <c r="CCU61" s="5"/>
      <c r="CCV61" s="117"/>
      <c r="CCW61" s="4"/>
      <c r="CCX61" s="126"/>
      <c r="CCY61" s="127"/>
      <c r="CCZ61" s="121"/>
      <c r="CDA61" s="5"/>
      <c r="CDB61" s="5"/>
      <c r="CDC61" s="124"/>
      <c r="CDD61" s="121"/>
      <c r="CDE61" s="125"/>
      <c r="CDF61" s="5"/>
      <c r="CDG61" s="117"/>
      <c r="CDH61" s="4"/>
      <c r="CDI61" s="126"/>
      <c r="CDJ61" s="127"/>
      <c r="CDK61" s="121"/>
      <c r="CDL61" s="5"/>
      <c r="CDM61" s="5"/>
      <c r="CDN61" s="124"/>
      <c r="CDO61" s="121"/>
      <c r="CDP61" s="125"/>
      <c r="CDQ61" s="5"/>
      <c r="CDR61" s="117"/>
      <c r="CDS61" s="4"/>
      <c r="CDT61" s="126"/>
      <c r="CDU61" s="127"/>
      <c r="CDV61" s="121"/>
      <c r="CDW61" s="5"/>
      <c r="CDX61" s="5"/>
      <c r="CDY61" s="124"/>
      <c r="CDZ61" s="121"/>
      <c r="CEA61" s="125"/>
      <c r="CEB61" s="5"/>
      <c r="CEC61" s="117"/>
      <c r="CED61" s="4"/>
      <c r="CEE61" s="126"/>
      <c r="CEF61" s="127"/>
      <c r="CEG61" s="121"/>
      <c r="CEH61" s="5"/>
      <c r="CEI61" s="5"/>
      <c r="CEJ61" s="124"/>
      <c r="CEK61" s="121"/>
      <c r="CEL61" s="125"/>
      <c r="CEM61" s="5"/>
      <c r="CEN61" s="117"/>
      <c r="CEO61" s="4"/>
      <c r="CEP61" s="126"/>
      <c r="CEQ61" s="127"/>
      <c r="CER61" s="121"/>
      <c r="CES61" s="5"/>
      <c r="CET61" s="5"/>
      <c r="CEU61" s="124"/>
      <c r="CEV61" s="121"/>
      <c r="CEW61" s="125"/>
      <c r="CEX61" s="5"/>
      <c r="CEY61" s="117"/>
      <c r="CEZ61" s="4"/>
      <c r="CFA61" s="126"/>
      <c r="CFB61" s="127"/>
      <c r="CFC61" s="121"/>
      <c r="CFD61" s="5"/>
      <c r="CFE61" s="5"/>
      <c r="CFF61" s="124"/>
      <c r="CFG61" s="121"/>
      <c r="CFH61" s="125"/>
      <c r="CFI61" s="5"/>
      <c r="CFJ61" s="117"/>
      <c r="CFK61" s="4"/>
      <c r="CFL61" s="126"/>
      <c r="CFM61" s="127"/>
      <c r="CFN61" s="121"/>
      <c r="CFO61" s="5"/>
      <c r="CFP61" s="5"/>
      <c r="CFQ61" s="124"/>
      <c r="CFR61" s="121"/>
      <c r="CFS61" s="125"/>
      <c r="CFT61" s="5"/>
      <c r="CFU61" s="117"/>
      <c r="CFV61" s="4"/>
      <c r="CFW61" s="126"/>
      <c r="CFX61" s="127"/>
      <c r="CFY61" s="121"/>
      <c r="CFZ61" s="5"/>
      <c r="CGA61" s="5"/>
      <c r="CGB61" s="124"/>
      <c r="CGC61" s="121"/>
      <c r="CGD61" s="125"/>
      <c r="CGE61" s="5"/>
      <c r="CGF61" s="117"/>
      <c r="CGG61" s="4"/>
      <c r="CGH61" s="126"/>
      <c r="CGI61" s="127"/>
      <c r="CGJ61" s="121"/>
      <c r="CGK61" s="5"/>
      <c r="CGL61" s="5"/>
      <c r="CGM61" s="124"/>
      <c r="CGN61" s="121"/>
      <c r="CGO61" s="125"/>
      <c r="CGP61" s="5"/>
      <c r="CGQ61" s="117"/>
      <c r="CGR61" s="4"/>
      <c r="CGS61" s="126"/>
      <c r="CGT61" s="127"/>
      <c r="CGU61" s="121"/>
      <c r="CGV61" s="5"/>
      <c r="CGW61" s="5"/>
      <c r="CGX61" s="124"/>
      <c r="CGY61" s="121"/>
      <c r="CGZ61" s="125"/>
      <c r="CHA61" s="5"/>
      <c r="CHB61" s="117"/>
      <c r="CHC61" s="4"/>
      <c r="CHD61" s="126"/>
      <c r="CHE61" s="127"/>
      <c r="CHF61" s="121"/>
      <c r="CHG61" s="5"/>
      <c r="CHH61" s="5"/>
      <c r="CHI61" s="124"/>
      <c r="CHJ61" s="121"/>
      <c r="CHK61" s="125"/>
      <c r="CHL61" s="5"/>
      <c r="CHM61" s="117"/>
      <c r="CHN61" s="4"/>
      <c r="CHO61" s="126"/>
      <c r="CHP61" s="127"/>
      <c r="CHQ61" s="121"/>
      <c r="CHR61" s="5"/>
      <c r="CHS61" s="5"/>
      <c r="CHT61" s="124"/>
      <c r="CHU61" s="121"/>
      <c r="CHV61" s="125"/>
      <c r="CHW61" s="5"/>
      <c r="CHX61" s="117"/>
      <c r="CHY61" s="4"/>
      <c r="CHZ61" s="126"/>
      <c r="CIA61" s="127"/>
      <c r="CIB61" s="121"/>
      <c r="CIC61" s="5"/>
      <c r="CID61" s="5"/>
      <c r="CIE61" s="124"/>
      <c r="CIF61" s="121"/>
      <c r="CIG61" s="125"/>
      <c r="CIH61" s="5"/>
      <c r="CII61" s="117"/>
      <c r="CIJ61" s="4"/>
      <c r="CIK61" s="126"/>
      <c r="CIL61" s="127"/>
      <c r="CIM61" s="121"/>
      <c r="CIN61" s="5"/>
      <c r="CIO61" s="5"/>
      <c r="CIP61" s="124"/>
      <c r="CIQ61" s="121"/>
      <c r="CIR61" s="125"/>
      <c r="CIS61" s="5"/>
      <c r="CIT61" s="117"/>
      <c r="CIU61" s="4"/>
      <c r="CIV61" s="126"/>
      <c r="CIW61" s="127"/>
      <c r="CIX61" s="121"/>
      <c r="CIY61" s="5"/>
      <c r="CIZ61" s="5"/>
      <c r="CJA61" s="124"/>
      <c r="CJB61" s="121"/>
      <c r="CJC61" s="125"/>
      <c r="CJD61" s="5"/>
      <c r="CJE61" s="117"/>
      <c r="CJF61" s="4"/>
      <c r="CJG61" s="126"/>
      <c r="CJH61" s="127"/>
      <c r="CJI61" s="121"/>
      <c r="CJJ61" s="5"/>
      <c r="CJK61" s="5"/>
      <c r="CJL61" s="124"/>
      <c r="CJM61" s="121"/>
      <c r="CJN61" s="125"/>
      <c r="CJO61" s="5"/>
      <c r="CJP61" s="117"/>
      <c r="CJQ61" s="4"/>
      <c r="CJR61" s="126"/>
      <c r="CJS61" s="127"/>
      <c r="CJT61" s="121"/>
      <c r="CJU61" s="5"/>
      <c r="CJV61" s="5"/>
      <c r="CJW61" s="124"/>
      <c r="CJX61" s="121"/>
      <c r="CJY61" s="125"/>
      <c r="CJZ61" s="5"/>
      <c r="CKA61" s="117"/>
      <c r="CKB61" s="4"/>
      <c r="CKC61" s="126"/>
      <c r="CKD61" s="127"/>
      <c r="CKE61" s="121"/>
      <c r="CKF61" s="5"/>
      <c r="CKG61" s="5"/>
      <c r="CKH61" s="124"/>
      <c r="CKI61" s="121"/>
      <c r="CKJ61" s="125"/>
      <c r="CKK61" s="5"/>
      <c r="CKL61" s="117"/>
      <c r="CKM61" s="4"/>
      <c r="CKN61" s="126"/>
      <c r="CKO61" s="127"/>
      <c r="CKP61" s="121"/>
      <c r="CKQ61" s="5"/>
      <c r="CKR61" s="5"/>
      <c r="CKS61" s="124"/>
      <c r="CKT61" s="121"/>
      <c r="CKU61" s="125"/>
      <c r="CKV61" s="5"/>
      <c r="CKW61" s="117"/>
      <c r="CKX61" s="4"/>
      <c r="CKY61" s="126"/>
      <c r="CKZ61" s="127"/>
      <c r="CLA61" s="121"/>
      <c r="CLB61" s="5"/>
      <c r="CLC61" s="5"/>
      <c r="CLD61" s="124"/>
      <c r="CLE61" s="121"/>
      <c r="CLF61" s="125"/>
      <c r="CLG61" s="5"/>
      <c r="CLH61" s="117"/>
      <c r="CLI61" s="4"/>
      <c r="CLJ61" s="126"/>
      <c r="CLK61" s="127"/>
      <c r="CLL61" s="121"/>
      <c r="CLM61" s="5"/>
      <c r="CLN61" s="5"/>
      <c r="CLO61" s="124"/>
      <c r="CLP61" s="121"/>
      <c r="CLQ61" s="125"/>
      <c r="CLR61" s="5"/>
      <c r="CLS61" s="117"/>
      <c r="CLT61" s="4"/>
      <c r="CLU61" s="126"/>
      <c r="CLV61" s="127"/>
      <c r="CLW61" s="121"/>
      <c r="CLX61" s="5"/>
      <c r="CLY61" s="5"/>
      <c r="CLZ61" s="124"/>
      <c r="CMA61" s="121"/>
      <c r="CMB61" s="125"/>
      <c r="CMC61" s="5"/>
      <c r="CMD61" s="117"/>
      <c r="CME61" s="4"/>
      <c r="CMF61" s="126"/>
      <c r="CMG61" s="127"/>
      <c r="CMH61" s="121"/>
      <c r="CMI61" s="5"/>
      <c r="CMJ61" s="5"/>
      <c r="CMK61" s="124"/>
      <c r="CML61" s="121"/>
      <c r="CMM61" s="125"/>
      <c r="CMN61" s="5"/>
      <c r="CMO61" s="117"/>
      <c r="CMP61" s="4"/>
      <c r="CMQ61" s="126"/>
      <c r="CMR61" s="127"/>
      <c r="CMS61" s="121"/>
      <c r="CMT61" s="5"/>
      <c r="CMU61" s="5"/>
      <c r="CMV61" s="124"/>
      <c r="CMW61" s="121"/>
      <c r="CMX61" s="125"/>
      <c r="CMY61" s="5"/>
      <c r="CMZ61" s="117"/>
      <c r="CNA61" s="4"/>
      <c r="CNB61" s="126"/>
      <c r="CNC61" s="127"/>
      <c r="CND61" s="121"/>
      <c r="CNE61" s="5"/>
      <c r="CNF61" s="5"/>
      <c r="CNG61" s="124"/>
      <c r="CNH61" s="121"/>
      <c r="CNI61" s="125"/>
      <c r="CNJ61" s="5"/>
      <c r="CNK61" s="117"/>
      <c r="CNL61" s="4"/>
      <c r="CNM61" s="126"/>
      <c r="CNN61" s="127"/>
      <c r="CNO61" s="121"/>
      <c r="CNP61" s="5"/>
      <c r="CNQ61" s="5"/>
      <c r="CNR61" s="124"/>
      <c r="CNS61" s="121"/>
      <c r="CNT61" s="125"/>
      <c r="CNU61" s="5"/>
      <c r="CNV61" s="117"/>
      <c r="CNW61" s="4"/>
      <c r="CNX61" s="126"/>
      <c r="CNY61" s="127"/>
      <c r="CNZ61" s="121"/>
      <c r="COA61" s="5"/>
      <c r="COB61" s="5"/>
      <c r="COC61" s="124"/>
      <c r="COD61" s="121"/>
      <c r="COE61" s="125"/>
      <c r="COF61" s="5"/>
      <c r="COG61" s="117"/>
      <c r="COH61" s="4"/>
      <c r="COI61" s="126"/>
      <c r="COJ61" s="127"/>
      <c r="COK61" s="121"/>
      <c r="COL61" s="5"/>
      <c r="COM61" s="5"/>
      <c r="CON61" s="124"/>
      <c r="COO61" s="121"/>
      <c r="COP61" s="125"/>
      <c r="COQ61" s="5"/>
      <c r="COR61" s="117"/>
      <c r="COS61" s="4"/>
      <c r="COT61" s="126"/>
      <c r="COU61" s="127"/>
      <c r="COV61" s="121"/>
      <c r="COW61" s="5"/>
      <c r="COX61" s="5"/>
      <c r="COY61" s="124"/>
      <c r="COZ61" s="121"/>
      <c r="CPA61" s="125"/>
      <c r="CPB61" s="5"/>
      <c r="CPC61" s="117"/>
      <c r="CPD61" s="4"/>
      <c r="CPE61" s="126"/>
      <c r="CPF61" s="127"/>
      <c r="CPG61" s="121"/>
      <c r="CPH61" s="5"/>
      <c r="CPI61" s="5"/>
      <c r="CPJ61" s="124"/>
      <c r="CPK61" s="121"/>
      <c r="CPL61" s="125"/>
      <c r="CPM61" s="5"/>
      <c r="CPN61" s="117"/>
      <c r="CPO61" s="4"/>
      <c r="CPP61" s="126"/>
      <c r="CPQ61" s="127"/>
      <c r="CPR61" s="121"/>
      <c r="CPS61" s="5"/>
      <c r="CPT61" s="5"/>
      <c r="CPU61" s="124"/>
      <c r="CPV61" s="121"/>
      <c r="CPW61" s="125"/>
      <c r="CPX61" s="5"/>
      <c r="CPY61" s="117"/>
      <c r="CPZ61" s="4"/>
      <c r="CQA61" s="126"/>
      <c r="CQB61" s="127"/>
      <c r="CQC61" s="121"/>
      <c r="CQD61" s="5"/>
      <c r="CQE61" s="5"/>
      <c r="CQF61" s="124"/>
      <c r="CQG61" s="121"/>
      <c r="CQH61" s="125"/>
      <c r="CQI61" s="5"/>
      <c r="CQJ61" s="117"/>
      <c r="CQK61" s="4"/>
      <c r="CQL61" s="126"/>
      <c r="CQM61" s="127"/>
      <c r="CQN61" s="121"/>
      <c r="CQO61" s="5"/>
      <c r="CQP61" s="5"/>
      <c r="CQQ61" s="124"/>
      <c r="CQR61" s="121"/>
      <c r="CQS61" s="125"/>
      <c r="CQT61" s="5"/>
      <c r="CQU61" s="117"/>
      <c r="CQV61" s="4"/>
      <c r="CQW61" s="126"/>
      <c r="CQX61" s="127"/>
      <c r="CQY61" s="121"/>
      <c r="CQZ61" s="5"/>
      <c r="CRA61" s="5"/>
      <c r="CRB61" s="124"/>
      <c r="CRC61" s="121"/>
      <c r="CRD61" s="125"/>
      <c r="CRE61" s="5"/>
      <c r="CRF61" s="117"/>
      <c r="CRG61" s="4"/>
      <c r="CRH61" s="126"/>
      <c r="CRI61" s="127"/>
      <c r="CRJ61" s="121"/>
      <c r="CRK61" s="5"/>
      <c r="CRL61" s="5"/>
      <c r="CRM61" s="124"/>
      <c r="CRN61" s="121"/>
      <c r="CRO61" s="125"/>
      <c r="CRP61" s="5"/>
      <c r="CRQ61" s="117"/>
      <c r="CRR61" s="4"/>
      <c r="CRS61" s="126"/>
      <c r="CRT61" s="127"/>
      <c r="CRU61" s="121"/>
      <c r="CRV61" s="5"/>
      <c r="CRW61" s="5"/>
      <c r="CRX61" s="124"/>
      <c r="CRY61" s="121"/>
      <c r="CRZ61" s="125"/>
      <c r="CSA61" s="5"/>
      <c r="CSB61" s="117"/>
      <c r="CSC61" s="4"/>
      <c r="CSD61" s="126"/>
      <c r="CSE61" s="127"/>
      <c r="CSF61" s="121"/>
      <c r="CSG61" s="5"/>
      <c r="CSH61" s="5"/>
      <c r="CSI61" s="124"/>
      <c r="CSJ61" s="121"/>
      <c r="CSK61" s="125"/>
      <c r="CSL61" s="5"/>
      <c r="CSM61" s="117"/>
      <c r="CSN61" s="4"/>
      <c r="CSO61" s="126"/>
      <c r="CSP61" s="127"/>
      <c r="CSQ61" s="121"/>
      <c r="CSR61" s="5"/>
      <c r="CSS61" s="5"/>
      <c r="CST61" s="124"/>
      <c r="CSU61" s="121"/>
      <c r="CSV61" s="125"/>
      <c r="CSW61" s="5"/>
      <c r="CSX61" s="117"/>
      <c r="CSY61" s="4"/>
      <c r="CSZ61" s="126"/>
      <c r="CTA61" s="127"/>
      <c r="CTB61" s="121"/>
      <c r="CTC61" s="5"/>
      <c r="CTD61" s="5"/>
      <c r="CTE61" s="124"/>
      <c r="CTF61" s="121"/>
      <c r="CTG61" s="125"/>
      <c r="CTH61" s="5"/>
      <c r="CTI61" s="117"/>
      <c r="CTJ61" s="4"/>
      <c r="CTK61" s="126"/>
      <c r="CTL61" s="127"/>
      <c r="CTM61" s="121"/>
      <c r="CTN61" s="5"/>
      <c r="CTO61" s="5"/>
      <c r="CTP61" s="124"/>
      <c r="CTQ61" s="121"/>
      <c r="CTR61" s="125"/>
      <c r="CTS61" s="5"/>
      <c r="CTT61" s="117"/>
      <c r="CTU61" s="4"/>
      <c r="CTV61" s="126"/>
      <c r="CTW61" s="127"/>
      <c r="CTX61" s="121"/>
      <c r="CTY61" s="5"/>
      <c r="CTZ61" s="5"/>
      <c r="CUA61" s="124"/>
      <c r="CUB61" s="121"/>
      <c r="CUC61" s="125"/>
      <c r="CUD61" s="5"/>
      <c r="CUE61" s="117"/>
      <c r="CUF61" s="4"/>
      <c r="CUG61" s="126"/>
      <c r="CUH61" s="127"/>
      <c r="CUI61" s="121"/>
      <c r="CUJ61" s="5"/>
      <c r="CUK61" s="5"/>
      <c r="CUL61" s="124"/>
      <c r="CUM61" s="121"/>
      <c r="CUN61" s="125"/>
      <c r="CUO61" s="5"/>
      <c r="CUP61" s="117"/>
      <c r="CUQ61" s="4"/>
      <c r="CUR61" s="126"/>
      <c r="CUS61" s="127"/>
      <c r="CUT61" s="121"/>
      <c r="CUU61" s="5"/>
      <c r="CUV61" s="5"/>
      <c r="CUW61" s="124"/>
      <c r="CUX61" s="121"/>
      <c r="CUY61" s="125"/>
      <c r="CUZ61" s="5"/>
      <c r="CVA61" s="117"/>
      <c r="CVB61" s="4"/>
      <c r="CVC61" s="126"/>
      <c r="CVD61" s="127"/>
      <c r="CVE61" s="121"/>
      <c r="CVF61" s="5"/>
      <c r="CVG61" s="5"/>
      <c r="CVH61" s="124"/>
      <c r="CVI61" s="121"/>
      <c r="CVJ61" s="125"/>
      <c r="CVK61" s="5"/>
      <c r="CVL61" s="117"/>
      <c r="CVM61" s="4"/>
      <c r="CVN61" s="126"/>
      <c r="CVO61" s="127"/>
      <c r="CVP61" s="121"/>
      <c r="CVQ61" s="5"/>
      <c r="CVR61" s="5"/>
      <c r="CVS61" s="124"/>
      <c r="CVT61" s="121"/>
      <c r="CVU61" s="125"/>
      <c r="CVV61" s="5"/>
      <c r="CVW61" s="117"/>
      <c r="CVX61" s="4"/>
      <c r="CVY61" s="126"/>
      <c r="CVZ61" s="127"/>
      <c r="CWA61" s="121"/>
      <c r="CWB61" s="5"/>
      <c r="CWC61" s="5"/>
      <c r="CWD61" s="124"/>
      <c r="CWE61" s="121"/>
      <c r="CWF61" s="125"/>
      <c r="CWG61" s="5"/>
      <c r="CWH61" s="117"/>
      <c r="CWI61" s="4"/>
      <c r="CWJ61" s="126"/>
      <c r="CWK61" s="127"/>
      <c r="CWL61" s="121"/>
      <c r="CWM61" s="5"/>
      <c r="CWN61" s="5"/>
      <c r="CWO61" s="124"/>
      <c r="CWP61" s="121"/>
      <c r="CWQ61" s="125"/>
      <c r="CWR61" s="5"/>
      <c r="CWS61" s="117"/>
      <c r="CWT61" s="4"/>
      <c r="CWU61" s="126"/>
      <c r="CWV61" s="127"/>
      <c r="CWW61" s="121"/>
      <c r="CWX61" s="5"/>
      <c r="CWY61" s="5"/>
      <c r="CWZ61" s="124"/>
      <c r="CXA61" s="121"/>
      <c r="CXB61" s="125"/>
      <c r="CXC61" s="5"/>
      <c r="CXD61" s="117"/>
      <c r="CXE61" s="4"/>
      <c r="CXF61" s="126"/>
      <c r="CXG61" s="127"/>
      <c r="CXH61" s="121"/>
      <c r="CXI61" s="5"/>
      <c r="CXJ61" s="5"/>
      <c r="CXK61" s="124"/>
      <c r="CXL61" s="121"/>
      <c r="CXM61" s="125"/>
      <c r="CXN61" s="5"/>
      <c r="CXO61" s="117"/>
      <c r="CXP61" s="4"/>
      <c r="CXQ61" s="126"/>
      <c r="CXR61" s="127"/>
      <c r="CXS61" s="121"/>
      <c r="CXT61" s="5"/>
      <c r="CXU61" s="5"/>
      <c r="CXV61" s="124"/>
      <c r="CXW61" s="121"/>
      <c r="CXX61" s="125"/>
      <c r="CXY61" s="5"/>
      <c r="CXZ61" s="117"/>
      <c r="CYA61" s="4"/>
      <c r="CYB61" s="126"/>
      <c r="CYC61" s="127"/>
      <c r="CYD61" s="121"/>
      <c r="CYE61" s="5"/>
      <c r="CYF61" s="5"/>
      <c r="CYG61" s="124"/>
      <c r="CYH61" s="121"/>
      <c r="CYI61" s="125"/>
      <c r="CYJ61" s="5"/>
      <c r="CYK61" s="117"/>
      <c r="CYL61" s="4"/>
      <c r="CYM61" s="126"/>
      <c r="CYN61" s="127"/>
      <c r="CYO61" s="121"/>
      <c r="CYP61" s="5"/>
      <c r="CYQ61" s="5"/>
      <c r="CYR61" s="124"/>
      <c r="CYS61" s="121"/>
      <c r="CYT61" s="125"/>
      <c r="CYU61" s="5"/>
      <c r="CYV61" s="117"/>
      <c r="CYW61" s="4"/>
      <c r="CYX61" s="126"/>
      <c r="CYY61" s="127"/>
      <c r="CYZ61" s="121"/>
      <c r="CZA61" s="5"/>
      <c r="CZB61" s="5"/>
      <c r="CZC61" s="124"/>
      <c r="CZD61" s="121"/>
      <c r="CZE61" s="125"/>
      <c r="CZF61" s="5"/>
      <c r="CZG61" s="117"/>
      <c r="CZH61" s="4"/>
      <c r="CZI61" s="126"/>
      <c r="CZJ61" s="127"/>
      <c r="CZK61" s="121"/>
      <c r="CZL61" s="5"/>
      <c r="CZM61" s="5"/>
      <c r="CZN61" s="124"/>
      <c r="CZO61" s="121"/>
      <c r="CZP61" s="125"/>
      <c r="CZQ61" s="5"/>
      <c r="CZR61" s="117"/>
      <c r="CZS61" s="4"/>
      <c r="CZT61" s="126"/>
      <c r="CZU61" s="127"/>
      <c r="CZV61" s="121"/>
      <c r="CZW61" s="5"/>
      <c r="CZX61" s="5"/>
      <c r="CZY61" s="124"/>
      <c r="CZZ61" s="121"/>
      <c r="DAA61" s="125"/>
      <c r="DAB61" s="5"/>
      <c r="DAC61" s="117"/>
      <c r="DAD61" s="4"/>
      <c r="DAE61" s="126"/>
      <c r="DAF61" s="127"/>
      <c r="DAG61" s="121"/>
      <c r="DAH61" s="5"/>
      <c r="DAI61" s="5"/>
      <c r="DAJ61" s="124"/>
      <c r="DAK61" s="121"/>
      <c r="DAL61" s="125"/>
      <c r="DAM61" s="5"/>
      <c r="DAN61" s="117"/>
      <c r="DAO61" s="4"/>
      <c r="DAP61" s="126"/>
      <c r="DAQ61" s="127"/>
      <c r="DAR61" s="121"/>
      <c r="DAS61" s="5"/>
      <c r="DAT61" s="5"/>
      <c r="DAU61" s="124"/>
      <c r="DAV61" s="121"/>
      <c r="DAW61" s="125"/>
      <c r="DAX61" s="5"/>
      <c r="DAY61" s="117"/>
      <c r="DAZ61" s="4"/>
      <c r="DBA61" s="126"/>
      <c r="DBB61" s="127"/>
      <c r="DBC61" s="121"/>
      <c r="DBD61" s="5"/>
      <c r="DBE61" s="5"/>
      <c r="DBF61" s="124"/>
      <c r="DBG61" s="121"/>
      <c r="DBH61" s="125"/>
      <c r="DBI61" s="5"/>
      <c r="DBJ61" s="117"/>
      <c r="DBK61" s="4"/>
      <c r="DBL61" s="126"/>
      <c r="DBM61" s="127"/>
      <c r="DBN61" s="121"/>
      <c r="DBO61" s="5"/>
      <c r="DBP61" s="5"/>
      <c r="DBQ61" s="124"/>
      <c r="DBR61" s="121"/>
      <c r="DBS61" s="125"/>
      <c r="DBT61" s="5"/>
      <c r="DBU61" s="117"/>
      <c r="DBV61" s="4"/>
      <c r="DBW61" s="126"/>
      <c r="DBX61" s="127"/>
      <c r="DBY61" s="121"/>
      <c r="DBZ61" s="5"/>
      <c r="DCA61" s="5"/>
      <c r="DCB61" s="124"/>
      <c r="DCC61" s="121"/>
      <c r="DCD61" s="125"/>
      <c r="DCE61" s="5"/>
      <c r="DCF61" s="117"/>
      <c r="DCG61" s="4"/>
      <c r="DCH61" s="126"/>
      <c r="DCI61" s="127"/>
      <c r="DCJ61" s="121"/>
      <c r="DCK61" s="5"/>
      <c r="DCL61" s="5"/>
      <c r="DCM61" s="124"/>
      <c r="DCN61" s="121"/>
      <c r="DCO61" s="125"/>
      <c r="DCP61" s="5"/>
      <c r="DCQ61" s="117"/>
      <c r="DCR61" s="4"/>
      <c r="DCS61" s="126"/>
      <c r="DCT61" s="127"/>
      <c r="DCU61" s="121"/>
      <c r="DCV61" s="5"/>
      <c r="DCW61" s="5"/>
      <c r="DCX61" s="124"/>
      <c r="DCY61" s="121"/>
      <c r="DCZ61" s="125"/>
      <c r="DDA61" s="5"/>
      <c r="DDB61" s="117"/>
      <c r="DDC61" s="4"/>
      <c r="DDD61" s="126"/>
      <c r="DDE61" s="127"/>
      <c r="DDF61" s="121"/>
      <c r="DDG61" s="5"/>
      <c r="DDH61" s="5"/>
      <c r="DDI61" s="124"/>
      <c r="DDJ61" s="121"/>
      <c r="DDK61" s="125"/>
      <c r="DDL61" s="5"/>
      <c r="DDM61" s="117"/>
      <c r="DDN61" s="4"/>
      <c r="DDO61" s="126"/>
      <c r="DDP61" s="127"/>
      <c r="DDQ61" s="121"/>
      <c r="DDR61" s="5"/>
      <c r="DDS61" s="5"/>
      <c r="DDT61" s="124"/>
      <c r="DDU61" s="121"/>
      <c r="DDV61" s="125"/>
      <c r="DDW61" s="5"/>
      <c r="DDX61" s="117"/>
      <c r="DDY61" s="4"/>
      <c r="DDZ61" s="126"/>
      <c r="DEA61" s="127"/>
      <c r="DEB61" s="121"/>
      <c r="DEC61" s="5"/>
      <c r="DED61" s="5"/>
      <c r="DEE61" s="124"/>
      <c r="DEF61" s="121"/>
      <c r="DEG61" s="125"/>
      <c r="DEH61" s="5"/>
      <c r="DEI61" s="117"/>
      <c r="DEJ61" s="4"/>
      <c r="DEK61" s="126"/>
      <c r="DEL61" s="127"/>
      <c r="DEM61" s="121"/>
      <c r="DEN61" s="5"/>
      <c r="DEO61" s="5"/>
      <c r="DEP61" s="124"/>
      <c r="DEQ61" s="121"/>
      <c r="DER61" s="125"/>
      <c r="DES61" s="5"/>
      <c r="DET61" s="117"/>
      <c r="DEU61" s="4"/>
      <c r="DEV61" s="126"/>
      <c r="DEW61" s="127"/>
      <c r="DEX61" s="121"/>
      <c r="DEY61" s="5"/>
      <c r="DEZ61" s="5"/>
      <c r="DFA61" s="124"/>
      <c r="DFB61" s="121"/>
      <c r="DFC61" s="125"/>
      <c r="DFD61" s="5"/>
      <c r="DFE61" s="117"/>
      <c r="DFF61" s="4"/>
      <c r="DFG61" s="126"/>
      <c r="DFH61" s="127"/>
      <c r="DFI61" s="121"/>
      <c r="DFJ61" s="5"/>
      <c r="DFK61" s="5"/>
      <c r="DFL61" s="124"/>
      <c r="DFM61" s="121"/>
      <c r="DFN61" s="125"/>
      <c r="DFO61" s="5"/>
      <c r="DFP61" s="117"/>
      <c r="DFQ61" s="4"/>
      <c r="DFR61" s="126"/>
      <c r="DFS61" s="127"/>
      <c r="DFT61" s="121"/>
      <c r="DFU61" s="5"/>
      <c r="DFV61" s="5"/>
      <c r="DFW61" s="124"/>
      <c r="DFX61" s="121"/>
      <c r="DFY61" s="125"/>
      <c r="DFZ61" s="5"/>
      <c r="DGA61" s="117"/>
      <c r="DGB61" s="4"/>
      <c r="DGC61" s="126"/>
      <c r="DGD61" s="127"/>
      <c r="DGE61" s="121"/>
      <c r="DGF61" s="5"/>
      <c r="DGG61" s="5"/>
      <c r="DGH61" s="124"/>
      <c r="DGI61" s="121"/>
      <c r="DGJ61" s="125"/>
      <c r="DGK61" s="5"/>
      <c r="DGL61" s="117"/>
      <c r="DGM61" s="4"/>
      <c r="DGN61" s="126"/>
      <c r="DGO61" s="127"/>
      <c r="DGP61" s="121"/>
      <c r="DGQ61" s="5"/>
      <c r="DGR61" s="5"/>
      <c r="DGS61" s="124"/>
      <c r="DGT61" s="121"/>
      <c r="DGU61" s="125"/>
      <c r="DGV61" s="5"/>
      <c r="DGW61" s="117"/>
      <c r="DGX61" s="4"/>
      <c r="DGY61" s="126"/>
      <c r="DGZ61" s="127"/>
      <c r="DHA61" s="121"/>
      <c r="DHB61" s="5"/>
      <c r="DHC61" s="5"/>
      <c r="DHD61" s="124"/>
      <c r="DHE61" s="121"/>
      <c r="DHF61" s="125"/>
      <c r="DHG61" s="5"/>
      <c r="DHH61" s="117"/>
      <c r="DHI61" s="4"/>
      <c r="DHJ61" s="126"/>
      <c r="DHK61" s="127"/>
      <c r="DHL61" s="121"/>
      <c r="DHM61" s="5"/>
      <c r="DHN61" s="5"/>
      <c r="DHO61" s="124"/>
      <c r="DHP61" s="121"/>
      <c r="DHQ61" s="125"/>
      <c r="DHR61" s="5"/>
      <c r="DHS61" s="117"/>
      <c r="DHT61" s="4"/>
      <c r="DHU61" s="126"/>
      <c r="DHV61" s="127"/>
      <c r="DHW61" s="121"/>
      <c r="DHX61" s="5"/>
      <c r="DHY61" s="5"/>
      <c r="DHZ61" s="124"/>
      <c r="DIA61" s="121"/>
      <c r="DIB61" s="125"/>
      <c r="DIC61" s="5"/>
      <c r="DID61" s="117"/>
      <c r="DIE61" s="4"/>
      <c r="DIF61" s="126"/>
      <c r="DIG61" s="127"/>
      <c r="DIH61" s="121"/>
      <c r="DII61" s="5"/>
      <c r="DIJ61" s="5"/>
      <c r="DIK61" s="124"/>
      <c r="DIL61" s="121"/>
      <c r="DIM61" s="125"/>
      <c r="DIN61" s="5"/>
      <c r="DIO61" s="117"/>
      <c r="DIP61" s="4"/>
      <c r="DIQ61" s="126"/>
      <c r="DIR61" s="127"/>
      <c r="DIS61" s="121"/>
      <c r="DIT61" s="5"/>
      <c r="DIU61" s="5"/>
      <c r="DIV61" s="124"/>
      <c r="DIW61" s="121"/>
      <c r="DIX61" s="125"/>
      <c r="DIY61" s="5"/>
      <c r="DIZ61" s="117"/>
      <c r="DJA61" s="4"/>
      <c r="DJB61" s="126"/>
      <c r="DJC61" s="127"/>
      <c r="DJD61" s="121"/>
      <c r="DJE61" s="5"/>
      <c r="DJF61" s="5"/>
      <c r="DJG61" s="124"/>
      <c r="DJH61" s="121"/>
      <c r="DJI61" s="125"/>
      <c r="DJJ61" s="5"/>
      <c r="DJK61" s="117"/>
      <c r="DJL61" s="4"/>
      <c r="DJM61" s="126"/>
      <c r="DJN61" s="127"/>
      <c r="DJO61" s="121"/>
      <c r="DJP61" s="5"/>
      <c r="DJQ61" s="5"/>
      <c r="DJR61" s="124"/>
      <c r="DJS61" s="121"/>
      <c r="DJT61" s="125"/>
      <c r="DJU61" s="5"/>
      <c r="DJV61" s="117"/>
      <c r="DJW61" s="4"/>
      <c r="DJX61" s="126"/>
      <c r="DJY61" s="127"/>
      <c r="DJZ61" s="121"/>
      <c r="DKA61" s="5"/>
      <c r="DKB61" s="5"/>
      <c r="DKC61" s="124"/>
      <c r="DKD61" s="121"/>
      <c r="DKE61" s="125"/>
      <c r="DKF61" s="5"/>
      <c r="DKG61" s="117"/>
      <c r="DKH61" s="4"/>
      <c r="DKI61" s="126"/>
      <c r="DKJ61" s="127"/>
      <c r="DKK61" s="121"/>
      <c r="DKL61" s="5"/>
      <c r="DKM61" s="5"/>
      <c r="DKN61" s="124"/>
      <c r="DKO61" s="121"/>
      <c r="DKP61" s="125"/>
      <c r="DKQ61" s="5"/>
      <c r="DKR61" s="117"/>
      <c r="DKS61" s="4"/>
      <c r="DKT61" s="126"/>
      <c r="DKU61" s="127"/>
      <c r="DKV61" s="121"/>
      <c r="DKW61" s="5"/>
      <c r="DKX61" s="5"/>
      <c r="DKY61" s="124"/>
      <c r="DKZ61" s="121"/>
      <c r="DLA61" s="125"/>
      <c r="DLB61" s="5"/>
      <c r="DLC61" s="117"/>
      <c r="DLD61" s="4"/>
      <c r="DLE61" s="126"/>
      <c r="DLF61" s="127"/>
      <c r="DLG61" s="121"/>
      <c r="DLH61" s="5"/>
      <c r="DLI61" s="5"/>
      <c r="DLJ61" s="124"/>
      <c r="DLK61" s="121"/>
      <c r="DLL61" s="125"/>
      <c r="DLM61" s="5"/>
      <c r="DLN61" s="117"/>
      <c r="DLO61" s="4"/>
      <c r="DLP61" s="126"/>
      <c r="DLQ61" s="127"/>
      <c r="DLR61" s="121"/>
      <c r="DLS61" s="5"/>
      <c r="DLT61" s="5"/>
      <c r="DLU61" s="124"/>
      <c r="DLV61" s="121"/>
      <c r="DLW61" s="125"/>
      <c r="DLX61" s="5"/>
      <c r="DLY61" s="117"/>
      <c r="DLZ61" s="4"/>
      <c r="DMA61" s="126"/>
      <c r="DMB61" s="127"/>
      <c r="DMC61" s="121"/>
      <c r="DMD61" s="5"/>
      <c r="DME61" s="5"/>
      <c r="DMF61" s="124"/>
      <c r="DMG61" s="121"/>
      <c r="DMH61" s="125"/>
      <c r="DMI61" s="5"/>
      <c r="DMJ61" s="117"/>
      <c r="DMK61" s="4"/>
      <c r="DML61" s="126"/>
      <c r="DMM61" s="127"/>
      <c r="DMN61" s="121"/>
      <c r="DMO61" s="5"/>
      <c r="DMP61" s="5"/>
      <c r="DMQ61" s="124"/>
      <c r="DMR61" s="121"/>
      <c r="DMS61" s="125"/>
      <c r="DMT61" s="5"/>
      <c r="DMU61" s="117"/>
      <c r="DMV61" s="4"/>
      <c r="DMW61" s="126"/>
      <c r="DMX61" s="127"/>
      <c r="DMY61" s="121"/>
      <c r="DMZ61" s="5"/>
      <c r="DNA61" s="5"/>
      <c r="DNB61" s="124"/>
      <c r="DNC61" s="121"/>
      <c r="DND61" s="125"/>
      <c r="DNE61" s="5"/>
      <c r="DNF61" s="117"/>
      <c r="DNG61" s="4"/>
      <c r="DNH61" s="126"/>
      <c r="DNI61" s="127"/>
      <c r="DNJ61" s="121"/>
      <c r="DNK61" s="5"/>
      <c r="DNL61" s="5"/>
      <c r="DNM61" s="124"/>
      <c r="DNN61" s="121"/>
      <c r="DNO61" s="125"/>
      <c r="DNP61" s="5"/>
      <c r="DNQ61" s="117"/>
      <c r="DNR61" s="4"/>
      <c r="DNS61" s="126"/>
      <c r="DNT61" s="127"/>
      <c r="DNU61" s="121"/>
      <c r="DNV61" s="5"/>
      <c r="DNW61" s="5"/>
      <c r="DNX61" s="124"/>
      <c r="DNY61" s="121"/>
      <c r="DNZ61" s="125"/>
      <c r="DOA61" s="5"/>
      <c r="DOB61" s="117"/>
      <c r="DOC61" s="4"/>
      <c r="DOD61" s="126"/>
      <c r="DOE61" s="127"/>
      <c r="DOF61" s="121"/>
      <c r="DOG61" s="5"/>
      <c r="DOH61" s="5"/>
      <c r="DOI61" s="124"/>
      <c r="DOJ61" s="121"/>
      <c r="DOK61" s="125"/>
      <c r="DOL61" s="5"/>
      <c r="DOM61" s="117"/>
      <c r="DON61" s="4"/>
      <c r="DOO61" s="126"/>
      <c r="DOP61" s="127"/>
      <c r="DOQ61" s="121"/>
      <c r="DOR61" s="5"/>
      <c r="DOS61" s="5"/>
      <c r="DOT61" s="124"/>
      <c r="DOU61" s="121"/>
      <c r="DOV61" s="125"/>
      <c r="DOW61" s="5"/>
      <c r="DOX61" s="117"/>
      <c r="DOY61" s="4"/>
      <c r="DOZ61" s="126"/>
      <c r="DPA61" s="127"/>
      <c r="DPB61" s="121"/>
      <c r="DPC61" s="5"/>
      <c r="DPD61" s="5"/>
      <c r="DPE61" s="124"/>
      <c r="DPF61" s="121"/>
      <c r="DPG61" s="125"/>
      <c r="DPH61" s="5"/>
      <c r="DPI61" s="117"/>
      <c r="DPJ61" s="4"/>
      <c r="DPK61" s="126"/>
      <c r="DPL61" s="127"/>
      <c r="DPM61" s="121"/>
      <c r="DPN61" s="5"/>
      <c r="DPO61" s="5"/>
      <c r="DPP61" s="124"/>
      <c r="DPQ61" s="121"/>
      <c r="DPR61" s="125"/>
      <c r="DPS61" s="5"/>
      <c r="DPT61" s="117"/>
      <c r="DPU61" s="4"/>
      <c r="DPV61" s="126"/>
      <c r="DPW61" s="127"/>
      <c r="DPX61" s="121"/>
      <c r="DPY61" s="5"/>
      <c r="DPZ61" s="5"/>
      <c r="DQA61" s="124"/>
      <c r="DQB61" s="121"/>
      <c r="DQC61" s="125"/>
      <c r="DQD61" s="5"/>
      <c r="DQE61" s="117"/>
      <c r="DQF61" s="4"/>
      <c r="DQG61" s="126"/>
      <c r="DQH61" s="127"/>
      <c r="DQI61" s="121"/>
      <c r="DQJ61" s="5"/>
      <c r="DQK61" s="5"/>
      <c r="DQL61" s="124"/>
      <c r="DQM61" s="121"/>
      <c r="DQN61" s="125"/>
      <c r="DQO61" s="5"/>
      <c r="DQP61" s="117"/>
      <c r="DQQ61" s="4"/>
      <c r="DQR61" s="126"/>
      <c r="DQS61" s="127"/>
      <c r="DQT61" s="121"/>
      <c r="DQU61" s="5"/>
      <c r="DQV61" s="5"/>
      <c r="DQW61" s="124"/>
      <c r="DQX61" s="121"/>
      <c r="DQY61" s="125"/>
      <c r="DQZ61" s="5"/>
      <c r="DRA61" s="117"/>
      <c r="DRB61" s="4"/>
      <c r="DRC61" s="126"/>
      <c r="DRD61" s="127"/>
      <c r="DRE61" s="121"/>
      <c r="DRF61" s="5"/>
      <c r="DRG61" s="5"/>
      <c r="DRH61" s="124"/>
      <c r="DRI61" s="121"/>
      <c r="DRJ61" s="125"/>
      <c r="DRK61" s="5"/>
      <c r="DRL61" s="117"/>
      <c r="DRM61" s="4"/>
      <c r="DRN61" s="126"/>
      <c r="DRO61" s="127"/>
      <c r="DRP61" s="121"/>
      <c r="DRQ61" s="5"/>
      <c r="DRR61" s="5"/>
      <c r="DRS61" s="124"/>
      <c r="DRT61" s="121"/>
      <c r="DRU61" s="125"/>
      <c r="DRV61" s="5"/>
      <c r="DRW61" s="117"/>
      <c r="DRX61" s="4"/>
      <c r="DRY61" s="126"/>
      <c r="DRZ61" s="127"/>
      <c r="DSA61" s="121"/>
      <c r="DSB61" s="5"/>
      <c r="DSC61" s="5"/>
      <c r="DSD61" s="124"/>
      <c r="DSE61" s="121"/>
      <c r="DSF61" s="125"/>
      <c r="DSG61" s="5"/>
      <c r="DSH61" s="117"/>
      <c r="DSI61" s="4"/>
      <c r="DSJ61" s="126"/>
      <c r="DSK61" s="127"/>
      <c r="DSL61" s="121"/>
      <c r="DSM61" s="5"/>
      <c r="DSN61" s="5"/>
      <c r="DSO61" s="124"/>
      <c r="DSP61" s="121"/>
      <c r="DSQ61" s="125"/>
      <c r="DSR61" s="5"/>
      <c r="DSS61" s="117"/>
      <c r="DST61" s="4"/>
      <c r="DSU61" s="126"/>
      <c r="DSV61" s="127"/>
      <c r="DSW61" s="121"/>
      <c r="DSX61" s="5"/>
      <c r="DSY61" s="5"/>
      <c r="DSZ61" s="124"/>
      <c r="DTA61" s="121"/>
      <c r="DTB61" s="125"/>
      <c r="DTC61" s="5"/>
      <c r="DTD61" s="117"/>
      <c r="DTE61" s="4"/>
      <c r="DTF61" s="126"/>
      <c r="DTG61" s="127"/>
      <c r="DTH61" s="121"/>
      <c r="DTI61" s="5"/>
      <c r="DTJ61" s="5"/>
      <c r="DTK61" s="124"/>
      <c r="DTL61" s="121"/>
      <c r="DTM61" s="125"/>
      <c r="DTN61" s="5"/>
      <c r="DTO61" s="117"/>
      <c r="DTP61" s="4"/>
      <c r="DTQ61" s="126"/>
      <c r="DTR61" s="127"/>
      <c r="DTS61" s="121"/>
      <c r="DTT61" s="5"/>
      <c r="DTU61" s="5"/>
      <c r="DTV61" s="124"/>
      <c r="DTW61" s="121"/>
      <c r="DTX61" s="125"/>
      <c r="DTY61" s="5"/>
      <c r="DTZ61" s="117"/>
      <c r="DUA61" s="4"/>
      <c r="DUB61" s="126"/>
      <c r="DUC61" s="127"/>
      <c r="DUD61" s="121"/>
      <c r="DUE61" s="5"/>
      <c r="DUF61" s="5"/>
      <c r="DUG61" s="124"/>
      <c r="DUH61" s="121"/>
      <c r="DUI61" s="125"/>
      <c r="DUJ61" s="5"/>
      <c r="DUK61" s="117"/>
      <c r="DUL61" s="4"/>
      <c r="DUM61" s="126"/>
      <c r="DUN61" s="127"/>
      <c r="DUO61" s="121"/>
      <c r="DUP61" s="5"/>
      <c r="DUQ61" s="5"/>
      <c r="DUR61" s="124"/>
      <c r="DUS61" s="121"/>
      <c r="DUT61" s="125"/>
      <c r="DUU61" s="5"/>
      <c r="DUV61" s="117"/>
      <c r="DUW61" s="4"/>
      <c r="DUX61" s="126"/>
      <c r="DUY61" s="127"/>
      <c r="DUZ61" s="121"/>
      <c r="DVA61" s="5"/>
      <c r="DVB61" s="5"/>
      <c r="DVC61" s="124"/>
      <c r="DVD61" s="121"/>
      <c r="DVE61" s="125"/>
      <c r="DVF61" s="5"/>
      <c r="DVG61" s="117"/>
      <c r="DVH61" s="4"/>
      <c r="DVI61" s="126"/>
      <c r="DVJ61" s="127"/>
      <c r="DVK61" s="121"/>
      <c r="DVL61" s="5"/>
      <c r="DVM61" s="5"/>
      <c r="DVN61" s="124"/>
      <c r="DVO61" s="121"/>
      <c r="DVP61" s="125"/>
      <c r="DVQ61" s="5"/>
      <c r="DVR61" s="117"/>
      <c r="DVS61" s="4"/>
      <c r="DVT61" s="126"/>
      <c r="DVU61" s="127"/>
      <c r="DVV61" s="121"/>
      <c r="DVW61" s="5"/>
      <c r="DVX61" s="5"/>
      <c r="DVY61" s="124"/>
      <c r="DVZ61" s="121"/>
      <c r="DWA61" s="125"/>
      <c r="DWB61" s="5"/>
      <c r="DWC61" s="117"/>
      <c r="DWD61" s="4"/>
      <c r="DWE61" s="126"/>
      <c r="DWF61" s="127"/>
      <c r="DWG61" s="121"/>
      <c r="DWH61" s="5"/>
      <c r="DWI61" s="5"/>
      <c r="DWJ61" s="124"/>
      <c r="DWK61" s="121"/>
      <c r="DWL61" s="125"/>
      <c r="DWM61" s="5"/>
      <c r="DWN61" s="117"/>
      <c r="DWO61" s="4"/>
      <c r="DWP61" s="126"/>
      <c r="DWQ61" s="127"/>
      <c r="DWR61" s="121"/>
      <c r="DWS61" s="5"/>
      <c r="DWT61" s="5"/>
      <c r="DWU61" s="124"/>
      <c r="DWV61" s="121"/>
      <c r="DWW61" s="125"/>
      <c r="DWX61" s="5"/>
      <c r="DWY61" s="117"/>
      <c r="DWZ61" s="4"/>
      <c r="DXA61" s="126"/>
      <c r="DXB61" s="127"/>
      <c r="DXC61" s="121"/>
      <c r="DXD61" s="5"/>
      <c r="DXE61" s="5"/>
      <c r="DXF61" s="124"/>
      <c r="DXG61" s="121"/>
      <c r="DXH61" s="125"/>
      <c r="DXI61" s="5"/>
      <c r="DXJ61" s="117"/>
      <c r="DXK61" s="4"/>
      <c r="DXL61" s="126"/>
      <c r="DXM61" s="127"/>
      <c r="DXN61" s="121"/>
      <c r="DXO61" s="5"/>
      <c r="DXP61" s="5"/>
      <c r="DXQ61" s="124"/>
      <c r="DXR61" s="121"/>
      <c r="DXS61" s="125"/>
      <c r="DXT61" s="5"/>
      <c r="DXU61" s="117"/>
      <c r="DXV61" s="4"/>
      <c r="DXW61" s="126"/>
      <c r="DXX61" s="127"/>
      <c r="DXY61" s="121"/>
      <c r="DXZ61" s="5"/>
      <c r="DYA61" s="5"/>
      <c r="DYB61" s="124"/>
      <c r="DYC61" s="121"/>
      <c r="DYD61" s="125"/>
      <c r="DYE61" s="5"/>
      <c r="DYF61" s="117"/>
      <c r="DYG61" s="4"/>
      <c r="DYH61" s="126"/>
      <c r="DYI61" s="127"/>
      <c r="DYJ61" s="121"/>
      <c r="DYK61" s="5"/>
      <c r="DYL61" s="5"/>
      <c r="DYM61" s="124"/>
      <c r="DYN61" s="121"/>
      <c r="DYO61" s="125"/>
      <c r="DYP61" s="5"/>
      <c r="DYQ61" s="117"/>
      <c r="DYR61" s="4"/>
      <c r="DYS61" s="126"/>
      <c r="DYT61" s="127"/>
      <c r="DYU61" s="121"/>
      <c r="DYV61" s="5"/>
      <c r="DYW61" s="5"/>
      <c r="DYX61" s="124"/>
      <c r="DYY61" s="121"/>
      <c r="DYZ61" s="125"/>
      <c r="DZA61" s="5"/>
      <c r="DZB61" s="117"/>
      <c r="DZC61" s="4"/>
      <c r="DZD61" s="126"/>
      <c r="DZE61" s="127"/>
      <c r="DZF61" s="121"/>
      <c r="DZG61" s="5"/>
      <c r="DZH61" s="5"/>
      <c r="DZI61" s="124"/>
      <c r="DZJ61" s="121"/>
      <c r="DZK61" s="125"/>
      <c r="DZL61" s="5"/>
      <c r="DZM61" s="117"/>
      <c r="DZN61" s="4"/>
      <c r="DZO61" s="126"/>
      <c r="DZP61" s="127"/>
      <c r="DZQ61" s="121"/>
      <c r="DZR61" s="5"/>
      <c r="DZS61" s="5"/>
      <c r="DZT61" s="124"/>
      <c r="DZU61" s="121"/>
      <c r="DZV61" s="125"/>
      <c r="DZW61" s="5"/>
      <c r="DZX61" s="117"/>
      <c r="DZY61" s="4"/>
      <c r="DZZ61" s="126"/>
      <c r="EAA61" s="127"/>
      <c r="EAB61" s="121"/>
      <c r="EAC61" s="5"/>
      <c r="EAD61" s="5"/>
      <c r="EAE61" s="124"/>
      <c r="EAF61" s="121"/>
      <c r="EAG61" s="125"/>
      <c r="EAH61" s="5"/>
      <c r="EAI61" s="117"/>
      <c r="EAJ61" s="4"/>
      <c r="EAK61" s="126"/>
      <c r="EAL61" s="127"/>
      <c r="EAM61" s="121"/>
      <c r="EAN61" s="5"/>
      <c r="EAO61" s="5"/>
      <c r="EAP61" s="124"/>
      <c r="EAQ61" s="121"/>
      <c r="EAR61" s="125"/>
      <c r="EAS61" s="5"/>
      <c r="EAT61" s="117"/>
      <c r="EAU61" s="4"/>
      <c r="EAV61" s="126"/>
      <c r="EAW61" s="127"/>
      <c r="EAX61" s="121"/>
      <c r="EAY61" s="5"/>
      <c r="EAZ61" s="5"/>
      <c r="EBA61" s="124"/>
      <c r="EBB61" s="121"/>
      <c r="EBC61" s="125"/>
      <c r="EBD61" s="5"/>
      <c r="EBE61" s="117"/>
      <c r="EBF61" s="4"/>
      <c r="EBG61" s="126"/>
      <c r="EBH61" s="127"/>
      <c r="EBI61" s="121"/>
      <c r="EBJ61" s="5"/>
      <c r="EBK61" s="5"/>
      <c r="EBL61" s="124"/>
      <c r="EBM61" s="121"/>
      <c r="EBN61" s="125"/>
      <c r="EBO61" s="5"/>
      <c r="EBP61" s="117"/>
      <c r="EBQ61" s="4"/>
      <c r="EBR61" s="126"/>
      <c r="EBS61" s="127"/>
      <c r="EBT61" s="121"/>
      <c r="EBU61" s="5"/>
      <c r="EBV61" s="5"/>
      <c r="EBW61" s="124"/>
      <c r="EBX61" s="121"/>
      <c r="EBY61" s="125"/>
      <c r="EBZ61" s="5"/>
      <c r="ECA61" s="117"/>
      <c r="ECB61" s="4"/>
      <c r="ECC61" s="126"/>
      <c r="ECD61" s="127"/>
      <c r="ECE61" s="121"/>
      <c r="ECF61" s="5"/>
      <c r="ECG61" s="5"/>
      <c r="ECH61" s="124"/>
      <c r="ECI61" s="121"/>
      <c r="ECJ61" s="125"/>
      <c r="ECK61" s="5"/>
      <c r="ECL61" s="117"/>
      <c r="ECM61" s="4"/>
      <c r="ECN61" s="126"/>
      <c r="ECO61" s="127"/>
      <c r="ECP61" s="121"/>
      <c r="ECQ61" s="5"/>
      <c r="ECR61" s="5"/>
      <c r="ECS61" s="124"/>
      <c r="ECT61" s="121"/>
      <c r="ECU61" s="125"/>
      <c r="ECV61" s="5"/>
      <c r="ECW61" s="117"/>
      <c r="ECX61" s="4"/>
      <c r="ECY61" s="126"/>
      <c r="ECZ61" s="127"/>
      <c r="EDA61" s="121"/>
      <c r="EDB61" s="5"/>
      <c r="EDC61" s="5"/>
      <c r="EDD61" s="124"/>
      <c r="EDE61" s="121"/>
      <c r="EDF61" s="125"/>
      <c r="EDG61" s="5"/>
      <c r="EDH61" s="117"/>
      <c r="EDI61" s="4"/>
      <c r="EDJ61" s="126"/>
      <c r="EDK61" s="127"/>
      <c r="EDL61" s="121"/>
      <c r="EDM61" s="5"/>
      <c r="EDN61" s="5"/>
      <c r="EDO61" s="124"/>
      <c r="EDP61" s="121"/>
      <c r="EDQ61" s="125"/>
      <c r="EDR61" s="5"/>
      <c r="EDS61" s="117"/>
      <c r="EDT61" s="4"/>
      <c r="EDU61" s="126"/>
      <c r="EDV61" s="127"/>
      <c r="EDW61" s="121"/>
      <c r="EDX61" s="5"/>
      <c r="EDY61" s="5"/>
      <c r="EDZ61" s="124"/>
      <c r="EEA61" s="121"/>
      <c r="EEB61" s="125"/>
      <c r="EEC61" s="5"/>
      <c r="EED61" s="117"/>
      <c r="EEE61" s="4"/>
      <c r="EEF61" s="126"/>
      <c r="EEG61" s="127"/>
      <c r="EEH61" s="121"/>
      <c r="EEI61" s="5"/>
      <c r="EEJ61" s="5"/>
      <c r="EEK61" s="124"/>
      <c r="EEL61" s="121"/>
      <c r="EEM61" s="125"/>
      <c r="EEN61" s="5"/>
      <c r="EEO61" s="117"/>
      <c r="EEP61" s="4"/>
      <c r="EEQ61" s="126"/>
      <c r="EER61" s="127"/>
      <c r="EES61" s="121"/>
      <c r="EET61" s="5"/>
      <c r="EEU61" s="5"/>
      <c r="EEV61" s="124"/>
      <c r="EEW61" s="121"/>
      <c r="EEX61" s="125"/>
      <c r="EEY61" s="5"/>
      <c r="EEZ61" s="117"/>
      <c r="EFA61" s="4"/>
      <c r="EFB61" s="126"/>
      <c r="EFC61" s="127"/>
      <c r="EFD61" s="121"/>
      <c r="EFE61" s="5"/>
      <c r="EFF61" s="5"/>
      <c r="EFG61" s="124"/>
      <c r="EFH61" s="121"/>
      <c r="EFI61" s="125"/>
      <c r="EFJ61" s="5"/>
      <c r="EFK61" s="117"/>
      <c r="EFL61" s="4"/>
      <c r="EFM61" s="126"/>
      <c r="EFN61" s="127"/>
      <c r="EFO61" s="121"/>
      <c r="EFP61" s="5"/>
      <c r="EFQ61" s="5"/>
      <c r="EFR61" s="124"/>
      <c r="EFS61" s="121"/>
      <c r="EFT61" s="125"/>
      <c r="EFU61" s="5"/>
      <c r="EFV61" s="117"/>
      <c r="EFW61" s="4"/>
      <c r="EFX61" s="126"/>
      <c r="EFY61" s="127"/>
      <c r="EFZ61" s="121"/>
      <c r="EGA61" s="5"/>
      <c r="EGB61" s="5"/>
      <c r="EGC61" s="124"/>
      <c r="EGD61" s="121"/>
      <c r="EGE61" s="125"/>
      <c r="EGF61" s="5"/>
      <c r="EGG61" s="117"/>
      <c r="EGH61" s="4"/>
      <c r="EGI61" s="126"/>
      <c r="EGJ61" s="127"/>
      <c r="EGK61" s="121"/>
      <c r="EGL61" s="5"/>
      <c r="EGM61" s="5"/>
      <c r="EGN61" s="124"/>
      <c r="EGO61" s="121"/>
      <c r="EGP61" s="125"/>
      <c r="EGQ61" s="5"/>
      <c r="EGR61" s="117"/>
      <c r="EGS61" s="4"/>
      <c r="EGT61" s="126"/>
      <c r="EGU61" s="127"/>
      <c r="EGV61" s="121"/>
      <c r="EGW61" s="5"/>
      <c r="EGX61" s="5"/>
      <c r="EGY61" s="124"/>
      <c r="EGZ61" s="121"/>
      <c r="EHA61" s="125"/>
      <c r="EHB61" s="5"/>
      <c r="EHC61" s="117"/>
      <c r="EHD61" s="4"/>
      <c r="EHE61" s="126"/>
      <c r="EHF61" s="127"/>
      <c r="EHG61" s="121"/>
      <c r="EHH61" s="5"/>
      <c r="EHI61" s="5"/>
      <c r="EHJ61" s="124"/>
      <c r="EHK61" s="121"/>
      <c r="EHL61" s="125"/>
      <c r="EHM61" s="5"/>
      <c r="EHN61" s="117"/>
      <c r="EHO61" s="4"/>
      <c r="EHP61" s="126"/>
      <c r="EHQ61" s="127"/>
      <c r="EHR61" s="121"/>
      <c r="EHS61" s="5"/>
      <c r="EHT61" s="5"/>
      <c r="EHU61" s="124"/>
      <c r="EHV61" s="121"/>
      <c r="EHW61" s="125"/>
      <c r="EHX61" s="5"/>
      <c r="EHY61" s="117"/>
      <c r="EHZ61" s="4"/>
      <c r="EIA61" s="126"/>
      <c r="EIB61" s="127"/>
      <c r="EIC61" s="121"/>
      <c r="EID61" s="5"/>
      <c r="EIE61" s="5"/>
      <c r="EIF61" s="124"/>
      <c r="EIG61" s="121"/>
      <c r="EIH61" s="125"/>
      <c r="EII61" s="5"/>
      <c r="EIJ61" s="117"/>
      <c r="EIK61" s="4"/>
      <c r="EIL61" s="126"/>
      <c r="EIM61" s="127"/>
      <c r="EIN61" s="121"/>
      <c r="EIO61" s="5"/>
      <c r="EIP61" s="5"/>
      <c r="EIQ61" s="124"/>
      <c r="EIR61" s="121"/>
      <c r="EIS61" s="125"/>
      <c r="EIT61" s="5"/>
      <c r="EIU61" s="117"/>
      <c r="EIV61" s="4"/>
      <c r="EIW61" s="126"/>
      <c r="EIX61" s="127"/>
      <c r="EIY61" s="121"/>
      <c r="EIZ61" s="5"/>
      <c r="EJA61" s="5"/>
      <c r="EJB61" s="124"/>
      <c r="EJC61" s="121"/>
      <c r="EJD61" s="125"/>
      <c r="EJE61" s="5"/>
      <c r="EJF61" s="117"/>
      <c r="EJG61" s="4"/>
      <c r="EJH61" s="126"/>
      <c r="EJI61" s="127"/>
      <c r="EJJ61" s="121"/>
      <c r="EJK61" s="5"/>
      <c r="EJL61" s="5"/>
      <c r="EJM61" s="124"/>
      <c r="EJN61" s="121"/>
      <c r="EJO61" s="125"/>
      <c r="EJP61" s="5"/>
      <c r="EJQ61" s="117"/>
      <c r="EJR61" s="4"/>
      <c r="EJS61" s="126"/>
      <c r="EJT61" s="127"/>
      <c r="EJU61" s="121"/>
      <c r="EJV61" s="5"/>
      <c r="EJW61" s="5"/>
      <c r="EJX61" s="124"/>
      <c r="EJY61" s="121"/>
      <c r="EJZ61" s="125"/>
      <c r="EKA61" s="5"/>
      <c r="EKB61" s="117"/>
      <c r="EKC61" s="4"/>
      <c r="EKD61" s="126"/>
      <c r="EKE61" s="127"/>
      <c r="EKF61" s="121"/>
      <c r="EKG61" s="5"/>
      <c r="EKH61" s="5"/>
      <c r="EKI61" s="124"/>
      <c r="EKJ61" s="121"/>
      <c r="EKK61" s="125"/>
      <c r="EKL61" s="5"/>
      <c r="EKM61" s="117"/>
      <c r="EKN61" s="4"/>
      <c r="EKO61" s="126"/>
      <c r="EKP61" s="127"/>
      <c r="EKQ61" s="121"/>
      <c r="EKR61" s="5"/>
      <c r="EKS61" s="5"/>
      <c r="EKT61" s="124"/>
      <c r="EKU61" s="121"/>
      <c r="EKV61" s="125"/>
      <c r="EKW61" s="5"/>
      <c r="EKX61" s="117"/>
      <c r="EKY61" s="4"/>
      <c r="EKZ61" s="126"/>
      <c r="ELA61" s="127"/>
      <c r="ELB61" s="121"/>
      <c r="ELC61" s="5"/>
      <c r="ELD61" s="5"/>
      <c r="ELE61" s="124"/>
      <c r="ELF61" s="121"/>
      <c r="ELG61" s="125"/>
      <c r="ELH61" s="5"/>
      <c r="ELI61" s="117"/>
      <c r="ELJ61" s="4"/>
      <c r="ELK61" s="126"/>
      <c r="ELL61" s="127"/>
      <c r="ELM61" s="121"/>
      <c r="ELN61" s="5"/>
      <c r="ELO61" s="5"/>
      <c r="ELP61" s="124"/>
      <c r="ELQ61" s="121"/>
      <c r="ELR61" s="125"/>
      <c r="ELS61" s="5"/>
      <c r="ELT61" s="117"/>
      <c r="ELU61" s="4"/>
      <c r="ELV61" s="126"/>
      <c r="ELW61" s="127"/>
      <c r="ELX61" s="121"/>
      <c r="ELY61" s="5"/>
      <c r="ELZ61" s="5"/>
      <c r="EMA61" s="124"/>
      <c r="EMB61" s="121"/>
      <c r="EMC61" s="125"/>
      <c r="EMD61" s="5"/>
      <c r="EME61" s="117"/>
      <c r="EMF61" s="4"/>
      <c r="EMG61" s="126"/>
      <c r="EMH61" s="127"/>
      <c r="EMI61" s="121"/>
      <c r="EMJ61" s="5"/>
      <c r="EMK61" s="5"/>
      <c r="EML61" s="124"/>
      <c r="EMM61" s="121"/>
      <c r="EMN61" s="125"/>
      <c r="EMO61" s="5"/>
      <c r="EMP61" s="117"/>
      <c r="EMQ61" s="4"/>
      <c r="EMR61" s="126"/>
      <c r="EMS61" s="127"/>
      <c r="EMT61" s="121"/>
      <c r="EMU61" s="5"/>
      <c r="EMV61" s="5"/>
      <c r="EMW61" s="124"/>
      <c r="EMX61" s="121"/>
      <c r="EMY61" s="125"/>
      <c r="EMZ61" s="5"/>
      <c r="ENA61" s="117"/>
      <c r="ENB61" s="4"/>
      <c r="ENC61" s="126"/>
      <c r="END61" s="127"/>
      <c r="ENE61" s="121"/>
      <c r="ENF61" s="5"/>
      <c r="ENG61" s="5"/>
      <c r="ENH61" s="124"/>
      <c r="ENI61" s="121"/>
      <c r="ENJ61" s="125"/>
      <c r="ENK61" s="5"/>
      <c r="ENL61" s="117"/>
      <c r="ENM61" s="4"/>
      <c r="ENN61" s="126"/>
      <c r="ENO61" s="127"/>
      <c r="ENP61" s="121"/>
      <c r="ENQ61" s="5"/>
      <c r="ENR61" s="5"/>
      <c r="ENS61" s="124"/>
      <c r="ENT61" s="121"/>
      <c r="ENU61" s="125"/>
      <c r="ENV61" s="5"/>
      <c r="ENW61" s="117"/>
      <c r="ENX61" s="4"/>
      <c r="ENY61" s="126"/>
      <c r="ENZ61" s="127"/>
      <c r="EOA61" s="121"/>
      <c r="EOB61" s="5"/>
      <c r="EOC61" s="5"/>
      <c r="EOD61" s="124"/>
      <c r="EOE61" s="121"/>
      <c r="EOF61" s="125"/>
      <c r="EOG61" s="5"/>
      <c r="EOH61" s="117"/>
      <c r="EOI61" s="4"/>
      <c r="EOJ61" s="126"/>
      <c r="EOK61" s="127"/>
      <c r="EOL61" s="121"/>
      <c r="EOM61" s="5"/>
      <c r="EON61" s="5"/>
      <c r="EOO61" s="124"/>
      <c r="EOP61" s="121"/>
      <c r="EOQ61" s="125"/>
      <c r="EOR61" s="5"/>
      <c r="EOS61" s="117"/>
      <c r="EOT61" s="4"/>
      <c r="EOU61" s="126"/>
      <c r="EOV61" s="127"/>
      <c r="EOW61" s="121"/>
      <c r="EOX61" s="5"/>
      <c r="EOY61" s="5"/>
      <c r="EOZ61" s="124"/>
      <c r="EPA61" s="121"/>
      <c r="EPB61" s="125"/>
      <c r="EPC61" s="5"/>
      <c r="EPD61" s="117"/>
      <c r="EPE61" s="4"/>
      <c r="EPF61" s="126"/>
      <c r="EPG61" s="127"/>
      <c r="EPH61" s="121"/>
      <c r="EPI61" s="5"/>
      <c r="EPJ61" s="5"/>
      <c r="EPK61" s="124"/>
      <c r="EPL61" s="121"/>
      <c r="EPM61" s="125"/>
      <c r="EPN61" s="5"/>
      <c r="EPO61" s="117"/>
      <c r="EPP61" s="4"/>
      <c r="EPQ61" s="126"/>
      <c r="EPR61" s="127"/>
      <c r="EPS61" s="121"/>
      <c r="EPT61" s="5"/>
      <c r="EPU61" s="5"/>
      <c r="EPV61" s="124"/>
      <c r="EPW61" s="121"/>
      <c r="EPX61" s="125"/>
      <c r="EPY61" s="5"/>
      <c r="EPZ61" s="117"/>
      <c r="EQA61" s="4"/>
      <c r="EQB61" s="126"/>
      <c r="EQC61" s="127"/>
      <c r="EQD61" s="121"/>
      <c r="EQE61" s="5"/>
      <c r="EQF61" s="5"/>
      <c r="EQG61" s="124"/>
      <c r="EQH61" s="121"/>
      <c r="EQI61" s="125"/>
      <c r="EQJ61" s="5"/>
      <c r="EQK61" s="117"/>
      <c r="EQL61" s="4"/>
      <c r="EQM61" s="126"/>
      <c r="EQN61" s="127"/>
      <c r="EQO61" s="121"/>
      <c r="EQP61" s="5"/>
      <c r="EQQ61" s="5"/>
      <c r="EQR61" s="124"/>
      <c r="EQS61" s="121"/>
      <c r="EQT61" s="125"/>
      <c r="EQU61" s="5"/>
      <c r="EQV61" s="117"/>
      <c r="EQW61" s="4"/>
      <c r="EQX61" s="126"/>
      <c r="EQY61" s="127"/>
      <c r="EQZ61" s="121"/>
      <c r="ERA61" s="5"/>
      <c r="ERB61" s="5"/>
      <c r="ERC61" s="124"/>
      <c r="ERD61" s="121"/>
      <c r="ERE61" s="125"/>
      <c r="ERF61" s="5"/>
      <c r="ERG61" s="117"/>
      <c r="ERH61" s="4"/>
      <c r="ERI61" s="126"/>
      <c r="ERJ61" s="127"/>
      <c r="ERK61" s="121"/>
      <c r="ERL61" s="5"/>
      <c r="ERM61" s="5"/>
      <c r="ERN61" s="124"/>
      <c r="ERO61" s="121"/>
      <c r="ERP61" s="125"/>
      <c r="ERQ61" s="5"/>
      <c r="ERR61" s="117"/>
      <c r="ERS61" s="4"/>
      <c r="ERT61" s="126"/>
      <c r="ERU61" s="127"/>
      <c r="ERV61" s="121"/>
      <c r="ERW61" s="5"/>
      <c r="ERX61" s="5"/>
      <c r="ERY61" s="124"/>
      <c r="ERZ61" s="121"/>
      <c r="ESA61" s="125"/>
      <c r="ESB61" s="5"/>
      <c r="ESC61" s="117"/>
      <c r="ESD61" s="4"/>
      <c r="ESE61" s="126"/>
      <c r="ESF61" s="127"/>
      <c r="ESG61" s="121"/>
      <c r="ESH61" s="5"/>
      <c r="ESI61" s="5"/>
      <c r="ESJ61" s="124"/>
      <c r="ESK61" s="121"/>
      <c r="ESL61" s="125"/>
      <c r="ESM61" s="5"/>
      <c r="ESN61" s="117"/>
      <c r="ESO61" s="4"/>
      <c r="ESP61" s="126"/>
      <c r="ESQ61" s="127"/>
      <c r="ESR61" s="121"/>
      <c r="ESS61" s="5"/>
      <c r="EST61" s="5"/>
      <c r="ESU61" s="124"/>
      <c r="ESV61" s="121"/>
      <c r="ESW61" s="125"/>
      <c r="ESX61" s="5"/>
      <c r="ESY61" s="117"/>
      <c r="ESZ61" s="4"/>
      <c r="ETA61" s="126"/>
      <c r="ETB61" s="127"/>
      <c r="ETC61" s="121"/>
      <c r="ETD61" s="5"/>
      <c r="ETE61" s="5"/>
      <c r="ETF61" s="124"/>
      <c r="ETG61" s="121"/>
      <c r="ETH61" s="125"/>
      <c r="ETI61" s="5"/>
      <c r="ETJ61" s="117"/>
      <c r="ETK61" s="4"/>
      <c r="ETL61" s="126"/>
      <c r="ETM61" s="127"/>
      <c r="ETN61" s="121"/>
      <c r="ETO61" s="5"/>
      <c r="ETP61" s="5"/>
      <c r="ETQ61" s="124"/>
      <c r="ETR61" s="121"/>
      <c r="ETS61" s="125"/>
      <c r="ETT61" s="5"/>
      <c r="ETU61" s="117"/>
      <c r="ETV61" s="4"/>
      <c r="ETW61" s="126"/>
      <c r="ETX61" s="127"/>
      <c r="ETY61" s="121"/>
      <c r="ETZ61" s="5"/>
      <c r="EUA61" s="5"/>
      <c r="EUB61" s="124"/>
      <c r="EUC61" s="121"/>
      <c r="EUD61" s="125"/>
      <c r="EUE61" s="5"/>
      <c r="EUF61" s="117"/>
      <c r="EUG61" s="4"/>
      <c r="EUH61" s="126"/>
      <c r="EUI61" s="127"/>
      <c r="EUJ61" s="121"/>
      <c r="EUK61" s="5"/>
      <c r="EUL61" s="5"/>
      <c r="EUM61" s="124"/>
      <c r="EUN61" s="121"/>
      <c r="EUO61" s="125"/>
      <c r="EUP61" s="5"/>
      <c r="EUQ61" s="117"/>
      <c r="EUR61" s="4"/>
      <c r="EUS61" s="126"/>
      <c r="EUT61" s="127"/>
      <c r="EUU61" s="121"/>
      <c r="EUV61" s="5"/>
      <c r="EUW61" s="5"/>
      <c r="EUX61" s="124"/>
      <c r="EUY61" s="121"/>
      <c r="EUZ61" s="125"/>
      <c r="EVA61" s="5"/>
      <c r="EVB61" s="117"/>
      <c r="EVC61" s="4"/>
      <c r="EVD61" s="126"/>
      <c r="EVE61" s="127"/>
      <c r="EVF61" s="121"/>
      <c r="EVG61" s="5"/>
      <c r="EVH61" s="5"/>
      <c r="EVI61" s="124"/>
      <c r="EVJ61" s="121"/>
      <c r="EVK61" s="125"/>
      <c r="EVL61" s="5"/>
      <c r="EVM61" s="117"/>
      <c r="EVN61" s="4"/>
      <c r="EVO61" s="126"/>
      <c r="EVP61" s="127"/>
      <c r="EVQ61" s="121"/>
      <c r="EVR61" s="5"/>
      <c r="EVS61" s="5"/>
      <c r="EVT61" s="124"/>
      <c r="EVU61" s="121"/>
      <c r="EVV61" s="125"/>
      <c r="EVW61" s="5"/>
      <c r="EVX61" s="117"/>
      <c r="EVY61" s="4"/>
      <c r="EVZ61" s="126"/>
      <c r="EWA61" s="127"/>
      <c r="EWB61" s="121"/>
      <c r="EWC61" s="5"/>
      <c r="EWD61" s="5"/>
      <c r="EWE61" s="124"/>
      <c r="EWF61" s="121"/>
      <c r="EWG61" s="125"/>
      <c r="EWH61" s="5"/>
      <c r="EWI61" s="117"/>
      <c r="EWJ61" s="4"/>
      <c r="EWK61" s="126"/>
      <c r="EWL61" s="127"/>
      <c r="EWM61" s="121"/>
      <c r="EWN61" s="5"/>
      <c r="EWO61" s="5"/>
      <c r="EWP61" s="124"/>
      <c r="EWQ61" s="121"/>
      <c r="EWR61" s="125"/>
      <c r="EWS61" s="5"/>
      <c r="EWT61" s="117"/>
      <c r="EWU61" s="4"/>
      <c r="EWV61" s="126"/>
      <c r="EWW61" s="127"/>
      <c r="EWX61" s="121"/>
      <c r="EWY61" s="5"/>
      <c r="EWZ61" s="5"/>
      <c r="EXA61" s="124"/>
      <c r="EXB61" s="121"/>
      <c r="EXC61" s="125"/>
      <c r="EXD61" s="5"/>
      <c r="EXE61" s="117"/>
      <c r="EXF61" s="4"/>
      <c r="EXG61" s="126"/>
      <c r="EXH61" s="127"/>
      <c r="EXI61" s="121"/>
      <c r="EXJ61" s="5"/>
      <c r="EXK61" s="5"/>
      <c r="EXL61" s="124"/>
      <c r="EXM61" s="121"/>
      <c r="EXN61" s="125"/>
      <c r="EXO61" s="5"/>
      <c r="EXP61" s="117"/>
      <c r="EXQ61" s="4"/>
      <c r="EXR61" s="126"/>
      <c r="EXS61" s="127"/>
      <c r="EXT61" s="121"/>
      <c r="EXU61" s="5"/>
      <c r="EXV61" s="5"/>
      <c r="EXW61" s="124"/>
      <c r="EXX61" s="121"/>
      <c r="EXY61" s="125"/>
      <c r="EXZ61" s="5"/>
      <c r="EYA61" s="117"/>
      <c r="EYB61" s="4"/>
      <c r="EYC61" s="126"/>
      <c r="EYD61" s="127"/>
      <c r="EYE61" s="121"/>
      <c r="EYF61" s="5"/>
      <c r="EYG61" s="5"/>
      <c r="EYH61" s="124"/>
      <c r="EYI61" s="121"/>
      <c r="EYJ61" s="125"/>
      <c r="EYK61" s="5"/>
      <c r="EYL61" s="117"/>
      <c r="EYM61" s="4"/>
      <c r="EYN61" s="126"/>
      <c r="EYO61" s="127"/>
      <c r="EYP61" s="121"/>
      <c r="EYQ61" s="5"/>
      <c r="EYR61" s="5"/>
      <c r="EYS61" s="124"/>
      <c r="EYT61" s="121"/>
      <c r="EYU61" s="125"/>
      <c r="EYV61" s="5"/>
      <c r="EYW61" s="117"/>
      <c r="EYX61" s="4"/>
      <c r="EYY61" s="126"/>
      <c r="EYZ61" s="127"/>
      <c r="EZA61" s="121"/>
      <c r="EZB61" s="5"/>
      <c r="EZC61" s="5"/>
      <c r="EZD61" s="124"/>
      <c r="EZE61" s="121"/>
      <c r="EZF61" s="125"/>
      <c r="EZG61" s="5"/>
      <c r="EZH61" s="117"/>
      <c r="EZI61" s="4"/>
      <c r="EZJ61" s="126"/>
      <c r="EZK61" s="127"/>
      <c r="EZL61" s="121"/>
      <c r="EZM61" s="5"/>
      <c r="EZN61" s="5"/>
      <c r="EZO61" s="124"/>
      <c r="EZP61" s="121"/>
      <c r="EZQ61" s="125"/>
      <c r="EZR61" s="5"/>
      <c r="EZS61" s="117"/>
      <c r="EZT61" s="4"/>
      <c r="EZU61" s="126"/>
      <c r="EZV61" s="127"/>
      <c r="EZW61" s="121"/>
      <c r="EZX61" s="5"/>
      <c r="EZY61" s="5"/>
      <c r="EZZ61" s="124"/>
      <c r="FAA61" s="121"/>
      <c r="FAB61" s="125"/>
      <c r="FAC61" s="5"/>
      <c r="FAD61" s="117"/>
      <c r="FAE61" s="4"/>
      <c r="FAF61" s="126"/>
      <c r="FAG61" s="127"/>
      <c r="FAH61" s="121"/>
      <c r="FAI61" s="5"/>
      <c r="FAJ61" s="5"/>
      <c r="FAK61" s="124"/>
      <c r="FAL61" s="121"/>
      <c r="FAM61" s="125"/>
      <c r="FAN61" s="5"/>
      <c r="FAO61" s="117"/>
      <c r="FAP61" s="4"/>
      <c r="FAQ61" s="126"/>
      <c r="FAR61" s="127"/>
      <c r="FAS61" s="121"/>
      <c r="FAT61" s="5"/>
      <c r="FAU61" s="5"/>
      <c r="FAV61" s="124"/>
      <c r="FAW61" s="121"/>
      <c r="FAX61" s="125"/>
      <c r="FAY61" s="5"/>
      <c r="FAZ61" s="117"/>
      <c r="FBA61" s="4"/>
      <c r="FBB61" s="126"/>
      <c r="FBC61" s="127"/>
      <c r="FBD61" s="121"/>
      <c r="FBE61" s="5"/>
      <c r="FBF61" s="5"/>
      <c r="FBG61" s="124"/>
      <c r="FBH61" s="121"/>
      <c r="FBI61" s="125"/>
      <c r="FBJ61" s="5"/>
      <c r="FBK61" s="117"/>
      <c r="FBL61" s="4"/>
      <c r="FBM61" s="126"/>
      <c r="FBN61" s="127"/>
      <c r="FBO61" s="121"/>
      <c r="FBP61" s="5"/>
      <c r="FBQ61" s="5"/>
      <c r="FBR61" s="124"/>
      <c r="FBS61" s="121"/>
      <c r="FBT61" s="125"/>
      <c r="FBU61" s="5"/>
      <c r="FBV61" s="117"/>
      <c r="FBW61" s="4"/>
      <c r="FBX61" s="126"/>
      <c r="FBY61" s="127"/>
      <c r="FBZ61" s="121"/>
      <c r="FCA61" s="5"/>
      <c r="FCB61" s="5"/>
      <c r="FCC61" s="124"/>
      <c r="FCD61" s="121"/>
      <c r="FCE61" s="125"/>
      <c r="FCF61" s="5"/>
      <c r="FCG61" s="117"/>
      <c r="FCH61" s="4"/>
      <c r="FCI61" s="126"/>
      <c r="FCJ61" s="127"/>
      <c r="FCK61" s="121"/>
      <c r="FCL61" s="5"/>
      <c r="FCM61" s="5"/>
      <c r="FCN61" s="124"/>
      <c r="FCO61" s="121"/>
      <c r="FCP61" s="125"/>
      <c r="FCQ61" s="5"/>
      <c r="FCR61" s="117"/>
      <c r="FCS61" s="4"/>
      <c r="FCT61" s="126"/>
      <c r="FCU61" s="127"/>
      <c r="FCV61" s="121"/>
      <c r="FCW61" s="5"/>
      <c r="FCX61" s="5"/>
      <c r="FCY61" s="124"/>
      <c r="FCZ61" s="121"/>
      <c r="FDA61" s="125"/>
      <c r="FDB61" s="5"/>
      <c r="FDC61" s="117"/>
      <c r="FDD61" s="4"/>
      <c r="FDE61" s="126"/>
      <c r="FDF61" s="127"/>
      <c r="FDG61" s="121"/>
      <c r="FDH61" s="5"/>
      <c r="FDI61" s="5"/>
      <c r="FDJ61" s="124"/>
      <c r="FDK61" s="121"/>
      <c r="FDL61" s="125"/>
      <c r="FDM61" s="5"/>
      <c r="FDN61" s="117"/>
      <c r="FDO61" s="4"/>
      <c r="FDP61" s="126"/>
      <c r="FDQ61" s="127"/>
      <c r="FDR61" s="121"/>
      <c r="FDS61" s="5"/>
      <c r="FDT61" s="5"/>
      <c r="FDU61" s="124"/>
      <c r="FDV61" s="121"/>
      <c r="FDW61" s="125"/>
      <c r="FDX61" s="5"/>
      <c r="FDY61" s="117"/>
      <c r="FDZ61" s="4"/>
      <c r="FEA61" s="126"/>
      <c r="FEB61" s="127"/>
      <c r="FEC61" s="121"/>
      <c r="FED61" s="5"/>
      <c r="FEE61" s="5"/>
      <c r="FEF61" s="124"/>
      <c r="FEG61" s="121"/>
      <c r="FEH61" s="125"/>
      <c r="FEI61" s="5"/>
      <c r="FEJ61" s="117"/>
      <c r="FEK61" s="4"/>
      <c r="FEL61" s="126"/>
      <c r="FEM61" s="127"/>
      <c r="FEN61" s="121"/>
      <c r="FEO61" s="5"/>
      <c r="FEP61" s="5"/>
      <c r="FEQ61" s="124"/>
      <c r="FER61" s="121"/>
      <c r="FES61" s="125"/>
      <c r="FET61" s="5"/>
      <c r="FEU61" s="117"/>
      <c r="FEV61" s="4"/>
      <c r="FEW61" s="126"/>
      <c r="FEX61" s="127"/>
      <c r="FEY61" s="121"/>
      <c r="FEZ61" s="5"/>
      <c r="FFA61" s="5"/>
      <c r="FFB61" s="124"/>
      <c r="FFC61" s="121"/>
      <c r="FFD61" s="125"/>
      <c r="FFE61" s="5"/>
      <c r="FFF61" s="117"/>
      <c r="FFG61" s="4"/>
      <c r="FFH61" s="126"/>
      <c r="FFI61" s="127"/>
      <c r="FFJ61" s="121"/>
      <c r="FFK61" s="5"/>
      <c r="FFL61" s="5"/>
      <c r="FFM61" s="124"/>
      <c r="FFN61" s="121"/>
      <c r="FFO61" s="125"/>
      <c r="FFP61" s="5"/>
      <c r="FFQ61" s="117"/>
      <c r="FFR61" s="4"/>
      <c r="FFS61" s="126"/>
      <c r="FFT61" s="127"/>
      <c r="FFU61" s="121"/>
      <c r="FFV61" s="5"/>
      <c r="FFW61" s="5"/>
      <c r="FFX61" s="124"/>
      <c r="FFY61" s="121"/>
      <c r="FFZ61" s="125"/>
      <c r="FGA61" s="5"/>
      <c r="FGB61" s="117"/>
      <c r="FGC61" s="4"/>
      <c r="FGD61" s="126"/>
      <c r="FGE61" s="127"/>
      <c r="FGF61" s="121"/>
      <c r="FGG61" s="5"/>
      <c r="FGH61" s="5"/>
      <c r="FGI61" s="124"/>
      <c r="FGJ61" s="121"/>
      <c r="FGK61" s="125"/>
      <c r="FGL61" s="5"/>
      <c r="FGM61" s="117"/>
      <c r="FGN61" s="4"/>
      <c r="FGO61" s="126"/>
      <c r="FGP61" s="127"/>
      <c r="FGQ61" s="121"/>
      <c r="FGR61" s="5"/>
      <c r="FGS61" s="5"/>
      <c r="FGT61" s="124"/>
      <c r="FGU61" s="121"/>
      <c r="FGV61" s="125"/>
      <c r="FGW61" s="5"/>
      <c r="FGX61" s="117"/>
      <c r="FGY61" s="4"/>
      <c r="FGZ61" s="126"/>
      <c r="FHA61" s="127"/>
      <c r="FHB61" s="121"/>
      <c r="FHC61" s="5"/>
      <c r="FHD61" s="5"/>
      <c r="FHE61" s="124"/>
      <c r="FHF61" s="121"/>
      <c r="FHG61" s="125"/>
      <c r="FHH61" s="5"/>
      <c r="FHI61" s="117"/>
      <c r="FHJ61" s="4"/>
      <c r="FHK61" s="126"/>
      <c r="FHL61" s="127"/>
      <c r="FHM61" s="121"/>
      <c r="FHN61" s="5"/>
      <c r="FHO61" s="5"/>
      <c r="FHP61" s="124"/>
      <c r="FHQ61" s="121"/>
      <c r="FHR61" s="125"/>
      <c r="FHS61" s="5"/>
      <c r="FHT61" s="117"/>
      <c r="FHU61" s="4"/>
      <c r="FHV61" s="126"/>
      <c r="FHW61" s="127"/>
      <c r="FHX61" s="121"/>
      <c r="FHY61" s="5"/>
      <c r="FHZ61" s="5"/>
      <c r="FIA61" s="124"/>
      <c r="FIB61" s="121"/>
      <c r="FIC61" s="125"/>
      <c r="FID61" s="5"/>
      <c r="FIE61" s="117"/>
      <c r="FIF61" s="4"/>
      <c r="FIG61" s="126"/>
      <c r="FIH61" s="127"/>
      <c r="FII61" s="121"/>
      <c r="FIJ61" s="5"/>
      <c r="FIK61" s="5"/>
      <c r="FIL61" s="124"/>
      <c r="FIM61" s="121"/>
      <c r="FIN61" s="125"/>
      <c r="FIO61" s="5"/>
      <c r="FIP61" s="117"/>
      <c r="FIQ61" s="4"/>
      <c r="FIR61" s="126"/>
      <c r="FIS61" s="127"/>
      <c r="FIT61" s="121"/>
      <c r="FIU61" s="5"/>
      <c r="FIV61" s="5"/>
      <c r="FIW61" s="124"/>
      <c r="FIX61" s="121"/>
      <c r="FIY61" s="125"/>
      <c r="FIZ61" s="5"/>
      <c r="FJA61" s="117"/>
      <c r="FJB61" s="4"/>
      <c r="FJC61" s="126"/>
      <c r="FJD61" s="127"/>
      <c r="FJE61" s="121"/>
      <c r="FJF61" s="5"/>
      <c r="FJG61" s="5"/>
      <c r="FJH61" s="124"/>
      <c r="FJI61" s="121"/>
      <c r="FJJ61" s="125"/>
      <c r="FJK61" s="5"/>
      <c r="FJL61" s="117"/>
      <c r="FJM61" s="4"/>
      <c r="FJN61" s="126"/>
      <c r="FJO61" s="127"/>
      <c r="FJP61" s="121"/>
      <c r="FJQ61" s="5"/>
      <c r="FJR61" s="5"/>
      <c r="FJS61" s="124"/>
      <c r="FJT61" s="121"/>
      <c r="FJU61" s="125"/>
      <c r="FJV61" s="5"/>
      <c r="FJW61" s="117"/>
      <c r="FJX61" s="4"/>
      <c r="FJY61" s="126"/>
      <c r="FJZ61" s="127"/>
      <c r="FKA61" s="121"/>
      <c r="FKB61" s="5"/>
      <c r="FKC61" s="5"/>
      <c r="FKD61" s="124"/>
      <c r="FKE61" s="121"/>
      <c r="FKF61" s="125"/>
      <c r="FKG61" s="5"/>
      <c r="FKH61" s="117"/>
      <c r="FKI61" s="4"/>
      <c r="FKJ61" s="126"/>
      <c r="FKK61" s="127"/>
      <c r="FKL61" s="121"/>
      <c r="FKM61" s="5"/>
      <c r="FKN61" s="5"/>
      <c r="FKO61" s="124"/>
      <c r="FKP61" s="121"/>
      <c r="FKQ61" s="125"/>
      <c r="FKR61" s="5"/>
      <c r="FKS61" s="117"/>
      <c r="FKT61" s="4"/>
      <c r="FKU61" s="126"/>
      <c r="FKV61" s="127"/>
      <c r="FKW61" s="121"/>
      <c r="FKX61" s="5"/>
      <c r="FKY61" s="5"/>
      <c r="FKZ61" s="124"/>
      <c r="FLA61" s="121"/>
      <c r="FLB61" s="125"/>
      <c r="FLC61" s="5"/>
      <c r="FLD61" s="117"/>
      <c r="FLE61" s="4"/>
      <c r="FLF61" s="126"/>
      <c r="FLG61" s="127"/>
      <c r="FLH61" s="121"/>
      <c r="FLI61" s="5"/>
      <c r="FLJ61" s="5"/>
      <c r="FLK61" s="124"/>
      <c r="FLL61" s="121"/>
      <c r="FLM61" s="125"/>
      <c r="FLN61" s="5"/>
      <c r="FLO61" s="117"/>
      <c r="FLP61" s="4"/>
      <c r="FLQ61" s="126"/>
      <c r="FLR61" s="127"/>
      <c r="FLS61" s="121"/>
      <c r="FLT61" s="5"/>
      <c r="FLU61" s="5"/>
      <c r="FLV61" s="124"/>
      <c r="FLW61" s="121"/>
      <c r="FLX61" s="125"/>
      <c r="FLY61" s="5"/>
      <c r="FLZ61" s="117"/>
      <c r="FMA61" s="4"/>
      <c r="FMB61" s="126"/>
      <c r="FMC61" s="127"/>
      <c r="FMD61" s="121"/>
      <c r="FME61" s="5"/>
      <c r="FMF61" s="5"/>
      <c r="FMG61" s="124"/>
      <c r="FMH61" s="121"/>
      <c r="FMI61" s="125"/>
      <c r="FMJ61" s="5"/>
      <c r="FMK61" s="117"/>
      <c r="FML61" s="4"/>
      <c r="FMM61" s="126"/>
      <c r="FMN61" s="127"/>
      <c r="FMO61" s="121"/>
      <c r="FMP61" s="5"/>
      <c r="FMQ61" s="5"/>
      <c r="FMR61" s="124"/>
      <c r="FMS61" s="121"/>
      <c r="FMT61" s="125"/>
      <c r="FMU61" s="5"/>
      <c r="FMV61" s="117"/>
      <c r="FMW61" s="4"/>
      <c r="FMX61" s="126"/>
      <c r="FMY61" s="127"/>
      <c r="FMZ61" s="121"/>
      <c r="FNA61" s="5"/>
      <c r="FNB61" s="5"/>
      <c r="FNC61" s="124"/>
      <c r="FND61" s="121"/>
      <c r="FNE61" s="125"/>
      <c r="FNF61" s="5"/>
      <c r="FNG61" s="117"/>
      <c r="FNH61" s="4"/>
      <c r="FNI61" s="126"/>
      <c r="FNJ61" s="127"/>
      <c r="FNK61" s="121"/>
      <c r="FNL61" s="5"/>
      <c r="FNM61" s="5"/>
      <c r="FNN61" s="124"/>
      <c r="FNO61" s="121"/>
      <c r="FNP61" s="125"/>
      <c r="FNQ61" s="5"/>
      <c r="FNR61" s="117"/>
      <c r="FNS61" s="4"/>
      <c r="FNT61" s="126"/>
      <c r="FNU61" s="127"/>
      <c r="FNV61" s="121"/>
      <c r="FNW61" s="5"/>
      <c r="FNX61" s="5"/>
      <c r="FNY61" s="124"/>
      <c r="FNZ61" s="121"/>
      <c r="FOA61" s="125"/>
      <c r="FOB61" s="5"/>
      <c r="FOC61" s="117"/>
      <c r="FOD61" s="4"/>
      <c r="FOE61" s="126"/>
      <c r="FOF61" s="127"/>
      <c r="FOG61" s="121"/>
      <c r="FOH61" s="5"/>
      <c r="FOI61" s="5"/>
      <c r="FOJ61" s="124"/>
      <c r="FOK61" s="121"/>
      <c r="FOL61" s="125"/>
      <c r="FOM61" s="5"/>
      <c r="FON61" s="117"/>
      <c r="FOO61" s="4"/>
      <c r="FOP61" s="126"/>
      <c r="FOQ61" s="127"/>
      <c r="FOR61" s="121"/>
      <c r="FOS61" s="5"/>
      <c r="FOT61" s="5"/>
      <c r="FOU61" s="124"/>
      <c r="FOV61" s="121"/>
      <c r="FOW61" s="125"/>
      <c r="FOX61" s="5"/>
      <c r="FOY61" s="117"/>
      <c r="FOZ61" s="4"/>
      <c r="FPA61" s="126"/>
      <c r="FPB61" s="127"/>
      <c r="FPC61" s="121"/>
      <c r="FPD61" s="5"/>
      <c r="FPE61" s="5"/>
      <c r="FPF61" s="124"/>
      <c r="FPG61" s="121"/>
      <c r="FPH61" s="125"/>
      <c r="FPI61" s="5"/>
      <c r="FPJ61" s="117"/>
      <c r="FPK61" s="4"/>
      <c r="FPL61" s="126"/>
      <c r="FPM61" s="127"/>
      <c r="FPN61" s="121"/>
      <c r="FPO61" s="5"/>
      <c r="FPP61" s="5"/>
      <c r="FPQ61" s="124"/>
      <c r="FPR61" s="121"/>
      <c r="FPS61" s="125"/>
      <c r="FPT61" s="5"/>
      <c r="FPU61" s="117"/>
      <c r="FPV61" s="4"/>
      <c r="FPW61" s="126"/>
      <c r="FPX61" s="127"/>
      <c r="FPY61" s="121"/>
      <c r="FPZ61" s="5"/>
      <c r="FQA61" s="5"/>
      <c r="FQB61" s="124"/>
      <c r="FQC61" s="121"/>
      <c r="FQD61" s="125"/>
      <c r="FQE61" s="5"/>
      <c r="FQF61" s="117"/>
      <c r="FQG61" s="4"/>
      <c r="FQH61" s="126"/>
      <c r="FQI61" s="127"/>
      <c r="FQJ61" s="121"/>
      <c r="FQK61" s="5"/>
      <c r="FQL61" s="5"/>
      <c r="FQM61" s="124"/>
      <c r="FQN61" s="121"/>
      <c r="FQO61" s="125"/>
      <c r="FQP61" s="5"/>
      <c r="FQQ61" s="117"/>
      <c r="FQR61" s="4"/>
      <c r="FQS61" s="126"/>
      <c r="FQT61" s="127"/>
      <c r="FQU61" s="121"/>
      <c r="FQV61" s="5"/>
      <c r="FQW61" s="5"/>
      <c r="FQX61" s="124"/>
      <c r="FQY61" s="121"/>
      <c r="FQZ61" s="125"/>
      <c r="FRA61" s="5"/>
      <c r="FRB61" s="117"/>
      <c r="FRC61" s="4"/>
      <c r="FRD61" s="126"/>
      <c r="FRE61" s="127"/>
      <c r="FRF61" s="121"/>
      <c r="FRG61" s="5"/>
      <c r="FRH61" s="5"/>
      <c r="FRI61" s="124"/>
      <c r="FRJ61" s="121"/>
      <c r="FRK61" s="125"/>
      <c r="FRL61" s="5"/>
      <c r="FRM61" s="117"/>
      <c r="FRN61" s="4"/>
      <c r="FRO61" s="126"/>
      <c r="FRP61" s="127"/>
      <c r="FRQ61" s="121"/>
      <c r="FRR61" s="5"/>
      <c r="FRS61" s="5"/>
      <c r="FRT61" s="124"/>
      <c r="FRU61" s="121"/>
      <c r="FRV61" s="125"/>
      <c r="FRW61" s="5"/>
      <c r="FRX61" s="117"/>
      <c r="FRY61" s="4"/>
      <c r="FRZ61" s="126"/>
      <c r="FSA61" s="127"/>
      <c r="FSB61" s="121"/>
      <c r="FSC61" s="5"/>
      <c r="FSD61" s="5"/>
      <c r="FSE61" s="124"/>
      <c r="FSF61" s="121"/>
      <c r="FSG61" s="125"/>
      <c r="FSH61" s="5"/>
      <c r="FSI61" s="117"/>
      <c r="FSJ61" s="4"/>
      <c r="FSK61" s="126"/>
      <c r="FSL61" s="127"/>
      <c r="FSM61" s="121"/>
      <c r="FSN61" s="5"/>
      <c r="FSO61" s="5"/>
      <c r="FSP61" s="124"/>
      <c r="FSQ61" s="121"/>
      <c r="FSR61" s="125"/>
      <c r="FSS61" s="5"/>
      <c r="FST61" s="117"/>
      <c r="FSU61" s="4"/>
      <c r="FSV61" s="126"/>
      <c r="FSW61" s="127"/>
      <c r="FSX61" s="121"/>
      <c r="FSY61" s="5"/>
      <c r="FSZ61" s="5"/>
      <c r="FTA61" s="124"/>
      <c r="FTB61" s="121"/>
      <c r="FTC61" s="125"/>
      <c r="FTD61" s="5"/>
      <c r="FTE61" s="117"/>
      <c r="FTF61" s="4"/>
      <c r="FTG61" s="126"/>
      <c r="FTH61" s="127"/>
      <c r="FTI61" s="121"/>
      <c r="FTJ61" s="5"/>
      <c r="FTK61" s="5"/>
      <c r="FTL61" s="124"/>
      <c r="FTM61" s="121"/>
      <c r="FTN61" s="125"/>
      <c r="FTO61" s="5"/>
      <c r="FTP61" s="117"/>
      <c r="FTQ61" s="4"/>
      <c r="FTR61" s="126"/>
      <c r="FTS61" s="127"/>
      <c r="FTT61" s="121"/>
      <c r="FTU61" s="5"/>
      <c r="FTV61" s="5"/>
      <c r="FTW61" s="124"/>
      <c r="FTX61" s="121"/>
      <c r="FTY61" s="125"/>
      <c r="FTZ61" s="5"/>
      <c r="FUA61" s="117"/>
      <c r="FUB61" s="4"/>
      <c r="FUC61" s="126"/>
      <c r="FUD61" s="127"/>
      <c r="FUE61" s="121"/>
      <c r="FUF61" s="5"/>
      <c r="FUG61" s="5"/>
      <c r="FUH61" s="124"/>
      <c r="FUI61" s="121"/>
      <c r="FUJ61" s="125"/>
      <c r="FUK61" s="5"/>
      <c r="FUL61" s="117"/>
      <c r="FUM61" s="4"/>
      <c r="FUN61" s="126"/>
      <c r="FUO61" s="127"/>
      <c r="FUP61" s="121"/>
      <c r="FUQ61" s="5"/>
      <c r="FUR61" s="5"/>
      <c r="FUS61" s="124"/>
      <c r="FUT61" s="121"/>
      <c r="FUU61" s="125"/>
      <c r="FUV61" s="5"/>
      <c r="FUW61" s="117"/>
      <c r="FUX61" s="4"/>
      <c r="FUY61" s="126"/>
      <c r="FUZ61" s="127"/>
      <c r="FVA61" s="121"/>
      <c r="FVB61" s="5"/>
      <c r="FVC61" s="5"/>
      <c r="FVD61" s="124"/>
      <c r="FVE61" s="121"/>
      <c r="FVF61" s="125"/>
      <c r="FVG61" s="5"/>
      <c r="FVH61" s="117"/>
      <c r="FVI61" s="4"/>
      <c r="FVJ61" s="126"/>
      <c r="FVK61" s="127"/>
      <c r="FVL61" s="121"/>
      <c r="FVM61" s="5"/>
      <c r="FVN61" s="5"/>
      <c r="FVO61" s="124"/>
      <c r="FVP61" s="121"/>
      <c r="FVQ61" s="125"/>
      <c r="FVR61" s="5"/>
      <c r="FVS61" s="117"/>
      <c r="FVT61" s="4"/>
      <c r="FVU61" s="126"/>
      <c r="FVV61" s="127"/>
      <c r="FVW61" s="121"/>
      <c r="FVX61" s="5"/>
      <c r="FVY61" s="5"/>
      <c r="FVZ61" s="124"/>
      <c r="FWA61" s="121"/>
      <c r="FWB61" s="125"/>
      <c r="FWC61" s="5"/>
      <c r="FWD61" s="117"/>
      <c r="FWE61" s="4"/>
      <c r="FWF61" s="126"/>
      <c r="FWG61" s="127"/>
      <c r="FWH61" s="121"/>
      <c r="FWI61" s="5"/>
      <c r="FWJ61" s="5"/>
      <c r="FWK61" s="124"/>
      <c r="FWL61" s="121"/>
      <c r="FWM61" s="125"/>
      <c r="FWN61" s="5"/>
      <c r="FWO61" s="117"/>
      <c r="FWP61" s="4"/>
      <c r="FWQ61" s="126"/>
      <c r="FWR61" s="127"/>
      <c r="FWS61" s="121"/>
      <c r="FWT61" s="5"/>
      <c r="FWU61" s="5"/>
      <c r="FWV61" s="124"/>
      <c r="FWW61" s="121"/>
      <c r="FWX61" s="125"/>
      <c r="FWY61" s="5"/>
      <c r="FWZ61" s="117"/>
      <c r="FXA61" s="4"/>
      <c r="FXB61" s="126"/>
      <c r="FXC61" s="127"/>
      <c r="FXD61" s="121"/>
      <c r="FXE61" s="5"/>
      <c r="FXF61" s="5"/>
      <c r="FXG61" s="124"/>
      <c r="FXH61" s="121"/>
      <c r="FXI61" s="125"/>
      <c r="FXJ61" s="5"/>
      <c r="FXK61" s="117"/>
      <c r="FXL61" s="4"/>
      <c r="FXM61" s="126"/>
      <c r="FXN61" s="127"/>
      <c r="FXO61" s="121"/>
      <c r="FXP61" s="5"/>
      <c r="FXQ61" s="5"/>
      <c r="FXR61" s="124"/>
      <c r="FXS61" s="121"/>
      <c r="FXT61" s="125"/>
      <c r="FXU61" s="5"/>
      <c r="FXV61" s="117"/>
      <c r="FXW61" s="4"/>
      <c r="FXX61" s="126"/>
      <c r="FXY61" s="127"/>
      <c r="FXZ61" s="121"/>
      <c r="FYA61" s="5"/>
      <c r="FYB61" s="5"/>
      <c r="FYC61" s="124"/>
      <c r="FYD61" s="121"/>
      <c r="FYE61" s="125"/>
      <c r="FYF61" s="5"/>
      <c r="FYG61" s="117"/>
      <c r="FYH61" s="4"/>
      <c r="FYI61" s="126"/>
      <c r="FYJ61" s="127"/>
      <c r="FYK61" s="121"/>
      <c r="FYL61" s="5"/>
      <c r="FYM61" s="5"/>
      <c r="FYN61" s="124"/>
      <c r="FYO61" s="121"/>
      <c r="FYP61" s="125"/>
      <c r="FYQ61" s="5"/>
      <c r="FYR61" s="117"/>
      <c r="FYS61" s="4"/>
      <c r="FYT61" s="126"/>
      <c r="FYU61" s="127"/>
      <c r="FYV61" s="121"/>
      <c r="FYW61" s="5"/>
      <c r="FYX61" s="5"/>
      <c r="FYY61" s="124"/>
      <c r="FYZ61" s="121"/>
      <c r="FZA61" s="125"/>
      <c r="FZB61" s="5"/>
      <c r="FZC61" s="117"/>
      <c r="FZD61" s="4"/>
      <c r="FZE61" s="126"/>
      <c r="FZF61" s="127"/>
      <c r="FZG61" s="121"/>
      <c r="FZH61" s="5"/>
      <c r="FZI61" s="5"/>
      <c r="FZJ61" s="124"/>
      <c r="FZK61" s="121"/>
      <c r="FZL61" s="125"/>
      <c r="FZM61" s="5"/>
      <c r="FZN61" s="117"/>
      <c r="FZO61" s="4"/>
      <c r="FZP61" s="126"/>
      <c r="FZQ61" s="127"/>
      <c r="FZR61" s="121"/>
      <c r="FZS61" s="5"/>
      <c r="FZT61" s="5"/>
      <c r="FZU61" s="124"/>
      <c r="FZV61" s="121"/>
      <c r="FZW61" s="125"/>
      <c r="FZX61" s="5"/>
      <c r="FZY61" s="117"/>
      <c r="FZZ61" s="4"/>
      <c r="GAA61" s="126"/>
      <c r="GAB61" s="127"/>
      <c r="GAC61" s="121"/>
      <c r="GAD61" s="5"/>
      <c r="GAE61" s="5"/>
      <c r="GAF61" s="124"/>
      <c r="GAG61" s="121"/>
      <c r="GAH61" s="125"/>
      <c r="GAI61" s="5"/>
      <c r="GAJ61" s="117"/>
      <c r="GAK61" s="4"/>
      <c r="GAL61" s="126"/>
      <c r="GAM61" s="127"/>
      <c r="GAN61" s="121"/>
      <c r="GAO61" s="5"/>
      <c r="GAP61" s="5"/>
      <c r="GAQ61" s="124"/>
      <c r="GAR61" s="121"/>
      <c r="GAS61" s="125"/>
      <c r="GAT61" s="5"/>
      <c r="GAU61" s="117"/>
      <c r="GAV61" s="4"/>
      <c r="GAW61" s="126"/>
      <c r="GAX61" s="127"/>
      <c r="GAY61" s="121"/>
      <c r="GAZ61" s="5"/>
      <c r="GBA61" s="5"/>
      <c r="GBB61" s="124"/>
      <c r="GBC61" s="121"/>
      <c r="GBD61" s="125"/>
      <c r="GBE61" s="5"/>
      <c r="GBF61" s="117"/>
      <c r="GBG61" s="4"/>
      <c r="GBH61" s="126"/>
      <c r="GBI61" s="127"/>
      <c r="GBJ61" s="121"/>
      <c r="GBK61" s="5"/>
      <c r="GBL61" s="5"/>
      <c r="GBM61" s="124"/>
      <c r="GBN61" s="121"/>
      <c r="GBO61" s="125"/>
      <c r="GBP61" s="5"/>
      <c r="GBQ61" s="117"/>
      <c r="GBR61" s="4"/>
      <c r="GBS61" s="126"/>
      <c r="GBT61" s="127"/>
      <c r="GBU61" s="121"/>
      <c r="GBV61" s="5"/>
      <c r="GBW61" s="5"/>
      <c r="GBX61" s="124"/>
      <c r="GBY61" s="121"/>
      <c r="GBZ61" s="125"/>
      <c r="GCA61" s="5"/>
      <c r="GCB61" s="117"/>
      <c r="GCC61" s="4"/>
      <c r="GCD61" s="126"/>
      <c r="GCE61" s="127"/>
      <c r="GCF61" s="121"/>
      <c r="GCG61" s="5"/>
      <c r="GCH61" s="5"/>
      <c r="GCI61" s="124"/>
      <c r="GCJ61" s="121"/>
      <c r="GCK61" s="125"/>
      <c r="GCL61" s="5"/>
      <c r="GCM61" s="117"/>
      <c r="GCN61" s="4"/>
      <c r="GCO61" s="126"/>
      <c r="GCP61" s="127"/>
      <c r="GCQ61" s="121"/>
      <c r="GCR61" s="5"/>
      <c r="GCS61" s="5"/>
      <c r="GCT61" s="124"/>
      <c r="GCU61" s="121"/>
      <c r="GCV61" s="125"/>
      <c r="GCW61" s="5"/>
      <c r="GCX61" s="117"/>
      <c r="GCY61" s="4"/>
      <c r="GCZ61" s="126"/>
      <c r="GDA61" s="127"/>
      <c r="GDB61" s="121"/>
      <c r="GDC61" s="5"/>
      <c r="GDD61" s="5"/>
      <c r="GDE61" s="124"/>
      <c r="GDF61" s="121"/>
      <c r="GDG61" s="125"/>
      <c r="GDH61" s="5"/>
      <c r="GDI61" s="117"/>
      <c r="GDJ61" s="4"/>
      <c r="GDK61" s="126"/>
      <c r="GDL61" s="127"/>
      <c r="GDM61" s="121"/>
      <c r="GDN61" s="5"/>
      <c r="GDO61" s="5"/>
      <c r="GDP61" s="124"/>
      <c r="GDQ61" s="121"/>
      <c r="GDR61" s="125"/>
      <c r="GDS61" s="5"/>
      <c r="GDT61" s="117"/>
      <c r="GDU61" s="4"/>
      <c r="GDV61" s="126"/>
      <c r="GDW61" s="127"/>
      <c r="GDX61" s="121"/>
      <c r="GDY61" s="5"/>
      <c r="GDZ61" s="5"/>
      <c r="GEA61" s="124"/>
      <c r="GEB61" s="121"/>
      <c r="GEC61" s="125"/>
      <c r="GED61" s="5"/>
      <c r="GEE61" s="117"/>
      <c r="GEF61" s="4"/>
      <c r="GEG61" s="126"/>
      <c r="GEH61" s="127"/>
      <c r="GEI61" s="121"/>
      <c r="GEJ61" s="5"/>
      <c r="GEK61" s="5"/>
      <c r="GEL61" s="124"/>
      <c r="GEM61" s="121"/>
      <c r="GEN61" s="125"/>
      <c r="GEO61" s="5"/>
      <c r="GEP61" s="117"/>
      <c r="GEQ61" s="4"/>
      <c r="GER61" s="126"/>
      <c r="GES61" s="127"/>
      <c r="GET61" s="121"/>
      <c r="GEU61" s="5"/>
      <c r="GEV61" s="5"/>
      <c r="GEW61" s="124"/>
      <c r="GEX61" s="121"/>
      <c r="GEY61" s="125"/>
      <c r="GEZ61" s="5"/>
      <c r="GFA61" s="117"/>
      <c r="GFB61" s="4"/>
      <c r="GFC61" s="126"/>
      <c r="GFD61" s="127"/>
      <c r="GFE61" s="121"/>
      <c r="GFF61" s="5"/>
      <c r="GFG61" s="5"/>
      <c r="GFH61" s="124"/>
      <c r="GFI61" s="121"/>
      <c r="GFJ61" s="125"/>
      <c r="GFK61" s="5"/>
      <c r="GFL61" s="117"/>
      <c r="GFM61" s="4"/>
      <c r="GFN61" s="126"/>
      <c r="GFO61" s="127"/>
      <c r="GFP61" s="121"/>
      <c r="GFQ61" s="5"/>
      <c r="GFR61" s="5"/>
      <c r="GFS61" s="124"/>
      <c r="GFT61" s="121"/>
      <c r="GFU61" s="125"/>
      <c r="GFV61" s="5"/>
      <c r="GFW61" s="117"/>
      <c r="GFX61" s="4"/>
      <c r="GFY61" s="126"/>
      <c r="GFZ61" s="127"/>
      <c r="GGA61" s="121"/>
      <c r="GGB61" s="5"/>
      <c r="GGC61" s="5"/>
      <c r="GGD61" s="124"/>
      <c r="GGE61" s="121"/>
      <c r="GGF61" s="125"/>
      <c r="GGG61" s="5"/>
      <c r="GGH61" s="117"/>
      <c r="GGI61" s="4"/>
      <c r="GGJ61" s="126"/>
      <c r="GGK61" s="127"/>
      <c r="GGL61" s="121"/>
      <c r="GGM61" s="5"/>
      <c r="GGN61" s="5"/>
      <c r="GGO61" s="124"/>
      <c r="GGP61" s="121"/>
      <c r="GGQ61" s="125"/>
      <c r="GGR61" s="5"/>
      <c r="GGS61" s="117"/>
      <c r="GGT61" s="4"/>
      <c r="GGU61" s="126"/>
      <c r="GGV61" s="127"/>
      <c r="GGW61" s="121"/>
      <c r="GGX61" s="5"/>
      <c r="GGY61" s="5"/>
      <c r="GGZ61" s="124"/>
      <c r="GHA61" s="121"/>
      <c r="GHB61" s="125"/>
      <c r="GHC61" s="5"/>
      <c r="GHD61" s="117"/>
      <c r="GHE61" s="4"/>
      <c r="GHF61" s="126"/>
      <c r="GHG61" s="127"/>
      <c r="GHH61" s="121"/>
      <c r="GHI61" s="5"/>
      <c r="GHJ61" s="5"/>
      <c r="GHK61" s="124"/>
      <c r="GHL61" s="121"/>
      <c r="GHM61" s="125"/>
      <c r="GHN61" s="5"/>
      <c r="GHO61" s="117"/>
      <c r="GHP61" s="4"/>
      <c r="GHQ61" s="126"/>
      <c r="GHR61" s="127"/>
      <c r="GHS61" s="121"/>
      <c r="GHT61" s="5"/>
      <c r="GHU61" s="5"/>
      <c r="GHV61" s="124"/>
      <c r="GHW61" s="121"/>
      <c r="GHX61" s="125"/>
      <c r="GHY61" s="5"/>
      <c r="GHZ61" s="117"/>
      <c r="GIA61" s="4"/>
      <c r="GIB61" s="126"/>
      <c r="GIC61" s="127"/>
      <c r="GID61" s="121"/>
      <c r="GIE61" s="5"/>
      <c r="GIF61" s="5"/>
      <c r="GIG61" s="124"/>
      <c r="GIH61" s="121"/>
      <c r="GII61" s="125"/>
      <c r="GIJ61" s="5"/>
      <c r="GIK61" s="117"/>
      <c r="GIL61" s="4"/>
      <c r="GIM61" s="126"/>
      <c r="GIN61" s="127"/>
      <c r="GIO61" s="121"/>
      <c r="GIP61" s="5"/>
      <c r="GIQ61" s="5"/>
      <c r="GIR61" s="124"/>
      <c r="GIS61" s="121"/>
      <c r="GIT61" s="125"/>
      <c r="GIU61" s="5"/>
      <c r="GIV61" s="117"/>
      <c r="GIW61" s="4"/>
      <c r="GIX61" s="126"/>
      <c r="GIY61" s="127"/>
      <c r="GIZ61" s="121"/>
      <c r="GJA61" s="5"/>
      <c r="GJB61" s="5"/>
      <c r="GJC61" s="124"/>
      <c r="GJD61" s="121"/>
      <c r="GJE61" s="125"/>
      <c r="GJF61" s="5"/>
      <c r="GJG61" s="117"/>
      <c r="GJH61" s="4"/>
      <c r="GJI61" s="126"/>
      <c r="GJJ61" s="127"/>
      <c r="GJK61" s="121"/>
      <c r="GJL61" s="5"/>
      <c r="GJM61" s="5"/>
      <c r="GJN61" s="124"/>
      <c r="GJO61" s="121"/>
      <c r="GJP61" s="125"/>
      <c r="GJQ61" s="5"/>
      <c r="GJR61" s="117"/>
      <c r="GJS61" s="4"/>
      <c r="GJT61" s="126"/>
      <c r="GJU61" s="127"/>
      <c r="GJV61" s="121"/>
      <c r="GJW61" s="5"/>
      <c r="GJX61" s="5"/>
      <c r="GJY61" s="124"/>
      <c r="GJZ61" s="121"/>
      <c r="GKA61" s="125"/>
      <c r="GKB61" s="5"/>
      <c r="GKC61" s="117"/>
      <c r="GKD61" s="4"/>
      <c r="GKE61" s="126"/>
      <c r="GKF61" s="127"/>
      <c r="GKG61" s="121"/>
      <c r="GKH61" s="5"/>
      <c r="GKI61" s="5"/>
      <c r="GKJ61" s="124"/>
      <c r="GKK61" s="121"/>
      <c r="GKL61" s="125"/>
      <c r="GKM61" s="5"/>
      <c r="GKN61" s="117"/>
      <c r="GKO61" s="4"/>
      <c r="GKP61" s="126"/>
      <c r="GKQ61" s="127"/>
      <c r="GKR61" s="121"/>
      <c r="GKS61" s="5"/>
      <c r="GKT61" s="5"/>
      <c r="GKU61" s="124"/>
      <c r="GKV61" s="121"/>
      <c r="GKW61" s="125"/>
      <c r="GKX61" s="5"/>
      <c r="GKY61" s="117"/>
      <c r="GKZ61" s="4"/>
      <c r="GLA61" s="126"/>
      <c r="GLB61" s="127"/>
      <c r="GLC61" s="121"/>
      <c r="GLD61" s="5"/>
      <c r="GLE61" s="5"/>
      <c r="GLF61" s="124"/>
      <c r="GLG61" s="121"/>
      <c r="GLH61" s="125"/>
      <c r="GLI61" s="5"/>
      <c r="GLJ61" s="117"/>
      <c r="GLK61" s="4"/>
      <c r="GLL61" s="126"/>
      <c r="GLM61" s="127"/>
      <c r="GLN61" s="121"/>
      <c r="GLO61" s="5"/>
      <c r="GLP61" s="5"/>
      <c r="GLQ61" s="124"/>
      <c r="GLR61" s="121"/>
      <c r="GLS61" s="125"/>
      <c r="GLT61" s="5"/>
      <c r="GLU61" s="117"/>
      <c r="GLV61" s="4"/>
      <c r="GLW61" s="126"/>
      <c r="GLX61" s="127"/>
      <c r="GLY61" s="121"/>
      <c r="GLZ61" s="5"/>
      <c r="GMA61" s="5"/>
      <c r="GMB61" s="124"/>
      <c r="GMC61" s="121"/>
      <c r="GMD61" s="125"/>
      <c r="GME61" s="5"/>
      <c r="GMF61" s="117"/>
      <c r="GMG61" s="4"/>
      <c r="GMH61" s="126"/>
      <c r="GMI61" s="127"/>
      <c r="GMJ61" s="121"/>
      <c r="GMK61" s="5"/>
      <c r="GML61" s="5"/>
      <c r="GMM61" s="124"/>
      <c r="GMN61" s="121"/>
      <c r="GMO61" s="125"/>
      <c r="GMP61" s="5"/>
      <c r="GMQ61" s="117"/>
      <c r="GMR61" s="4"/>
      <c r="GMS61" s="126"/>
      <c r="GMT61" s="127"/>
      <c r="GMU61" s="121"/>
      <c r="GMV61" s="5"/>
      <c r="GMW61" s="5"/>
      <c r="GMX61" s="124"/>
      <c r="GMY61" s="121"/>
      <c r="GMZ61" s="125"/>
      <c r="GNA61" s="5"/>
      <c r="GNB61" s="117"/>
      <c r="GNC61" s="4"/>
      <c r="GND61" s="126"/>
      <c r="GNE61" s="127"/>
      <c r="GNF61" s="121"/>
      <c r="GNG61" s="5"/>
      <c r="GNH61" s="5"/>
      <c r="GNI61" s="124"/>
      <c r="GNJ61" s="121"/>
      <c r="GNK61" s="125"/>
      <c r="GNL61" s="5"/>
      <c r="GNM61" s="117"/>
      <c r="GNN61" s="4"/>
      <c r="GNO61" s="126"/>
      <c r="GNP61" s="127"/>
      <c r="GNQ61" s="121"/>
      <c r="GNR61" s="5"/>
      <c r="GNS61" s="5"/>
      <c r="GNT61" s="124"/>
      <c r="GNU61" s="121"/>
      <c r="GNV61" s="125"/>
      <c r="GNW61" s="5"/>
      <c r="GNX61" s="117"/>
      <c r="GNY61" s="4"/>
      <c r="GNZ61" s="126"/>
      <c r="GOA61" s="127"/>
      <c r="GOB61" s="121"/>
      <c r="GOC61" s="5"/>
      <c r="GOD61" s="5"/>
      <c r="GOE61" s="124"/>
      <c r="GOF61" s="121"/>
      <c r="GOG61" s="125"/>
      <c r="GOH61" s="5"/>
      <c r="GOI61" s="117"/>
      <c r="GOJ61" s="4"/>
      <c r="GOK61" s="126"/>
      <c r="GOL61" s="127"/>
      <c r="GOM61" s="121"/>
      <c r="GON61" s="5"/>
      <c r="GOO61" s="5"/>
      <c r="GOP61" s="124"/>
      <c r="GOQ61" s="121"/>
      <c r="GOR61" s="125"/>
      <c r="GOS61" s="5"/>
      <c r="GOT61" s="117"/>
      <c r="GOU61" s="4"/>
      <c r="GOV61" s="126"/>
      <c r="GOW61" s="127"/>
      <c r="GOX61" s="121"/>
      <c r="GOY61" s="5"/>
      <c r="GOZ61" s="5"/>
      <c r="GPA61" s="124"/>
      <c r="GPB61" s="121"/>
      <c r="GPC61" s="125"/>
      <c r="GPD61" s="5"/>
      <c r="GPE61" s="117"/>
      <c r="GPF61" s="4"/>
      <c r="GPG61" s="126"/>
      <c r="GPH61" s="127"/>
      <c r="GPI61" s="121"/>
      <c r="GPJ61" s="5"/>
      <c r="GPK61" s="5"/>
      <c r="GPL61" s="124"/>
      <c r="GPM61" s="121"/>
      <c r="GPN61" s="125"/>
      <c r="GPO61" s="5"/>
      <c r="GPP61" s="117"/>
      <c r="GPQ61" s="4"/>
      <c r="GPR61" s="126"/>
      <c r="GPS61" s="127"/>
      <c r="GPT61" s="121"/>
      <c r="GPU61" s="5"/>
      <c r="GPV61" s="5"/>
      <c r="GPW61" s="124"/>
      <c r="GPX61" s="121"/>
      <c r="GPY61" s="125"/>
      <c r="GPZ61" s="5"/>
      <c r="GQA61" s="117"/>
      <c r="GQB61" s="4"/>
      <c r="GQC61" s="126"/>
      <c r="GQD61" s="127"/>
      <c r="GQE61" s="121"/>
      <c r="GQF61" s="5"/>
      <c r="GQG61" s="5"/>
      <c r="GQH61" s="124"/>
      <c r="GQI61" s="121"/>
      <c r="GQJ61" s="125"/>
      <c r="GQK61" s="5"/>
      <c r="GQL61" s="117"/>
      <c r="GQM61" s="4"/>
      <c r="GQN61" s="126"/>
      <c r="GQO61" s="127"/>
      <c r="GQP61" s="121"/>
      <c r="GQQ61" s="5"/>
      <c r="GQR61" s="5"/>
      <c r="GQS61" s="124"/>
      <c r="GQT61" s="121"/>
      <c r="GQU61" s="125"/>
      <c r="GQV61" s="5"/>
      <c r="GQW61" s="117"/>
      <c r="GQX61" s="4"/>
      <c r="GQY61" s="126"/>
      <c r="GQZ61" s="127"/>
      <c r="GRA61" s="121"/>
      <c r="GRB61" s="5"/>
      <c r="GRC61" s="5"/>
      <c r="GRD61" s="124"/>
      <c r="GRE61" s="121"/>
      <c r="GRF61" s="125"/>
      <c r="GRG61" s="5"/>
      <c r="GRH61" s="117"/>
      <c r="GRI61" s="4"/>
      <c r="GRJ61" s="126"/>
      <c r="GRK61" s="127"/>
      <c r="GRL61" s="121"/>
      <c r="GRM61" s="5"/>
      <c r="GRN61" s="5"/>
      <c r="GRO61" s="124"/>
      <c r="GRP61" s="121"/>
      <c r="GRQ61" s="125"/>
      <c r="GRR61" s="5"/>
      <c r="GRS61" s="117"/>
      <c r="GRT61" s="4"/>
      <c r="GRU61" s="126"/>
      <c r="GRV61" s="127"/>
      <c r="GRW61" s="121"/>
      <c r="GRX61" s="5"/>
      <c r="GRY61" s="5"/>
      <c r="GRZ61" s="124"/>
      <c r="GSA61" s="121"/>
      <c r="GSB61" s="125"/>
      <c r="GSC61" s="5"/>
      <c r="GSD61" s="117"/>
      <c r="GSE61" s="4"/>
      <c r="GSF61" s="126"/>
      <c r="GSG61" s="127"/>
      <c r="GSH61" s="121"/>
      <c r="GSI61" s="5"/>
      <c r="GSJ61" s="5"/>
      <c r="GSK61" s="124"/>
      <c r="GSL61" s="121"/>
      <c r="GSM61" s="125"/>
      <c r="GSN61" s="5"/>
      <c r="GSO61" s="117"/>
      <c r="GSP61" s="4"/>
      <c r="GSQ61" s="126"/>
      <c r="GSR61" s="127"/>
      <c r="GSS61" s="121"/>
      <c r="GST61" s="5"/>
      <c r="GSU61" s="5"/>
      <c r="GSV61" s="124"/>
      <c r="GSW61" s="121"/>
      <c r="GSX61" s="125"/>
      <c r="GSY61" s="5"/>
      <c r="GSZ61" s="117"/>
      <c r="GTA61" s="4"/>
      <c r="GTB61" s="126"/>
      <c r="GTC61" s="127"/>
      <c r="GTD61" s="121"/>
      <c r="GTE61" s="5"/>
      <c r="GTF61" s="5"/>
      <c r="GTG61" s="124"/>
      <c r="GTH61" s="121"/>
      <c r="GTI61" s="125"/>
      <c r="GTJ61" s="5"/>
      <c r="GTK61" s="117"/>
      <c r="GTL61" s="4"/>
      <c r="GTM61" s="126"/>
      <c r="GTN61" s="127"/>
      <c r="GTO61" s="121"/>
      <c r="GTP61" s="5"/>
      <c r="GTQ61" s="5"/>
      <c r="GTR61" s="124"/>
      <c r="GTS61" s="121"/>
      <c r="GTT61" s="125"/>
      <c r="GTU61" s="5"/>
      <c r="GTV61" s="117"/>
      <c r="GTW61" s="4"/>
      <c r="GTX61" s="126"/>
      <c r="GTY61" s="127"/>
      <c r="GTZ61" s="121"/>
      <c r="GUA61" s="5"/>
      <c r="GUB61" s="5"/>
      <c r="GUC61" s="124"/>
      <c r="GUD61" s="121"/>
      <c r="GUE61" s="125"/>
      <c r="GUF61" s="5"/>
      <c r="GUG61" s="117"/>
      <c r="GUH61" s="4"/>
      <c r="GUI61" s="126"/>
      <c r="GUJ61" s="127"/>
      <c r="GUK61" s="121"/>
      <c r="GUL61" s="5"/>
      <c r="GUM61" s="5"/>
      <c r="GUN61" s="124"/>
      <c r="GUO61" s="121"/>
      <c r="GUP61" s="125"/>
      <c r="GUQ61" s="5"/>
      <c r="GUR61" s="117"/>
      <c r="GUS61" s="4"/>
      <c r="GUT61" s="126"/>
      <c r="GUU61" s="127"/>
      <c r="GUV61" s="121"/>
      <c r="GUW61" s="5"/>
      <c r="GUX61" s="5"/>
      <c r="GUY61" s="124"/>
      <c r="GUZ61" s="121"/>
      <c r="GVA61" s="125"/>
      <c r="GVB61" s="5"/>
      <c r="GVC61" s="117"/>
      <c r="GVD61" s="4"/>
      <c r="GVE61" s="126"/>
      <c r="GVF61" s="127"/>
      <c r="GVG61" s="121"/>
      <c r="GVH61" s="5"/>
      <c r="GVI61" s="5"/>
      <c r="GVJ61" s="124"/>
      <c r="GVK61" s="121"/>
      <c r="GVL61" s="125"/>
      <c r="GVM61" s="5"/>
      <c r="GVN61" s="117"/>
      <c r="GVO61" s="4"/>
      <c r="GVP61" s="126"/>
      <c r="GVQ61" s="127"/>
      <c r="GVR61" s="121"/>
      <c r="GVS61" s="5"/>
      <c r="GVT61" s="5"/>
      <c r="GVU61" s="124"/>
      <c r="GVV61" s="121"/>
      <c r="GVW61" s="125"/>
      <c r="GVX61" s="5"/>
      <c r="GVY61" s="117"/>
      <c r="GVZ61" s="4"/>
      <c r="GWA61" s="126"/>
      <c r="GWB61" s="127"/>
      <c r="GWC61" s="121"/>
      <c r="GWD61" s="5"/>
      <c r="GWE61" s="5"/>
      <c r="GWF61" s="124"/>
      <c r="GWG61" s="121"/>
      <c r="GWH61" s="125"/>
      <c r="GWI61" s="5"/>
      <c r="GWJ61" s="117"/>
      <c r="GWK61" s="4"/>
      <c r="GWL61" s="126"/>
      <c r="GWM61" s="127"/>
      <c r="GWN61" s="121"/>
      <c r="GWO61" s="5"/>
      <c r="GWP61" s="5"/>
      <c r="GWQ61" s="124"/>
      <c r="GWR61" s="121"/>
      <c r="GWS61" s="125"/>
      <c r="GWT61" s="5"/>
      <c r="GWU61" s="117"/>
      <c r="GWV61" s="4"/>
      <c r="GWW61" s="126"/>
      <c r="GWX61" s="127"/>
      <c r="GWY61" s="121"/>
      <c r="GWZ61" s="5"/>
      <c r="GXA61" s="5"/>
      <c r="GXB61" s="124"/>
      <c r="GXC61" s="121"/>
      <c r="GXD61" s="125"/>
      <c r="GXE61" s="5"/>
      <c r="GXF61" s="117"/>
      <c r="GXG61" s="4"/>
      <c r="GXH61" s="126"/>
      <c r="GXI61" s="127"/>
      <c r="GXJ61" s="121"/>
      <c r="GXK61" s="5"/>
      <c r="GXL61" s="5"/>
      <c r="GXM61" s="124"/>
      <c r="GXN61" s="121"/>
      <c r="GXO61" s="125"/>
      <c r="GXP61" s="5"/>
      <c r="GXQ61" s="117"/>
      <c r="GXR61" s="4"/>
      <c r="GXS61" s="126"/>
      <c r="GXT61" s="127"/>
      <c r="GXU61" s="121"/>
      <c r="GXV61" s="5"/>
      <c r="GXW61" s="5"/>
      <c r="GXX61" s="124"/>
      <c r="GXY61" s="121"/>
      <c r="GXZ61" s="125"/>
      <c r="GYA61" s="5"/>
      <c r="GYB61" s="117"/>
      <c r="GYC61" s="4"/>
      <c r="GYD61" s="126"/>
      <c r="GYE61" s="127"/>
      <c r="GYF61" s="121"/>
      <c r="GYG61" s="5"/>
      <c r="GYH61" s="5"/>
      <c r="GYI61" s="124"/>
      <c r="GYJ61" s="121"/>
      <c r="GYK61" s="125"/>
      <c r="GYL61" s="5"/>
      <c r="GYM61" s="117"/>
      <c r="GYN61" s="4"/>
      <c r="GYO61" s="126"/>
      <c r="GYP61" s="127"/>
      <c r="GYQ61" s="121"/>
      <c r="GYR61" s="5"/>
      <c r="GYS61" s="5"/>
      <c r="GYT61" s="124"/>
      <c r="GYU61" s="121"/>
      <c r="GYV61" s="125"/>
      <c r="GYW61" s="5"/>
      <c r="GYX61" s="117"/>
      <c r="GYY61" s="4"/>
      <c r="GYZ61" s="126"/>
      <c r="GZA61" s="127"/>
      <c r="GZB61" s="121"/>
      <c r="GZC61" s="5"/>
      <c r="GZD61" s="5"/>
      <c r="GZE61" s="124"/>
      <c r="GZF61" s="121"/>
      <c r="GZG61" s="125"/>
      <c r="GZH61" s="5"/>
      <c r="GZI61" s="117"/>
      <c r="GZJ61" s="4"/>
      <c r="GZK61" s="126"/>
      <c r="GZL61" s="127"/>
      <c r="GZM61" s="121"/>
      <c r="GZN61" s="5"/>
      <c r="GZO61" s="5"/>
      <c r="GZP61" s="124"/>
      <c r="GZQ61" s="121"/>
      <c r="GZR61" s="125"/>
      <c r="GZS61" s="5"/>
      <c r="GZT61" s="117"/>
      <c r="GZU61" s="4"/>
      <c r="GZV61" s="126"/>
      <c r="GZW61" s="127"/>
      <c r="GZX61" s="121"/>
      <c r="GZY61" s="5"/>
      <c r="GZZ61" s="5"/>
      <c r="HAA61" s="124"/>
      <c r="HAB61" s="121"/>
      <c r="HAC61" s="125"/>
      <c r="HAD61" s="5"/>
      <c r="HAE61" s="117"/>
      <c r="HAF61" s="4"/>
      <c r="HAG61" s="126"/>
      <c r="HAH61" s="127"/>
      <c r="HAI61" s="121"/>
      <c r="HAJ61" s="5"/>
      <c r="HAK61" s="5"/>
      <c r="HAL61" s="124"/>
      <c r="HAM61" s="121"/>
      <c r="HAN61" s="125"/>
      <c r="HAO61" s="5"/>
      <c r="HAP61" s="117"/>
      <c r="HAQ61" s="4"/>
      <c r="HAR61" s="126"/>
      <c r="HAS61" s="127"/>
      <c r="HAT61" s="121"/>
      <c r="HAU61" s="5"/>
      <c r="HAV61" s="5"/>
      <c r="HAW61" s="124"/>
      <c r="HAX61" s="121"/>
      <c r="HAY61" s="125"/>
      <c r="HAZ61" s="5"/>
      <c r="HBA61" s="117"/>
      <c r="HBB61" s="4"/>
      <c r="HBC61" s="126"/>
      <c r="HBD61" s="127"/>
      <c r="HBE61" s="121"/>
      <c r="HBF61" s="5"/>
      <c r="HBG61" s="5"/>
      <c r="HBH61" s="124"/>
      <c r="HBI61" s="121"/>
      <c r="HBJ61" s="125"/>
      <c r="HBK61" s="5"/>
      <c r="HBL61" s="117"/>
      <c r="HBM61" s="4"/>
      <c r="HBN61" s="126"/>
      <c r="HBO61" s="127"/>
      <c r="HBP61" s="121"/>
      <c r="HBQ61" s="5"/>
      <c r="HBR61" s="5"/>
      <c r="HBS61" s="124"/>
      <c r="HBT61" s="121"/>
      <c r="HBU61" s="125"/>
      <c r="HBV61" s="5"/>
      <c r="HBW61" s="117"/>
      <c r="HBX61" s="4"/>
      <c r="HBY61" s="126"/>
      <c r="HBZ61" s="127"/>
      <c r="HCA61" s="121"/>
      <c r="HCB61" s="5"/>
      <c r="HCC61" s="5"/>
      <c r="HCD61" s="124"/>
      <c r="HCE61" s="121"/>
      <c r="HCF61" s="125"/>
      <c r="HCG61" s="5"/>
      <c r="HCH61" s="117"/>
      <c r="HCI61" s="4"/>
      <c r="HCJ61" s="126"/>
      <c r="HCK61" s="127"/>
      <c r="HCL61" s="121"/>
      <c r="HCM61" s="5"/>
      <c r="HCN61" s="5"/>
      <c r="HCO61" s="124"/>
      <c r="HCP61" s="121"/>
      <c r="HCQ61" s="125"/>
      <c r="HCR61" s="5"/>
      <c r="HCS61" s="117"/>
      <c r="HCT61" s="4"/>
      <c r="HCU61" s="126"/>
      <c r="HCV61" s="127"/>
      <c r="HCW61" s="121"/>
      <c r="HCX61" s="5"/>
      <c r="HCY61" s="5"/>
      <c r="HCZ61" s="124"/>
      <c r="HDA61" s="121"/>
      <c r="HDB61" s="125"/>
      <c r="HDC61" s="5"/>
      <c r="HDD61" s="117"/>
      <c r="HDE61" s="4"/>
      <c r="HDF61" s="126"/>
      <c r="HDG61" s="127"/>
      <c r="HDH61" s="121"/>
      <c r="HDI61" s="5"/>
      <c r="HDJ61" s="5"/>
      <c r="HDK61" s="124"/>
      <c r="HDL61" s="121"/>
      <c r="HDM61" s="125"/>
      <c r="HDN61" s="5"/>
      <c r="HDO61" s="117"/>
      <c r="HDP61" s="4"/>
      <c r="HDQ61" s="126"/>
      <c r="HDR61" s="127"/>
      <c r="HDS61" s="121"/>
      <c r="HDT61" s="5"/>
      <c r="HDU61" s="5"/>
      <c r="HDV61" s="124"/>
      <c r="HDW61" s="121"/>
      <c r="HDX61" s="125"/>
      <c r="HDY61" s="5"/>
      <c r="HDZ61" s="117"/>
      <c r="HEA61" s="4"/>
      <c r="HEB61" s="126"/>
      <c r="HEC61" s="127"/>
      <c r="HED61" s="121"/>
      <c r="HEE61" s="5"/>
      <c r="HEF61" s="5"/>
      <c r="HEG61" s="124"/>
      <c r="HEH61" s="121"/>
      <c r="HEI61" s="125"/>
      <c r="HEJ61" s="5"/>
      <c r="HEK61" s="117"/>
      <c r="HEL61" s="4"/>
      <c r="HEM61" s="126"/>
      <c r="HEN61" s="127"/>
      <c r="HEO61" s="121"/>
      <c r="HEP61" s="5"/>
      <c r="HEQ61" s="5"/>
      <c r="HER61" s="124"/>
      <c r="HES61" s="121"/>
      <c r="HET61" s="125"/>
      <c r="HEU61" s="5"/>
      <c r="HEV61" s="117"/>
      <c r="HEW61" s="4"/>
      <c r="HEX61" s="126"/>
      <c r="HEY61" s="127"/>
      <c r="HEZ61" s="121"/>
      <c r="HFA61" s="5"/>
      <c r="HFB61" s="5"/>
      <c r="HFC61" s="124"/>
      <c r="HFD61" s="121"/>
      <c r="HFE61" s="125"/>
      <c r="HFF61" s="5"/>
      <c r="HFG61" s="117"/>
      <c r="HFH61" s="4"/>
      <c r="HFI61" s="126"/>
      <c r="HFJ61" s="127"/>
      <c r="HFK61" s="121"/>
      <c r="HFL61" s="5"/>
      <c r="HFM61" s="5"/>
      <c r="HFN61" s="124"/>
      <c r="HFO61" s="121"/>
      <c r="HFP61" s="125"/>
      <c r="HFQ61" s="5"/>
      <c r="HFR61" s="117"/>
      <c r="HFS61" s="4"/>
      <c r="HFT61" s="126"/>
      <c r="HFU61" s="127"/>
      <c r="HFV61" s="121"/>
      <c r="HFW61" s="5"/>
      <c r="HFX61" s="5"/>
      <c r="HFY61" s="124"/>
      <c r="HFZ61" s="121"/>
      <c r="HGA61" s="125"/>
      <c r="HGB61" s="5"/>
      <c r="HGC61" s="117"/>
      <c r="HGD61" s="4"/>
      <c r="HGE61" s="126"/>
      <c r="HGF61" s="127"/>
      <c r="HGG61" s="121"/>
      <c r="HGH61" s="5"/>
      <c r="HGI61" s="5"/>
      <c r="HGJ61" s="124"/>
      <c r="HGK61" s="121"/>
      <c r="HGL61" s="125"/>
      <c r="HGM61" s="5"/>
      <c r="HGN61" s="117"/>
      <c r="HGO61" s="4"/>
      <c r="HGP61" s="126"/>
      <c r="HGQ61" s="127"/>
      <c r="HGR61" s="121"/>
      <c r="HGS61" s="5"/>
      <c r="HGT61" s="5"/>
      <c r="HGU61" s="124"/>
      <c r="HGV61" s="121"/>
      <c r="HGW61" s="125"/>
      <c r="HGX61" s="5"/>
      <c r="HGY61" s="117"/>
      <c r="HGZ61" s="4"/>
      <c r="HHA61" s="126"/>
      <c r="HHB61" s="127"/>
      <c r="HHC61" s="121"/>
      <c r="HHD61" s="5"/>
      <c r="HHE61" s="5"/>
      <c r="HHF61" s="124"/>
      <c r="HHG61" s="121"/>
      <c r="HHH61" s="125"/>
      <c r="HHI61" s="5"/>
      <c r="HHJ61" s="117"/>
      <c r="HHK61" s="4"/>
      <c r="HHL61" s="126"/>
      <c r="HHM61" s="127"/>
      <c r="HHN61" s="121"/>
      <c r="HHO61" s="5"/>
      <c r="HHP61" s="5"/>
      <c r="HHQ61" s="124"/>
      <c r="HHR61" s="121"/>
      <c r="HHS61" s="125"/>
      <c r="HHT61" s="5"/>
      <c r="HHU61" s="117"/>
      <c r="HHV61" s="4"/>
      <c r="HHW61" s="126"/>
      <c r="HHX61" s="127"/>
      <c r="HHY61" s="121"/>
      <c r="HHZ61" s="5"/>
      <c r="HIA61" s="5"/>
      <c r="HIB61" s="124"/>
      <c r="HIC61" s="121"/>
      <c r="HID61" s="125"/>
      <c r="HIE61" s="5"/>
      <c r="HIF61" s="117"/>
      <c r="HIG61" s="4"/>
      <c r="HIH61" s="126"/>
      <c r="HII61" s="127"/>
      <c r="HIJ61" s="121"/>
      <c r="HIK61" s="5"/>
      <c r="HIL61" s="5"/>
      <c r="HIM61" s="124"/>
      <c r="HIN61" s="121"/>
      <c r="HIO61" s="125"/>
      <c r="HIP61" s="5"/>
      <c r="HIQ61" s="117"/>
      <c r="HIR61" s="4"/>
      <c r="HIS61" s="126"/>
      <c r="HIT61" s="127"/>
      <c r="HIU61" s="121"/>
      <c r="HIV61" s="5"/>
      <c r="HIW61" s="5"/>
      <c r="HIX61" s="124"/>
      <c r="HIY61" s="121"/>
      <c r="HIZ61" s="125"/>
      <c r="HJA61" s="5"/>
      <c r="HJB61" s="117"/>
      <c r="HJC61" s="4"/>
      <c r="HJD61" s="126"/>
      <c r="HJE61" s="127"/>
      <c r="HJF61" s="121"/>
      <c r="HJG61" s="5"/>
      <c r="HJH61" s="5"/>
      <c r="HJI61" s="124"/>
      <c r="HJJ61" s="121"/>
      <c r="HJK61" s="125"/>
      <c r="HJL61" s="5"/>
      <c r="HJM61" s="117"/>
      <c r="HJN61" s="4"/>
      <c r="HJO61" s="126"/>
      <c r="HJP61" s="127"/>
      <c r="HJQ61" s="121"/>
      <c r="HJR61" s="5"/>
      <c r="HJS61" s="5"/>
      <c r="HJT61" s="124"/>
      <c r="HJU61" s="121"/>
      <c r="HJV61" s="125"/>
      <c r="HJW61" s="5"/>
      <c r="HJX61" s="117"/>
      <c r="HJY61" s="4"/>
      <c r="HJZ61" s="126"/>
      <c r="HKA61" s="127"/>
      <c r="HKB61" s="121"/>
      <c r="HKC61" s="5"/>
      <c r="HKD61" s="5"/>
      <c r="HKE61" s="124"/>
      <c r="HKF61" s="121"/>
      <c r="HKG61" s="125"/>
      <c r="HKH61" s="5"/>
      <c r="HKI61" s="117"/>
      <c r="HKJ61" s="4"/>
      <c r="HKK61" s="126"/>
      <c r="HKL61" s="127"/>
      <c r="HKM61" s="121"/>
      <c r="HKN61" s="5"/>
      <c r="HKO61" s="5"/>
      <c r="HKP61" s="124"/>
      <c r="HKQ61" s="121"/>
      <c r="HKR61" s="125"/>
      <c r="HKS61" s="5"/>
      <c r="HKT61" s="117"/>
      <c r="HKU61" s="4"/>
      <c r="HKV61" s="126"/>
      <c r="HKW61" s="127"/>
      <c r="HKX61" s="121"/>
      <c r="HKY61" s="5"/>
      <c r="HKZ61" s="5"/>
      <c r="HLA61" s="124"/>
      <c r="HLB61" s="121"/>
      <c r="HLC61" s="125"/>
      <c r="HLD61" s="5"/>
      <c r="HLE61" s="117"/>
      <c r="HLF61" s="4"/>
      <c r="HLG61" s="126"/>
      <c r="HLH61" s="127"/>
      <c r="HLI61" s="121"/>
      <c r="HLJ61" s="5"/>
      <c r="HLK61" s="5"/>
      <c r="HLL61" s="124"/>
      <c r="HLM61" s="121"/>
      <c r="HLN61" s="125"/>
      <c r="HLO61" s="5"/>
      <c r="HLP61" s="117"/>
      <c r="HLQ61" s="4"/>
      <c r="HLR61" s="126"/>
      <c r="HLS61" s="127"/>
      <c r="HLT61" s="121"/>
      <c r="HLU61" s="5"/>
      <c r="HLV61" s="5"/>
      <c r="HLW61" s="124"/>
      <c r="HLX61" s="121"/>
      <c r="HLY61" s="125"/>
      <c r="HLZ61" s="5"/>
      <c r="HMA61" s="117"/>
      <c r="HMB61" s="4"/>
      <c r="HMC61" s="126"/>
      <c r="HMD61" s="127"/>
      <c r="HME61" s="121"/>
      <c r="HMF61" s="5"/>
      <c r="HMG61" s="5"/>
      <c r="HMH61" s="124"/>
      <c r="HMI61" s="121"/>
      <c r="HMJ61" s="125"/>
      <c r="HMK61" s="5"/>
      <c r="HML61" s="117"/>
      <c r="HMM61" s="4"/>
      <c r="HMN61" s="126"/>
      <c r="HMO61" s="127"/>
      <c r="HMP61" s="121"/>
      <c r="HMQ61" s="5"/>
      <c r="HMR61" s="5"/>
      <c r="HMS61" s="124"/>
      <c r="HMT61" s="121"/>
      <c r="HMU61" s="125"/>
      <c r="HMV61" s="5"/>
      <c r="HMW61" s="117"/>
      <c r="HMX61" s="4"/>
      <c r="HMY61" s="126"/>
      <c r="HMZ61" s="127"/>
      <c r="HNA61" s="121"/>
      <c r="HNB61" s="5"/>
      <c r="HNC61" s="5"/>
      <c r="HND61" s="124"/>
      <c r="HNE61" s="121"/>
      <c r="HNF61" s="125"/>
      <c r="HNG61" s="5"/>
      <c r="HNH61" s="117"/>
      <c r="HNI61" s="4"/>
      <c r="HNJ61" s="126"/>
      <c r="HNK61" s="127"/>
      <c r="HNL61" s="121"/>
      <c r="HNM61" s="5"/>
      <c r="HNN61" s="5"/>
      <c r="HNO61" s="124"/>
      <c r="HNP61" s="121"/>
      <c r="HNQ61" s="125"/>
      <c r="HNR61" s="5"/>
      <c r="HNS61" s="117"/>
      <c r="HNT61" s="4"/>
      <c r="HNU61" s="126"/>
      <c r="HNV61" s="127"/>
      <c r="HNW61" s="121"/>
      <c r="HNX61" s="5"/>
      <c r="HNY61" s="5"/>
      <c r="HNZ61" s="124"/>
      <c r="HOA61" s="121"/>
      <c r="HOB61" s="125"/>
      <c r="HOC61" s="5"/>
      <c r="HOD61" s="117"/>
      <c r="HOE61" s="4"/>
      <c r="HOF61" s="126"/>
      <c r="HOG61" s="127"/>
      <c r="HOH61" s="121"/>
      <c r="HOI61" s="5"/>
      <c r="HOJ61" s="5"/>
      <c r="HOK61" s="124"/>
      <c r="HOL61" s="121"/>
      <c r="HOM61" s="125"/>
      <c r="HON61" s="5"/>
      <c r="HOO61" s="117"/>
      <c r="HOP61" s="4"/>
      <c r="HOQ61" s="126"/>
      <c r="HOR61" s="127"/>
      <c r="HOS61" s="121"/>
      <c r="HOT61" s="5"/>
      <c r="HOU61" s="5"/>
      <c r="HOV61" s="124"/>
      <c r="HOW61" s="121"/>
      <c r="HOX61" s="125"/>
      <c r="HOY61" s="5"/>
      <c r="HOZ61" s="117"/>
      <c r="HPA61" s="4"/>
      <c r="HPB61" s="126"/>
      <c r="HPC61" s="127"/>
      <c r="HPD61" s="121"/>
      <c r="HPE61" s="5"/>
      <c r="HPF61" s="5"/>
      <c r="HPG61" s="124"/>
      <c r="HPH61" s="121"/>
      <c r="HPI61" s="125"/>
      <c r="HPJ61" s="5"/>
      <c r="HPK61" s="117"/>
      <c r="HPL61" s="4"/>
      <c r="HPM61" s="126"/>
      <c r="HPN61" s="127"/>
      <c r="HPO61" s="121"/>
      <c r="HPP61" s="5"/>
      <c r="HPQ61" s="5"/>
      <c r="HPR61" s="124"/>
      <c r="HPS61" s="121"/>
      <c r="HPT61" s="125"/>
      <c r="HPU61" s="5"/>
      <c r="HPV61" s="117"/>
      <c r="HPW61" s="4"/>
      <c r="HPX61" s="126"/>
      <c r="HPY61" s="127"/>
      <c r="HPZ61" s="121"/>
      <c r="HQA61" s="5"/>
      <c r="HQB61" s="5"/>
      <c r="HQC61" s="124"/>
      <c r="HQD61" s="121"/>
      <c r="HQE61" s="125"/>
      <c r="HQF61" s="5"/>
      <c r="HQG61" s="117"/>
      <c r="HQH61" s="4"/>
      <c r="HQI61" s="126"/>
      <c r="HQJ61" s="127"/>
      <c r="HQK61" s="121"/>
      <c r="HQL61" s="5"/>
      <c r="HQM61" s="5"/>
      <c r="HQN61" s="124"/>
      <c r="HQO61" s="121"/>
      <c r="HQP61" s="125"/>
      <c r="HQQ61" s="5"/>
      <c r="HQR61" s="117"/>
      <c r="HQS61" s="4"/>
      <c r="HQT61" s="126"/>
      <c r="HQU61" s="127"/>
      <c r="HQV61" s="121"/>
      <c r="HQW61" s="5"/>
      <c r="HQX61" s="5"/>
      <c r="HQY61" s="124"/>
      <c r="HQZ61" s="121"/>
      <c r="HRA61" s="125"/>
      <c r="HRB61" s="5"/>
      <c r="HRC61" s="117"/>
      <c r="HRD61" s="4"/>
      <c r="HRE61" s="126"/>
      <c r="HRF61" s="127"/>
      <c r="HRG61" s="121"/>
      <c r="HRH61" s="5"/>
      <c r="HRI61" s="5"/>
      <c r="HRJ61" s="124"/>
      <c r="HRK61" s="121"/>
      <c r="HRL61" s="125"/>
      <c r="HRM61" s="5"/>
      <c r="HRN61" s="117"/>
      <c r="HRO61" s="4"/>
      <c r="HRP61" s="126"/>
      <c r="HRQ61" s="127"/>
      <c r="HRR61" s="121"/>
      <c r="HRS61" s="5"/>
      <c r="HRT61" s="5"/>
      <c r="HRU61" s="124"/>
      <c r="HRV61" s="121"/>
      <c r="HRW61" s="125"/>
      <c r="HRX61" s="5"/>
      <c r="HRY61" s="117"/>
      <c r="HRZ61" s="4"/>
      <c r="HSA61" s="126"/>
      <c r="HSB61" s="127"/>
      <c r="HSC61" s="121"/>
      <c r="HSD61" s="5"/>
      <c r="HSE61" s="5"/>
      <c r="HSF61" s="124"/>
      <c r="HSG61" s="121"/>
      <c r="HSH61" s="125"/>
      <c r="HSI61" s="5"/>
      <c r="HSJ61" s="117"/>
      <c r="HSK61" s="4"/>
      <c r="HSL61" s="126"/>
      <c r="HSM61" s="127"/>
      <c r="HSN61" s="121"/>
      <c r="HSO61" s="5"/>
      <c r="HSP61" s="5"/>
      <c r="HSQ61" s="124"/>
      <c r="HSR61" s="121"/>
      <c r="HSS61" s="125"/>
      <c r="HST61" s="5"/>
      <c r="HSU61" s="117"/>
      <c r="HSV61" s="4"/>
      <c r="HSW61" s="126"/>
      <c r="HSX61" s="127"/>
      <c r="HSY61" s="121"/>
      <c r="HSZ61" s="5"/>
      <c r="HTA61" s="5"/>
      <c r="HTB61" s="124"/>
      <c r="HTC61" s="121"/>
      <c r="HTD61" s="125"/>
      <c r="HTE61" s="5"/>
      <c r="HTF61" s="117"/>
      <c r="HTG61" s="4"/>
      <c r="HTH61" s="126"/>
      <c r="HTI61" s="127"/>
      <c r="HTJ61" s="121"/>
      <c r="HTK61" s="5"/>
      <c r="HTL61" s="5"/>
      <c r="HTM61" s="124"/>
      <c r="HTN61" s="121"/>
      <c r="HTO61" s="125"/>
      <c r="HTP61" s="5"/>
      <c r="HTQ61" s="117"/>
      <c r="HTR61" s="4"/>
      <c r="HTS61" s="126"/>
      <c r="HTT61" s="127"/>
      <c r="HTU61" s="121"/>
      <c r="HTV61" s="5"/>
      <c r="HTW61" s="5"/>
      <c r="HTX61" s="124"/>
      <c r="HTY61" s="121"/>
      <c r="HTZ61" s="125"/>
      <c r="HUA61" s="5"/>
      <c r="HUB61" s="117"/>
      <c r="HUC61" s="4"/>
      <c r="HUD61" s="126"/>
      <c r="HUE61" s="127"/>
      <c r="HUF61" s="121"/>
      <c r="HUG61" s="5"/>
      <c r="HUH61" s="5"/>
      <c r="HUI61" s="124"/>
      <c r="HUJ61" s="121"/>
      <c r="HUK61" s="125"/>
      <c r="HUL61" s="5"/>
      <c r="HUM61" s="117"/>
      <c r="HUN61" s="4"/>
      <c r="HUO61" s="126"/>
      <c r="HUP61" s="127"/>
      <c r="HUQ61" s="121"/>
      <c r="HUR61" s="5"/>
      <c r="HUS61" s="5"/>
      <c r="HUT61" s="124"/>
      <c r="HUU61" s="121"/>
      <c r="HUV61" s="125"/>
      <c r="HUW61" s="5"/>
      <c r="HUX61" s="117"/>
      <c r="HUY61" s="4"/>
      <c r="HUZ61" s="126"/>
      <c r="HVA61" s="127"/>
      <c r="HVB61" s="121"/>
      <c r="HVC61" s="5"/>
      <c r="HVD61" s="5"/>
      <c r="HVE61" s="124"/>
      <c r="HVF61" s="121"/>
      <c r="HVG61" s="125"/>
      <c r="HVH61" s="5"/>
      <c r="HVI61" s="117"/>
      <c r="HVJ61" s="4"/>
      <c r="HVK61" s="126"/>
      <c r="HVL61" s="127"/>
      <c r="HVM61" s="121"/>
      <c r="HVN61" s="5"/>
      <c r="HVO61" s="5"/>
      <c r="HVP61" s="124"/>
      <c r="HVQ61" s="121"/>
      <c r="HVR61" s="125"/>
      <c r="HVS61" s="5"/>
      <c r="HVT61" s="117"/>
      <c r="HVU61" s="4"/>
      <c r="HVV61" s="126"/>
      <c r="HVW61" s="127"/>
      <c r="HVX61" s="121"/>
      <c r="HVY61" s="5"/>
      <c r="HVZ61" s="5"/>
      <c r="HWA61" s="124"/>
      <c r="HWB61" s="121"/>
      <c r="HWC61" s="125"/>
      <c r="HWD61" s="5"/>
      <c r="HWE61" s="117"/>
      <c r="HWF61" s="4"/>
      <c r="HWG61" s="126"/>
      <c r="HWH61" s="127"/>
      <c r="HWI61" s="121"/>
      <c r="HWJ61" s="5"/>
      <c r="HWK61" s="5"/>
      <c r="HWL61" s="124"/>
      <c r="HWM61" s="121"/>
      <c r="HWN61" s="125"/>
      <c r="HWO61" s="5"/>
      <c r="HWP61" s="117"/>
      <c r="HWQ61" s="4"/>
      <c r="HWR61" s="126"/>
      <c r="HWS61" s="127"/>
      <c r="HWT61" s="121"/>
      <c r="HWU61" s="5"/>
      <c r="HWV61" s="5"/>
      <c r="HWW61" s="124"/>
      <c r="HWX61" s="121"/>
      <c r="HWY61" s="125"/>
      <c r="HWZ61" s="5"/>
      <c r="HXA61" s="117"/>
      <c r="HXB61" s="4"/>
      <c r="HXC61" s="126"/>
      <c r="HXD61" s="127"/>
      <c r="HXE61" s="121"/>
      <c r="HXF61" s="5"/>
      <c r="HXG61" s="5"/>
      <c r="HXH61" s="124"/>
      <c r="HXI61" s="121"/>
      <c r="HXJ61" s="125"/>
      <c r="HXK61" s="5"/>
      <c r="HXL61" s="117"/>
      <c r="HXM61" s="4"/>
      <c r="HXN61" s="126"/>
      <c r="HXO61" s="127"/>
      <c r="HXP61" s="121"/>
      <c r="HXQ61" s="5"/>
      <c r="HXR61" s="5"/>
      <c r="HXS61" s="124"/>
      <c r="HXT61" s="121"/>
      <c r="HXU61" s="125"/>
      <c r="HXV61" s="5"/>
      <c r="HXW61" s="117"/>
      <c r="HXX61" s="4"/>
      <c r="HXY61" s="126"/>
      <c r="HXZ61" s="127"/>
      <c r="HYA61" s="121"/>
      <c r="HYB61" s="5"/>
      <c r="HYC61" s="5"/>
      <c r="HYD61" s="124"/>
      <c r="HYE61" s="121"/>
      <c r="HYF61" s="125"/>
      <c r="HYG61" s="5"/>
      <c r="HYH61" s="117"/>
      <c r="HYI61" s="4"/>
      <c r="HYJ61" s="126"/>
      <c r="HYK61" s="127"/>
      <c r="HYL61" s="121"/>
      <c r="HYM61" s="5"/>
      <c r="HYN61" s="5"/>
      <c r="HYO61" s="124"/>
      <c r="HYP61" s="121"/>
      <c r="HYQ61" s="125"/>
      <c r="HYR61" s="5"/>
      <c r="HYS61" s="117"/>
      <c r="HYT61" s="4"/>
      <c r="HYU61" s="126"/>
      <c r="HYV61" s="127"/>
      <c r="HYW61" s="121"/>
      <c r="HYX61" s="5"/>
      <c r="HYY61" s="5"/>
      <c r="HYZ61" s="124"/>
      <c r="HZA61" s="121"/>
      <c r="HZB61" s="125"/>
      <c r="HZC61" s="5"/>
      <c r="HZD61" s="117"/>
      <c r="HZE61" s="4"/>
      <c r="HZF61" s="126"/>
      <c r="HZG61" s="127"/>
      <c r="HZH61" s="121"/>
      <c r="HZI61" s="5"/>
      <c r="HZJ61" s="5"/>
      <c r="HZK61" s="124"/>
      <c r="HZL61" s="121"/>
      <c r="HZM61" s="125"/>
      <c r="HZN61" s="5"/>
      <c r="HZO61" s="117"/>
      <c r="HZP61" s="4"/>
      <c r="HZQ61" s="126"/>
      <c r="HZR61" s="127"/>
      <c r="HZS61" s="121"/>
      <c r="HZT61" s="5"/>
      <c r="HZU61" s="5"/>
      <c r="HZV61" s="124"/>
      <c r="HZW61" s="121"/>
      <c r="HZX61" s="125"/>
      <c r="HZY61" s="5"/>
      <c r="HZZ61" s="117"/>
      <c r="IAA61" s="4"/>
      <c r="IAB61" s="126"/>
      <c r="IAC61" s="127"/>
      <c r="IAD61" s="121"/>
      <c r="IAE61" s="5"/>
      <c r="IAF61" s="5"/>
      <c r="IAG61" s="124"/>
      <c r="IAH61" s="121"/>
      <c r="IAI61" s="125"/>
      <c r="IAJ61" s="5"/>
      <c r="IAK61" s="117"/>
      <c r="IAL61" s="4"/>
      <c r="IAM61" s="126"/>
      <c r="IAN61" s="127"/>
      <c r="IAO61" s="121"/>
      <c r="IAP61" s="5"/>
      <c r="IAQ61" s="5"/>
      <c r="IAR61" s="124"/>
      <c r="IAS61" s="121"/>
      <c r="IAT61" s="125"/>
      <c r="IAU61" s="5"/>
      <c r="IAV61" s="117"/>
      <c r="IAW61" s="4"/>
      <c r="IAX61" s="126"/>
      <c r="IAY61" s="127"/>
      <c r="IAZ61" s="121"/>
      <c r="IBA61" s="5"/>
      <c r="IBB61" s="5"/>
      <c r="IBC61" s="124"/>
      <c r="IBD61" s="121"/>
      <c r="IBE61" s="125"/>
      <c r="IBF61" s="5"/>
      <c r="IBG61" s="117"/>
      <c r="IBH61" s="4"/>
      <c r="IBI61" s="126"/>
      <c r="IBJ61" s="127"/>
      <c r="IBK61" s="121"/>
      <c r="IBL61" s="5"/>
      <c r="IBM61" s="5"/>
      <c r="IBN61" s="124"/>
      <c r="IBO61" s="121"/>
      <c r="IBP61" s="125"/>
      <c r="IBQ61" s="5"/>
      <c r="IBR61" s="117"/>
      <c r="IBS61" s="4"/>
      <c r="IBT61" s="126"/>
      <c r="IBU61" s="127"/>
      <c r="IBV61" s="121"/>
      <c r="IBW61" s="5"/>
      <c r="IBX61" s="5"/>
      <c r="IBY61" s="124"/>
      <c r="IBZ61" s="121"/>
      <c r="ICA61" s="125"/>
      <c r="ICB61" s="5"/>
      <c r="ICC61" s="117"/>
      <c r="ICD61" s="4"/>
      <c r="ICE61" s="126"/>
      <c r="ICF61" s="127"/>
      <c r="ICG61" s="121"/>
      <c r="ICH61" s="5"/>
      <c r="ICI61" s="5"/>
      <c r="ICJ61" s="124"/>
      <c r="ICK61" s="121"/>
      <c r="ICL61" s="125"/>
      <c r="ICM61" s="5"/>
      <c r="ICN61" s="117"/>
      <c r="ICO61" s="4"/>
      <c r="ICP61" s="126"/>
      <c r="ICQ61" s="127"/>
      <c r="ICR61" s="121"/>
      <c r="ICS61" s="5"/>
      <c r="ICT61" s="5"/>
      <c r="ICU61" s="124"/>
      <c r="ICV61" s="121"/>
      <c r="ICW61" s="125"/>
      <c r="ICX61" s="5"/>
      <c r="ICY61" s="117"/>
      <c r="ICZ61" s="4"/>
      <c r="IDA61" s="126"/>
      <c r="IDB61" s="127"/>
      <c r="IDC61" s="121"/>
      <c r="IDD61" s="5"/>
      <c r="IDE61" s="5"/>
      <c r="IDF61" s="124"/>
      <c r="IDG61" s="121"/>
      <c r="IDH61" s="125"/>
      <c r="IDI61" s="5"/>
      <c r="IDJ61" s="117"/>
      <c r="IDK61" s="4"/>
      <c r="IDL61" s="126"/>
      <c r="IDM61" s="127"/>
      <c r="IDN61" s="121"/>
      <c r="IDO61" s="5"/>
      <c r="IDP61" s="5"/>
      <c r="IDQ61" s="124"/>
      <c r="IDR61" s="121"/>
      <c r="IDS61" s="125"/>
      <c r="IDT61" s="5"/>
      <c r="IDU61" s="117"/>
      <c r="IDV61" s="4"/>
      <c r="IDW61" s="126"/>
      <c r="IDX61" s="127"/>
      <c r="IDY61" s="121"/>
      <c r="IDZ61" s="5"/>
      <c r="IEA61" s="5"/>
      <c r="IEB61" s="124"/>
      <c r="IEC61" s="121"/>
      <c r="IED61" s="125"/>
      <c r="IEE61" s="5"/>
      <c r="IEF61" s="117"/>
      <c r="IEG61" s="4"/>
      <c r="IEH61" s="126"/>
      <c r="IEI61" s="127"/>
      <c r="IEJ61" s="121"/>
      <c r="IEK61" s="5"/>
      <c r="IEL61" s="5"/>
      <c r="IEM61" s="124"/>
      <c r="IEN61" s="121"/>
      <c r="IEO61" s="125"/>
      <c r="IEP61" s="5"/>
      <c r="IEQ61" s="117"/>
      <c r="IER61" s="4"/>
      <c r="IES61" s="126"/>
      <c r="IET61" s="127"/>
      <c r="IEU61" s="121"/>
      <c r="IEV61" s="5"/>
      <c r="IEW61" s="5"/>
      <c r="IEX61" s="124"/>
      <c r="IEY61" s="121"/>
      <c r="IEZ61" s="125"/>
      <c r="IFA61" s="5"/>
      <c r="IFB61" s="117"/>
      <c r="IFC61" s="4"/>
      <c r="IFD61" s="126"/>
      <c r="IFE61" s="127"/>
      <c r="IFF61" s="121"/>
      <c r="IFG61" s="5"/>
      <c r="IFH61" s="5"/>
      <c r="IFI61" s="124"/>
      <c r="IFJ61" s="121"/>
      <c r="IFK61" s="125"/>
      <c r="IFL61" s="5"/>
      <c r="IFM61" s="117"/>
      <c r="IFN61" s="4"/>
      <c r="IFO61" s="126"/>
      <c r="IFP61" s="127"/>
      <c r="IFQ61" s="121"/>
      <c r="IFR61" s="5"/>
      <c r="IFS61" s="5"/>
      <c r="IFT61" s="124"/>
      <c r="IFU61" s="121"/>
      <c r="IFV61" s="125"/>
      <c r="IFW61" s="5"/>
      <c r="IFX61" s="117"/>
      <c r="IFY61" s="4"/>
      <c r="IFZ61" s="126"/>
      <c r="IGA61" s="127"/>
      <c r="IGB61" s="121"/>
      <c r="IGC61" s="5"/>
      <c r="IGD61" s="5"/>
      <c r="IGE61" s="124"/>
      <c r="IGF61" s="121"/>
      <c r="IGG61" s="125"/>
      <c r="IGH61" s="5"/>
      <c r="IGI61" s="117"/>
      <c r="IGJ61" s="4"/>
      <c r="IGK61" s="126"/>
      <c r="IGL61" s="127"/>
      <c r="IGM61" s="121"/>
      <c r="IGN61" s="5"/>
      <c r="IGO61" s="5"/>
      <c r="IGP61" s="124"/>
      <c r="IGQ61" s="121"/>
      <c r="IGR61" s="125"/>
      <c r="IGS61" s="5"/>
      <c r="IGT61" s="117"/>
      <c r="IGU61" s="4"/>
      <c r="IGV61" s="126"/>
      <c r="IGW61" s="127"/>
      <c r="IGX61" s="121"/>
      <c r="IGY61" s="5"/>
      <c r="IGZ61" s="5"/>
      <c r="IHA61" s="124"/>
      <c r="IHB61" s="121"/>
      <c r="IHC61" s="125"/>
      <c r="IHD61" s="5"/>
      <c r="IHE61" s="117"/>
      <c r="IHF61" s="4"/>
      <c r="IHG61" s="126"/>
      <c r="IHH61" s="127"/>
      <c r="IHI61" s="121"/>
      <c r="IHJ61" s="5"/>
      <c r="IHK61" s="5"/>
      <c r="IHL61" s="124"/>
      <c r="IHM61" s="121"/>
      <c r="IHN61" s="125"/>
      <c r="IHO61" s="5"/>
      <c r="IHP61" s="117"/>
      <c r="IHQ61" s="4"/>
      <c r="IHR61" s="126"/>
      <c r="IHS61" s="127"/>
      <c r="IHT61" s="121"/>
      <c r="IHU61" s="5"/>
      <c r="IHV61" s="5"/>
      <c r="IHW61" s="124"/>
      <c r="IHX61" s="121"/>
      <c r="IHY61" s="125"/>
      <c r="IHZ61" s="5"/>
      <c r="IIA61" s="117"/>
      <c r="IIB61" s="4"/>
      <c r="IIC61" s="126"/>
      <c r="IID61" s="127"/>
      <c r="IIE61" s="121"/>
      <c r="IIF61" s="5"/>
      <c r="IIG61" s="5"/>
      <c r="IIH61" s="124"/>
      <c r="III61" s="121"/>
      <c r="IIJ61" s="125"/>
      <c r="IIK61" s="5"/>
      <c r="IIL61" s="117"/>
      <c r="IIM61" s="4"/>
      <c r="IIN61" s="126"/>
      <c r="IIO61" s="127"/>
      <c r="IIP61" s="121"/>
      <c r="IIQ61" s="5"/>
      <c r="IIR61" s="5"/>
      <c r="IIS61" s="124"/>
      <c r="IIT61" s="121"/>
      <c r="IIU61" s="125"/>
      <c r="IIV61" s="5"/>
      <c r="IIW61" s="117"/>
      <c r="IIX61" s="4"/>
      <c r="IIY61" s="126"/>
      <c r="IIZ61" s="127"/>
      <c r="IJA61" s="121"/>
      <c r="IJB61" s="5"/>
      <c r="IJC61" s="5"/>
      <c r="IJD61" s="124"/>
      <c r="IJE61" s="121"/>
      <c r="IJF61" s="125"/>
      <c r="IJG61" s="5"/>
      <c r="IJH61" s="117"/>
      <c r="IJI61" s="4"/>
      <c r="IJJ61" s="126"/>
      <c r="IJK61" s="127"/>
      <c r="IJL61" s="121"/>
      <c r="IJM61" s="5"/>
      <c r="IJN61" s="5"/>
      <c r="IJO61" s="124"/>
      <c r="IJP61" s="121"/>
      <c r="IJQ61" s="125"/>
      <c r="IJR61" s="5"/>
      <c r="IJS61" s="117"/>
      <c r="IJT61" s="4"/>
      <c r="IJU61" s="126"/>
      <c r="IJV61" s="127"/>
      <c r="IJW61" s="121"/>
      <c r="IJX61" s="5"/>
      <c r="IJY61" s="5"/>
      <c r="IJZ61" s="124"/>
      <c r="IKA61" s="121"/>
      <c r="IKB61" s="125"/>
      <c r="IKC61" s="5"/>
      <c r="IKD61" s="117"/>
      <c r="IKE61" s="4"/>
      <c r="IKF61" s="126"/>
      <c r="IKG61" s="127"/>
      <c r="IKH61" s="121"/>
      <c r="IKI61" s="5"/>
      <c r="IKJ61" s="5"/>
      <c r="IKK61" s="124"/>
      <c r="IKL61" s="121"/>
      <c r="IKM61" s="125"/>
      <c r="IKN61" s="5"/>
      <c r="IKO61" s="117"/>
      <c r="IKP61" s="4"/>
      <c r="IKQ61" s="126"/>
      <c r="IKR61" s="127"/>
      <c r="IKS61" s="121"/>
      <c r="IKT61" s="5"/>
      <c r="IKU61" s="5"/>
      <c r="IKV61" s="124"/>
      <c r="IKW61" s="121"/>
      <c r="IKX61" s="125"/>
      <c r="IKY61" s="5"/>
      <c r="IKZ61" s="117"/>
      <c r="ILA61" s="4"/>
      <c r="ILB61" s="126"/>
      <c r="ILC61" s="127"/>
      <c r="ILD61" s="121"/>
      <c r="ILE61" s="5"/>
      <c r="ILF61" s="5"/>
      <c r="ILG61" s="124"/>
      <c r="ILH61" s="121"/>
      <c r="ILI61" s="125"/>
      <c r="ILJ61" s="5"/>
      <c r="ILK61" s="117"/>
      <c r="ILL61" s="4"/>
      <c r="ILM61" s="126"/>
      <c r="ILN61" s="127"/>
      <c r="ILO61" s="121"/>
      <c r="ILP61" s="5"/>
      <c r="ILQ61" s="5"/>
      <c r="ILR61" s="124"/>
      <c r="ILS61" s="121"/>
      <c r="ILT61" s="125"/>
      <c r="ILU61" s="5"/>
      <c r="ILV61" s="117"/>
      <c r="ILW61" s="4"/>
      <c r="ILX61" s="126"/>
      <c r="ILY61" s="127"/>
      <c r="ILZ61" s="121"/>
      <c r="IMA61" s="5"/>
      <c r="IMB61" s="5"/>
      <c r="IMC61" s="124"/>
      <c r="IMD61" s="121"/>
      <c r="IME61" s="125"/>
      <c r="IMF61" s="5"/>
      <c r="IMG61" s="117"/>
      <c r="IMH61" s="4"/>
      <c r="IMI61" s="126"/>
      <c r="IMJ61" s="127"/>
      <c r="IMK61" s="121"/>
      <c r="IML61" s="5"/>
      <c r="IMM61" s="5"/>
      <c r="IMN61" s="124"/>
      <c r="IMO61" s="121"/>
      <c r="IMP61" s="125"/>
      <c r="IMQ61" s="5"/>
      <c r="IMR61" s="117"/>
      <c r="IMS61" s="4"/>
      <c r="IMT61" s="126"/>
      <c r="IMU61" s="127"/>
      <c r="IMV61" s="121"/>
      <c r="IMW61" s="5"/>
      <c r="IMX61" s="5"/>
      <c r="IMY61" s="124"/>
      <c r="IMZ61" s="121"/>
      <c r="INA61" s="125"/>
      <c r="INB61" s="5"/>
      <c r="INC61" s="117"/>
      <c r="IND61" s="4"/>
      <c r="INE61" s="126"/>
      <c r="INF61" s="127"/>
      <c r="ING61" s="121"/>
      <c r="INH61" s="5"/>
      <c r="INI61" s="5"/>
      <c r="INJ61" s="124"/>
      <c r="INK61" s="121"/>
      <c r="INL61" s="125"/>
      <c r="INM61" s="5"/>
      <c r="INN61" s="117"/>
      <c r="INO61" s="4"/>
      <c r="INP61" s="126"/>
      <c r="INQ61" s="127"/>
      <c r="INR61" s="121"/>
      <c r="INS61" s="5"/>
      <c r="INT61" s="5"/>
      <c r="INU61" s="124"/>
      <c r="INV61" s="121"/>
      <c r="INW61" s="125"/>
      <c r="INX61" s="5"/>
      <c r="INY61" s="117"/>
      <c r="INZ61" s="4"/>
      <c r="IOA61" s="126"/>
      <c r="IOB61" s="127"/>
      <c r="IOC61" s="121"/>
      <c r="IOD61" s="5"/>
      <c r="IOE61" s="5"/>
      <c r="IOF61" s="124"/>
      <c r="IOG61" s="121"/>
      <c r="IOH61" s="125"/>
      <c r="IOI61" s="5"/>
      <c r="IOJ61" s="117"/>
      <c r="IOK61" s="4"/>
      <c r="IOL61" s="126"/>
      <c r="IOM61" s="127"/>
      <c r="ION61" s="121"/>
      <c r="IOO61" s="5"/>
      <c r="IOP61" s="5"/>
      <c r="IOQ61" s="124"/>
      <c r="IOR61" s="121"/>
      <c r="IOS61" s="125"/>
      <c r="IOT61" s="5"/>
      <c r="IOU61" s="117"/>
      <c r="IOV61" s="4"/>
      <c r="IOW61" s="126"/>
      <c r="IOX61" s="127"/>
      <c r="IOY61" s="121"/>
      <c r="IOZ61" s="5"/>
      <c r="IPA61" s="5"/>
      <c r="IPB61" s="124"/>
      <c r="IPC61" s="121"/>
      <c r="IPD61" s="125"/>
      <c r="IPE61" s="5"/>
      <c r="IPF61" s="117"/>
      <c r="IPG61" s="4"/>
      <c r="IPH61" s="126"/>
      <c r="IPI61" s="127"/>
      <c r="IPJ61" s="121"/>
      <c r="IPK61" s="5"/>
      <c r="IPL61" s="5"/>
      <c r="IPM61" s="124"/>
      <c r="IPN61" s="121"/>
      <c r="IPO61" s="125"/>
      <c r="IPP61" s="5"/>
      <c r="IPQ61" s="117"/>
      <c r="IPR61" s="4"/>
      <c r="IPS61" s="126"/>
      <c r="IPT61" s="127"/>
      <c r="IPU61" s="121"/>
      <c r="IPV61" s="5"/>
      <c r="IPW61" s="5"/>
      <c r="IPX61" s="124"/>
      <c r="IPY61" s="121"/>
      <c r="IPZ61" s="125"/>
      <c r="IQA61" s="5"/>
      <c r="IQB61" s="117"/>
      <c r="IQC61" s="4"/>
      <c r="IQD61" s="126"/>
      <c r="IQE61" s="127"/>
      <c r="IQF61" s="121"/>
      <c r="IQG61" s="5"/>
      <c r="IQH61" s="5"/>
      <c r="IQI61" s="124"/>
      <c r="IQJ61" s="121"/>
      <c r="IQK61" s="125"/>
      <c r="IQL61" s="5"/>
      <c r="IQM61" s="117"/>
      <c r="IQN61" s="4"/>
      <c r="IQO61" s="126"/>
      <c r="IQP61" s="127"/>
      <c r="IQQ61" s="121"/>
      <c r="IQR61" s="5"/>
      <c r="IQS61" s="5"/>
      <c r="IQT61" s="124"/>
      <c r="IQU61" s="121"/>
      <c r="IQV61" s="125"/>
      <c r="IQW61" s="5"/>
      <c r="IQX61" s="117"/>
      <c r="IQY61" s="4"/>
      <c r="IQZ61" s="126"/>
      <c r="IRA61" s="127"/>
      <c r="IRB61" s="121"/>
      <c r="IRC61" s="5"/>
      <c r="IRD61" s="5"/>
      <c r="IRE61" s="124"/>
      <c r="IRF61" s="121"/>
      <c r="IRG61" s="125"/>
      <c r="IRH61" s="5"/>
      <c r="IRI61" s="117"/>
      <c r="IRJ61" s="4"/>
      <c r="IRK61" s="126"/>
      <c r="IRL61" s="127"/>
      <c r="IRM61" s="121"/>
      <c r="IRN61" s="5"/>
      <c r="IRO61" s="5"/>
      <c r="IRP61" s="124"/>
      <c r="IRQ61" s="121"/>
      <c r="IRR61" s="125"/>
      <c r="IRS61" s="5"/>
      <c r="IRT61" s="117"/>
      <c r="IRU61" s="4"/>
      <c r="IRV61" s="126"/>
      <c r="IRW61" s="127"/>
      <c r="IRX61" s="121"/>
      <c r="IRY61" s="5"/>
      <c r="IRZ61" s="5"/>
      <c r="ISA61" s="124"/>
      <c r="ISB61" s="121"/>
      <c r="ISC61" s="125"/>
      <c r="ISD61" s="5"/>
      <c r="ISE61" s="117"/>
      <c r="ISF61" s="4"/>
      <c r="ISG61" s="126"/>
      <c r="ISH61" s="127"/>
      <c r="ISI61" s="121"/>
      <c r="ISJ61" s="5"/>
      <c r="ISK61" s="5"/>
      <c r="ISL61" s="124"/>
      <c r="ISM61" s="121"/>
      <c r="ISN61" s="125"/>
      <c r="ISO61" s="5"/>
      <c r="ISP61" s="117"/>
      <c r="ISQ61" s="4"/>
      <c r="ISR61" s="126"/>
      <c r="ISS61" s="127"/>
      <c r="IST61" s="121"/>
      <c r="ISU61" s="5"/>
      <c r="ISV61" s="5"/>
      <c r="ISW61" s="124"/>
      <c r="ISX61" s="121"/>
      <c r="ISY61" s="125"/>
      <c r="ISZ61" s="5"/>
      <c r="ITA61" s="117"/>
      <c r="ITB61" s="4"/>
      <c r="ITC61" s="126"/>
      <c r="ITD61" s="127"/>
      <c r="ITE61" s="121"/>
      <c r="ITF61" s="5"/>
      <c r="ITG61" s="5"/>
      <c r="ITH61" s="124"/>
      <c r="ITI61" s="121"/>
      <c r="ITJ61" s="125"/>
      <c r="ITK61" s="5"/>
      <c r="ITL61" s="117"/>
      <c r="ITM61" s="4"/>
      <c r="ITN61" s="126"/>
      <c r="ITO61" s="127"/>
      <c r="ITP61" s="121"/>
      <c r="ITQ61" s="5"/>
      <c r="ITR61" s="5"/>
      <c r="ITS61" s="124"/>
      <c r="ITT61" s="121"/>
      <c r="ITU61" s="125"/>
      <c r="ITV61" s="5"/>
      <c r="ITW61" s="117"/>
      <c r="ITX61" s="4"/>
      <c r="ITY61" s="126"/>
      <c r="ITZ61" s="127"/>
      <c r="IUA61" s="121"/>
      <c r="IUB61" s="5"/>
      <c r="IUC61" s="5"/>
      <c r="IUD61" s="124"/>
      <c r="IUE61" s="121"/>
      <c r="IUF61" s="125"/>
      <c r="IUG61" s="5"/>
      <c r="IUH61" s="117"/>
      <c r="IUI61" s="4"/>
      <c r="IUJ61" s="126"/>
      <c r="IUK61" s="127"/>
      <c r="IUL61" s="121"/>
      <c r="IUM61" s="5"/>
      <c r="IUN61" s="5"/>
      <c r="IUO61" s="124"/>
      <c r="IUP61" s="121"/>
      <c r="IUQ61" s="125"/>
      <c r="IUR61" s="5"/>
      <c r="IUS61" s="117"/>
      <c r="IUT61" s="4"/>
      <c r="IUU61" s="126"/>
      <c r="IUV61" s="127"/>
      <c r="IUW61" s="121"/>
      <c r="IUX61" s="5"/>
      <c r="IUY61" s="5"/>
      <c r="IUZ61" s="124"/>
      <c r="IVA61" s="121"/>
      <c r="IVB61" s="125"/>
      <c r="IVC61" s="5"/>
      <c r="IVD61" s="117"/>
      <c r="IVE61" s="4"/>
      <c r="IVF61" s="126"/>
      <c r="IVG61" s="127"/>
      <c r="IVH61" s="121"/>
      <c r="IVI61" s="5"/>
      <c r="IVJ61" s="5"/>
      <c r="IVK61" s="124"/>
      <c r="IVL61" s="121"/>
      <c r="IVM61" s="125"/>
      <c r="IVN61" s="5"/>
      <c r="IVO61" s="117"/>
      <c r="IVP61" s="4"/>
      <c r="IVQ61" s="126"/>
      <c r="IVR61" s="127"/>
      <c r="IVS61" s="121"/>
      <c r="IVT61" s="5"/>
      <c r="IVU61" s="5"/>
      <c r="IVV61" s="124"/>
      <c r="IVW61" s="121"/>
      <c r="IVX61" s="125"/>
      <c r="IVY61" s="5"/>
      <c r="IVZ61" s="117"/>
      <c r="IWA61" s="4"/>
      <c r="IWB61" s="126"/>
      <c r="IWC61" s="127"/>
      <c r="IWD61" s="121"/>
      <c r="IWE61" s="5"/>
      <c r="IWF61" s="5"/>
      <c r="IWG61" s="124"/>
      <c r="IWH61" s="121"/>
      <c r="IWI61" s="125"/>
      <c r="IWJ61" s="5"/>
      <c r="IWK61" s="117"/>
      <c r="IWL61" s="4"/>
      <c r="IWM61" s="126"/>
      <c r="IWN61" s="127"/>
      <c r="IWO61" s="121"/>
      <c r="IWP61" s="5"/>
      <c r="IWQ61" s="5"/>
      <c r="IWR61" s="124"/>
      <c r="IWS61" s="121"/>
      <c r="IWT61" s="125"/>
      <c r="IWU61" s="5"/>
      <c r="IWV61" s="117"/>
      <c r="IWW61" s="4"/>
      <c r="IWX61" s="126"/>
      <c r="IWY61" s="127"/>
      <c r="IWZ61" s="121"/>
      <c r="IXA61" s="5"/>
      <c r="IXB61" s="5"/>
      <c r="IXC61" s="124"/>
      <c r="IXD61" s="121"/>
      <c r="IXE61" s="125"/>
      <c r="IXF61" s="5"/>
      <c r="IXG61" s="117"/>
      <c r="IXH61" s="4"/>
      <c r="IXI61" s="126"/>
      <c r="IXJ61" s="127"/>
      <c r="IXK61" s="121"/>
      <c r="IXL61" s="5"/>
      <c r="IXM61" s="5"/>
      <c r="IXN61" s="124"/>
      <c r="IXO61" s="121"/>
      <c r="IXP61" s="125"/>
      <c r="IXQ61" s="5"/>
      <c r="IXR61" s="117"/>
      <c r="IXS61" s="4"/>
      <c r="IXT61" s="126"/>
      <c r="IXU61" s="127"/>
      <c r="IXV61" s="121"/>
      <c r="IXW61" s="5"/>
      <c r="IXX61" s="5"/>
      <c r="IXY61" s="124"/>
      <c r="IXZ61" s="121"/>
      <c r="IYA61" s="125"/>
      <c r="IYB61" s="5"/>
      <c r="IYC61" s="117"/>
      <c r="IYD61" s="4"/>
      <c r="IYE61" s="126"/>
      <c r="IYF61" s="127"/>
      <c r="IYG61" s="121"/>
      <c r="IYH61" s="5"/>
      <c r="IYI61" s="5"/>
      <c r="IYJ61" s="124"/>
      <c r="IYK61" s="121"/>
      <c r="IYL61" s="125"/>
      <c r="IYM61" s="5"/>
      <c r="IYN61" s="117"/>
      <c r="IYO61" s="4"/>
      <c r="IYP61" s="126"/>
      <c r="IYQ61" s="127"/>
      <c r="IYR61" s="121"/>
      <c r="IYS61" s="5"/>
      <c r="IYT61" s="5"/>
      <c r="IYU61" s="124"/>
      <c r="IYV61" s="121"/>
      <c r="IYW61" s="125"/>
      <c r="IYX61" s="5"/>
      <c r="IYY61" s="117"/>
      <c r="IYZ61" s="4"/>
      <c r="IZA61" s="126"/>
      <c r="IZB61" s="127"/>
      <c r="IZC61" s="121"/>
      <c r="IZD61" s="5"/>
      <c r="IZE61" s="5"/>
      <c r="IZF61" s="124"/>
      <c r="IZG61" s="121"/>
      <c r="IZH61" s="125"/>
      <c r="IZI61" s="5"/>
      <c r="IZJ61" s="117"/>
      <c r="IZK61" s="4"/>
      <c r="IZL61" s="126"/>
      <c r="IZM61" s="127"/>
      <c r="IZN61" s="121"/>
      <c r="IZO61" s="5"/>
      <c r="IZP61" s="5"/>
      <c r="IZQ61" s="124"/>
      <c r="IZR61" s="121"/>
      <c r="IZS61" s="125"/>
      <c r="IZT61" s="5"/>
      <c r="IZU61" s="117"/>
      <c r="IZV61" s="4"/>
      <c r="IZW61" s="126"/>
      <c r="IZX61" s="127"/>
      <c r="IZY61" s="121"/>
      <c r="IZZ61" s="5"/>
      <c r="JAA61" s="5"/>
      <c r="JAB61" s="124"/>
      <c r="JAC61" s="121"/>
      <c r="JAD61" s="125"/>
      <c r="JAE61" s="5"/>
      <c r="JAF61" s="117"/>
      <c r="JAG61" s="4"/>
      <c r="JAH61" s="126"/>
      <c r="JAI61" s="127"/>
      <c r="JAJ61" s="121"/>
      <c r="JAK61" s="5"/>
      <c r="JAL61" s="5"/>
      <c r="JAM61" s="124"/>
      <c r="JAN61" s="121"/>
      <c r="JAO61" s="125"/>
      <c r="JAP61" s="5"/>
      <c r="JAQ61" s="117"/>
      <c r="JAR61" s="4"/>
      <c r="JAS61" s="126"/>
      <c r="JAT61" s="127"/>
      <c r="JAU61" s="121"/>
      <c r="JAV61" s="5"/>
      <c r="JAW61" s="5"/>
      <c r="JAX61" s="124"/>
      <c r="JAY61" s="121"/>
      <c r="JAZ61" s="125"/>
      <c r="JBA61" s="5"/>
      <c r="JBB61" s="117"/>
      <c r="JBC61" s="4"/>
      <c r="JBD61" s="126"/>
      <c r="JBE61" s="127"/>
      <c r="JBF61" s="121"/>
      <c r="JBG61" s="5"/>
      <c r="JBH61" s="5"/>
      <c r="JBI61" s="124"/>
      <c r="JBJ61" s="121"/>
      <c r="JBK61" s="125"/>
      <c r="JBL61" s="5"/>
      <c r="JBM61" s="117"/>
      <c r="JBN61" s="4"/>
      <c r="JBO61" s="126"/>
      <c r="JBP61" s="127"/>
      <c r="JBQ61" s="121"/>
      <c r="JBR61" s="5"/>
      <c r="JBS61" s="5"/>
      <c r="JBT61" s="124"/>
      <c r="JBU61" s="121"/>
      <c r="JBV61" s="125"/>
      <c r="JBW61" s="5"/>
      <c r="JBX61" s="117"/>
      <c r="JBY61" s="4"/>
      <c r="JBZ61" s="126"/>
      <c r="JCA61" s="127"/>
      <c r="JCB61" s="121"/>
      <c r="JCC61" s="5"/>
      <c r="JCD61" s="5"/>
      <c r="JCE61" s="124"/>
      <c r="JCF61" s="121"/>
      <c r="JCG61" s="125"/>
      <c r="JCH61" s="5"/>
      <c r="JCI61" s="117"/>
      <c r="JCJ61" s="4"/>
      <c r="JCK61" s="126"/>
      <c r="JCL61" s="127"/>
      <c r="JCM61" s="121"/>
      <c r="JCN61" s="5"/>
      <c r="JCO61" s="5"/>
      <c r="JCP61" s="124"/>
      <c r="JCQ61" s="121"/>
      <c r="JCR61" s="125"/>
      <c r="JCS61" s="5"/>
      <c r="JCT61" s="117"/>
      <c r="JCU61" s="4"/>
      <c r="JCV61" s="126"/>
      <c r="JCW61" s="127"/>
      <c r="JCX61" s="121"/>
      <c r="JCY61" s="5"/>
      <c r="JCZ61" s="5"/>
      <c r="JDA61" s="124"/>
      <c r="JDB61" s="121"/>
      <c r="JDC61" s="125"/>
      <c r="JDD61" s="5"/>
      <c r="JDE61" s="117"/>
      <c r="JDF61" s="4"/>
      <c r="JDG61" s="126"/>
      <c r="JDH61" s="127"/>
      <c r="JDI61" s="121"/>
      <c r="JDJ61" s="5"/>
      <c r="JDK61" s="5"/>
      <c r="JDL61" s="124"/>
      <c r="JDM61" s="121"/>
      <c r="JDN61" s="125"/>
      <c r="JDO61" s="5"/>
      <c r="JDP61" s="117"/>
      <c r="JDQ61" s="4"/>
      <c r="JDR61" s="126"/>
      <c r="JDS61" s="127"/>
      <c r="JDT61" s="121"/>
      <c r="JDU61" s="5"/>
      <c r="JDV61" s="5"/>
      <c r="JDW61" s="124"/>
      <c r="JDX61" s="121"/>
      <c r="JDY61" s="125"/>
      <c r="JDZ61" s="5"/>
      <c r="JEA61" s="117"/>
      <c r="JEB61" s="4"/>
      <c r="JEC61" s="126"/>
      <c r="JED61" s="127"/>
      <c r="JEE61" s="121"/>
      <c r="JEF61" s="5"/>
      <c r="JEG61" s="5"/>
      <c r="JEH61" s="124"/>
      <c r="JEI61" s="121"/>
      <c r="JEJ61" s="125"/>
      <c r="JEK61" s="5"/>
      <c r="JEL61" s="117"/>
      <c r="JEM61" s="4"/>
      <c r="JEN61" s="126"/>
      <c r="JEO61" s="127"/>
      <c r="JEP61" s="121"/>
      <c r="JEQ61" s="5"/>
      <c r="JER61" s="5"/>
      <c r="JES61" s="124"/>
      <c r="JET61" s="121"/>
      <c r="JEU61" s="125"/>
      <c r="JEV61" s="5"/>
      <c r="JEW61" s="117"/>
      <c r="JEX61" s="4"/>
      <c r="JEY61" s="126"/>
      <c r="JEZ61" s="127"/>
      <c r="JFA61" s="121"/>
      <c r="JFB61" s="5"/>
      <c r="JFC61" s="5"/>
      <c r="JFD61" s="124"/>
      <c r="JFE61" s="121"/>
      <c r="JFF61" s="125"/>
      <c r="JFG61" s="5"/>
      <c r="JFH61" s="117"/>
      <c r="JFI61" s="4"/>
      <c r="JFJ61" s="126"/>
      <c r="JFK61" s="127"/>
      <c r="JFL61" s="121"/>
      <c r="JFM61" s="5"/>
      <c r="JFN61" s="5"/>
      <c r="JFO61" s="124"/>
      <c r="JFP61" s="121"/>
      <c r="JFQ61" s="125"/>
      <c r="JFR61" s="5"/>
      <c r="JFS61" s="117"/>
      <c r="JFT61" s="4"/>
      <c r="JFU61" s="126"/>
      <c r="JFV61" s="127"/>
      <c r="JFW61" s="121"/>
      <c r="JFX61" s="5"/>
      <c r="JFY61" s="5"/>
      <c r="JFZ61" s="124"/>
      <c r="JGA61" s="121"/>
      <c r="JGB61" s="125"/>
      <c r="JGC61" s="5"/>
      <c r="JGD61" s="117"/>
      <c r="JGE61" s="4"/>
      <c r="JGF61" s="126"/>
      <c r="JGG61" s="127"/>
      <c r="JGH61" s="121"/>
      <c r="JGI61" s="5"/>
      <c r="JGJ61" s="5"/>
      <c r="JGK61" s="124"/>
      <c r="JGL61" s="121"/>
      <c r="JGM61" s="125"/>
      <c r="JGN61" s="5"/>
      <c r="JGO61" s="117"/>
      <c r="JGP61" s="4"/>
      <c r="JGQ61" s="126"/>
      <c r="JGR61" s="127"/>
      <c r="JGS61" s="121"/>
      <c r="JGT61" s="5"/>
      <c r="JGU61" s="5"/>
      <c r="JGV61" s="124"/>
      <c r="JGW61" s="121"/>
      <c r="JGX61" s="125"/>
      <c r="JGY61" s="5"/>
      <c r="JGZ61" s="117"/>
      <c r="JHA61" s="4"/>
      <c r="JHB61" s="126"/>
      <c r="JHC61" s="127"/>
      <c r="JHD61" s="121"/>
      <c r="JHE61" s="5"/>
      <c r="JHF61" s="5"/>
      <c r="JHG61" s="124"/>
      <c r="JHH61" s="121"/>
      <c r="JHI61" s="125"/>
      <c r="JHJ61" s="5"/>
      <c r="JHK61" s="117"/>
      <c r="JHL61" s="4"/>
      <c r="JHM61" s="126"/>
      <c r="JHN61" s="127"/>
      <c r="JHO61" s="121"/>
      <c r="JHP61" s="5"/>
      <c r="JHQ61" s="5"/>
      <c r="JHR61" s="124"/>
      <c r="JHS61" s="121"/>
      <c r="JHT61" s="125"/>
      <c r="JHU61" s="5"/>
      <c r="JHV61" s="117"/>
      <c r="JHW61" s="4"/>
      <c r="JHX61" s="126"/>
      <c r="JHY61" s="127"/>
      <c r="JHZ61" s="121"/>
      <c r="JIA61" s="5"/>
      <c r="JIB61" s="5"/>
      <c r="JIC61" s="124"/>
      <c r="JID61" s="121"/>
      <c r="JIE61" s="125"/>
      <c r="JIF61" s="5"/>
      <c r="JIG61" s="117"/>
      <c r="JIH61" s="4"/>
      <c r="JII61" s="126"/>
      <c r="JIJ61" s="127"/>
      <c r="JIK61" s="121"/>
      <c r="JIL61" s="5"/>
      <c r="JIM61" s="5"/>
      <c r="JIN61" s="124"/>
      <c r="JIO61" s="121"/>
      <c r="JIP61" s="125"/>
      <c r="JIQ61" s="5"/>
      <c r="JIR61" s="117"/>
      <c r="JIS61" s="4"/>
      <c r="JIT61" s="126"/>
      <c r="JIU61" s="127"/>
      <c r="JIV61" s="121"/>
      <c r="JIW61" s="5"/>
      <c r="JIX61" s="5"/>
      <c r="JIY61" s="124"/>
      <c r="JIZ61" s="121"/>
      <c r="JJA61" s="125"/>
      <c r="JJB61" s="5"/>
      <c r="JJC61" s="117"/>
      <c r="JJD61" s="4"/>
      <c r="JJE61" s="126"/>
      <c r="JJF61" s="127"/>
      <c r="JJG61" s="121"/>
      <c r="JJH61" s="5"/>
      <c r="JJI61" s="5"/>
      <c r="JJJ61" s="124"/>
      <c r="JJK61" s="121"/>
      <c r="JJL61" s="125"/>
      <c r="JJM61" s="5"/>
      <c r="JJN61" s="117"/>
      <c r="JJO61" s="4"/>
      <c r="JJP61" s="126"/>
      <c r="JJQ61" s="127"/>
      <c r="JJR61" s="121"/>
      <c r="JJS61" s="5"/>
      <c r="JJT61" s="5"/>
      <c r="JJU61" s="124"/>
      <c r="JJV61" s="121"/>
      <c r="JJW61" s="125"/>
      <c r="JJX61" s="5"/>
      <c r="JJY61" s="117"/>
      <c r="JJZ61" s="4"/>
      <c r="JKA61" s="126"/>
      <c r="JKB61" s="127"/>
      <c r="JKC61" s="121"/>
      <c r="JKD61" s="5"/>
      <c r="JKE61" s="5"/>
      <c r="JKF61" s="124"/>
      <c r="JKG61" s="121"/>
      <c r="JKH61" s="125"/>
      <c r="JKI61" s="5"/>
      <c r="JKJ61" s="117"/>
      <c r="JKK61" s="4"/>
      <c r="JKL61" s="126"/>
      <c r="JKM61" s="127"/>
      <c r="JKN61" s="121"/>
      <c r="JKO61" s="5"/>
      <c r="JKP61" s="5"/>
      <c r="JKQ61" s="124"/>
      <c r="JKR61" s="121"/>
      <c r="JKS61" s="125"/>
      <c r="JKT61" s="5"/>
      <c r="JKU61" s="117"/>
      <c r="JKV61" s="4"/>
      <c r="JKW61" s="126"/>
      <c r="JKX61" s="127"/>
      <c r="JKY61" s="121"/>
      <c r="JKZ61" s="5"/>
      <c r="JLA61" s="5"/>
      <c r="JLB61" s="124"/>
      <c r="JLC61" s="121"/>
      <c r="JLD61" s="125"/>
      <c r="JLE61" s="5"/>
      <c r="JLF61" s="117"/>
      <c r="JLG61" s="4"/>
      <c r="JLH61" s="126"/>
      <c r="JLI61" s="127"/>
      <c r="JLJ61" s="121"/>
      <c r="JLK61" s="5"/>
      <c r="JLL61" s="5"/>
      <c r="JLM61" s="124"/>
      <c r="JLN61" s="121"/>
      <c r="JLO61" s="125"/>
      <c r="JLP61" s="5"/>
      <c r="JLQ61" s="117"/>
      <c r="JLR61" s="4"/>
      <c r="JLS61" s="126"/>
      <c r="JLT61" s="127"/>
      <c r="JLU61" s="121"/>
      <c r="JLV61" s="5"/>
      <c r="JLW61" s="5"/>
      <c r="JLX61" s="124"/>
      <c r="JLY61" s="121"/>
      <c r="JLZ61" s="125"/>
      <c r="JMA61" s="5"/>
      <c r="JMB61" s="117"/>
      <c r="JMC61" s="4"/>
      <c r="JMD61" s="126"/>
      <c r="JME61" s="127"/>
      <c r="JMF61" s="121"/>
      <c r="JMG61" s="5"/>
      <c r="JMH61" s="5"/>
      <c r="JMI61" s="124"/>
      <c r="JMJ61" s="121"/>
      <c r="JMK61" s="125"/>
      <c r="JML61" s="5"/>
      <c r="JMM61" s="117"/>
      <c r="JMN61" s="4"/>
      <c r="JMO61" s="126"/>
      <c r="JMP61" s="127"/>
      <c r="JMQ61" s="121"/>
      <c r="JMR61" s="5"/>
      <c r="JMS61" s="5"/>
      <c r="JMT61" s="124"/>
      <c r="JMU61" s="121"/>
      <c r="JMV61" s="125"/>
      <c r="JMW61" s="5"/>
      <c r="JMX61" s="117"/>
      <c r="JMY61" s="4"/>
      <c r="JMZ61" s="126"/>
      <c r="JNA61" s="127"/>
      <c r="JNB61" s="121"/>
      <c r="JNC61" s="5"/>
      <c r="JND61" s="5"/>
      <c r="JNE61" s="124"/>
      <c r="JNF61" s="121"/>
      <c r="JNG61" s="125"/>
      <c r="JNH61" s="5"/>
      <c r="JNI61" s="117"/>
      <c r="JNJ61" s="4"/>
      <c r="JNK61" s="126"/>
      <c r="JNL61" s="127"/>
      <c r="JNM61" s="121"/>
      <c r="JNN61" s="5"/>
      <c r="JNO61" s="5"/>
      <c r="JNP61" s="124"/>
      <c r="JNQ61" s="121"/>
      <c r="JNR61" s="125"/>
      <c r="JNS61" s="5"/>
      <c r="JNT61" s="117"/>
      <c r="JNU61" s="4"/>
      <c r="JNV61" s="126"/>
      <c r="JNW61" s="127"/>
      <c r="JNX61" s="121"/>
      <c r="JNY61" s="5"/>
      <c r="JNZ61" s="5"/>
      <c r="JOA61" s="124"/>
      <c r="JOB61" s="121"/>
      <c r="JOC61" s="125"/>
      <c r="JOD61" s="5"/>
      <c r="JOE61" s="117"/>
      <c r="JOF61" s="4"/>
      <c r="JOG61" s="126"/>
      <c r="JOH61" s="127"/>
      <c r="JOI61" s="121"/>
      <c r="JOJ61" s="5"/>
      <c r="JOK61" s="5"/>
      <c r="JOL61" s="124"/>
      <c r="JOM61" s="121"/>
      <c r="JON61" s="125"/>
      <c r="JOO61" s="5"/>
      <c r="JOP61" s="117"/>
      <c r="JOQ61" s="4"/>
      <c r="JOR61" s="126"/>
      <c r="JOS61" s="127"/>
      <c r="JOT61" s="121"/>
      <c r="JOU61" s="5"/>
      <c r="JOV61" s="5"/>
      <c r="JOW61" s="124"/>
      <c r="JOX61" s="121"/>
      <c r="JOY61" s="125"/>
      <c r="JOZ61" s="5"/>
      <c r="JPA61" s="117"/>
      <c r="JPB61" s="4"/>
      <c r="JPC61" s="126"/>
      <c r="JPD61" s="127"/>
      <c r="JPE61" s="121"/>
      <c r="JPF61" s="5"/>
      <c r="JPG61" s="5"/>
      <c r="JPH61" s="124"/>
      <c r="JPI61" s="121"/>
      <c r="JPJ61" s="125"/>
      <c r="JPK61" s="5"/>
      <c r="JPL61" s="117"/>
      <c r="JPM61" s="4"/>
      <c r="JPN61" s="126"/>
      <c r="JPO61" s="127"/>
      <c r="JPP61" s="121"/>
      <c r="JPQ61" s="5"/>
      <c r="JPR61" s="5"/>
      <c r="JPS61" s="124"/>
      <c r="JPT61" s="121"/>
      <c r="JPU61" s="125"/>
      <c r="JPV61" s="5"/>
      <c r="JPW61" s="117"/>
      <c r="JPX61" s="4"/>
      <c r="JPY61" s="126"/>
      <c r="JPZ61" s="127"/>
      <c r="JQA61" s="121"/>
      <c r="JQB61" s="5"/>
      <c r="JQC61" s="5"/>
      <c r="JQD61" s="124"/>
      <c r="JQE61" s="121"/>
      <c r="JQF61" s="125"/>
      <c r="JQG61" s="5"/>
      <c r="JQH61" s="117"/>
      <c r="JQI61" s="4"/>
      <c r="JQJ61" s="126"/>
      <c r="JQK61" s="127"/>
      <c r="JQL61" s="121"/>
      <c r="JQM61" s="5"/>
      <c r="JQN61" s="5"/>
      <c r="JQO61" s="124"/>
      <c r="JQP61" s="121"/>
      <c r="JQQ61" s="125"/>
      <c r="JQR61" s="5"/>
      <c r="JQS61" s="117"/>
      <c r="JQT61" s="4"/>
      <c r="JQU61" s="126"/>
      <c r="JQV61" s="127"/>
      <c r="JQW61" s="121"/>
      <c r="JQX61" s="5"/>
      <c r="JQY61" s="5"/>
      <c r="JQZ61" s="124"/>
      <c r="JRA61" s="121"/>
      <c r="JRB61" s="125"/>
      <c r="JRC61" s="5"/>
      <c r="JRD61" s="117"/>
      <c r="JRE61" s="4"/>
      <c r="JRF61" s="126"/>
      <c r="JRG61" s="127"/>
      <c r="JRH61" s="121"/>
      <c r="JRI61" s="5"/>
      <c r="JRJ61" s="5"/>
      <c r="JRK61" s="124"/>
      <c r="JRL61" s="121"/>
      <c r="JRM61" s="125"/>
      <c r="JRN61" s="5"/>
      <c r="JRO61" s="117"/>
      <c r="JRP61" s="4"/>
      <c r="JRQ61" s="126"/>
      <c r="JRR61" s="127"/>
      <c r="JRS61" s="121"/>
      <c r="JRT61" s="5"/>
      <c r="JRU61" s="5"/>
      <c r="JRV61" s="124"/>
      <c r="JRW61" s="121"/>
      <c r="JRX61" s="125"/>
      <c r="JRY61" s="5"/>
      <c r="JRZ61" s="117"/>
      <c r="JSA61" s="4"/>
      <c r="JSB61" s="126"/>
      <c r="JSC61" s="127"/>
      <c r="JSD61" s="121"/>
      <c r="JSE61" s="5"/>
      <c r="JSF61" s="5"/>
      <c r="JSG61" s="124"/>
      <c r="JSH61" s="121"/>
      <c r="JSI61" s="125"/>
      <c r="JSJ61" s="5"/>
      <c r="JSK61" s="117"/>
      <c r="JSL61" s="4"/>
      <c r="JSM61" s="126"/>
      <c r="JSN61" s="127"/>
      <c r="JSO61" s="121"/>
      <c r="JSP61" s="5"/>
      <c r="JSQ61" s="5"/>
      <c r="JSR61" s="124"/>
      <c r="JSS61" s="121"/>
      <c r="JST61" s="125"/>
      <c r="JSU61" s="5"/>
      <c r="JSV61" s="117"/>
      <c r="JSW61" s="4"/>
      <c r="JSX61" s="126"/>
      <c r="JSY61" s="127"/>
      <c r="JSZ61" s="121"/>
      <c r="JTA61" s="5"/>
      <c r="JTB61" s="5"/>
      <c r="JTC61" s="124"/>
      <c r="JTD61" s="121"/>
      <c r="JTE61" s="125"/>
      <c r="JTF61" s="5"/>
      <c r="JTG61" s="117"/>
      <c r="JTH61" s="4"/>
      <c r="JTI61" s="126"/>
      <c r="JTJ61" s="127"/>
      <c r="JTK61" s="121"/>
      <c r="JTL61" s="5"/>
      <c r="JTM61" s="5"/>
      <c r="JTN61" s="124"/>
      <c r="JTO61" s="121"/>
      <c r="JTP61" s="125"/>
      <c r="JTQ61" s="5"/>
      <c r="JTR61" s="117"/>
      <c r="JTS61" s="4"/>
      <c r="JTT61" s="126"/>
      <c r="JTU61" s="127"/>
      <c r="JTV61" s="121"/>
      <c r="JTW61" s="5"/>
      <c r="JTX61" s="5"/>
      <c r="JTY61" s="124"/>
      <c r="JTZ61" s="121"/>
      <c r="JUA61" s="125"/>
      <c r="JUB61" s="5"/>
      <c r="JUC61" s="117"/>
      <c r="JUD61" s="4"/>
      <c r="JUE61" s="126"/>
      <c r="JUF61" s="127"/>
      <c r="JUG61" s="121"/>
      <c r="JUH61" s="5"/>
      <c r="JUI61" s="5"/>
      <c r="JUJ61" s="124"/>
      <c r="JUK61" s="121"/>
      <c r="JUL61" s="125"/>
      <c r="JUM61" s="5"/>
      <c r="JUN61" s="117"/>
      <c r="JUO61" s="4"/>
      <c r="JUP61" s="126"/>
      <c r="JUQ61" s="127"/>
      <c r="JUR61" s="121"/>
      <c r="JUS61" s="5"/>
      <c r="JUT61" s="5"/>
      <c r="JUU61" s="124"/>
      <c r="JUV61" s="121"/>
      <c r="JUW61" s="125"/>
      <c r="JUX61" s="5"/>
      <c r="JUY61" s="117"/>
      <c r="JUZ61" s="4"/>
      <c r="JVA61" s="126"/>
      <c r="JVB61" s="127"/>
      <c r="JVC61" s="121"/>
      <c r="JVD61" s="5"/>
      <c r="JVE61" s="5"/>
      <c r="JVF61" s="124"/>
      <c r="JVG61" s="121"/>
      <c r="JVH61" s="125"/>
      <c r="JVI61" s="5"/>
      <c r="JVJ61" s="117"/>
      <c r="JVK61" s="4"/>
      <c r="JVL61" s="126"/>
      <c r="JVM61" s="127"/>
      <c r="JVN61" s="121"/>
      <c r="JVO61" s="5"/>
      <c r="JVP61" s="5"/>
      <c r="JVQ61" s="124"/>
      <c r="JVR61" s="121"/>
      <c r="JVS61" s="125"/>
      <c r="JVT61" s="5"/>
      <c r="JVU61" s="117"/>
      <c r="JVV61" s="4"/>
      <c r="JVW61" s="126"/>
      <c r="JVX61" s="127"/>
      <c r="JVY61" s="121"/>
      <c r="JVZ61" s="5"/>
      <c r="JWA61" s="5"/>
      <c r="JWB61" s="124"/>
      <c r="JWC61" s="121"/>
      <c r="JWD61" s="125"/>
      <c r="JWE61" s="5"/>
      <c r="JWF61" s="117"/>
      <c r="JWG61" s="4"/>
      <c r="JWH61" s="126"/>
      <c r="JWI61" s="127"/>
      <c r="JWJ61" s="121"/>
      <c r="JWK61" s="5"/>
      <c r="JWL61" s="5"/>
      <c r="JWM61" s="124"/>
      <c r="JWN61" s="121"/>
      <c r="JWO61" s="125"/>
      <c r="JWP61" s="5"/>
      <c r="JWQ61" s="117"/>
      <c r="JWR61" s="4"/>
      <c r="JWS61" s="126"/>
      <c r="JWT61" s="127"/>
      <c r="JWU61" s="121"/>
      <c r="JWV61" s="5"/>
      <c r="JWW61" s="5"/>
      <c r="JWX61" s="124"/>
      <c r="JWY61" s="121"/>
      <c r="JWZ61" s="125"/>
      <c r="JXA61" s="5"/>
      <c r="JXB61" s="117"/>
      <c r="JXC61" s="4"/>
      <c r="JXD61" s="126"/>
      <c r="JXE61" s="127"/>
      <c r="JXF61" s="121"/>
      <c r="JXG61" s="5"/>
      <c r="JXH61" s="5"/>
      <c r="JXI61" s="124"/>
      <c r="JXJ61" s="121"/>
      <c r="JXK61" s="125"/>
      <c r="JXL61" s="5"/>
      <c r="JXM61" s="117"/>
      <c r="JXN61" s="4"/>
      <c r="JXO61" s="126"/>
      <c r="JXP61" s="127"/>
      <c r="JXQ61" s="121"/>
      <c r="JXR61" s="5"/>
      <c r="JXS61" s="5"/>
      <c r="JXT61" s="124"/>
      <c r="JXU61" s="121"/>
      <c r="JXV61" s="125"/>
      <c r="JXW61" s="5"/>
      <c r="JXX61" s="117"/>
      <c r="JXY61" s="4"/>
      <c r="JXZ61" s="126"/>
      <c r="JYA61" s="127"/>
      <c r="JYB61" s="121"/>
      <c r="JYC61" s="5"/>
      <c r="JYD61" s="5"/>
      <c r="JYE61" s="124"/>
      <c r="JYF61" s="121"/>
      <c r="JYG61" s="125"/>
      <c r="JYH61" s="5"/>
      <c r="JYI61" s="117"/>
      <c r="JYJ61" s="4"/>
      <c r="JYK61" s="126"/>
      <c r="JYL61" s="127"/>
      <c r="JYM61" s="121"/>
      <c r="JYN61" s="5"/>
      <c r="JYO61" s="5"/>
      <c r="JYP61" s="124"/>
      <c r="JYQ61" s="121"/>
      <c r="JYR61" s="125"/>
      <c r="JYS61" s="5"/>
      <c r="JYT61" s="117"/>
      <c r="JYU61" s="4"/>
      <c r="JYV61" s="126"/>
      <c r="JYW61" s="127"/>
      <c r="JYX61" s="121"/>
      <c r="JYY61" s="5"/>
      <c r="JYZ61" s="5"/>
      <c r="JZA61" s="124"/>
      <c r="JZB61" s="121"/>
      <c r="JZC61" s="125"/>
      <c r="JZD61" s="5"/>
      <c r="JZE61" s="117"/>
      <c r="JZF61" s="4"/>
      <c r="JZG61" s="126"/>
      <c r="JZH61" s="127"/>
      <c r="JZI61" s="121"/>
      <c r="JZJ61" s="5"/>
      <c r="JZK61" s="5"/>
      <c r="JZL61" s="124"/>
      <c r="JZM61" s="121"/>
      <c r="JZN61" s="125"/>
      <c r="JZO61" s="5"/>
      <c r="JZP61" s="117"/>
      <c r="JZQ61" s="4"/>
      <c r="JZR61" s="126"/>
      <c r="JZS61" s="127"/>
      <c r="JZT61" s="121"/>
      <c r="JZU61" s="5"/>
      <c r="JZV61" s="5"/>
      <c r="JZW61" s="124"/>
      <c r="JZX61" s="121"/>
      <c r="JZY61" s="125"/>
      <c r="JZZ61" s="5"/>
      <c r="KAA61" s="117"/>
      <c r="KAB61" s="4"/>
      <c r="KAC61" s="126"/>
      <c r="KAD61" s="127"/>
      <c r="KAE61" s="121"/>
      <c r="KAF61" s="5"/>
      <c r="KAG61" s="5"/>
      <c r="KAH61" s="124"/>
      <c r="KAI61" s="121"/>
      <c r="KAJ61" s="125"/>
      <c r="KAK61" s="5"/>
      <c r="KAL61" s="117"/>
      <c r="KAM61" s="4"/>
      <c r="KAN61" s="126"/>
      <c r="KAO61" s="127"/>
      <c r="KAP61" s="121"/>
      <c r="KAQ61" s="5"/>
      <c r="KAR61" s="5"/>
      <c r="KAS61" s="124"/>
      <c r="KAT61" s="121"/>
      <c r="KAU61" s="125"/>
      <c r="KAV61" s="5"/>
      <c r="KAW61" s="117"/>
      <c r="KAX61" s="4"/>
      <c r="KAY61" s="126"/>
      <c r="KAZ61" s="127"/>
      <c r="KBA61" s="121"/>
      <c r="KBB61" s="5"/>
      <c r="KBC61" s="5"/>
      <c r="KBD61" s="124"/>
      <c r="KBE61" s="121"/>
      <c r="KBF61" s="125"/>
      <c r="KBG61" s="5"/>
      <c r="KBH61" s="117"/>
      <c r="KBI61" s="4"/>
      <c r="KBJ61" s="126"/>
      <c r="KBK61" s="127"/>
      <c r="KBL61" s="121"/>
      <c r="KBM61" s="5"/>
      <c r="KBN61" s="5"/>
      <c r="KBO61" s="124"/>
      <c r="KBP61" s="121"/>
      <c r="KBQ61" s="125"/>
      <c r="KBR61" s="5"/>
      <c r="KBS61" s="117"/>
      <c r="KBT61" s="4"/>
      <c r="KBU61" s="126"/>
      <c r="KBV61" s="127"/>
      <c r="KBW61" s="121"/>
      <c r="KBX61" s="5"/>
      <c r="KBY61" s="5"/>
      <c r="KBZ61" s="124"/>
      <c r="KCA61" s="121"/>
      <c r="KCB61" s="125"/>
      <c r="KCC61" s="5"/>
      <c r="KCD61" s="117"/>
      <c r="KCE61" s="4"/>
      <c r="KCF61" s="126"/>
      <c r="KCG61" s="127"/>
      <c r="KCH61" s="121"/>
      <c r="KCI61" s="5"/>
      <c r="KCJ61" s="5"/>
      <c r="KCK61" s="124"/>
      <c r="KCL61" s="121"/>
      <c r="KCM61" s="125"/>
      <c r="KCN61" s="5"/>
      <c r="KCO61" s="117"/>
      <c r="KCP61" s="4"/>
      <c r="KCQ61" s="126"/>
      <c r="KCR61" s="127"/>
      <c r="KCS61" s="121"/>
      <c r="KCT61" s="5"/>
      <c r="KCU61" s="5"/>
      <c r="KCV61" s="124"/>
      <c r="KCW61" s="121"/>
      <c r="KCX61" s="125"/>
      <c r="KCY61" s="5"/>
      <c r="KCZ61" s="117"/>
      <c r="KDA61" s="4"/>
      <c r="KDB61" s="126"/>
      <c r="KDC61" s="127"/>
      <c r="KDD61" s="121"/>
      <c r="KDE61" s="5"/>
      <c r="KDF61" s="5"/>
      <c r="KDG61" s="124"/>
      <c r="KDH61" s="121"/>
      <c r="KDI61" s="125"/>
      <c r="KDJ61" s="5"/>
      <c r="KDK61" s="117"/>
      <c r="KDL61" s="4"/>
      <c r="KDM61" s="126"/>
      <c r="KDN61" s="127"/>
      <c r="KDO61" s="121"/>
      <c r="KDP61" s="5"/>
      <c r="KDQ61" s="5"/>
      <c r="KDR61" s="124"/>
      <c r="KDS61" s="121"/>
      <c r="KDT61" s="125"/>
      <c r="KDU61" s="5"/>
      <c r="KDV61" s="117"/>
      <c r="KDW61" s="4"/>
      <c r="KDX61" s="126"/>
      <c r="KDY61" s="127"/>
      <c r="KDZ61" s="121"/>
      <c r="KEA61" s="5"/>
      <c r="KEB61" s="5"/>
      <c r="KEC61" s="124"/>
      <c r="KED61" s="121"/>
      <c r="KEE61" s="125"/>
      <c r="KEF61" s="5"/>
      <c r="KEG61" s="117"/>
      <c r="KEH61" s="4"/>
      <c r="KEI61" s="126"/>
      <c r="KEJ61" s="127"/>
      <c r="KEK61" s="121"/>
      <c r="KEL61" s="5"/>
      <c r="KEM61" s="5"/>
      <c r="KEN61" s="124"/>
      <c r="KEO61" s="121"/>
      <c r="KEP61" s="125"/>
      <c r="KEQ61" s="5"/>
      <c r="KER61" s="117"/>
      <c r="KES61" s="4"/>
      <c r="KET61" s="126"/>
      <c r="KEU61" s="127"/>
      <c r="KEV61" s="121"/>
      <c r="KEW61" s="5"/>
      <c r="KEX61" s="5"/>
      <c r="KEY61" s="124"/>
      <c r="KEZ61" s="121"/>
      <c r="KFA61" s="125"/>
      <c r="KFB61" s="5"/>
      <c r="KFC61" s="117"/>
      <c r="KFD61" s="4"/>
      <c r="KFE61" s="126"/>
      <c r="KFF61" s="127"/>
      <c r="KFG61" s="121"/>
      <c r="KFH61" s="5"/>
      <c r="KFI61" s="5"/>
      <c r="KFJ61" s="124"/>
      <c r="KFK61" s="121"/>
      <c r="KFL61" s="125"/>
      <c r="KFM61" s="5"/>
      <c r="KFN61" s="117"/>
      <c r="KFO61" s="4"/>
      <c r="KFP61" s="126"/>
      <c r="KFQ61" s="127"/>
      <c r="KFR61" s="121"/>
      <c r="KFS61" s="5"/>
      <c r="KFT61" s="5"/>
      <c r="KFU61" s="124"/>
      <c r="KFV61" s="121"/>
      <c r="KFW61" s="125"/>
      <c r="KFX61" s="5"/>
      <c r="KFY61" s="117"/>
      <c r="KFZ61" s="4"/>
      <c r="KGA61" s="126"/>
      <c r="KGB61" s="127"/>
      <c r="KGC61" s="121"/>
      <c r="KGD61" s="5"/>
      <c r="KGE61" s="5"/>
      <c r="KGF61" s="124"/>
      <c r="KGG61" s="121"/>
      <c r="KGH61" s="125"/>
      <c r="KGI61" s="5"/>
      <c r="KGJ61" s="117"/>
      <c r="KGK61" s="4"/>
      <c r="KGL61" s="126"/>
      <c r="KGM61" s="127"/>
      <c r="KGN61" s="121"/>
      <c r="KGO61" s="5"/>
      <c r="KGP61" s="5"/>
      <c r="KGQ61" s="124"/>
      <c r="KGR61" s="121"/>
      <c r="KGS61" s="125"/>
      <c r="KGT61" s="5"/>
      <c r="KGU61" s="117"/>
      <c r="KGV61" s="4"/>
      <c r="KGW61" s="126"/>
      <c r="KGX61" s="127"/>
      <c r="KGY61" s="121"/>
      <c r="KGZ61" s="5"/>
      <c r="KHA61" s="5"/>
      <c r="KHB61" s="124"/>
      <c r="KHC61" s="121"/>
      <c r="KHD61" s="125"/>
      <c r="KHE61" s="5"/>
      <c r="KHF61" s="117"/>
      <c r="KHG61" s="4"/>
      <c r="KHH61" s="126"/>
      <c r="KHI61" s="127"/>
      <c r="KHJ61" s="121"/>
      <c r="KHK61" s="5"/>
      <c r="KHL61" s="5"/>
      <c r="KHM61" s="124"/>
      <c r="KHN61" s="121"/>
      <c r="KHO61" s="125"/>
      <c r="KHP61" s="5"/>
      <c r="KHQ61" s="117"/>
      <c r="KHR61" s="4"/>
      <c r="KHS61" s="126"/>
      <c r="KHT61" s="127"/>
      <c r="KHU61" s="121"/>
      <c r="KHV61" s="5"/>
      <c r="KHW61" s="5"/>
      <c r="KHX61" s="124"/>
      <c r="KHY61" s="121"/>
      <c r="KHZ61" s="125"/>
      <c r="KIA61" s="5"/>
      <c r="KIB61" s="117"/>
      <c r="KIC61" s="4"/>
      <c r="KID61" s="126"/>
      <c r="KIE61" s="127"/>
      <c r="KIF61" s="121"/>
      <c r="KIG61" s="5"/>
      <c r="KIH61" s="5"/>
      <c r="KII61" s="124"/>
      <c r="KIJ61" s="121"/>
      <c r="KIK61" s="125"/>
      <c r="KIL61" s="5"/>
      <c r="KIM61" s="117"/>
      <c r="KIN61" s="4"/>
      <c r="KIO61" s="126"/>
      <c r="KIP61" s="127"/>
      <c r="KIQ61" s="121"/>
      <c r="KIR61" s="5"/>
      <c r="KIS61" s="5"/>
      <c r="KIT61" s="124"/>
      <c r="KIU61" s="121"/>
      <c r="KIV61" s="125"/>
      <c r="KIW61" s="5"/>
      <c r="KIX61" s="117"/>
      <c r="KIY61" s="4"/>
      <c r="KIZ61" s="126"/>
      <c r="KJA61" s="127"/>
      <c r="KJB61" s="121"/>
      <c r="KJC61" s="5"/>
      <c r="KJD61" s="5"/>
      <c r="KJE61" s="124"/>
      <c r="KJF61" s="121"/>
      <c r="KJG61" s="125"/>
      <c r="KJH61" s="5"/>
      <c r="KJI61" s="117"/>
      <c r="KJJ61" s="4"/>
      <c r="KJK61" s="126"/>
      <c r="KJL61" s="127"/>
      <c r="KJM61" s="121"/>
      <c r="KJN61" s="5"/>
      <c r="KJO61" s="5"/>
      <c r="KJP61" s="124"/>
      <c r="KJQ61" s="121"/>
      <c r="KJR61" s="125"/>
      <c r="KJS61" s="5"/>
      <c r="KJT61" s="117"/>
      <c r="KJU61" s="4"/>
      <c r="KJV61" s="126"/>
      <c r="KJW61" s="127"/>
      <c r="KJX61" s="121"/>
      <c r="KJY61" s="5"/>
      <c r="KJZ61" s="5"/>
      <c r="KKA61" s="124"/>
      <c r="KKB61" s="121"/>
      <c r="KKC61" s="125"/>
      <c r="KKD61" s="5"/>
      <c r="KKE61" s="117"/>
      <c r="KKF61" s="4"/>
      <c r="KKG61" s="126"/>
      <c r="KKH61" s="127"/>
      <c r="KKI61" s="121"/>
      <c r="KKJ61" s="5"/>
      <c r="KKK61" s="5"/>
      <c r="KKL61" s="124"/>
      <c r="KKM61" s="121"/>
      <c r="KKN61" s="125"/>
      <c r="KKO61" s="5"/>
      <c r="KKP61" s="117"/>
      <c r="KKQ61" s="4"/>
      <c r="KKR61" s="126"/>
      <c r="KKS61" s="127"/>
      <c r="KKT61" s="121"/>
      <c r="KKU61" s="5"/>
      <c r="KKV61" s="5"/>
      <c r="KKW61" s="124"/>
      <c r="KKX61" s="121"/>
      <c r="KKY61" s="125"/>
      <c r="KKZ61" s="5"/>
      <c r="KLA61" s="117"/>
      <c r="KLB61" s="4"/>
      <c r="KLC61" s="126"/>
      <c r="KLD61" s="127"/>
      <c r="KLE61" s="121"/>
      <c r="KLF61" s="5"/>
      <c r="KLG61" s="5"/>
      <c r="KLH61" s="124"/>
      <c r="KLI61" s="121"/>
      <c r="KLJ61" s="125"/>
      <c r="KLK61" s="5"/>
      <c r="KLL61" s="117"/>
      <c r="KLM61" s="4"/>
      <c r="KLN61" s="126"/>
      <c r="KLO61" s="127"/>
      <c r="KLP61" s="121"/>
      <c r="KLQ61" s="5"/>
      <c r="KLR61" s="5"/>
      <c r="KLS61" s="124"/>
      <c r="KLT61" s="121"/>
      <c r="KLU61" s="125"/>
      <c r="KLV61" s="5"/>
      <c r="KLW61" s="117"/>
      <c r="KLX61" s="4"/>
      <c r="KLY61" s="126"/>
      <c r="KLZ61" s="127"/>
      <c r="KMA61" s="121"/>
      <c r="KMB61" s="5"/>
      <c r="KMC61" s="5"/>
      <c r="KMD61" s="124"/>
      <c r="KME61" s="121"/>
      <c r="KMF61" s="125"/>
      <c r="KMG61" s="5"/>
      <c r="KMH61" s="117"/>
      <c r="KMI61" s="4"/>
      <c r="KMJ61" s="126"/>
      <c r="KMK61" s="127"/>
      <c r="KML61" s="121"/>
      <c r="KMM61" s="5"/>
      <c r="KMN61" s="5"/>
      <c r="KMO61" s="124"/>
      <c r="KMP61" s="121"/>
      <c r="KMQ61" s="125"/>
      <c r="KMR61" s="5"/>
      <c r="KMS61" s="117"/>
      <c r="KMT61" s="4"/>
      <c r="KMU61" s="126"/>
      <c r="KMV61" s="127"/>
      <c r="KMW61" s="121"/>
      <c r="KMX61" s="5"/>
      <c r="KMY61" s="5"/>
      <c r="KMZ61" s="124"/>
      <c r="KNA61" s="121"/>
      <c r="KNB61" s="125"/>
      <c r="KNC61" s="5"/>
      <c r="KND61" s="117"/>
      <c r="KNE61" s="4"/>
      <c r="KNF61" s="126"/>
      <c r="KNG61" s="127"/>
      <c r="KNH61" s="121"/>
      <c r="KNI61" s="5"/>
      <c r="KNJ61" s="5"/>
      <c r="KNK61" s="124"/>
      <c r="KNL61" s="121"/>
      <c r="KNM61" s="125"/>
      <c r="KNN61" s="5"/>
      <c r="KNO61" s="117"/>
      <c r="KNP61" s="4"/>
      <c r="KNQ61" s="126"/>
      <c r="KNR61" s="127"/>
      <c r="KNS61" s="121"/>
      <c r="KNT61" s="5"/>
      <c r="KNU61" s="5"/>
      <c r="KNV61" s="124"/>
      <c r="KNW61" s="121"/>
      <c r="KNX61" s="125"/>
      <c r="KNY61" s="5"/>
      <c r="KNZ61" s="117"/>
      <c r="KOA61" s="4"/>
      <c r="KOB61" s="126"/>
      <c r="KOC61" s="127"/>
      <c r="KOD61" s="121"/>
      <c r="KOE61" s="5"/>
      <c r="KOF61" s="5"/>
      <c r="KOG61" s="124"/>
      <c r="KOH61" s="121"/>
      <c r="KOI61" s="125"/>
      <c r="KOJ61" s="5"/>
      <c r="KOK61" s="117"/>
      <c r="KOL61" s="4"/>
      <c r="KOM61" s="126"/>
      <c r="KON61" s="127"/>
      <c r="KOO61" s="121"/>
      <c r="KOP61" s="5"/>
      <c r="KOQ61" s="5"/>
      <c r="KOR61" s="124"/>
      <c r="KOS61" s="121"/>
      <c r="KOT61" s="125"/>
      <c r="KOU61" s="5"/>
      <c r="KOV61" s="117"/>
      <c r="KOW61" s="4"/>
      <c r="KOX61" s="126"/>
      <c r="KOY61" s="127"/>
      <c r="KOZ61" s="121"/>
      <c r="KPA61" s="5"/>
      <c r="KPB61" s="5"/>
      <c r="KPC61" s="124"/>
      <c r="KPD61" s="121"/>
      <c r="KPE61" s="125"/>
      <c r="KPF61" s="5"/>
      <c r="KPG61" s="117"/>
      <c r="KPH61" s="4"/>
      <c r="KPI61" s="126"/>
      <c r="KPJ61" s="127"/>
      <c r="KPK61" s="121"/>
      <c r="KPL61" s="5"/>
      <c r="KPM61" s="5"/>
      <c r="KPN61" s="124"/>
      <c r="KPO61" s="121"/>
      <c r="KPP61" s="125"/>
      <c r="KPQ61" s="5"/>
      <c r="KPR61" s="117"/>
      <c r="KPS61" s="4"/>
      <c r="KPT61" s="126"/>
      <c r="KPU61" s="127"/>
      <c r="KPV61" s="121"/>
      <c r="KPW61" s="5"/>
      <c r="KPX61" s="5"/>
      <c r="KPY61" s="124"/>
      <c r="KPZ61" s="121"/>
      <c r="KQA61" s="125"/>
      <c r="KQB61" s="5"/>
      <c r="KQC61" s="117"/>
      <c r="KQD61" s="4"/>
      <c r="KQE61" s="126"/>
      <c r="KQF61" s="127"/>
      <c r="KQG61" s="121"/>
      <c r="KQH61" s="5"/>
      <c r="KQI61" s="5"/>
      <c r="KQJ61" s="124"/>
      <c r="KQK61" s="121"/>
      <c r="KQL61" s="125"/>
      <c r="KQM61" s="5"/>
      <c r="KQN61" s="117"/>
      <c r="KQO61" s="4"/>
      <c r="KQP61" s="126"/>
      <c r="KQQ61" s="127"/>
      <c r="KQR61" s="121"/>
      <c r="KQS61" s="5"/>
      <c r="KQT61" s="5"/>
      <c r="KQU61" s="124"/>
      <c r="KQV61" s="121"/>
      <c r="KQW61" s="125"/>
      <c r="KQX61" s="5"/>
      <c r="KQY61" s="117"/>
      <c r="KQZ61" s="4"/>
      <c r="KRA61" s="126"/>
      <c r="KRB61" s="127"/>
      <c r="KRC61" s="121"/>
      <c r="KRD61" s="5"/>
      <c r="KRE61" s="5"/>
      <c r="KRF61" s="124"/>
      <c r="KRG61" s="121"/>
      <c r="KRH61" s="125"/>
      <c r="KRI61" s="5"/>
      <c r="KRJ61" s="117"/>
      <c r="KRK61" s="4"/>
      <c r="KRL61" s="126"/>
      <c r="KRM61" s="127"/>
      <c r="KRN61" s="121"/>
      <c r="KRO61" s="5"/>
      <c r="KRP61" s="5"/>
      <c r="KRQ61" s="124"/>
      <c r="KRR61" s="121"/>
      <c r="KRS61" s="125"/>
      <c r="KRT61" s="5"/>
      <c r="KRU61" s="117"/>
      <c r="KRV61" s="4"/>
      <c r="KRW61" s="126"/>
      <c r="KRX61" s="127"/>
      <c r="KRY61" s="121"/>
      <c r="KRZ61" s="5"/>
      <c r="KSA61" s="5"/>
      <c r="KSB61" s="124"/>
      <c r="KSC61" s="121"/>
      <c r="KSD61" s="125"/>
      <c r="KSE61" s="5"/>
      <c r="KSF61" s="117"/>
      <c r="KSG61" s="4"/>
      <c r="KSH61" s="126"/>
      <c r="KSI61" s="127"/>
      <c r="KSJ61" s="121"/>
      <c r="KSK61" s="5"/>
      <c r="KSL61" s="5"/>
      <c r="KSM61" s="124"/>
      <c r="KSN61" s="121"/>
      <c r="KSO61" s="125"/>
      <c r="KSP61" s="5"/>
      <c r="KSQ61" s="117"/>
      <c r="KSR61" s="4"/>
      <c r="KSS61" s="126"/>
      <c r="KST61" s="127"/>
      <c r="KSU61" s="121"/>
      <c r="KSV61" s="5"/>
      <c r="KSW61" s="5"/>
      <c r="KSX61" s="124"/>
      <c r="KSY61" s="121"/>
      <c r="KSZ61" s="125"/>
      <c r="KTA61" s="5"/>
      <c r="KTB61" s="117"/>
      <c r="KTC61" s="4"/>
      <c r="KTD61" s="126"/>
      <c r="KTE61" s="127"/>
      <c r="KTF61" s="121"/>
      <c r="KTG61" s="5"/>
      <c r="KTH61" s="5"/>
      <c r="KTI61" s="124"/>
      <c r="KTJ61" s="121"/>
      <c r="KTK61" s="125"/>
      <c r="KTL61" s="5"/>
      <c r="KTM61" s="117"/>
      <c r="KTN61" s="4"/>
      <c r="KTO61" s="126"/>
      <c r="KTP61" s="127"/>
      <c r="KTQ61" s="121"/>
      <c r="KTR61" s="5"/>
      <c r="KTS61" s="5"/>
      <c r="KTT61" s="124"/>
      <c r="KTU61" s="121"/>
      <c r="KTV61" s="125"/>
      <c r="KTW61" s="5"/>
      <c r="KTX61" s="117"/>
      <c r="KTY61" s="4"/>
      <c r="KTZ61" s="126"/>
      <c r="KUA61" s="127"/>
      <c r="KUB61" s="121"/>
      <c r="KUC61" s="5"/>
      <c r="KUD61" s="5"/>
      <c r="KUE61" s="124"/>
      <c r="KUF61" s="121"/>
      <c r="KUG61" s="125"/>
      <c r="KUH61" s="5"/>
      <c r="KUI61" s="117"/>
      <c r="KUJ61" s="4"/>
      <c r="KUK61" s="126"/>
      <c r="KUL61" s="127"/>
      <c r="KUM61" s="121"/>
      <c r="KUN61" s="5"/>
      <c r="KUO61" s="5"/>
      <c r="KUP61" s="124"/>
      <c r="KUQ61" s="121"/>
      <c r="KUR61" s="125"/>
      <c r="KUS61" s="5"/>
      <c r="KUT61" s="117"/>
      <c r="KUU61" s="4"/>
      <c r="KUV61" s="126"/>
      <c r="KUW61" s="127"/>
      <c r="KUX61" s="121"/>
      <c r="KUY61" s="5"/>
      <c r="KUZ61" s="5"/>
      <c r="KVA61" s="124"/>
      <c r="KVB61" s="121"/>
      <c r="KVC61" s="125"/>
      <c r="KVD61" s="5"/>
      <c r="KVE61" s="117"/>
      <c r="KVF61" s="4"/>
      <c r="KVG61" s="126"/>
      <c r="KVH61" s="127"/>
      <c r="KVI61" s="121"/>
      <c r="KVJ61" s="5"/>
      <c r="KVK61" s="5"/>
      <c r="KVL61" s="124"/>
      <c r="KVM61" s="121"/>
      <c r="KVN61" s="125"/>
      <c r="KVO61" s="5"/>
      <c r="KVP61" s="117"/>
      <c r="KVQ61" s="4"/>
      <c r="KVR61" s="126"/>
      <c r="KVS61" s="127"/>
      <c r="KVT61" s="121"/>
      <c r="KVU61" s="5"/>
      <c r="KVV61" s="5"/>
      <c r="KVW61" s="124"/>
      <c r="KVX61" s="121"/>
      <c r="KVY61" s="125"/>
      <c r="KVZ61" s="5"/>
      <c r="KWA61" s="117"/>
      <c r="KWB61" s="4"/>
      <c r="KWC61" s="126"/>
      <c r="KWD61" s="127"/>
      <c r="KWE61" s="121"/>
      <c r="KWF61" s="5"/>
      <c r="KWG61" s="5"/>
      <c r="KWH61" s="124"/>
      <c r="KWI61" s="121"/>
      <c r="KWJ61" s="125"/>
      <c r="KWK61" s="5"/>
      <c r="KWL61" s="117"/>
      <c r="KWM61" s="4"/>
      <c r="KWN61" s="126"/>
      <c r="KWO61" s="127"/>
      <c r="KWP61" s="121"/>
      <c r="KWQ61" s="5"/>
      <c r="KWR61" s="5"/>
      <c r="KWS61" s="124"/>
      <c r="KWT61" s="121"/>
      <c r="KWU61" s="125"/>
      <c r="KWV61" s="5"/>
      <c r="KWW61" s="117"/>
      <c r="KWX61" s="4"/>
      <c r="KWY61" s="126"/>
      <c r="KWZ61" s="127"/>
      <c r="KXA61" s="121"/>
      <c r="KXB61" s="5"/>
      <c r="KXC61" s="5"/>
      <c r="KXD61" s="124"/>
      <c r="KXE61" s="121"/>
      <c r="KXF61" s="125"/>
      <c r="KXG61" s="5"/>
      <c r="KXH61" s="117"/>
      <c r="KXI61" s="4"/>
      <c r="KXJ61" s="126"/>
      <c r="KXK61" s="127"/>
      <c r="KXL61" s="121"/>
      <c r="KXM61" s="5"/>
      <c r="KXN61" s="5"/>
      <c r="KXO61" s="124"/>
      <c r="KXP61" s="121"/>
      <c r="KXQ61" s="125"/>
      <c r="KXR61" s="5"/>
      <c r="KXS61" s="117"/>
      <c r="KXT61" s="4"/>
      <c r="KXU61" s="126"/>
      <c r="KXV61" s="127"/>
      <c r="KXW61" s="121"/>
      <c r="KXX61" s="5"/>
      <c r="KXY61" s="5"/>
      <c r="KXZ61" s="124"/>
      <c r="KYA61" s="121"/>
      <c r="KYB61" s="125"/>
      <c r="KYC61" s="5"/>
      <c r="KYD61" s="117"/>
      <c r="KYE61" s="4"/>
      <c r="KYF61" s="126"/>
      <c r="KYG61" s="127"/>
      <c r="KYH61" s="121"/>
      <c r="KYI61" s="5"/>
      <c r="KYJ61" s="5"/>
      <c r="KYK61" s="124"/>
      <c r="KYL61" s="121"/>
      <c r="KYM61" s="125"/>
      <c r="KYN61" s="5"/>
      <c r="KYO61" s="117"/>
      <c r="KYP61" s="4"/>
      <c r="KYQ61" s="126"/>
      <c r="KYR61" s="127"/>
      <c r="KYS61" s="121"/>
      <c r="KYT61" s="5"/>
      <c r="KYU61" s="5"/>
      <c r="KYV61" s="124"/>
      <c r="KYW61" s="121"/>
      <c r="KYX61" s="125"/>
      <c r="KYY61" s="5"/>
      <c r="KYZ61" s="117"/>
      <c r="KZA61" s="4"/>
      <c r="KZB61" s="126"/>
      <c r="KZC61" s="127"/>
      <c r="KZD61" s="121"/>
      <c r="KZE61" s="5"/>
      <c r="KZF61" s="5"/>
      <c r="KZG61" s="124"/>
      <c r="KZH61" s="121"/>
      <c r="KZI61" s="125"/>
      <c r="KZJ61" s="5"/>
      <c r="KZK61" s="117"/>
      <c r="KZL61" s="4"/>
      <c r="KZM61" s="126"/>
      <c r="KZN61" s="127"/>
      <c r="KZO61" s="121"/>
      <c r="KZP61" s="5"/>
      <c r="KZQ61" s="5"/>
      <c r="KZR61" s="124"/>
      <c r="KZS61" s="121"/>
      <c r="KZT61" s="125"/>
      <c r="KZU61" s="5"/>
      <c r="KZV61" s="117"/>
      <c r="KZW61" s="4"/>
      <c r="KZX61" s="126"/>
      <c r="KZY61" s="127"/>
      <c r="KZZ61" s="121"/>
      <c r="LAA61" s="5"/>
      <c r="LAB61" s="5"/>
      <c r="LAC61" s="124"/>
      <c r="LAD61" s="121"/>
      <c r="LAE61" s="125"/>
      <c r="LAF61" s="5"/>
      <c r="LAG61" s="117"/>
      <c r="LAH61" s="4"/>
      <c r="LAI61" s="126"/>
      <c r="LAJ61" s="127"/>
      <c r="LAK61" s="121"/>
      <c r="LAL61" s="5"/>
      <c r="LAM61" s="5"/>
      <c r="LAN61" s="124"/>
      <c r="LAO61" s="121"/>
      <c r="LAP61" s="125"/>
      <c r="LAQ61" s="5"/>
      <c r="LAR61" s="117"/>
      <c r="LAS61" s="4"/>
      <c r="LAT61" s="126"/>
      <c r="LAU61" s="127"/>
      <c r="LAV61" s="121"/>
      <c r="LAW61" s="5"/>
      <c r="LAX61" s="5"/>
      <c r="LAY61" s="124"/>
      <c r="LAZ61" s="121"/>
      <c r="LBA61" s="125"/>
      <c r="LBB61" s="5"/>
      <c r="LBC61" s="117"/>
      <c r="LBD61" s="4"/>
      <c r="LBE61" s="126"/>
      <c r="LBF61" s="127"/>
      <c r="LBG61" s="121"/>
      <c r="LBH61" s="5"/>
      <c r="LBI61" s="5"/>
      <c r="LBJ61" s="124"/>
      <c r="LBK61" s="121"/>
      <c r="LBL61" s="125"/>
      <c r="LBM61" s="5"/>
      <c r="LBN61" s="117"/>
      <c r="LBO61" s="4"/>
      <c r="LBP61" s="126"/>
      <c r="LBQ61" s="127"/>
      <c r="LBR61" s="121"/>
      <c r="LBS61" s="5"/>
      <c r="LBT61" s="5"/>
      <c r="LBU61" s="124"/>
      <c r="LBV61" s="121"/>
      <c r="LBW61" s="125"/>
      <c r="LBX61" s="5"/>
      <c r="LBY61" s="117"/>
      <c r="LBZ61" s="4"/>
      <c r="LCA61" s="126"/>
      <c r="LCB61" s="127"/>
      <c r="LCC61" s="121"/>
      <c r="LCD61" s="5"/>
      <c r="LCE61" s="5"/>
      <c r="LCF61" s="124"/>
      <c r="LCG61" s="121"/>
      <c r="LCH61" s="125"/>
      <c r="LCI61" s="5"/>
      <c r="LCJ61" s="117"/>
      <c r="LCK61" s="4"/>
      <c r="LCL61" s="126"/>
      <c r="LCM61" s="127"/>
      <c r="LCN61" s="121"/>
      <c r="LCO61" s="5"/>
      <c r="LCP61" s="5"/>
      <c r="LCQ61" s="124"/>
      <c r="LCR61" s="121"/>
      <c r="LCS61" s="125"/>
      <c r="LCT61" s="5"/>
      <c r="LCU61" s="117"/>
      <c r="LCV61" s="4"/>
      <c r="LCW61" s="126"/>
      <c r="LCX61" s="127"/>
      <c r="LCY61" s="121"/>
      <c r="LCZ61" s="5"/>
      <c r="LDA61" s="5"/>
      <c r="LDB61" s="124"/>
      <c r="LDC61" s="121"/>
      <c r="LDD61" s="125"/>
      <c r="LDE61" s="5"/>
      <c r="LDF61" s="117"/>
      <c r="LDG61" s="4"/>
      <c r="LDH61" s="126"/>
      <c r="LDI61" s="127"/>
      <c r="LDJ61" s="121"/>
      <c r="LDK61" s="5"/>
      <c r="LDL61" s="5"/>
      <c r="LDM61" s="124"/>
      <c r="LDN61" s="121"/>
      <c r="LDO61" s="125"/>
      <c r="LDP61" s="5"/>
      <c r="LDQ61" s="117"/>
      <c r="LDR61" s="4"/>
      <c r="LDS61" s="126"/>
      <c r="LDT61" s="127"/>
      <c r="LDU61" s="121"/>
      <c r="LDV61" s="5"/>
      <c r="LDW61" s="5"/>
      <c r="LDX61" s="124"/>
      <c r="LDY61" s="121"/>
      <c r="LDZ61" s="125"/>
      <c r="LEA61" s="5"/>
      <c r="LEB61" s="117"/>
      <c r="LEC61" s="4"/>
      <c r="LED61" s="126"/>
      <c r="LEE61" s="127"/>
      <c r="LEF61" s="121"/>
      <c r="LEG61" s="5"/>
      <c r="LEH61" s="5"/>
      <c r="LEI61" s="124"/>
      <c r="LEJ61" s="121"/>
      <c r="LEK61" s="125"/>
      <c r="LEL61" s="5"/>
      <c r="LEM61" s="117"/>
      <c r="LEN61" s="4"/>
      <c r="LEO61" s="126"/>
      <c r="LEP61" s="127"/>
      <c r="LEQ61" s="121"/>
      <c r="LER61" s="5"/>
      <c r="LES61" s="5"/>
      <c r="LET61" s="124"/>
      <c r="LEU61" s="121"/>
      <c r="LEV61" s="125"/>
      <c r="LEW61" s="5"/>
      <c r="LEX61" s="117"/>
      <c r="LEY61" s="4"/>
      <c r="LEZ61" s="126"/>
      <c r="LFA61" s="127"/>
      <c r="LFB61" s="121"/>
      <c r="LFC61" s="5"/>
      <c r="LFD61" s="5"/>
      <c r="LFE61" s="124"/>
      <c r="LFF61" s="121"/>
      <c r="LFG61" s="125"/>
      <c r="LFH61" s="5"/>
      <c r="LFI61" s="117"/>
      <c r="LFJ61" s="4"/>
      <c r="LFK61" s="126"/>
      <c r="LFL61" s="127"/>
      <c r="LFM61" s="121"/>
      <c r="LFN61" s="5"/>
      <c r="LFO61" s="5"/>
      <c r="LFP61" s="124"/>
      <c r="LFQ61" s="121"/>
      <c r="LFR61" s="125"/>
      <c r="LFS61" s="5"/>
      <c r="LFT61" s="117"/>
      <c r="LFU61" s="4"/>
      <c r="LFV61" s="126"/>
      <c r="LFW61" s="127"/>
      <c r="LFX61" s="121"/>
      <c r="LFY61" s="5"/>
      <c r="LFZ61" s="5"/>
      <c r="LGA61" s="124"/>
      <c r="LGB61" s="121"/>
      <c r="LGC61" s="125"/>
      <c r="LGD61" s="5"/>
      <c r="LGE61" s="117"/>
      <c r="LGF61" s="4"/>
      <c r="LGG61" s="126"/>
      <c r="LGH61" s="127"/>
      <c r="LGI61" s="121"/>
      <c r="LGJ61" s="5"/>
      <c r="LGK61" s="5"/>
      <c r="LGL61" s="124"/>
      <c r="LGM61" s="121"/>
      <c r="LGN61" s="125"/>
      <c r="LGO61" s="5"/>
      <c r="LGP61" s="117"/>
      <c r="LGQ61" s="4"/>
      <c r="LGR61" s="126"/>
      <c r="LGS61" s="127"/>
      <c r="LGT61" s="121"/>
      <c r="LGU61" s="5"/>
      <c r="LGV61" s="5"/>
      <c r="LGW61" s="124"/>
      <c r="LGX61" s="121"/>
      <c r="LGY61" s="125"/>
      <c r="LGZ61" s="5"/>
      <c r="LHA61" s="117"/>
      <c r="LHB61" s="4"/>
      <c r="LHC61" s="126"/>
      <c r="LHD61" s="127"/>
      <c r="LHE61" s="121"/>
      <c r="LHF61" s="5"/>
      <c r="LHG61" s="5"/>
      <c r="LHH61" s="124"/>
      <c r="LHI61" s="121"/>
      <c r="LHJ61" s="125"/>
      <c r="LHK61" s="5"/>
      <c r="LHL61" s="117"/>
      <c r="LHM61" s="4"/>
      <c r="LHN61" s="126"/>
      <c r="LHO61" s="127"/>
      <c r="LHP61" s="121"/>
      <c r="LHQ61" s="5"/>
      <c r="LHR61" s="5"/>
      <c r="LHS61" s="124"/>
      <c r="LHT61" s="121"/>
      <c r="LHU61" s="125"/>
      <c r="LHV61" s="5"/>
      <c r="LHW61" s="117"/>
      <c r="LHX61" s="4"/>
      <c r="LHY61" s="126"/>
      <c r="LHZ61" s="127"/>
      <c r="LIA61" s="121"/>
      <c r="LIB61" s="5"/>
      <c r="LIC61" s="5"/>
      <c r="LID61" s="124"/>
      <c r="LIE61" s="121"/>
      <c r="LIF61" s="125"/>
      <c r="LIG61" s="5"/>
      <c r="LIH61" s="117"/>
      <c r="LII61" s="4"/>
      <c r="LIJ61" s="126"/>
      <c r="LIK61" s="127"/>
      <c r="LIL61" s="121"/>
      <c r="LIM61" s="5"/>
      <c r="LIN61" s="5"/>
      <c r="LIO61" s="124"/>
      <c r="LIP61" s="121"/>
      <c r="LIQ61" s="125"/>
      <c r="LIR61" s="5"/>
      <c r="LIS61" s="117"/>
      <c r="LIT61" s="4"/>
      <c r="LIU61" s="126"/>
      <c r="LIV61" s="127"/>
      <c r="LIW61" s="121"/>
      <c r="LIX61" s="5"/>
      <c r="LIY61" s="5"/>
      <c r="LIZ61" s="124"/>
      <c r="LJA61" s="121"/>
      <c r="LJB61" s="125"/>
      <c r="LJC61" s="5"/>
      <c r="LJD61" s="117"/>
      <c r="LJE61" s="4"/>
      <c r="LJF61" s="126"/>
      <c r="LJG61" s="127"/>
      <c r="LJH61" s="121"/>
      <c r="LJI61" s="5"/>
      <c r="LJJ61" s="5"/>
      <c r="LJK61" s="124"/>
      <c r="LJL61" s="121"/>
      <c r="LJM61" s="125"/>
      <c r="LJN61" s="5"/>
      <c r="LJO61" s="117"/>
      <c r="LJP61" s="4"/>
      <c r="LJQ61" s="126"/>
      <c r="LJR61" s="127"/>
      <c r="LJS61" s="121"/>
      <c r="LJT61" s="5"/>
      <c r="LJU61" s="5"/>
      <c r="LJV61" s="124"/>
      <c r="LJW61" s="121"/>
      <c r="LJX61" s="125"/>
      <c r="LJY61" s="5"/>
      <c r="LJZ61" s="117"/>
      <c r="LKA61" s="4"/>
      <c r="LKB61" s="126"/>
      <c r="LKC61" s="127"/>
      <c r="LKD61" s="121"/>
      <c r="LKE61" s="5"/>
      <c r="LKF61" s="5"/>
      <c r="LKG61" s="124"/>
      <c r="LKH61" s="121"/>
      <c r="LKI61" s="125"/>
      <c r="LKJ61" s="5"/>
      <c r="LKK61" s="117"/>
      <c r="LKL61" s="4"/>
      <c r="LKM61" s="126"/>
      <c r="LKN61" s="127"/>
      <c r="LKO61" s="121"/>
      <c r="LKP61" s="5"/>
      <c r="LKQ61" s="5"/>
      <c r="LKR61" s="124"/>
      <c r="LKS61" s="121"/>
      <c r="LKT61" s="125"/>
      <c r="LKU61" s="5"/>
      <c r="LKV61" s="117"/>
      <c r="LKW61" s="4"/>
      <c r="LKX61" s="126"/>
      <c r="LKY61" s="127"/>
      <c r="LKZ61" s="121"/>
      <c r="LLA61" s="5"/>
      <c r="LLB61" s="5"/>
      <c r="LLC61" s="124"/>
      <c r="LLD61" s="121"/>
      <c r="LLE61" s="125"/>
      <c r="LLF61" s="5"/>
      <c r="LLG61" s="117"/>
      <c r="LLH61" s="4"/>
      <c r="LLI61" s="126"/>
      <c r="LLJ61" s="127"/>
      <c r="LLK61" s="121"/>
      <c r="LLL61" s="5"/>
      <c r="LLM61" s="5"/>
      <c r="LLN61" s="124"/>
      <c r="LLO61" s="121"/>
      <c r="LLP61" s="125"/>
      <c r="LLQ61" s="5"/>
      <c r="LLR61" s="117"/>
      <c r="LLS61" s="4"/>
      <c r="LLT61" s="126"/>
      <c r="LLU61" s="127"/>
      <c r="LLV61" s="121"/>
      <c r="LLW61" s="5"/>
      <c r="LLX61" s="5"/>
      <c r="LLY61" s="124"/>
      <c r="LLZ61" s="121"/>
      <c r="LMA61" s="125"/>
      <c r="LMB61" s="5"/>
      <c r="LMC61" s="117"/>
      <c r="LMD61" s="4"/>
      <c r="LME61" s="126"/>
      <c r="LMF61" s="127"/>
      <c r="LMG61" s="121"/>
      <c r="LMH61" s="5"/>
      <c r="LMI61" s="5"/>
      <c r="LMJ61" s="124"/>
      <c r="LMK61" s="121"/>
      <c r="LML61" s="125"/>
      <c r="LMM61" s="5"/>
      <c r="LMN61" s="117"/>
      <c r="LMO61" s="4"/>
      <c r="LMP61" s="126"/>
      <c r="LMQ61" s="127"/>
      <c r="LMR61" s="121"/>
      <c r="LMS61" s="5"/>
      <c r="LMT61" s="5"/>
      <c r="LMU61" s="124"/>
      <c r="LMV61" s="121"/>
      <c r="LMW61" s="125"/>
      <c r="LMX61" s="5"/>
      <c r="LMY61" s="117"/>
      <c r="LMZ61" s="4"/>
      <c r="LNA61" s="126"/>
      <c r="LNB61" s="127"/>
      <c r="LNC61" s="121"/>
      <c r="LND61" s="5"/>
      <c r="LNE61" s="5"/>
      <c r="LNF61" s="124"/>
      <c r="LNG61" s="121"/>
      <c r="LNH61" s="125"/>
      <c r="LNI61" s="5"/>
      <c r="LNJ61" s="117"/>
      <c r="LNK61" s="4"/>
      <c r="LNL61" s="126"/>
      <c r="LNM61" s="127"/>
      <c r="LNN61" s="121"/>
      <c r="LNO61" s="5"/>
      <c r="LNP61" s="5"/>
      <c r="LNQ61" s="124"/>
      <c r="LNR61" s="121"/>
      <c r="LNS61" s="125"/>
      <c r="LNT61" s="5"/>
      <c r="LNU61" s="117"/>
      <c r="LNV61" s="4"/>
      <c r="LNW61" s="126"/>
      <c r="LNX61" s="127"/>
      <c r="LNY61" s="121"/>
      <c r="LNZ61" s="5"/>
      <c r="LOA61" s="5"/>
      <c r="LOB61" s="124"/>
      <c r="LOC61" s="121"/>
      <c r="LOD61" s="125"/>
      <c r="LOE61" s="5"/>
      <c r="LOF61" s="117"/>
      <c r="LOG61" s="4"/>
      <c r="LOH61" s="126"/>
      <c r="LOI61" s="127"/>
      <c r="LOJ61" s="121"/>
      <c r="LOK61" s="5"/>
      <c r="LOL61" s="5"/>
      <c r="LOM61" s="124"/>
      <c r="LON61" s="121"/>
      <c r="LOO61" s="125"/>
      <c r="LOP61" s="5"/>
      <c r="LOQ61" s="117"/>
      <c r="LOR61" s="4"/>
      <c r="LOS61" s="126"/>
      <c r="LOT61" s="127"/>
      <c r="LOU61" s="121"/>
      <c r="LOV61" s="5"/>
      <c r="LOW61" s="5"/>
      <c r="LOX61" s="124"/>
      <c r="LOY61" s="121"/>
      <c r="LOZ61" s="125"/>
      <c r="LPA61" s="5"/>
      <c r="LPB61" s="117"/>
      <c r="LPC61" s="4"/>
      <c r="LPD61" s="126"/>
      <c r="LPE61" s="127"/>
      <c r="LPF61" s="121"/>
      <c r="LPG61" s="5"/>
      <c r="LPH61" s="5"/>
      <c r="LPI61" s="124"/>
      <c r="LPJ61" s="121"/>
      <c r="LPK61" s="125"/>
      <c r="LPL61" s="5"/>
      <c r="LPM61" s="117"/>
      <c r="LPN61" s="4"/>
      <c r="LPO61" s="126"/>
      <c r="LPP61" s="127"/>
      <c r="LPQ61" s="121"/>
      <c r="LPR61" s="5"/>
      <c r="LPS61" s="5"/>
      <c r="LPT61" s="124"/>
      <c r="LPU61" s="121"/>
      <c r="LPV61" s="125"/>
      <c r="LPW61" s="5"/>
      <c r="LPX61" s="117"/>
      <c r="LPY61" s="4"/>
      <c r="LPZ61" s="126"/>
      <c r="LQA61" s="127"/>
      <c r="LQB61" s="121"/>
      <c r="LQC61" s="5"/>
      <c r="LQD61" s="5"/>
      <c r="LQE61" s="124"/>
      <c r="LQF61" s="121"/>
      <c r="LQG61" s="125"/>
      <c r="LQH61" s="5"/>
      <c r="LQI61" s="117"/>
      <c r="LQJ61" s="4"/>
      <c r="LQK61" s="126"/>
      <c r="LQL61" s="127"/>
      <c r="LQM61" s="121"/>
      <c r="LQN61" s="5"/>
      <c r="LQO61" s="5"/>
      <c r="LQP61" s="124"/>
      <c r="LQQ61" s="121"/>
      <c r="LQR61" s="125"/>
      <c r="LQS61" s="5"/>
      <c r="LQT61" s="117"/>
      <c r="LQU61" s="4"/>
      <c r="LQV61" s="126"/>
      <c r="LQW61" s="127"/>
      <c r="LQX61" s="121"/>
      <c r="LQY61" s="5"/>
      <c r="LQZ61" s="5"/>
      <c r="LRA61" s="124"/>
      <c r="LRB61" s="121"/>
      <c r="LRC61" s="125"/>
      <c r="LRD61" s="5"/>
      <c r="LRE61" s="117"/>
      <c r="LRF61" s="4"/>
      <c r="LRG61" s="126"/>
      <c r="LRH61" s="127"/>
      <c r="LRI61" s="121"/>
      <c r="LRJ61" s="5"/>
      <c r="LRK61" s="5"/>
      <c r="LRL61" s="124"/>
      <c r="LRM61" s="121"/>
      <c r="LRN61" s="125"/>
      <c r="LRO61" s="5"/>
      <c r="LRP61" s="117"/>
      <c r="LRQ61" s="4"/>
      <c r="LRR61" s="126"/>
      <c r="LRS61" s="127"/>
      <c r="LRT61" s="121"/>
      <c r="LRU61" s="5"/>
      <c r="LRV61" s="5"/>
      <c r="LRW61" s="124"/>
      <c r="LRX61" s="121"/>
      <c r="LRY61" s="125"/>
      <c r="LRZ61" s="5"/>
      <c r="LSA61" s="117"/>
      <c r="LSB61" s="4"/>
      <c r="LSC61" s="126"/>
      <c r="LSD61" s="127"/>
      <c r="LSE61" s="121"/>
      <c r="LSF61" s="5"/>
      <c r="LSG61" s="5"/>
      <c r="LSH61" s="124"/>
      <c r="LSI61" s="121"/>
      <c r="LSJ61" s="125"/>
      <c r="LSK61" s="5"/>
      <c r="LSL61" s="117"/>
      <c r="LSM61" s="4"/>
      <c r="LSN61" s="126"/>
      <c r="LSO61" s="127"/>
      <c r="LSP61" s="121"/>
      <c r="LSQ61" s="5"/>
      <c r="LSR61" s="5"/>
      <c r="LSS61" s="124"/>
      <c r="LST61" s="121"/>
      <c r="LSU61" s="125"/>
      <c r="LSV61" s="5"/>
      <c r="LSW61" s="117"/>
      <c r="LSX61" s="4"/>
      <c r="LSY61" s="126"/>
      <c r="LSZ61" s="127"/>
      <c r="LTA61" s="121"/>
      <c r="LTB61" s="5"/>
      <c r="LTC61" s="5"/>
      <c r="LTD61" s="124"/>
      <c r="LTE61" s="121"/>
      <c r="LTF61" s="125"/>
      <c r="LTG61" s="5"/>
      <c r="LTH61" s="117"/>
      <c r="LTI61" s="4"/>
      <c r="LTJ61" s="126"/>
      <c r="LTK61" s="127"/>
      <c r="LTL61" s="121"/>
      <c r="LTM61" s="5"/>
      <c r="LTN61" s="5"/>
      <c r="LTO61" s="124"/>
      <c r="LTP61" s="121"/>
      <c r="LTQ61" s="125"/>
      <c r="LTR61" s="5"/>
      <c r="LTS61" s="117"/>
      <c r="LTT61" s="4"/>
      <c r="LTU61" s="126"/>
      <c r="LTV61" s="127"/>
      <c r="LTW61" s="121"/>
      <c r="LTX61" s="5"/>
      <c r="LTY61" s="5"/>
      <c r="LTZ61" s="124"/>
      <c r="LUA61" s="121"/>
      <c r="LUB61" s="125"/>
      <c r="LUC61" s="5"/>
      <c r="LUD61" s="117"/>
      <c r="LUE61" s="4"/>
      <c r="LUF61" s="126"/>
      <c r="LUG61" s="127"/>
      <c r="LUH61" s="121"/>
      <c r="LUI61" s="5"/>
      <c r="LUJ61" s="5"/>
      <c r="LUK61" s="124"/>
      <c r="LUL61" s="121"/>
      <c r="LUM61" s="125"/>
      <c r="LUN61" s="5"/>
      <c r="LUO61" s="117"/>
      <c r="LUP61" s="4"/>
      <c r="LUQ61" s="126"/>
      <c r="LUR61" s="127"/>
      <c r="LUS61" s="121"/>
      <c r="LUT61" s="5"/>
      <c r="LUU61" s="5"/>
      <c r="LUV61" s="124"/>
      <c r="LUW61" s="121"/>
      <c r="LUX61" s="125"/>
      <c r="LUY61" s="5"/>
      <c r="LUZ61" s="117"/>
      <c r="LVA61" s="4"/>
      <c r="LVB61" s="126"/>
      <c r="LVC61" s="127"/>
      <c r="LVD61" s="121"/>
      <c r="LVE61" s="5"/>
      <c r="LVF61" s="5"/>
      <c r="LVG61" s="124"/>
      <c r="LVH61" s="121"/>
      <c r="LVI61" s="125"/>
      <c r="LVJ61" s="5"/>
      <c r="LVK61" s="117"/>
      <c r="LVL61" s="4"/>
      <c r="LVM61" s="126"/>
      <c r="LVN61" s="127"/>
      <c r="LVO61" s="121"/>
      <c r="LVP61" s="5"/>
      <c r="LVQ61" s="5"/>
      <c r="LVR61" s="124"/>
      <c r="LVS61" s="121"/>
      <c r="LVT61" s="125"/>
      <c r="LVU61" s="5"/>
      <c r="LVV61" s="117"/>
      <c r="LVW61" s="4"/>
      <c r="LVX61" s="126"/>
      <c r="LVY61" s="127"/>
      <c r="LVZ61" s="121"/>
      <c r="LWA61" s="5"/>
      <c r="LWB61" s="5"/>
      <c r="LWC61" s="124"/>
      <c r="LWD61" s="121"/>
      <c r="LWE61" s="125"/>
      <c r="LWF61" s="5"/>
      <c r="LWG61" s="117"/>
      <c r="LWH61" s="4"/>
      <c r="LWI61" s="126"/>
      <c r="LWJ61" s="127"/>
      <c r="LWK61" s="121"/>
      <c r="LWL61" s="5"/>
      <c r="LWM61" s="5"/>
      <c r="LWN61" s="124"/>
      <c r="LWO61" s="121"/>
      <c r="LWP61" s="125"/>
      <c r="LWQ61" s="5"/>
      <c r="LWR61" s="117"/>
      <c r="LWS61" s="4"/>
      <c r="LWT61" s="126"/>
      <c r="LWU61" s="127"/>
      <c r="LWV61" s="121"/>
      <c r="LWW61" s="5"/>
      <c r="LWX61" s="5"/>
      <c r="LWY61" s="124"/>
      <c r="LWZ61" s="121"/>
      <c r="LXA61" s="125"/>
      <c r="LXB61" s="5"/>
      <c r="LXC61" s="117"/>
      <c r="LXD61" s="4"/>
      <c r="LXE61" s="126"/>
      <c r="LXF61" s="127"/>
      <c r="LXG61" s="121"/>
      <c r="LXH61" s="5"/>
      <c r="LXI61" s="5"/>
      <c r="LXJ61" s="124"/>
      <c r="LXK61" s="121"/>
      <c r="LXL61" s="125"/>
      <c r="LXM61" s="5"/>
      <c r="LXN61" s="117"/>
      <c r="LXO61" s="4"/>
      <c r="LXP61" s="126"/>
      <c r="LXQ61" s="127"/>
      <c r="LXR61" s="121"/>
      <c r="LXS61" s="5"/>
      <c r="LXT61" s="5"/>
      <c r="LXU61" s="124"/>
      <c r="LXV61" s="121"/>
      <c r="LXW61" s="125"/>
      <c r="LXX61" s="5"/>
      <c r="LXY61" s="117"/>
      <c r="LXZ61" s="4"/>
      <c r="LYA61" s="126"/>
      <c r="LYB61" s="127"/>
      <c r="LYC61" s="121"/>
      <c r="LYD61" s="5"/>
      <c r="LYE61" s="5"/>
      <c r="LYF61" s="124"/>
      <c r="LYG61" s="121"/>
      <c r="LYH61" s="125"/>
      <c r="LYI61" s="5"/>
      <c r="LYJ61" s="117"/>
      <c r="LYK61" s="4"/>
      <c r="LYL61" s="126"/>
      <c r="LYM61" s="127"/>
      <c r="LYN61" s="121"/>
      <c r="LYO61" s="5"/>
      <c r="LYP61" s="5"/>
      <c r="LYQ61" s="124"/>
      <c r="LYR61" s="121"/>
      <c r="LYS61" s="125"/>
      <c r="LYT61" s="5"/>
      <c r="LYU61" s="117"/>
      <c r="LYV61" s="4"/>
      <c r="LYW61" s="126"/>
      <c r="LYX61" s="127"/>
      <c r="LYY61" s="121"/>
      <c r="LYZ61" s="5"/>
      <c r="LZA61" s="5"/>
      <c r="LZB61" s="124"/>
      <c r="LZC61" s="121"/>
      <c r="LZD61" s="125"/>
      <c r="LZE61" s="5"/>
      <c r="LZF61" s="117"/>
      <c r="LZG61" s="4"/>
      <c r="LZH61" s="126"/>
      <c r="LZI61" s="127"/>
      <c r="LZJ61" s="121"/>
      <c r="LZK61" s="5"/>
      <c r="LZL61" s="5"/>
      <c r="LZM61" s="124"/>
      <c r="LZN61" s="121"/>
      <c r="LZO61" s="125"/>
      <c r="LZP61" s="5"/>
      <c r="LZQ61" s="117"/>
      <c r="LZR61" s="4"/>
      <c r="LZS61" s="126"/>
      <c r="LZT61" s="127"/>
      <c r="LZU61" s="121"/>
      <c r="LZV61" s="5"/>
      <c r="LZW61" s="5"/>
      <c r="LZX61" s="124"/>
      <c r="LZY61" s="121"/>
      <c r="LZZ61" s="125"/>
      <c r="MAA61" s="5"/>
      <c r="MAB61" s="117"/>
      <c r="MAC61" s="4"/>
      <c r="MAD61" s="126"/>
      <c r="MAE61" s="127"/>
      <c r="MAF61" s="121"/>
      <c r="MAG61" s="5"/>
      <c r="MAH61" s="5"/>
      <c r="MAI61" s="124"/>
      <c r="MAJ61" s="121"/>
      <c r="MAK61" s="125"/>
      <c r="MAL61" s="5"/>
      <c r="MAM61" s="117"/>
      <c r="MAN61" s="4"/>
      <c r="MAO61" s="126"/>
      <c r="MAP61" s="127"/>
      <c r="MAQ61" s="121"/>
      <c r="MAR61" s="5"/>
      <c r="MAS61" s="5"/>
      <c r="MAT61" s="124"/>
      <c r="MAU61" s="121"/>
      <c r="MAV61" s="125"/>
      <c r="MAW61" s="5"/>
      <c r="MAX61" s="117"/>
      <c r="MAY61" s="4"/>
      <c r="MAZ61" s="126"/>
      <c r="MBA61" s="127"/>
      <c r="MBB61" s="121"/>
      <c r="MBC61" s="5"/>
      <c r="MBD61" s="5"/>
      <c r="MBE61" s="124"/>
      <c r="MBF61" s="121"/>
      <c r="MBG61" s="125"/>
      <c r="MBH61" s="5"/>
      <c r="MBI61" s="117"/>
      <c r="MBJ61" s="4"/>
      <c r="MBK61" s="126"/>
      <c r="MBL61" s="127"/>
      <c r="MBM61" s="121"/>
      <c r="MBN61" s="5"/>
      <c r="MBO61" s="5"/>
      <c r="MBP61" s="124"/>
      <c r="MBQ61" s="121"/>
      <c r="MBR61" s="125"/>
      <c r="MBS61" s="5"/>
      <c r="MBT61" s="117"/>
      <c r="MBU61" s="4"/>
      <c r="MBV61" s="126"/>
      <c r="MBW61" s="127"/>
      <c r="MBX61" s="121"/>
      <c r="MBY61" s="5"/>
      <c r="MBZ61" s="5"/>
      <c r="MCA61" s="124"/>
      <c r="MCB61" s="121"/>
      <c r="MCC61" s="125"/>
      <c r="MCD61" s="5"/>
      <c r="MCE61" s="117"/>
      <c r="MCF61" s="4"/>
      <c r="MCG61" s="126"/>
      <c r="MCH61" s="127"/>
      <c r="MCI61" s="121"/>
      <c r="MCJ61" s="5"/>
      <c r="MCK61" s="5"/>
      <c r="MCL61" s="124"/>
      <c r="MCM61" s="121"/>
      <c r="MCN61" s="125"/>
      <c r="MCO61" s="5"/>
      <c r="MCP61" s="117"/>
      <c r="MCQ61" s="4"/>
      <c r="MCR61" s="126"/>
      <c r="MCS61" s="127"/>
      <c r="MCT61" s="121"/>
      <c r="MCU61" s="5"/>
      <c r="MCV61" s="5"/>
      <c r="MCW61" s="124"/>
      <c r="MCX61" s="121"/>
      <c r="MCY61" s="125"/>
      <c r="MCZ61" s="5"/>
      <c r="MDA61" s="117"/>
      <c r="MDB61" s="4"/>
      <c r="MDC61" s="126"/>
      <c r="MDD61" s="127"/>
      <c r="MDE61" s="121"/>
      <c r="MDF61" s="5"/>
      <c r="MDG61" s="5"/>
      <c r="MDH61" s="124"/>
      <c r="MDI61" s="121"/>
      <c r="MDJ61" s="125"/>
      <c r="MDK61" s="5"/>
      <c r="MDL61" s="117"/>
      <c r="MDM61" s="4"/>
      <c r="MDN61" s="126"/>
      <c r="MDO61" s="127"/>
      <c r="MDP61" s="121"/>
      <c r="MDQ61" s="5"/>
      <c r="MDR61" s="5"/>
      <c r="MDS61" s="124"/>
      <c r="MDT61" s="121"/>
      <c r="MDU61" s="125"/>
      <c r="MDV61" s="5"/>
      <c r="MDW61" s="117"/>
      <c r="MDX61" s="4"/>
      <c r="MDY61" s="126"/>
      <c r="MDZ61" s="127"/>
      <c r="MEA61" s="121"/>
      <c r="MEB61" s="5"/>
      <c r="MEC61" s="5"/>
      <c r="MED61" s="124"/>
      <c r="MEE61" s="121"/>
      <c r="MEF61" s="125"/>
      <c r="MEG61" s="5"/>
      <c r="MEH61" s="117"/>
      <c r="MEI61" s="4"/>
      <c r="MEJ61" s="126"/>
      <c r="MEK61" s="127"/>
      <c r="MEL61" s="121"/>
      <c r="MEM61" s="5"/>
      <c r="MEN61" s="5"/>
      <c r="MEO61" s="124"/>
      <c r="MEP61" s="121"/>
      <c r="MEQ61" s="125"/>
      <c r="MER61" s="5"/>
      <c r="MES61" s="117"/>
      <c r="MET61" s="4"/>
      <c r="MEU61" s="126"/>
      <c r="MEV61" s="127"/>
      <c r="MEW61" s="121"/>
      <c r="MEX61" s="5"/>
      <c r="MEY61" s="5"/>
      <c r="MEZ61" s="124"/>
      <c r="MFA61" s="121"/>
      <c r="MFB61" s="125"/>
      <c r="MFC61" s="5"/>
      <c r="MFD61" s="117"/>
      <c r="MFE61" s="4"/>
      <c r="MFF61" s="126"/>
      <c r="MFG61" s="127"/>
      <c r="MFH61" s="121"/>
      <c r="MFI61" s="5"/>
      <c r="MFJ61" s="5"/>
      <c r="MFK61" s="124"/>
      <c r="MFL61" s="121"/>
      <c r="MFM61" s="125"/>
      <c r="MFN61" s="5"/>
      <c r="MFO61" s="117"/>
      <c r="MFP61" s="4"/>
      <c r="MFQ61" s="126"/>
      <c r="MFR61" s="127"/>
      <c r="MFS61" s="121"/>
      <c r="MFT61" s="5"/>
      <c r="MFU61" s="5"/>
      <c r="MFV61" s="124"/>
      <c r="MFW61" s="121"/>
      <c r="MFX61" s="125"/>
      <c r="MFY61" s="5"/>
      <c r="MFZ61" s="117"/>
      <c r="MGA61" s="4"/>
      <c r="MGB61" s="126"/>
      <c r="MGC61" s="127"/>
      <c r="MGD61" s="121"/>
      <c r="MGE61" s="5"/>
      <c r="MGF61" s="5"/>
      <c r="MGG61" s="124"/>
      <c r="MGH61" s="121"/>
      <c r="MGI61" s="125"/>
      <c r="MGJ61" s="5"/>
      <c r="MGK61" s="117"/>
      <c r="MGL61" s="4"/>
      <c r="MGM61" s="126"/>
      <c r="MGN61" s="127"/>
      <c r="MGO61" s="121"/>
      <c r="MGP61" s="5"/>
      <c r="MGQ61" s="5"/>
      <c r="MGR61" s="124"/>
      <c r="MGS61" s="121"/>
      <c r="MGT61" s="125"/>
      <c r="MGU61" s="5"/>
      <c r="MGV61" s="117"/>
      <c r="MGW61" s="4"/>
      <c r="MGX61" s="126"/>
      <c r="MGY61" s="127"/>
      <c r="MGZ61" s="121"/>
      <c r="MHA61" s="5"/>
      <c r="MHB61" s="5"/>
      <c r="MHC61" s="124"/>
      <c r="MHD61" s="121"/>
      <c r="MHE61" s="125"/>
      <c r="MHF61" s="5"/>
      <c r="MHG61" s="117"/>
      <c r="MHH61" s="4"/>
      <c r="MHI61" s="126"/>
      <c r="MHJ61" s="127"/>
      <c r="MHK61" s="121"/>
      <c r="MHL61" s="5"/>
      <c r="MHM61" s="5"/>
      <c r="MHN61" s="124"/>
      <c r="MHO61" s="121"/>
      <c r="MHP61" s="125"/>
      <c r="MHQ61" s="5"/>
      <c r="MHR61" s="117"/>
      <c r="MHS61" s="4"/>
      <c r="MHT61" s="126"/>
      <c r="MHU61" s="127"/>
      <c r="MHV61" s="121"/>
      <c r="MHW61" s="5"/>
      <c r="MHX61" s="5"/>
      <c r="MHY61" s="124"/>
      <c r="MHZ61" s="121"/>
      <c r="MIA61" s="125"/>
      <c r="MIB61" s="5"/>
      <c r="MIC61" s="117"/>
      <c r="MID61" s="4"/>
      <c r="MIE61" s="126"/>
      <c r="MIF61" s="127"/>
      <c r="MIG61" s="121"/>
      <c r="MIH61" s="5"/>
      <c r="MII61" s="5"/>
      <c r="MIJ61" s="124"/>
      <c r="MIK61" s="121"/>
      <c r="MIL61" s="125"/>
      <c r="MIM61" s="5"/>
      <c r="MIN61" s="117"/>
      <c r="MIO61" s="4"/>
      <c r="MIP61" s="126"/>
      <c r="MIQ61" s="127"/>
      <c r="MIR61" s="121"/>
      <c r="MIS61" s="5"/>
      <c r="MIT61" s="5"/>
      <c r="MIU61" s="124"/>
      <c r="MIV61" s="121"/>
      <c r="MIW61" s="125"/>
      <c r="MIX61" s="5"/>
      <c r="MIY61" s="117"/>
      <c r="MIZ61" s="4"/>
      <c r="MJA61" s="126"/>
      <c r="MJB61" s="127"/>
      <c r="MJC61" s="121"/>
      <c r="MJD61" s="5"/>
      <c r="MJE61" s="5"/>
      <c r="MJF61" s="124"/>
      <c r="MJG61" s="121"/>
      <c r="MJH61" s="125"/>
      <c r="MJI61" s="5"/>
      <c r="MJJ61" s="117"/>
      <c r="MJK61" s="4"/>
      <c r="MJL61" s="126"/>
      <c r="MJM61" s="127"/>
      <c r="MJN61" s="121"/>
      <c r="MJO61" s="5"/>
      <c r="MJP61" s="5"/>
      <c r="MJQ61" s="124"/>
      <c r="MJR61" s="121"/>
      <c r="MJS61" s="125"/>
      <c r="MJT61" s="5"/>
      <c r="MJU61" s="117"/>
      <c r="MJV61" s="4"/>
      <c r="MJW61" s="126"/>
      <c r="MJX61" s="127"/>
      <c r="MJY61" s="121"/>
      <c r="MJZ61" s="5"/>
      <c r="MKA61" s="5"/>
      <c r="MKB61" s="124"/>
      <c r="MKC61" s="121"/>
      <c r="MKD61" s="125"/>
      <c r="MKE61" s="5"/>
      <c r="MKF61" s="117"/>
      <c r="MKG61" s="4"/>
      <c r="MKH61" s="126"/>
      <c r="MKI61" s="127"/>
      <c r="MKJ61" s="121"/>
      <c r="MKK61" s="5"/>
      <c r="MKL61" s="5"/>
      <c r="MKM61" s="124"/>
      <c r="MKN61" s="121"/>
      <c r="MKO61" s="125"/>
      <c r="MKP61" s="5"/>
      <c r="MKQ61" s="117"/>
      <c r="MKR61" s="4"/>
      <c r="MKS61" s="126"/>
      <c r="MKT61" s="127"/>
      <c r="MKU61" s="121"/>
      <c r="MKV61" s="5"/>
      <c r="MKW61" s="5"/>
      <c r="MKX61" s="124"/>
      <c r="MKY61" s="121"/>
      <c r="MKZ61" s="125"/>
      <c r="MLA61" s="5"/>
      <c r="MLB61" s="117"/>
      <c r="MLC61" s="4"/>
      <c r="MLD61" s="126"/>
      <c r="MLE61" s="127"/>
      <c r="MLF61" s="121"/>
      <c r="MLG61" s="5"/>
      <c r="MLH61" s="5"/>
      <c r="MLI61" s="124"/>
      <c r="MLJ61" s="121"/>
      <c r="MLK61" s="125"/>
      <c r="MLL61" s="5"/>
      <c r="MLM61" s="117"/>
      <c r="MLN61" s="4"/>
      <c r="MLO61" s="126"/>
      <c r="MLP61" s="127"/>
      <c r="MLQ61" s="121"/>
      <c r="MLR61" s="5"/>
      <c r="MLS61" s="5"/>
      <c r="MLT61" s="124"/>
      <c r="MLU61" s="121"/>
      <c r="MLV61" s="125"/>
      <c r="MLW61" s="5"/>
      <c r="MLX61" s="117"/>
      <c r="MLY61" s="4"/>
      <c r="MLZ61" s="126"/>
      <c r="MMA61" s="127"/>
      <c r="MMB61" s="121"/>
      <c r="MMC61" s="5"/>
      <c r="MMD61" s="5"/>
      <c r="MME61" s="124"/>
      <c r="MMF61" s="121"/>
      <c r="MMG61" s="125"/>
      <c r="MMH61" s="5"/>
      <c r="MMI61" s="117"/>
      <c r="MMJ61" s="4"/>
      <c r="MMK61" s="126"/>
      <c r="MML61" s="127"/>
      <c r="MMM61" s="121"/>
      <c r="MMN61" s="5"/>
      <c r="MMO61" s="5"/>
      <c r="MMP61" s="124"/>
      <c r="MMQ61" s="121"/>
      <c r="MMR61" s="125"/>
      <c r="MMS61" s="5"/>
      <c r="MMT61" s="117"/>
      <c r="MMU61" s="4"/>
      <c r="MMV61" s="126"/>
      <c r="MMW61" s="127"/>
      <c r="MMX61" s="121"/>
      <c r="MMY61" s="5"/>
      <c r="MMZ61" s="5"/>
      <c r="MNA61" s="124"/>
      <c r="MNB61" s="121"/>
      <c r="MNC61" s="125"/>
      <c r="MND61" s="5"/>
      <c r="MNE61" s="117"/>
      <c r="MNF61" s="4"/>
      <c r="MNG61" s="126"/>
      <c r="MNH61" s="127"/>
      <c r="MNI61" s="121"/>
      <c r="MNJ61" s="5"/>
      <c r="MNK61" s="5"/>
      <c r="MNL61" s="124"/>
      <c r="MNM61" s="121"/>
      <c r="MNN61" s="125"/>
      <c r="MNO61" s="5"/>
      <c r="MNP61" s="117"/>
      <c r="MNQ61" s="4"/>
      <c r="MNR61" s="126"/>
      <c r="MNS61" s="127"/>
      <c r="MNT61" s="121"/>
      <c r="MNU61" s="5"/>
      <c r="MNV61" s="5"/>
      <c r="MNW61" s="124"/>
      <c r="MNX61" s="121"/>
      <c r="MNY61" s="125"/>
      <c r="MNZ61" s="5"/>
      <c r="MOA61" s="117"/>
      <c r="MOB61" s="4"/>
      <c r="MOC61" s="126"/>
      <c r="MOD61" s="127"/>
      <c r="MOE61" s="121"/>
      <c r="MOF61" s="5"/>
      <c r="MOG61" s="5"/>
      <c r="MOH61" s="124"/>
      <c r="MOI61" s="121"/>
      <c r="MOJ61" s="125"/>
      <c r="MOK61" s="5"/>
      <c r="MOL61" s="117"/>
      <c r="MOM61" s="4"/>
      <c r="MON61" s="126"/>
      <c r="MOO61" s="127"/>
      <c r="MOP61" s="121"/>
      <c r="MOQ61" s="5"/>
      <c r="MOR61" s="5"/>
      <c r="MOS61" s="124"/>
      <c r="MOT61" s="121"/>
      <c r="MOU61" s="125"/>
      <c r="MOV61" s="5"/>
      <c r="MOW61" s="117"/>
      <c r="MOX61" s="4"/>
      <c r="MOY61" s="126"/>
      <c r="MOZ61" s="127"/>
      <c r="MPA61" s="121"/>
      <c r="MPB61" s="5"/>
      <c r="MPC61" s="5"/>
      <c r="MPD61" s="124"/>
      <c r="MPE61" s="121"/>
      <c r="MPF61" s="125"/>
      <c r="MPG61" s="5"/>
      <c r="MPH61" s="117"/>
      <c r="MPI61" s="4"/>
      <c r="MPJ61" s="126"/>
      <c r="MPK61" s="127"/>
      <c r="MPL61" s="121"/>
      <c r="MPM61" s="5"/>
      <c r="MPN61" s="5"/>
      <c r="MPO61" s="124"/>
      <c r="MPP61" s="121"/>
      <c r="MPQ61" s="125"/>
      <c r="MPR61" s="5"/>
      <c r="MPS61" s="117"/>
      <c r="MPT61" s="4"/>
      <c r="MPU61" s="126"/>
      <c r="MPV61" s="127"/>
      <c r="MPW61" s="121"/>
      <c r="MPX61" s="5"/>
      <c r="MPY61" s="5"/>
      <c r="MPZ61" s="124"/>
      <c r="MQA61" s="121"/>
      <c r="MQB61" s="125"/>
      <c r="MQC61" s="5"/>
      <c r="MQD61" s="117"/>
      <c r="MQE61" s="4"/>
      <c r="MQF61" s="126"/>
      <c r="MQG61" s="127"/>
      <c r="MQH61" s="121"/>
      <c r="MQI61" s="5"/>
      <c r="MQJ61" s="5"/>
      <c r="MQK61" s="124"/>
      <c r="MQL61" s="121"/>
      <c r="MQM61" s="125"/>
      <c r="MQN61" s="5"/>
      <c r="MQO61" s="117"/>
      <c r="MQP61" s="4"/>
      <c r="MQQ61" s="126"/>
      <c r="MQR61" s="127"/>
      <c r="MQS61" s="121"/>
      <c r="MQT61" s="5"/>
      <c r="MQU61" s="5"/>
      <c r="MQV61" s="124"/>
      <c r="MQW61" s="121"/>
      <c r="MQX61" s="125"/>
      <c r="MQY61" s="5"/>
      <c r="MQZ61" s="117"/>
      <c r="MRA61" s="4"/>
      <c r="MRB61" s="126"/>
      <c r="MRC61" s="127"/>
      <c r="MRD61" s="121"/>
      <c r="MRE61" s="5"/>
      <c r="MRF61" s="5"/>
      <c r="MRG61" s="124"/>
      <c r="MRH61" s="121"/>
      <c r="MRI61" s="125"/>
      <c r="MRJ61" s="5"/>
      <c r="MRK61" s="117"/>
      <c r="MRL61" s="4"/>
      <c r="MRM61" s="126"/>
      <c r="MRN61" s="127"/>
      <c r="MRO61" s="121"/>
      <c r="MRP61" s="5"/>
      <c r="MRQ61" s="5"/>
      <c r="MRR61" s="124"/>
      <c r="MRS61" s="121"/>
      <c r="MRT61" s="125"/>
      <c r="MRU61" s="5"/>
      <c r="MRV61" s="117"/>
      <c r="MRW61" s="4"/>
      <c r="MRX61" s="126"/>
      <c r="MRY61" s="127"/>
      <c r="MRZ61" s="121"/>
      <c r="MSA61" s="5"/>
      <c r="MSB61" s="5"/>
      <c r="MSC61" s="124"/>
      <c r="MSD61" s="121"/>
      <c r="MSE61" s="125"/>
      <c r="MSF61" s="5"/>
      <c r="MSG61" s="117"/>
      <c r="MSH61" s="4"/>
      <c r="MSI61" s="126"/>
      <c r="MSJ61" s="127"/>
      <c r="MSK61" s="121"/>
      <c r="MSL61" s="5"/>
      <c r="MSM61" s="5"/>
      <c r="MSN61" s="124"/>
      <c r="MSO61" s="121"/>
      <c r="MSP61" s="125"/>
      <c r="MSQ61" s="5"/>
      <c r="MSR61" s="117"/>
      <c r="MSS61" s="4"/>
      <c r="MST61" s="126"/>
      <c r="MSU61" s="127"/>
      <c r="MSV61" s="121"/>
      <c r="MSW61" s="5"/>
      <c r="MSX61" s="5"/>
      <c r="MSY61" s="124"/>
      <c r="MSZ61" s="121"/>
      <c r="MTA61" s="125"/>
      <c r="MTB61" s="5"/>
      <c r="MTC61" s="117"/>
      <c r="MTD61" s="4"/>
      <c r="MTE61" s="126"/>
      <c r="MTF61" s="127"/>
      <c r="MTG61" s="121"/>
      <c r="MTH61" s="5"/>
      <c r="MTI61" s="5"/>
      <c r="MTJ61" s="124"/>
      <c r="MTK61" s="121"/>
      <c r="MTL61" s="125"/>
      <c r="MTM61" s="5"/>
      <c r="MTN61" s="117"/>
      <c r="MTO61" s="4"/>
      <c r="MTP61" s="126"/>
      <c r="MTQ61" s="127"/>
      <c r="MTR61" s="121"/>
      <c r="MTS61" s="5"/>
      <c r="MTT61" s="5"/>
      <c r="MTU61" s="124"/>
      <c r="MTV61" s="121"/>
      <c r="MTW61" s="125"/>
      <c r="MTX61" s="5"/>
      <c r="MTY61" s="117"/>
      <c r="MTZ61" s="4"/>
      <c r="MUA61" s="126"/>
      <c r="MUB61" s="127"/>
      <c r="MUC61" s="121"/>
      <c r="MUD61" s="5"/>
      <c r="MUE61" s="5"/>
      <c r="MUF61" s="124"/>
      <c r="MUG61" s="121"/>
      <c r="MUH61" s="125"/>
      <c r="MUI61" s="5"/>
      <c r="MUJ61" s="117"/>
      <c r="MUK61" s="4"/>
      <c r="MUL61" s="126"/>
      <c r="MUM61" s="127"/>
      <c r="MUN61" s="121"/>
      <c r="MUO61" s="5"/>
      <c r="MUP61" s="5"/>
      <c r="MUQ61" s="124"/>
      <c r="MUR61" s="121"/>
      <c r="MUS61" s="125"/>
      <c r="MUT61" s="5"/>
      <c r="MUU61" s="117"/>
      <c r="MUV61" s="4"/>
      <c r="MUW61" s="126"/>
      <c r="MUX61" s="127"/>
      <c r="MUY61" s="121"/>
      <c r="MUZ61" s="5"/>
      <c r="MVA61" s="5"/>
      <c r="MVB61" s="124"/>
      <c r="MVC61" s="121"/>
      <c r="MVD61" s="125"/>
      <c r="MVE61" s="5"/>
      <c r="MVF61" s="117"/>
      <c r="MVG61" s="4"/>
      <c r="MVH61" s="126"/>
      <c r="MVI61" s="127"/>
      <c r="MVJ61" s="121"/>
      <c r="MVK61" s="5"/>
      <c r="MVL61" s="5"/>
      <c r="MVM61" s="124"/>
      <c r="MVN61" s="121"/>
      <c r="MVO61" s="125"/>
      <c r="MVP61" s="5"/>
      <c r="MVQ61" s="117"/>
      <c r="MVR61" s="4"/>
      <c r="MVS61" s="126"/>
      <c r="MVT61" s="127"/>
      <c r="MVU61" s="121"/>
      <c r="MVV61" s="5"/>
      <c r="MVW61" s="5"/>
      <c r="MVX61" s="124"/>
      <c r="MVY61" s="121"/>
      <c r="MVZ61" s="125"/>
      <c r="MWA61" s="5"/>
      <c r="MWB61" s="117"/>
      <c r="MWC61" s="4"/>
      <c r="MWD61" s="126"/>
      <c r="MWE61" s="127"/>
      <c r="MWF61" s="121"/>
      <c r="MWG61" s="5"/>
      <c r="MWH61" s="5"/>
      <c r="MWI61" s="124"/>
      <c r="MWJ61" s="121"/>
      <c r="MWK61" s="125"/>
      <c r="MWL61" s="5"/>
      <c r="MWM61" s="117"/>
      <c r="MWN61" s="4"/>
      <c r="MWO61" s="126"/>
      <c r="MWP61" s="127"/>
      <c r="MWQ61" s="121"/>
      <c r="MWR61" s="5"/>
      <c r="MWS61" s="5"/>
      <c r="MWT61" s="124"/>
      <c r="MWU61" s="121"/>
      <c r="MWV61" s="125"/>
      <c r="MWW61" s="5"/>
      <c r="MWX61" s="117"/>
      <c r="MWY61" s="4"/>
      <c r="MWZ61" s="126"/>
      <c r="MXA61" s="127"/>
      <c r="MXB61" s="121"/>
      <c r="MXC61" s="5"/>
      <c r="MXD61" s="5"/>
      <c r="MXE61" s="124"/>
      <c r="MXF61" s="121"/>
      <c r="MXG61" s="125"/>
      <c r="MXH61" s="5"/>
      <c r="MXI61" s="117"/>
      <c r="MXJ61" s="4"/>
      <c r="MXK61" s="126"/>
      <c r="MXL61" s="127"/>
      <c r="MXM61" s="121"/>
      <c r="MXN61" s="5"/>
      <c r="MXO61" s="5"/>
      <c r="MXP61" s="124"/>
      <c r="MXQ61" s="121"/>
      <c r="MXR61" s="125"/>
      <c r="MXS61" s="5"/>
      <c r="MXT61" s="117"/>
      <c r="MXU61" s="4"/>
      <c r="MXV61" s="126"/>
      <c r="MXW61" s="127"/>
      <c r="MXX61" s="121"/>
      <c r="MXY61" s="5"/>
      <c r="MXZ61" s="5"/>
      <c r="MYA61" s="124"/>
      <c r="MYB61" s="121"/>
      <c r="MYC61" s="125"/>
      <c r="MYD61" s="5"/>
      <c r="MYE61" s="117"/>
      <c r="MYF61" s="4"/>
      <c r="MYG61" s="126"/>
      <c r="MYH61" s="127"/>
      <c r="MYI61" s="121"/>
      <c r="MYJ61" s="5"/>
      <c r="MYK61" s="5"/>
      <c r="MYL61" s="124"/>
      <c r="MYM61" s="121"/>
      <c r="MYN61" s="125"/>
      <c r="MYO61" s="5"/>
      <c r="MYP61" s="117"/>
      <c r="MYQ61" s="4"/>
      <c r="MYR61" s="126"/>
      <c r="MYS61" s="127"/>
      <c r="MYT61" s="121"/>
      <c r="MYU61" s="5"/>
      <c r="MYV61" s="5"/>
      <c r="MYW61" s="124"/>
      <c r="MYX61" s="121"/>
      <c r="MYY61" s="125"/>
      <c r="MYZ61" s="5"/>
      <c r="MZA61" s="117"/>
      <c r="MZB61" s="4"/>
      <c r="MZC61" s="126"/>
      <c r="MZD61" s="127"/>
      <c r="MZE61" s="121"/>
      <c r="MZF61" s="5"/>
      <c r="MZG61" s="5"/>
      <c r="MZH61" s="124"/>
      <c r="MZI61" s="121"/>
      <c r="MZJ61" s="125"/>
      <c r="MZK61" s="5"/>
      <c r="MZL61" s="117"/>
      <c r="MZM61" s="4"/>
      <c r="MZN61" s="126"/>
      <c r="MZO61" s="127"/>
      <c r="MZP61" s="121"/>
      <c r="MZQ61" s="5"/>
      <c r="MZR61" s="5"/>
      <c r="MZS61" s="124"/>
      <c r="MZT61" s="121"/>
      <c r="MZU61" s="125"/>
      <c r="MZV61" s="5"/>
      <c r="MZW61" s="117"/>
      <c r="MZX61" s="4"/>
      <c r="MZY61" s="126"/>
      <c r="MZZ61" s="127"/>
      <c r="NAA61" s="121"/>
      <c r="NAB61" s="5"/>
      <c r="NAC61" s="5"/>
      <c r="NAD61" s="124"/>
      <c r="NAE61" s="121"/>
      <c r="NAF61" s="125"/>
      <c r="NAG61" s="5"/>
      <c r="NAH61" s="117"/>
      <c r="NAI61" s="4"/>
      <c r="NAJ61" s="126"/>
      <c r="NAK61" s="127"/>
      <c r="NAL61" s="121"/>
      <c r="NAM61" s="5"/>
      <c r="NAN61" s="5"/>
      <c r="NAO61" s="124"/>
      <c r="NAP61" s="121"/>
      <c r="NAQ61" s="125"/>
      <c r="NAR61" s="5"/>
      <c r="NAS61" s="117"/>
      <c r="NAT61" s="4"/>
      <c r="NAU61" s="126"/>
      <c r="NAV61" s="127"/>
      <c r="NAW61" s="121"/>
      <c r="NAX61" s="5"/>
      <c r="NAY61" s="5"/>
      <c r="NAZ61" s="124"/>
      <c r="NBA61" s="121"/>
      <c r="NBB61" s="125"/>
      <c r="NBC61" s="5"/>
      <c r="NBD61" s="117"/>
      <c r="NBE61" s="4"/>
      <c r="NBF61" s="126"/>
      <c r="NBG61" s="127"/>
      <c r="NBH61" s="121"/>
      <c r="NBI61" s="5"/>
      <c r="NBJ61" s="5"/>
      <c r="NBK61" s="124"/>
      <c r="NBL61" s="121"/>
      <c r="NBM61" s="125"/>
      <c r="NBN61" s="5"/>
      <c r="NBO61" s="117"/>
      <c r="NBP61" s="4"/>
      <c r="NBQ61" s="126"/>
      <c r="NBR61" s="127"/>
      <c r="NBS61" s="121"/>
      <c r="NBT61" s="5"/>
      <c r="NBU61" s="5"/>
      <c r="NBV61" s="124"/>
      <c r="NBW61" s="121"/>
      <c r="NBX61" s="125"/>
      <c r="NBY61" s="5"/>
      <c r="NBZ61" s="117"/>
      <c r="NCA61" s="4"/>
      <c r="NCB61" s="126"/>
      <c r="NCC61" s="127"/>
      <c r="NCD61" s="121"/>
      <c r="NCE61" s="5"/>
      <c r="NCF61" s="5"/>
      <c r="NCG61" s="124"/>
      <c r="NCH61" s="121"/>
      <c r="NCI61" s="125"/>
      <c r="NCJ61" s="5"/>
      <c r="NCK61" s="117"/>
      <c r="NCL61" s="4"/>
      <c r="NCM61" s="126"/>
      <c r="NCN61" s="127"/>
      <c r="NCO61" s="121"/>
      <c r="NCP61" s="5"/>
      <c r="NCQ61" s="5"/>
      <c r="NCR61" s="124"/>
      <c r="NCS61" s="121"/>
      <c r="NCT61" s="125"/>
      <c r="NCU61" s="5"/>
      <c r="NCV61" s="117"/>
      <c r="NCW61" s="4"/>
      <c r="NCX61" s="126"/>
      <c r="NCY61" s="127"/>
      <c r="NCZ61" s="121"/>
      <c r="NDA61" s="5"/>
      <c r="NDB61" s="5"/>
      <c r="NDC61" s="124"/>
      <c r="NDD61" s="121"/>
      <c r="NDE61" s="125"/>
      <c r="NDF61" s="5"/>
      <c r="NDG61" s="117"/>
      <c r="NDH61" s="4"/>
      <c r="NDI61" s="126"/>
      <c r="NDJ61" s="127"/>
      <c r="NDK61" s="121"/>
      <c r="NDL61" s="5"/>
      <c r="NDM61" s="5"/>
      <c r="NDN61" s="124"/>
      <c r="NDO61" s="121"/>
      <c r="NDP61" s="125"/>
      <c r="NDQ61" s="5"/>
      <c r="NDR61" s="117"/>
      <c r="NDS61" s="4"/>
      <c r="NDT61" s="126"/>
      <c r="NDU61" s="127"/>
      <c r="NDV61" s="121"/>
      <c r="NDW61" s="5"/>
      <c r="NDX61" s="5"/>
      <c r="NDY61" s="124"/>
      <c r="NDZ61" s="121"/>
      <c r="NEA61" s="125"/>
      <c r="NEB61" s="5"/>
      <c r="NEC61" s="117"/>
      <c r="NED61" s="4"/>
      <c r="NEE61" s="126"/>
      <c r="NEF61" s="127"/>
      <c r="NEG61" s="121"/>
      <c r="NEH61" s="5"/>
      <c r="NEI61" s="5"/>
      <c r="NEJ61" s="124"/>
      <c r="NEK61" s="121"/>
      <c r="NEL61" s="125"/>
      <c r="NEM61" s="5"/>
      <c r="NEN61" s="117"/>
      <c r="NEO61" s="4"/>
      <c r="NEP61" s="126"/>
      <c r="NEQ61" s="127"/>
      <c r="NER61" s="121"/>
      <c r="NES61" s="5"/>
      <c r="NET61" s="5"/>
      <c r="NEU61" s="124"/>
      <c r="NEV61" s="121"/>
      <c r="NEW61" s="125"/>
      <c r="NEX61" s="5"/>
      <c r="NEY61" s="117"/>
      <c r="NEZ61" s="4"/>
      <c r="NFA61" s="126"/>
      <c r="NFB61" s="127"/>
      <c r="NFC61" s="121"/>
      <c r="NFD61" s="5"/>
      <c r="NFE61" s="5"/>
      <c r="NFF61" s="124"/>
      <c r="NFG61" s="121"/>
      <c r="NFH61" s="125"/>
      <c r="NFI61" s="5"/>
      <c r="NFJ61" s="117"/>
      <c r="NFK61" s="4"/>
      <c r="NFL61" s="126"/>
      <c r="NFM61" s="127"/>
      <c r="NFN61" s="121"/>
      <c r="NFO61" s="5"/>
      <c r="NFP61" s="5"/>
      <c r="NFQ61" s="124"/>
      <c r="NFR61" s="121"/>
      <c r="NFS61" s="125"/>
      <c r="NFT61" s="5"/>
      <c r="NFU61" s="117"/>
      <c r="NFV61" s="4"/>
      <c r="NFW61" s="126"/>
      <c r="NFX61" s="127"/>
      <c r="NFY61" s="121"/>
      <c r="NFZ61" s="5"/>
      <c r="NGA61" s="5"/>
      <c r="NGB61" s="124"/>
      <c r="NGC61" s="121"/>
      <c r="NGD61" s="125"/>
      <c r="NGE61" s="5"/>
      <c r="NGF61" s="117"/>
      <c r="NGG61" s="4"/>
      <c r="NGH61" s="126"/>
      <c r="NGI61" s="127"/>
      <c r="NGJ61" s="121"/>
      <c r="NGK61" s="5"/>
      <c r="NGL61" s="5"/>
      <c r="NGM61" s="124"/>
      <c r="NGN61" s="121"/>
      <c r="NGO61" s="125"/>
      <c r="NGP61" s="5"/>
      <c r="NGQ61" s="117"/>
      <c r="NGR61" s="4"/>
      <c r="NGS61" s="126"/>
      <c r="NGT61" s="127"/>
      <c r="NGU61" s="121"/>
      <c r="NGV61" s="5"/>
      <c r="NGW61" s="5"/>
      <c r="NGX61" s="124"/>
      <c r="NGY61" s="121"/>
      <c r="NGZ61" s="125"/>
      <c r="NHA61" s="5"/>
      <c r="NHB61" s="117"/>
      <c r="NHC61" s="4"/>
      <c r="NHD61" s="126"/>
      <c r="NHE61" s="127"/>
      <c r="NHF61" s="121"/>
      <c r="NHG61" s="5"/>
      <c r="NHH61" s="5"/>
      <c r="NHI61" s="124"/>
      <c r="NHJ61" s="121"/>
      <c r="NHK61" s="125"/>
      <c r="NHL61" s="5"/>
      <c r="NHM61" s="117"/>
      <c r="NHN61" s="4"/>
      <c r="NHO61" s="126"/>
      <c r="NHP61" s="127"/>
      <c r="NHQ61" s="121"/>
      <c r="NHR61" s="5"/>
      <c r="NHS61" s="5"/>
      <c r="NHT61" s="124"/>
      <c r="NHU61" s="121"/>
      <c r="NHV61" s="125"/>
      <c r="NHW61" s="5"/>
      <c r="NHX61" s="117"/>
      <c r="NHY61" s="4"/>
      <c r="NHZ61" s="126"/>
      <c r="NIA61" s="127"/>
      <c r="NIB61" s="121"/>
      <c r="NIC61" s="5"/>
      <c r="NID61" s="5"/>
      <c r="NIE61" s="124"/>
      <c r="NIF61" s="121"/>
      <c r="NIG61" s="125"/>
      <c r="NIH61" s="5"/>
      <c r="NII61" s="117"/>
      <c r="NIJ61" s="4"/>
      <c r="NIK61" s="126"/>
      <c r="NIL61" s="127"/>
      <c r="NIM61" s="121"/>
      <c r="NIN61" s="5"/>
      <c r="NIO61" s="5"/>
      <c r="NIP61" s="124"/>
      <c r="NIQ61" s="121"/>
      <c r="NIR61" s="125"/>
      <c r="NIS61" s="5"/>
      <c r="NIT61" s="117"/>
      <c r="NIU61" s="4"/>
      <c r="NIV61" s="126"/>
      <c r="NIW61" s="127"/>
      <c r="NIX61" s="121"/>
      <c r="NIY61" s="5"/>
      <c r="NIZ61" s="5"/>
      <c r="NJA61" s="124"/>
      <c r="NJB61" s="121"/>
      <c r="NJC61" s="125"/>
      <c r="NJD61" s="5"/>
      <c r="NJE61" s="117"/>
      <c r="NJF61" s="4"/>
      <c r="NJG61" s="126"/>
      <c r="NJH61" s="127"/>
      <c r="NJI61" s="121"/>
      <c r="NJJ61" s="5"/>
      <c r="NJK61" s="5"/>
      <c r="NJL61" s="124"/>
      <c r="NJM61" s="121"/>
      <c r="NJN61" s="125"/>
      <c r="NJO61" s="5"/>
      <c r="NJP61" s="117"/>
      <c r="NJQ61" s="4"/>
      <c r="NJR61" s="126"/>
      <c r="NJS61" s="127"/>
      <c r="NJT61" s="121"/>
      <c r="NJU61" s="5"/>
      <c r="NJV61" s="5"/>
      <c r="NJW61" s="124"/>
      <c r="NJX61" s="121"/>
      <c r="NJY61" s="125"/>
      <c r="NJZ61" s="5"/>
      <c r="NKA61" s="117"/>
      <c r="NKB61" s="4"/>
      <c r="NKC61" s="126"/>
      <c r="NKD61" s="127"/>
      <c r="NKE61" s="121"/>
      <c r="NKF61" s="5"/>
      <c r="NKG61" s="5"/>
      <c r="NKH61" s="124"/>
      <c r="NKI61" s="121"/>
      <c r="NKJ61" s="125"/>
      <c r="NKK61" s="5"/>
      <c r="NKL61" s="117"/>
      <c r="NKM61" s="4"/>
      <c r="NKN61" s="126"/>
      <c r="NKO61" s="127"/>
      <c r="NKP61" s="121"/>
      <c r="NKQ61" s="5"/>
      <c r="NKR61" s="5"/>
      <c r="NKS61" s="124"/>
      <c r="NKT61" s="121"/>
      <c r="NKU61" s="125"/>
      <c r="NKV61" s="5"/>
      <c r="NKW61" s="117"/>
      <c r="NKX61" s="4"/>
      <c r="NKY61" s="126"/>
      <c r="NKZ61" s="127"/>
      <c r="NLA61" s="121"/>
      <c r="NLB61" s="5"/>
      <c r="NLC61" s="5"/>
      <c r="NLD61" s="124"/>
      <c r="NLE61" s="121"/>
      <c r="NLF61" s="125"/>
      <c r="NLG61" s="5"/>
      <c r="NLH61" s="117"/>
      <c r="NLI61" s="4"/>
      <c r="NLJ61" s="126"/>
      <c r="NLK61" s="127"/>
      <c r="NLL61" s="121"/>
      <c r="NLM61" s="5"/>
      <c r="NLN61" s="5"/>
      <c r="NLO61" s="124"/>
      <c r="NLP61" s="121"/>
      <c r="NLQ61" s="125"/>
      <c r="NLR61" s="5"/>
      <c r="NLS61" s="117"/>
      <c r="NLT61" s="4"/>
      <c r="NLU61" s="126"/>
      <c r="NLV61" s="127"/>
      <c r="NLW61" s="121"/>
      <c r="NLX61" s="5"/>
      <c r="NLY61" s="5"/>
      <c r="NLZ61" s="124"/>
      <c r="NMA61" s="121"/>
      <c r="NMB61" s="125"/>
      <c r="NMC61" s="5"/>
      <c r="NMD61" s="117"/>
      <c r="NME61" s="4"/>
      <c r="NMF61" s="126"/>
      <c r="NMG61" s="127"/>
      <c r="NMH61" s="121"/>
      <c r="NMI61" s="5"/>
      <c r="NMJ61" s="5"/>
      <c r="NMK61" s="124"/>
      <c r="NML61" s="121"/>
      <c r="NMM61" s="125"/>
      <c r="NMN61" s="5"/>
      <c r="NMO61" s="117"/>
      <c r="NMP61" s="4"/>
      <c r="NMQ61" s="126"/>
      <c r="NMR61" s="127"/>
      <c r="NMS61" s="121"/>
      <c r="NMT61" s="5"/>
      <c r="NMU61" s="5"/>
      <c r="NMV61" s="124"/>
      <c r="NMW61" s="121"/>
      <c r="NMX61" s="125"/>
      <c r="NMY61" s="5"/>
      <c r="NMZ61" s="117"/>
      <c r="NNA61" s="4"/>
      <c r="NNB61" s="126"/>
      <c r="NNC61" s="127"/>
      <c r="NND61" s="121"/>
      <c r="NNE61" s="5"/>
      <c r="NNF61" s="5"/>
      <c r="NNG61" s="124"/>
      <c r="NNH61" s="121"/>
      <c r="NNI61" s="125"/>
      <c r="NNJ61" s="5"/>
      <c r="NNK61" s="117"/>
      <c r="NNL61" s="4"/>
      <c r="NNM61" s="126"/>
      <c r="NNN61" s="127"/>
      <c r="NNO61" s="121"/>
      <c r="NNP61" s="5"/>
      <c r="NNQ61" s="5"/>
      <c r="NNR61" s="124"/>
      <c r="NNS61" s="121"/>
      <c r="NNT61" s="125"/>
      <c r="NNU61" s="5"/>
      <c r="NNV61" s="117"/>
      <c r="NNW61" s="4"/>
      <c r="NNX61" s="126"/>
      <c r="NNY61" s="127"/>
      <c r="NNZ61" s="121"/>
      <c r="NOA61" s="5"/>
      <c r="NOB61" s="5"/>
      <c r="NOC61" s="124"/>
      <c r="NOD61" s="121"/>
      <c r="NOE61" s="125"/>
      <c r="NOF61" s="5"/>
      <c r="NOG61" s="117"/>
      <c r="NOH61" s="4"/>
      <c r="NOI61" s="126"/>
      <c r="NOJ61" s="127"/>
      <c r="NOK61" s="121"/>
      <c r="NOL61" s="5"/>
      <c r="NOM61" s="5"/>
      <c r="NON61" s="124"/>
      <c r="NOO61" s="121"/>
      <c r="NOP61" s="125"/>
      <c r="NOQ61" s="5"/>
      <c r="NOR61" s="117"/>
      <c r="NOS61" s="4"/>
      <c r="NOT61" s="126"/>
      <c r="NOU61" s="127"/>
      <c r="NOV61" s="121"/>
      <c r="NOW61" s="5"/>
      <c r="NOX61" s="5"/>
      <c r="NOY61" s="124"/>
      <c r="NOZ61" s="121"/>
      <c r="NPA61" s="125"/>
      <c r="NPB61" s="5"/>
      <c r="NPC61" s="117"/>
      <c r="NPD61" s="4"/>
      <c r="NPE61" s="126"/>
      <c r="NPF61" s="127"/>
      <c r="NPG61" s="121"/>
      <c r="NPH61" s="5"/>
      <c r="NPI61" s="5"/>
      <c r="NPJ61" s="124"/>
      <c r="NPK61" s="121"/>
      <c r="NPL61" s="125"/>
      <c r="NPM61" s="5"/>
      <c r="NPN61" s="117"/>
      <c r="NPO61" s="4"/>
      <c r="NPP61" s="126"/>
      <c r="NPQ61" s="127"/>
      <c r="NPR61" s="121"/>
      <c r="NPS61" s="5"/>
      <c r="NPT61" s="5"/>
      <c r="NPU61" s="124"/>
      <c r="NPV61" s="121"/>
      <c r="NPW61" s="125"/>
      <c r="NPX61" s="5"/>
      <c r="NPY61" s="117"/>
      <c r="NPZ61" s="4"/>
      <c r="NQA61" s="126"/>
      <c r="NQB61" s="127"/>
      <c r="NQC61" s="121"/>
      <c r="NQD61" s="5"/>
      <c r="NQE61" s="5"/>
      <c r="NQF61" s="124"/>
      <c r="NQG61" s="121"/>
      <c r="NQH61" s="125"/>
      <c r="NQI61" s="5"/>
      <c r="NQJ61" s="117"/>
      <c r="NQK61" s="4"/>
      <c r="NQL61" s="126"/>
      <c r="NQM61" s="127"/>
      <c r="NQN61" s="121"/>
      <c r="NQO61" s="5"/>
      <c r="NQP61" s="5"/>
      <c r="NQQ61" s="124"/>
      <c r="NQR61" s="121"/>
      <c r="NQS61" s="125"/>
      <c r="NQT61" s="5"/>
      <c r="NQU61" s="117"/>
      <c r="NQV61" s="4"/>
      <c r="NQW61" s="126"/>
      <c r="NQX61" s="127"/>
      <c r="NQY61" s="121"/>
      <c r="NQZ61" s="5"/>
      <c r="NRA61" s="5"/>
      <c r="NRB61" s="124"/>
      <c r="NRC61" s="121"/>
      <c r="NRD61" s="125"/>
      <c r="NRE61" s="5"/>
      <c r="NRF61" s="117"/>
      <c r="NRG61" s="4"/>
      <c r="NRH61" s="126"/>
      <c r="NRI61" s="127"/>
      <c r="NRJ61" s="121"/>
      <c r="NRK61" s="5"/>
      <c r="NRL61" s="5"/>
      <c r="NRM61" s="124"/>
      <c r="NRN61" s="121"/>
      <c r="NRO61" s="125"/>
      <c r="NRP61" s="5"/>
      <c r="NRQ61" s="117"/>
      <c r="NRR61" s="4"/>
      <c r="NRS61" s="126"/>
      <c r="NRT61" s="127"/>
      <c r="NRU61" s="121"/>
      <c r="NRV61" s="5"/>
      <c r="NRW61" s="5"/>
      <c r="NRX61" s="124"/>
      <c r="NRY61" s="121"/>
      <c r="NRZ61" s="125"/>
      <c r="NSA61" s="5"/>
      <c r="NSB61" s="117"/>
      <c r="NSC61" s="4"/>
      <c r="NSD61" s="126"/>
      <c r="NSE61" s="127"/>
      <c r="NSF61" s="121"/>
      <c r="NSG61" s="5"/>
      <c r="NSH61" s="5"/>
      <c r="NSI61" s="124"/>
      <c r="NSJ61" s="121"/>
      <c r="NSK61" s="125"/>
      <c r="NSL61" s="5"/>
      <c r="NSM61" s="117"/>
      <c r="NSN61" s="4"/>
      <c r="NSO61" s="126"/>
      <c r="NSP61" s="127"/>
      <c r="NSQ61" s="121"/>
      <c r="NSR61" s="5"/>
      <c r="NSS61" s="5"/>
      <c r="NST61" s="124"/>
      <c r="NSU61" s="121"/>
      <c r="NSV61" s="125"/>
      <c r="NSW61" s="5"/>
      <c r="NSX61" s="117"/>
      <c r="NSY61" s="4"/>
      <c r="NSZ61" s="126"/>
      <c r="NTA61" s="127"/>
      <c r="NTB61" s="121"/>
      <c r="NTC61" s="5"/>
      <c r="NTD61" s="5"/>
      <c r="NTE61" s="124"/>
      <c r="NTF61" s="121"/>
      <c r="NTG61" s="125"/>
      <c r="NTH61" s="5"/>
      <c r="NTI61" s="117"/>
      <c r="NTJ61" s="4"/>
      <c r="NTK61" s="126"/>
      <c r="NTL61" s="127"/>
      <c r="NTM61" s="121"/>
      <c r="NTN61" s="5"/>
      <c r="NTO61" s="5"/>
      <c r="NTP61" s="124"/>
      <c r="NTQ61" s="121"/>
      <c r="NTR61" s="125"/>
      <c r="NTS61" s="5"/>
      <c r="NTT61" s="117"/>
      <c r="NTU61" s="4"/>
      <c r="NTV61" s="126"/>
      <c r="NTW61" s="127"/>
      <c r="NTX61" s="121"/>
      <c r="NTY61" s="5"/>
      <c r="NTZ61" s="5"/>
      <c r="NUA61" s="124"/>
      <c r="NUB61" s="121"/>
      <c r="NUC61" s="125"/>
      <c r="NUD61" s="5"/>
      <c r="NUE61" s="117"/>
      <c r="NUF61" s="4"/>
      <c r="NUG61" s="126"/>
      <c r="NUH61" s="127"/>
      <c r="NUI61" s="121"/>
      <c r="NUJ61" s="5"/>
      <c r="NUK61" s="5"/>
      <c r="NUL61" s="124"/>
      <c r="NUM61" s="121"/>
      <c r="NUN61" s="125"/>
      <c r="NUO61" s="5"/>
      <c r="NUP61" s="117"/>
      <c r="NUQ61" s="4"/>
      <c r="NUR61" s="126"/>
      <c r="NUS61" s="127"/>
      <c r="NUT61" s="121"/>
      <c r="NUU61" s="5"/>
      <c r="NUV61" s="5"/>
      <c r="NUW61" s="124"/>
      <c r="NUX61" s="121"/>
      <c r="NUY61" s="125"/>
      <c r="NUZ61" s="5"/>
      <c r="NVA61" s="117"/>
      <c r="NVB61" s="4"/>
      <c r="NVC61" s="126"/>
      <c r="NVD61" s="127"/>
      <c r="NVE61" s="121"/>
      <c r="NVF61" s="5"/>
      <c r="NVG61" s="5"/>
      <c r="NVH61" s="124"/>
      <c r="NVI61" s="121"/>
      <c r="NVJ61" s="125"/>
      <c r="NVK61" s="5"/>
      <c r="NVL61" s="117"/>
      <c r="NVM61" s="4"/>
      <c r="NVN61" s="126"/>
      <c r="NVO61" s="127"/>
      <c r="NVP61" s="121"/>
      <c r="NVQ61" s="5"/>
      <c r="NVR61" s="5"/>
      <c r="NVS61" s="124"/>
      <c r="NVT61" s="121"/>
      <c r="NVU61" s="125"/>
      <c r="NVV61" s="5"/>
      <c r="NVW61" s="117"/>
      <c r="NVX61" s="4"/>
      <c r="NVY61" s="126"/>
      <c r="NVZ61" s="127"/>
      <c r="NWA61" s="121"/>
      <c r="NWB61" s="5"/>
      <c r="NWC61" s="5"/>
      <c r="NWD61" s="124"/>
      <c r="NWE61" s="121"/>
      <c r="NWF61" s="125"/>
      <c r="NWG61" s="5"/>
      <c r="NWH61" s="117"/>
      <c r="NWI61" s="4"/>
      <c r="NWJ61" s="126"/>
      <c r="NWK61" s="127"/>
      <c r="NWL61" s="121"/>
      <c r="NWM61" s="5"/>
      <c r="NWN61" s="5"/>
      <c r="NWO61" s="124"/>
      <c r="NWP61" s="121"/>
      <c r="NWQ61" s="125"/>
      <c r="NWR61" s="5"/>
      <c r="NWS61" s="117"/>
      <c r="NWT61" s="4"/>
      <c r="NWU61" s="126"/>
      <c r="NWV61" s="127"/>
      <c r="NWW61" s="121"/>
      <c r="NWX61" s="5"/>
      <c r="NWY61" s="5"/>
      <c r="NWZ61" s="124"/>
      <c r="NXA61" s="121"/>
      <c r="NXB61" s="125"/>
      <c r="NXC61" s="5"/>
      <c r="NXD61" s="117"/>
      <c r="NXE61" s="4"/>
      <c r="NXF61" s="126"/>
      <c r="NXG61" s="127"/>
      <c r="NXH61" s="121"/>
      <c r="NXI61" s="5"/>
      <c r="NXJ61" s="5"/>
      <c r="NXK61" s="124"/>
      <c r="NXL61" s="121"/>
      <c r="NXM61" s="125"/>
      <c r="NXN61" s="5"/>
      <c r="NXO61" s="117"/>
      <c r="NXP61" s="4"/>
      <c r="NXQ61" s="126"/>
      <c r="NXR61" s="127"/>
      <c r="NXS61" s="121"/>
      <c r="NXT61" s="5"/>
      <c r="NXU61" s="5"/>
      <c r="NXV61" s="124"/>
      <c r="NXW61" s="121"/>
      <c r="NXX61" s="125"/>
      <c r="NXY61" s="5"/>
      <c r="NXZ61" s="117"/>
      <c r="NYA61" s="4"/>
      <c r="NYB61" s="126"/>
      <c r="NYC61" s="127"/>
      <c r="NYD61" s="121"/>
      <c r="NYE61" s="5"/>
      <c r="NYF61" s="5"/>
      <c r="NYG61" s="124"/>
      <c r="NYH61" s="121"/>
      <c r="NYI61" s="125"/>
      <c r="NYJ61" s="5"/>
      <c r="NYK61" s="117"/>
      <c r="NYL61" s="4"/>
      <c r="NYM61" s="126"/>
      <c r="NYN61" s="127"/>
      <c r="NYO61" s="121"/>
      <c r="NYP61" s="5"/>
      <c r="NYQ61" s="5"/>
      <c r="NYR61" s="124"/>
      <c r="NYS61" s="121"/>
      <c r="NYT61" s="125"/>
      <c r="NYU61" s="5"/>
      <c r="NYV61" s="117"/>
      <c r="NYW61" s="4"/>
      <c r="NYX61" s="126"/>
      <c r="NYY61" s="127"/>
      <c r="NYZ61" s="121"/>
      <c r="NZA61" s="5"/>
      <c r="NZB61" s="5"/>
      <c r="NZC61" s="124"/>
      <c r="NZD61" s="121"/>
      <c r="NZE61" s="125"/>
      <c r="NZF61" s="5"/>
      <c r="NZG61" s="117"/>
      <c r="NZH61" s="4"/>
      <c r="NZI61" s="126"/>
      <c r="NZJ61" s="127"/>
      <c r="NZK61" s="121"/>
      <c r="NZL61" s="5"/>
      <c r="NZM61" s="5"/>
      <c r="NZN61" s="124"/>
      <c r="NZO61" s="121"/>
      <c r="NZP61" s="125"/>
      <c r="NZQ61" s="5"/>
      <c r="NZR61" s="117"/>
      <c r="NZS61" s="4"/>
      <c r="NZT61" s="126"/>
      <c r="NZU61" s="127"/>
      <c r="NZV61" s="121"/>
      <c r="NZW61" s="5"/>
      <c r="NZX61" s="5"/>
      <c r="NZY61" s="124"/>
      <c r="NZZ61" s="121"/>
      <c r="OAA61" s="125"/>
      <c r="OAB61" s="5"/>
      <c r="OAC61" s="117"/>
      <c r="OAD61" s="4"/>
      <c r="OAE61" s="126"/>
      <c r="OAF61" s="127"/>
      <c r="OAG61" s="121"/>
      <c r="OAH61" s="5"/>
      <c r="OAI61" s="5"/>
      <c r="OAJ61" s="124"/>
      <c r="OAK61" s="121"/>
      <c r="OAL61" s="125"/>
      <c r="OAM61" s="5"/>
      <c r="OAN61" s="117"/>
      <c r="OAO61" s="4"/>
      <c r="OAP61" s="126"/>
      <c r="OAQ61" s="127"/>
      <c r="OAR61" s="121"/>
      <c r="OAS61" s="5"/>
      <c r="OAT61" s="5"/>
      <c r="OAU61" s="124"/>
      <c r="OAV61" s="121"/>
      <c r="OAW61" s="125"/>
      <c r="OAX61" s="5"/>
      <c r="OAY61" s="117"/>
      <c r="OAZ61" s="4"/>
      <c r="OBA61" s="126"/>
      <c r="OBB61" s="127"/>
      <c r="OBC61" s="121"/>
      <c r="OBD61" s="5"/>
      <c r="OBE61" s="5"/>
      <c r="OBF61" s="124"/>
      <c r="OBG61" s="121"/>
      <c r="OBH61" s="125"/>
      <c r="OBI61" s="5"/>
      <c r="OBJ61" s="117"/>
      <c r="OBK61" s="4"/>
      <c r="OBL61" s="126"/>
      <c r="OBM61" s="127"/>
      <c r="OBN61" s="121"/>
      <c r="OBO61" s="5"/>
      <c r="OBP61" s="5"/>
      <c r="OBQ61" s="124"/>
      <c r="OBR61" s="121"/>
      <c r="OBS61" s="125"/>
      <c r="OBT61" s="5"/>
      <c r="OBU61" s="117"/>
      <c r="OBV61" s="4"/>
      <c r="OBW61" s="126"/>
      <c r="OBX61" s="127"/>
      <c r="OBY61" s="121"/>
      <c r="OBZ61" s="5"/>
      <c r="OCA61" s="5"/>
      <c r="OCB61" s="124"/>
      <c r="OCC61" s="121"/>
      <c r="OCD61" s="125"/>
      <c r="OCE61" s="5"/>
      <c r="OCF61" s="117"/>
      <c r="OCG61" s="4"/>
      <c r="OCH61" s="126"/>
      <c r="OCI61" s="127"/>
      <c r="OCJ61" s="121"/>
      <c r="OCK61" s="5"/>
      <c r="OCL61" s="5"/>
      <c r="OCM61" s="124"/>
      <c r="OCN61" s="121"/>
      <c r="OCO61" s="125"/>
      <c r="OCP61" s="5"/>
      <c r="OCQ61" s="117"/>
      <c r="OCR61" s="4"/>
      <c r="OCS61" s="126"/>
      <c r="OCT61" s="127"/>
      <c r="OCU61" s="121"/>
      <c r="OCV61" s="5"/>
      <c r="OCW61" s="5"/>
      <c r="OCX61" s="124"/>
      <c r="OCY61" s="121"/>
      <c r="OCZ61" s="125"/>
      <c r="ODA61" s="5"/>
      <c r="ODB61" s="117"/>
      <c r="ODC61" s="4"/>
      <c r="ODD61" s="126"/>
      <c r="ODE61" s="127"/>
      <c r="ODF61" s="121"/>
      <c r="ODG61" s="5"/>
      <c r="ODH61" s="5"/>
      <c r="ODI61" s="124"/>
      <c r="ODJ61" s="121"/>
      <c r="ODK61" s="125"/>
      <c r="ODL61" s="5"/>
      <c r="ODM61" s="117"/>
      <c r="ODN61" s="4"/>
      <c r="ODO61" s="126"/>
      <c r="ODP61" s="127"/>
      <c r="ODQ61" s="121"/>
      <c r="ODR61" s="5"/>
      <c r="ODS61" s="5"/>
      <c r="ODT61" s="124"/>
      <c r="ODU61" s="121"/>
      <c r="ODV61" s="125"/>
      <c r="ODW61" s="5"/>
      <c r="ODX61" s="117"/>
      <c r="ODY61" s="4"/>
      <c r="ODZ61" s="126"/>
      <c r="OEA61" s="127"/>
      <c r="OEB61" s="121"/>
      <c r="OEC61" s="5"/>
      <c r="OED61" s="5"/>
      <c r="OEE61" s="124"/>
      <c r="OEF61" s="121"/>
      <c r="OEG61" s="125"/>
      <c r="OEH61" s="5"/>
      <c r="OEI61" s="117"/>
      <c r="OEJ61" s="4"/>
      <c r="OEK61" s="126"/>
      <c r="OEL61" s="127"/>
      <c r="OEM61" s="121"/>
      <c r="OEN61" s="5"/>
      <c r="OEO61" s="5"/>
      <c r="OEP61" s="124"/>
      <c r="OEQ61" s="121"/>
      <c r="OER61" s="125"/>
      <c r="OES61" s="5"/>
      <c r="OET61" s="117"/>
      <c r="OEU61" s="4"/>
      <c r="OEV61" s="126"/>
      <c r="OEW61" s="127"/>
      <c r="OEX61" s="121"/>
      <c r="OEY61" s="5"/>
      <c r="OEZ61" s="5"/>
      <c r="OFA61" s="124"/>
      <c r="OFB61" s="121"/>
      <c r="OFC61" s="125"/>
      <c r="OFD61" s="5"/>
      <c r="OFE61" s="117"/>
      <c r="OFF61" s="4"/>
      <c r="OFG61" s="126"/>
      <c r="OFH61" s="127"/>
      <c r="OFI61" s="121"/>
      <c r="OFJ61" s="5"/>
      <c r="OFK61" s="5"/>
      <c r="OFL61" s="124"/>
      <c r="OFM61" s="121"/>
      <c r="OFN61" s="125"/>
      <c r="OFO61" s="5"/>
      <c r="OFP61" s="117"/>
      <c r="OFQ61" s="4"/>
      <c r="OFR61" s="126"/>
      <c r="OFS61" s="127"/>
      <c r="OFT61" s="121"/>
      <c r="OFU61" s="5"/>
      <c r="OFV61" s="5"/>
      <c r="OFW61" s="124"/>
      <c r="OFX61" s="121"/>
      <c r="OFY61" s="125"/>
      <c r="OFZ61" s="5"/>
      <c r="OGA61" s="117"/>
      <c r="OGB61" s="4"/>
      <c r="OGC61" s="126"/>
      <c r="OGD61" s="127"/>
      <c r="OGE61" s="121"/>
      <c r="OGF61" s="5"/>
      <c r="OGG61" s="5"/>
      <c r="OGH61" s="124"/>
      <c r="OGI61" s="121"/>
      <c r="OGJ61" s="125"/>
      <c r="OGK61" s="5"/>
      <c r="OGL61" s="117"/>
      <c r="OGM61" s="4"/>
      <c r="OGN61" s="126"/>
      <c r="OGO61" s="127"/>
      <c r="OGP61" s="121"/>
      <c r="OGQ61" s="5"/>
      <c r="OGR61" s="5"/>
      <c r="OGS61" s="124"/>
      <c r="OGT61" s="121"/>
      <c r="OGU61" s="125"/>
      <c r="OGV61" s="5"/>
      <c r="OGW61" s="117"/>
      <c r="OGX61" s="4"/>
      <c r="OGY61" s="126"/>
      <c r="OGZ61" s="127"/>
      <c r="OHA61" s="121"/>
      <c r="OHB61" s="5"/>
      <c r="OHC61" s="5"/>
      <c r="OHD61" s="124"/>
      <c r="OHE61" s="121"/>
      <c r="OHF61" s="125"/>
      <c r="OHG61" s="5"/>
      <c r="OHH61" s="117"/>
      <c r="OHI61" s="4"/>
      <c r="OHJ61" s="126"/>
      <c r="OHK61" s="127"/>
      <c r="OHL61" s="121"/>
      <c r="OHM61" s="5"/>
      <c r="OHN61" s="5"/>
      <c r="OHO61" s="124"/>
      <c r="OHP61" s="121"/>
      <c r="OHQ61" s="125"/>
      <c r="OHR61" s="5"/>
      <c r="OHS61" s="117"/>
      <c r="OHT61" s="4"/>
      <c r="OHU61" s="126"/>
      <c r="OHV61" s="127"/>
      <c r="OHW61" s="121"/>
      <c r="OHX61" s="5"/>
      <c r="OHY61" s="5"/>
      <c r="OHZ61" s="124"/>
      <c r="OIA61" s="121"/>
      <c r="OIB61" s="125"/>
      <c r="OIC61" s="5"/>
      <c r="OID61" s="117"/>
      <c r="OIE61" s="4"/>
      <c r="OIF61" s="126"/>
      <c r="OIG61" s="127"/>
      <c r="OIH61" s="121"/>
      <c r="OII61" s="5"/>
      <c r="OIJ61" s="5"/>
      <c r="OIK61" s="124"/>
      <c r="OIL61" s="121"/>
      <c r="OIM61" s="125"/>
      <c r="OIN61" s="5"/>
      <c r="OIO61" s="117"/>
      <c r="OIP61" s="4"/>
      <c r="OIQ61" s="126"/>
      <c r="OIR61" s="127"/>
      <c r="OIS61" s="121"/>
      <c r="OIT61" s="5"/>
      <c r="OIU61" s="5"/>
      <c r="OIV61" s="124"/>
      <c r="OIW61" s="121"/>
      <c r="OIX61" s="125"/>
      <c r="OIY61" s="5"/>
      <c r="OIZ61" s="117"/>
      <c r="OJA61" s="4"/>
      <c r="OJB61" s="126"/>
      <c r="OJC61" s="127"/>
      <c r="OJD61" s="121"/>
      <c r="OJE61" s="5"/>
      <c r="OJF61" s="5"/>
      <c r="OJG61" s="124"/>
      <c r="OJH61" s="121"/>
      <c r="OJI61" s="125"/>
      <c r="OJJ61" s="5"/>
      <c r="OJK61" s="117"/>
      <c r="OJL61" s="4"/>
      <c r="OJM61" s="126"/>
      <c r="OJN61" s="127"/>
      <c r="OJO61" s="121"/>
      <c r="OJP61" s="5"/>
      <c r="OJQ61" s="5"/>
      <c r="OJR61" s="124"/>
      <c r="OJS61" s="121"/>
      <c r="OJT61" s="125"/>
      <c r="OJU61" s="5"/>
      <c r="OJV61" s="117"/>
      <c r="OJW61" s="4"/>
      <c r="OJX61" s="126"/>
      <c r="OJY61" s="127"/>
      <c r="OJZ61" s="121"/>
      <c r="OKA61" s="5"/>
      <c r="OKB61" s="5"/>
      <c r="OKC61" s="124"/>
      <c r="OKD61" s="121"/>
      <c r="OKE61" s="125"/>
      <c r="OKF61" s="5"/>
      <c r="OKG61" s="117"/>
      <c r="OKH61" s="4"/>
      <c r="OKI61" s="126"/>
      <c r="OKJ61" s="127"/>
      <c r="OKK61" s="121"/>
      <c r="OKL61" s="5"/>
      <c r="OKM61" s="5"/>
      <c r="OKN61" s="124"/>
      <c r="OKO61" s="121"/>
      <c r="OKP61" s="125"/>
      <c r="OKQ61" s="5"/>
      <c r="OKR61" s="117"/>
      <c r="OKS61" s="4"/>
      <c r="OKT61" s="126"/>
      <c r="OKU61" s="127"/>
      <c r="OKV61" s="121"/>
      <c r="OKW61" s="5"/>
      <c r="OKX61" s="5"/>
      <c r="OKY61" s="124"/>
      <c r="OKZ61" s="121"/>
      <c r="OLA61" s="125"/>
      <c r="OLB61" s="5"/>
      <c r="OLC61" s="117"/>
      <c r="OLD61" s="4"/>
      <c r="OLE61" s="126"/>
      <c r="OLF61" s="127"/>
      <c r="OLG61" s="121"/>
      <c r="OLH61" s="5"/>
      <c r="OLI61" s="5"/>
      <c r="OLJ61" s="124"/>
      <c r="OLK61" s="121"/>
      <c r="OLL61" s="125"/>
      <c r="OLM61" s="5"/>
      <c r="OLN61" s="117"/>
      <c r="OLO61" s="4"/>
      <c r="OLP61" s="126"/>
      <c r="OLQ61" s="127"/>
      <c r="OLR61" s="121"/>
      <c r="OLS61" s="5"/>
      <c r="OLT61" s="5"/>
      <c r="OLU61" s="124"/>
      <c r="OLV61" s="121"/>
      <c r="OLW61" s="125"/>
      <c r="OLX61" s="5"/>
      <c r="OLY61" s="117"/>
      <c r="OLZ61" s="4"/>
      <c r="OMA61" s="126"/>
      <c r="OMB61" s="127"/>
      <c r="OMC61" s="121"/>
      <c r="OMD61" s="5"/>
      <c r="OME61" s="5"/>
      <c r="OMF61" s="124"/>
      <c r="OMG61" s="121"/>
      <c r="OMH61" s="125"/>
      <c r="OMI61" s="5"/>
      <c r="OMJ61" s="117"/>
      <c r="OMK61" s="4"/>
      <c r="OML61" s="126"/>
      <c r="OMM61" s="127"/>
      <c r="OMN61" s="121"/>
      <c r="OMO61" s="5"/>
      <c r="OMP61" s="5"/>
      <c r="OMQ61" s="124"/>
      <c r="OMR61" s="121"/>
      <c r="OMS61" s="125"/>
      <c r="OMT61" s="5"/>
      <c r="OMU61" s="117"/>
      <c r="OMV61" s="4"/>
      <c r="OMW61" s="126"/>
      <c r="OMX61" s="127"/>
      <c r="OMY61" s="121"/>
      <c r="OMZ61" s="5"/>
      <c r="ONA61" s="5"/>
      <c r="ONB61" s="124"/>
      <c r="ONC61" s="121"/>
      <c r="OND61" s="125"/>
      <c r="ONE61" s="5"/>
      <c r="ONF61" s="117"/>
      <c r="ONG61" s="4"/>
      <c r="ONH61" s="126"/>
      <c r="ONI61" s="127"/>
      <c r="ONJ61" s="121"/>
      <c r="ONK61" s="5"/>
      <c r="ONL61" s="5"/>
      <c r="ONM61" s="124"/>
      <c r="ONN61" s="121"/>
      <c r="ONO61" s="125"/>
      <c r="ONP61" s="5"/>
      <c r="ONQ61" s="117"/>
      <c r="ONR61" s="4"/>
      <c r="ONS61" s="126"/>
      <c r="ONT61" s="127"/>
      <c r="ONU61" s="121"/>
      <c r="ONV61" s="5"/>
      <c r="ONW61" s="5"/>
      <c r="ONX61" s="124"/>
      <c r="ONY61" s="121"/>
      <c r="ONZ61" s="125"/>
      <c r="OOA61" s="5"/>
      <c r="OOB61" s="117"/>
      <c r="OOC61" s="4"/>
      <c r="OOD61" s="126"/>
      <c r="OOE61" s="127"/>
      <c r="OOF61" s="121"/>
      <c r="OOG61" s="5"/>
      <c r="OOH61" s="5"/>
      <c r="OOI61" s="124"/>
      <c r="OOJ61" s="121"/>
      <c r="OOK61" s="125"/>
      <c r="OOL61" s="5"/>
      <c r="OOM61" s="117"/>
      <c r="OON61" s="4"/>
      <c r="OOO61" s="126"/>
      <c r="OOP61" s="127"/>
      <c r="OOQ61" s="121"/>
      <c r="OOR61" s="5"/>
      <c r="OOS61" s="5"/>
      <c r="OOT61" s="124"/>
      <c r="OOU61" s="121"/>
      <c r="OOV61" s="125"/>
      <c r="OOW61" s="5"/>
      <c r="OOX61" s="117"/>
      <c r="OOY61" s="4"/>
      <c r="OOZ61" s="126"/>
      <c r="OPA61" s="127"/>
      <c r="OPB61" s="121"/>
      <c r="OPC61" s="5"/>
      <c r="OPD61" s="5"/>
      <c r="OPE61" s="124"/>
      <c r="OPF61" s="121"/>
      <c r="OPG61" s="125"/>
      <c r="OPH61" s="5"/>
      <c r="OPI61" s="117"/>
      <c r="OPJ61" s="4"/>
      <c r="OPK61" s="126"/>
      <c r="OPL61" s="127"/>
      <c r="OPM61" s="121"/>
      <c r="OPN61" s="5"/>
      <c r="OPO61" s="5"/>
      <c r="OPP61" s="124"/>
      <c r="OPQ61" s="121"/>
      <c r="OPR61" s="125"/>
      <c r="OPS61" s="5"/>
      <c r="OPT61" s="117"/>
      <c r="OPU61" s="4"/>
      <c r="OPV61" s="126"/>
      <c r="OPW61" s="127"/>
      <c r="OPX61" s="121"/>
      <c r="OPY61" s="5"/>
      <c r="OPZ61" s="5"/>
      <c r="OQA61" s="124"/>
      <c r="OQB61" s="121"/>
      <c r="OQC61" s="125"/>
      <c r="OQD61" s="5"/>
      <c r="OQE61" s="117"/>
      <c r="OQF61" s="4"/>
      <c r="OQG61" s="126"/>
      <c r="OQH61" s="127"/>
      <c r="OQI61" s="121"/>
      <c r="OQJ61" s="5"/>
      <c r="OQK61" s="5"/>
      <c r="OQL61" s="124"/>
      <c r="OQM61" s="121"/>
      <c r="OQN61" s="125"/>
      <c r="OQO61" s="5"/>
      <c r="OQP61" s="117"/>
      <c r="OQQ61" s="4"/>
      <c r="OQR61" s="126"/>
      <c r="OQS61" s="127"/>
      <c r="OQT61" s="121"/>
      <c r="OQU61" s="5"/>
      <c r="OQV61" s="5"/>
      <c r="OQW61" s="124"/>
      <c r="OQX61" s="121"/>
      <c r="OQY61" s="125"/>
      <c r="OQZ61" s="5"/>
      <c r="ORA61" s="117"/>
      <c r="ORB61" s="4"/>
      <c r="ORC61" s="126"/>
      <c r="ORD61" s="127"/>
      <c r="ORE61" s="121"/>
      <c r="ORF61" s="5"/>
      <c r="ORG61" s="5"/>
      <c r="ORH61" s="124"/>
      <c r="ORI61" s="121"/>
      <c r="ORJ61" s="125"/>
      <c r="ORK61" s="5"/>
      <c r="ORL61" s="117"/>
      <c r="ORM61" s="4"/>
      <c r="ORN61" s="126"/>
      <c r="ORO61" s="127"/>
      <c r="ORP61" s="121"/>
      <c r="ORQ61" s="5"/>
      <c r="ORR61" s="5"/>
      <c r="ORS61" s="124"/>
      <c r="ORT61" s="121"/>
      <c r="ORU61" s="125"/>
      <c r="ORV61" s="5"/>
      <c r="ORW61" s="117"/>
      <c r="ORX61" s="4"/>
      <c r="ORY61" s="126"/>
      <c r="ORZ61" s="127"/>
      <c r="OSA61" s="121"/>
      <c r="OSB61" s="5"/>
      <c r="OSC61" s="5"/>
      <c r="OSD61" s="124"/>
      <c r="OSE61" s="121"/>
      <c r="OSF61" s="125"/>
      <c r="OSG61" s="5"/>
      <c r="OSH61" s="117"/>
      <c r="OSI61" s="4"/>
      <c r="OSJ61" s="126"/>
      <c r="OSK61" s="127"/>
      <c r="OSL61" s="121"/>
      <c r="OSM61" s="5"/>
      <c r="OSN61" s="5"/>
      <c r="OSO61" s="124"/>
      <c r="OSP61" s="121"/>
      <c r="OSQ61" s="125"/>
      <c r="OSR61" s="5"/>
      <c r="OSS61" s="117"/>
      <c r="OST61" s="4"/>
      <c r="OSU61" s="126"/>
      <c r="OSV61" s="127"/>
      <c r="OSW61" s="121"/>
      <c r="OSX61" s="5"/>
      <c r="OSY61" s="5"/>
      <c r="OSZ61" s="124"/>
      <c r="OTA61" s="121"/>
      <c r="OTB61" s="125"/>
      <c r="OTC61" s="5"/>
      <c r="OTD61" s="117"/>
      <c r="OTE61" s="4"/>
      <c r="OTF61" s="126"/>
      <c r="OTG61" s="127"/>
      <c r="OTH61" s="121"/>
      <c r="OTI61" s="5"/>
      <c r="OTJ61" s="5"/>
      <c r="OTK61" s="124"/>
      <c r="OTL61" s="121"/>
      <c r="OTM61" s="125"/>
      <c r="OTN61" s="5"/>
      <c r="OTO61" s="117"/>
      <c r="OTP61" s="4"/>
      <c r="OTQ61" s="126"/>
      <c r="OTR61" s="127"/>
      <c r="OTS61" s="121"/>
      <c r="OTT61" s="5"/>
      <c r="OTU61" s="5"/>
      <c r="OTV61" s="124"/>
      <c r="OTW61" s="121"/>
      <c r="OTX61" s="125"/>
      <c r="OTY61" s="5"/>
      <c r="OTZ61" s="117"/>
      <c r="OUA61" s="4"/>
      <c r="OUB61" s="126"/>
      <c r="OUC61" s="127"/>
      <c r="OUD61" s="121"/>
      <c r="OUE61" s="5"/>
      <c r="OUF61" s="5"/>
      <c r="OUG61" s="124"/>
      <c r="OUH61" s="121"/>
      <c r="OUI61" s="125"/>
      <c r="OUJ61" s="5"/>
      <c r="OUK61" s="117"/>
      <c r="OUL61" s="4"/>
      <c r="OUM61" s="126"/>
      <c r="OUN61" s="127"/>
      <c r="OUO61" s="121"/>
      <c r="OUP61" s="5"/>
      <c r="OUQ61" s="5"/>
      <c r="OUR61" s="124"/>
      <c r="OUS61" s="121"/>
      <c r="OUT61" s="125"/>
      <c r="OUU61" s="5"/>
      <c r="OUV61" s="117"/>
      <c r="OUW61" s="4"/>
      <c r="OUX61" s="126"/>
      <c r="OUY61" s="127"/>
      <c r="OUZ61" s="121"/>
      <c r="OVA61" s="5"/>
      <c r="OVB61" s="5"/>
      <c r="OVC61" s="124"/>
      <c r="OVD61" s="121"/>
      <c r="OVE61" s="125"/>
      <c r="OVF61" s="5"/>
      <c r="OVG61" s="117"/>
      <c r="OVH61" s="4"/>
      <c r="OVI61" s="126"/>
      <c r="OVJ61" s="127"/>
      <c r="OVK61" s="121"/>
      <c r="OVL61" s="5"/>
      <c r="OVM61" s="5"/>
      <c r="OVN61" s="124"/>
      <c r="OVO61" s="121"/>
      <c r="OVP61" s="125"/>
      <c r="OVQ61" s="5"/>
      <c r="OVR61" s="117"/>
      <c r="OVS61" s="4"/>
      <c r="OVT61" s="126"/>
      <c r="OVU61" s="127"/>
      <c r="OVV61" s="121"/>
      <c r="OVW61" s="5"/>
      <c r="OVX61" s="5"/>
      <c r="OVY61" s="124"/>
      <c r="OVZ61" s="121"/>
      <c r="OWA61" s="125"/>
      <c r="OWB61" s="5"/>
      <c r="OWC61" s="117"/>
      <c r="OWD61" s="4"/>
      <c r="OWE61" s="126"/>
      <c r="OWF61" s="127"/>
      <c r="OWG61" s="121"/>
      <c r="OWH61" s="5"/>
      <c r="OWI61" s="5"/>
      <c r="OWJ61" s="124"/>
      <c r="OWK61" s="121"/>
      <c r="OWL61" s="125"/>
      <c r="OWM61" s="5"/>
      <c r="OWN61" s="117"/>
      <c r="OWO61" s="4"/>
      <c r="OWP61" s="126"/>
      <c r="OWQ61" s="127"/>
      <c r="OWR61" s="121"/>
      <c r="OWS61" s="5"/>
      <c r="OWT61" s="5"/>
      <c r="OWU61" s="124"/>
      <c r="OWV61" s="121"/>
      <c r="OWW61" s="125"/>
      <c r="OWX61" s="5"/>
      <c r="OWY61" s="117"/>
      <c r="OWZ61" s="4"/>
      <c r="OXA61" s="126"/>
      <c r="OXB61" s="127"/>
      <c r="OXC61" s="121"/>
      <c r="OXD61" s="5"/>
      <c r="OXE61" s="5"/>
      <c r="OXF61" s="124"/>
      <c r="OXG61" s="121"/>
      <c r="OXH61" s="125"/>
      <c r="OXI61" s="5"/>
      <c r="OXJ61" s="117"/>
      <c r="OXK61" s="4"/>
      <c r="OXL61" s="126"/>
      <c r="OXM61" s="127"/>
      <c r="OXN61" s="121"/>
      <c r="OXO61" s="5"/>
      <c r="OXP61" s="5"/>
      <c r="OXQ61" s="124"/>
      <c r="OXR61" s="121"/>
      <c r="OXS61" s="125"/>
      <c r="OXT61" s="5"/>
      <c r="OXU61" s="117"/>
      <c r="OXV61" s="4"/>
      <c r="OXW61" s="126"/>
      <c r="OXX61" s="127"/>
      <c r="OXY61" s="121"/>
      <c r="OXZ61" s="5"/>
      <c r="OYA61" s="5"/>
      <c r="OYB61" s="124"/>
      <c r="OYC61" s="121"/>
      <c r="OYD61" s="125"/>
      <c r="OYE61" s="5"/>
      <c r="OYF61" s="117"/>
      <c r="OYG61" s="4"/>
      <c r="OYH61" s="126"/>
      <c r="OYI61" s="127"/>
      <c r="OYJ61" s="121"/>
      <c r="OYK61" s="5"/>
      <c r="OYL61" s="5"/>
      <c r="OYM61" s="124"/>
      <c r="OYN61" s="121"/>
      <c r="OYO61" s="125"/>
      <c r="OYP61" s="5"/>
      <c r="OYQ61" s="117"/>
      <c r="OYR61" s="4"/>
      <c r="OYS61" s="126"/>
      <c r="OYT61" s="127"/>
      <c r="OYU61" s="121"/>
      <c r="OYV61" s="5"/>
      <c r="OYW61" s="5"/>
      <c r="OYX61" s="124"/>
      <c r="OYY61" s="121"/>
      <c r="OYZ61" s="125"/>
      <c r="OZA61" s="5"/>
      <c r="OZB61" s="117"/>
      <c r="OZC61" s="4"/>
      <c r="OZD61" s="126"/>
      <c r="OZE61" s="127"/>
      <c r="OZF61" s="121"/>
      <c r="OZG61" s="5"/>
      <c r="OZH61" s="5"/>
      <c r="OZI61" s="124"/>
      <c r="OZJ61" s="121"/>
      <c r="OZK61" s="125"/>
      <c r="OZL61" s="5"/>
      <c r="OZM61" s="117"/>
      <c r="OZN61" s="4"/>
      <c r="OZO61" s="126"/>
      <c r="OZP61" s="127"/>
      <c r="OZQ61" s="121"/>
      <c r="OZR61" s="5"/>
      <c r="OZS61" s="5"/>
      <c r="OZT61" s="124"/>
      <c r="OZU61" s="121"/>
      <c r="OZV61" s="125"/>
      <c r="OZW61" s="5"/>
      <c r="OZX61" s="117"/>
      <c r="OZY61" s="4"/>
      <c r="OZZ61" s="126"/>
      <c r="PAA61" s="127"/>
      <c r="PAB61" s="121"/>
      <c r="PAC61" s="5"/>
      <c r="PAD61" s="5"/>
      <c r="PAE61" s="124"/>
      <c r="PAF61" s="121"/>
      <c r="PAG61" s="125"/>
      <c r="PAH61" s="5"/>
      <c r="PAI61" s="117"/>
      <c r="PAJ61" s="4"/>
      <c r="PAK61" s="126"/>
      <c r="PAL61" s="127"/>
      <c r="PAM61" s="121"/>
      <c r="PAN61" s="5"/>
      <c r="PAO61" s="5"/>
      <c r="PAP61" s="124"/>
      <c r="PAQ61" s="121"/>
      <c r="PAR61" s="125"/>
      <c r="PAS61" s="5"/>
      <c r="PAT61" s="117"/>
      <c r="PAU61" s="4"/>
      <c r="PAV61" s="126"/>
      <c r="PAW61" s="127"/>
      <c r="PAX61" s="121"/>
      <c r="PAY61" s="5"/>
      <c r="PAZ61" s="5"/>
      <c r="PBA61" s="124"/>
      <c r="PBB61" s="121"/>
      <c r="PBC61" s="125"/>
      <c r="PBD61" s="5"/>
      <c r="PBE61" s="117"/>
      <c r="PBF61" s="4"/>
      <c r="PBG61" s="126"/>
      <c r="PBH61" s="127"/>
      <c r="PBI61" s="121"/>
      <c r="PBJ61" s="5"/>
      <c r="PBK61" s="5"/>
      <c r="PBL61" s="124"/>
      <c r="PBM61" s="121"/>
      <c r="PBN61" s="125"/>
      <c r="PBO61" s="5"/>
      <c r="PBP61" s="117"/>
      <c r="PBQ61" s="4"/>
      <c r="PBR61" s="126"/>
      <c r="PBS61" s="127"/>
      <c r="PBT61" s="121"/>
      <c r="PBU61" s="5"/>
      <c r="PBV61" s="5"/>
      <c r="PBW61" s="124"/>
      <c r="PBX61" s="121"/>
      <c r="PBY61" s="125"/>
      <c r="PBZ61" s="5"/>
      <c r="PCA61" s="117"/>
      <c r="PCB61" s="4"/>
      <c r="PCC61" s="126"/>
      <c r="PCD61" s="127"/>
      <c r="PCE61" s="121"/>
      <c r="PCF61" s="5"/>
      <c r="PCG61" s="5"/>
      <c r="PCH61" s="124"/>
      <c r="PCI61" s="121"/>
      <c r="PCJ61" s="125"/>
      <c r="PCK61" s="5"/>
      <c r="PCL61" s="117"/>
      <c r="PCM61" s="4"/>
      <c r="PCN61" s="126"/>
      <c r="PCO61" s="127"/>
      <c r="PCP61" s="121"/>
      <c r="PCQ61" s="5"/>
      <c r="PCR61" s="5"/>
      <c r="PCS61" s="124"/>
      <c r="PCT61" s="121"/>
      <c r="PCU61" s="125"/>
      <c r="PCV61" s="5"/>
      <c r="PCW61" s="117"/>
      <c r="PCX61" s="4"/>
      <c r="PCY61" s="126"/>
      <c r="PCZ61" s="127"/>
      <c r="PDA61" s="121"/>
      <c r="PDB61" s="5"/>
      <c r="PDC61" s="5"/>
      <c r="PDD61" s="124"/>
      <c r="PDE61" s="121"/>
      <c r="PDF61" s="125"/>
      <c r="PDG61" s="5"/>
      <c r="PDH61" s="117"/>
      <c r="PDI61" s="4"/>
      <c r="PDJ61" s="126"/>
      <c r="PDK61" s="127"/>
      <c r="PDL61" s="121"/>
      <c r="PDM61" s="5"/>
      <c r="PDN61" s="5"/>
      <c r="PDO61" s="124"/>
      <c r="PDP61" s="121"/>
      <c r="PDQ61" s="125"/>
      <c r="PDR61" s="5"/>
      <c r="PDS61" s="117"/>
      <c r="PDT61" s="4"/>
      <c r="PDU61" s="126"/>
      <c r="PDV61" s="127"/>
      <c r="PDW61" s="121"/>
      <c r="PDX61" s="5"/>
      <c r="PDY61" s="5"/>
      <c r="PDZ61" s="124"/>
      <c r="PEA61" s="121"/>
      <c r="PEB61" s="125"/>
      <c r="PEC61" s="5"/>
      <c r="PED61" s="117"/>
      <c r="PEE61" s="4"/>
      <c r="PEF61" s="126"/>
      <c r="PEG61" s="127"/>
      <c r="PEH61" s="121"/>
      <c r="PEI61" s="5"/>
      <c r="PEJ61" s="5"/>
      <c r="PEK61" s="124"/>
      <c r="PEL61" s="121"/>
      <c r="PEM61" s="125"/>
      <c r="PEN61" s="5"/>
      <c r="PEO61" s="117"/>
      <c r="PEP61" s="4"/>
      <c r="PEQ61" s="126"/>
      <c r="PER61" s="127"/>
      <c r="PES61" s="121"/>
      <c r="PET61" s="5"/>
      <c r="PEU61" s="5"/>
      <c r="PEV61" s="124"/>
      <c r="PEW61" s="121"/>
      <c r="PEX61" s="125"/>
      <c r="PEY61" s="5"/>
      <c r="PEZ61" s="117"/>
      <c r="PFA61" s="4"/>
      <c r="PFB61" s="126"/>
      <c r="PFC61" s="127"/>
      <c r="PFD61" s="121"/>
      <c r="PFE61" s="5"/>
      <c r="PFF61" s="5"/>
      <c r="PFG61" s="124"/>
      <c r="PFH61" s="121"/>
      <c r="PFI61" s="125"/>
      <c r="PFJ61" s="5"/>
      <c r="PFK61" s="117"/>
      <c r="PFL61" s="4"/>
      <c r="PFM61" s="126"/>
      <c r="PFN61" s="127"/>
      <c r="PFO61" s="121"/>
      <c r="PFP61" s="5"/>
      <c r="PFQ61" s="5"/>
      <c r="PFR61" s="124"/>
      <c r="PFS61" s="121"/>
      <c r="PFT61" s="125"/>
      <c r="PFU61" s="5"/>
      <c r="PFV61" s="117"/>
      <c r="PFW61" s="4"/>
      <c r="PFX61" s="126"/>
      <c r="PFY61" s="127"/>
      <c r="PFZ61" s="121"/>
      <c r="PGA61" s="5"/>
      <c r="PGB61" s="5"/>
      <c r="PGC61" s="124"/>
      <c r="PGD61" s="121"/>
      <c r="PGE61" s="125"/>
      <c r="PGF61" s="5"/>
      <c r="PGG61" s="117"/>
      <c r="PGH61" s="4"/>
      <c r="PGI61" s="126"/>
      <c r="PGJ61" s="127"/>
      <c r="PGK61" s="121"/>
      <c r="PGL61" s="5"/>
      <c r="PGM61" s="5"/>
      <c r="PGN61" s="124"/>
      <c r="PGO61" s="121"/>
      <c r="PGP61" s="125"/>
      <c r="PGQ61" s="5"/>
      <c r="PGR61" s="117"/>
      <c r="PGS61" s="4"/>
      <c r="PGT61" s="126"/>
      <c r="PGU61" s="127"/>
      <c r="PGV61" s="121"/>
      <c r="PGW61" s="5"/>
      <c r="PGX61" s="5"/>
      <c r="PGY61" s="124"/>
      <c r="PGZ61" s="121"/>
      <c r="PHA61" s="125"/>
      <c r="PHB61" s="5"/>
      <c r="PHC61" s="117"/>
      <c r="PHD61" s="4"/>
      <c r="PHE61" s="126"/>
      <c r="PHF61" s="127"/>
      <c r="PHG61" s="121"/>
      <c r="PHH61" s="5"/>
      <c r="PHI61" s="5"/>
      <c r="PHJ61" s="124"/>
      <c r="PHK61" s="121"/>
      <c r="PHL61" s="125"/>
      <c r="PHM61" s="5"/>
      <c r="PHN61" s="117"/>
      <c r="PHO61" s="4"/>
      <c r="PHP61" s="126"/>
      <c r="PHQ61" s="127"/>
      <c r="PHR61" s="121"/>
      <c r="PHS61" s="5"/>
      <c r="PHT61" s="5"/>
      <c r="PHU61" s="124"/>
      <c r="PHV61" s="121"/>
      <c r="PHW61" s="125"/>
      <c r="PHX61" s="5"/>
      <c r="PHY61" s="117"/>
      <c r="PHZ61" s="4"/>
      <c r="PIA61" s="126"/>
      <c r="PIB61" s="127"/>
      <c r="PIC61" s="121"/>
      <c r="PID61" s="5"/>
      <c r="PIE61" s="5"/>
      <c r="PIF61" s="124"/>
      <c r="PIG61" s="121"/>
      <c r="PIH61" s="125"/>
      <c r="PII61" s="5"/>
      <c r="PIJ61" s="117"/>
      <c r="PIK61" s="4"/>
      <c r="PIL61" s="126"/>
      <c r="PIM61" s="127"/>
      <c r="PIN61" s="121"/>
      <c r="PIO61" s="5"/>
      <c r="PIP61" s="5"/>
      <c r="PIQ61" s="124"/>
      <c r="PIR61" s="121"/>
      <c r="PIS61" s="125"/>
      <c r="PIT61" s="5"/>
      <c r="PIU61" s="117"/>
      <c r="PIV61" s="4"/>
      <c r="PIW61" s="126"/>
      <c r="PIX61" s="127"/>
      <c r="PIY61" s="121"/>
      <c r="PIZ61" s="5"/>
      <c r="PJA61" s="5"/>
      <c r="PJB61" s="124"/>
      <c r="PJC61" s="121"/>
      <c r="PJD61" s="125"/>
      <c r="PJE61" s="5"/>
      <c r="PJF61" s="117"/>
      <c r="PJG61" s="4"/>
      <c r="PJH61" s="126"/>
      <c r="PJI61" s="127"/>
      <c r="PJJ61" s="121"/>
      <c r="PJK61" s="5"/>
      <c r="PJL61" s="5"/>
      <c r="PJM61" s="124"/>
      <c r="PJN61" s="121"/>
      <c r="PJO61" s="125"/>
      <c r="PJP61" s="5"/>
      <c r="PJQ61" s="117"/>
      <c r="PJR61" s="4"/>
      <c r="PJS61" s="126"/>
      <c r="PJT61" s="127"/>
      <c r="PJU61" s="121"/>
      <c r="PJV61" s="5"/>
      <c r="PJW61" s="5"/>
      <c r="PJX61" s="124"/>
      <c r="PJY61" s="121"/>
      <c r="PJZ61" s="125"/>
      <c r="PKA61" s="5"/>
      <c r="PKB61" s="117"/>
      <c r="PKC61" s="4"/>
      <c r="PKD61" s="126"/>
      <c r="PKE61" s="127"/>
      <c r="PKF61" s="121"/>
      <c r="PKG61" s="5"/>
      <c r="PKH61" s="5"/>
      <c r="PKI61" s="124"/>
      <c r="PKJ61" s="121"/>
      <c r="PKK61" s="125"/>
      <c r="PKL61" s="5"/>
      <c r="PKM61" s="117"/>
      <c r="PKN61" s="4"/>
      <c r="PKO61" s="126"/>
      <c r="PKP61" s="127"/>
      <c r="PKQ61" s="121"/>
      <c r="PKR61" s="5"/>
      <c r="PKS61" s="5"/>
      <c r="PKT61" s="124"/>
      <c r="PKU61" s="121"/>
      <c r="PKV61" s="125"/>
      <c r="PKW61" s="5"/>
      <c r="PKX61" s="117"/>
      <c r="PKY61" s="4"/>
      <c r="PKZ61" s="126"/>
      <c r="PLA61" s="127"/>
      <c r="PLB61" s="121"/>
      <c r="PLC61" s="5"/>
      <c r="PLD61" s="5"/>
      <c r="PLE61" s="124"/>
      <c r="PLF61" s="121"/>
      <c r="PLG61" s="125"/>
      <c r="PLH61" s="5"/>
      <c r="PLI61" s="117"/>
      <c r="PLJ61" s="4"/>
      <c r="PLK61" s="126"/>
      <c r="PLL61" s="127"/>
      <c r="PLM61" s="121"/>
      <c r="PLN61" s="5"/>
      <c r="PLO61" s="5"/>
      <c r="PLP61" s="124"/>
      <c r="PLQ61" s="121"/>
      <c r="PLR61" s="125"/>
      <c r="PLS61" s="5"/>
      <c r="PLT61" s="117"/>
      <c r="PLU61" s="4"/>
      <c r="PLV61" s="126"/>
      <c r="PLW61" s="127"/>
      <c r="PLX61" s="121"/>
      <c r="PLY61" s="5"/>
      <c r="PLZ61" s="5"/>
      <c r="PMA61" s="124"/>
      <c r="PMB61" s="121"/>
      <c r="PMC61" s="125"/>
      <c r="PMD61" s="5"/>
      <c r="PME61" s="117"/>
      <c r="PMF61" s="4"/>
      <c r="PMG61" s="126"/>
      <c r="PMH61" s="127"/>
      <c r="PMI61" s="121"/>
      <c r="PMJ61" s="5"/>
      <c r="PMK61" s="5"/>
      <c r="PML61" s="124"/>
      <c r="PMM61" s="121"/>
      <c r="PMN61" s="125"/>
      <c r="PMO61" s="5"/>
      <c r="PMP61" s="117"/>
      <c r="PMQ61" s="4"/>
      <c r="PMR61" s="126"/>
      <c r="PMS61" s="127"/>
      <c r="PMT61" s="121"/>
      <c r="PMU61" s="5"/>
      <c r="PMV61" s="5"/>
      <c r="PMW61" s="124"/>
      <c r="PMX61" s="121"/>
      <c r="PMY61" s="125"/>
      <c r="PMZ61" s="5"/>
      <c r="PNA61" s="117"/>
      <c r="PNB61" s="4"/>
      <c r="PNC61" s="126"/>
      <c r="PND61" s="127"/>
      <c r="PNE61" s="121"/>
      <c r="PNF61" s="5"/>
      <c r="PNG61" s="5"/>
      <c r="PNH61" s="124"/>
      <c r="PNI61" s="121"/>
      <c r="PNJ61" s="125"/>
      <c r="PNK61" s="5"/>
      <c r="PNL61" s="117"/>
      <c r="PNM61" s="4"/>
      <c r="PNN61" s="126"/>
      <c r="PNO61" s="127"/>
      <c r="PNP61" s="121"/>
      <c r="PNQ61" s="5"/>
      <c r="PNR61" s="5"/>
      <c r="PNS61" s="124"/>
      <c r="PNT61" s="121"/>
      <c r="PNU61" s="125"/>
      <c r="PNV61" s="5"/>
      <c r="PNW61" s="117"/>
      <c r="PNX61" s="4"/>
      <c r="PNY61" s="126"/>
      <c r="PNZ61" s="127"/>
      <c r="POA61" s="121"/>
      <c r="POB61" s="5"/>
      <c r="POC61" s="5"/>
      <c r="POD61" s="124"/>
      <c r="POE61" s="121"/>
      <c r="POF61" s="125"/>
      <c r="POG61" s="5"/>
      <c r="POH61" s="117"/>
      <c r="POI61" s="4"/>
      <c r="POJ61" s="126"/>
      <c r="POK61" s="127"/>
      <c r="POL61" s="121"/>
      <c r="POM61" s="5"/>
      <c r="PON61" s="5"/>
      <c r="POO61" s="124"/>
      <c r="POP61" s="121"/>
      <c r="POQ61" s="125"/>
      <c r="POR61" s="5"/>
      <c r="POS61" s="117"/>
      <c r="POT61" s="4"/>
      <c r="POU61" s="126"/>
      <c r="POV61" s="127"/>
      <c r="POW61" s="121"/>
      <c r="POX61" s="5"/>
      <c r="POY61" s="5"/>
      <c r="POZ61" s="124"/>
      <c r="PPA61" s="121"/>
      <c r="PPB61" s="125"/>
      <c r="PPC61" s="5"/>
      <c r="PPD61" s="117"/>
      <c r="PPE61" s="4"/>
      <c r="PPF61" s="126"/>
      <c r="PPG61" s="127"/>
      <c r="PPH61" s="121"/>
      <c r="PPI61" s="5"/>
      <c r="PPJ61" s="5"/>
      <c r="PPK61" s="124"/>
      <c r="PPL61" s="121"/>
      <c r="PPM61" s="125"/>
      <c r="PPN61" s="5"/>
      <c r="PPO61" s="117"/>
      <c r="PPP61" s="4"/>
      <c r="PPQ61" s="126"/>
      <c r="PPR61" s="127"/>
      <c r="PPS61" s="121"/>
      <c r="PPT61" s="5"/>
      <c r="PPU61" s="5"/>
      <c r="PPV61" s="124"/>
      <c r="PPW61" s="121"/>
      <c r="PPX61" s="125"/>
      <c r="PPY61" s="5"/>
      <c r="PPZ61" s="117"/>
      <c r="PQA61" s="4"/>
      <c r="PQB61" s="126"/>
      <c r="PQC61" s="127"/>
      <c r="PQD61" s="121"/>
      <c r="PQE61" s="5"/>
      <c r="PQF61" s="5"/>
      <c r="PQG61" s="124"/>
      <c r="PQH61" s="121"/>
      <c r="PQI61" s="125"/>
      <c r="PQJ61" s="5"/>
      <c r="PQK61" s="117"/>
      <c r="PQL61" s="4"/>
      <c r="PQM61" s="126"/>
      <c r="PQN61" s="127"/>
      <c r="PQO61" s="121"/>
      <c r="PQP61" s="5"/>
      <c r="PQQ61" s="5"/>
      <c r="PQR61" s="124"/>
      <c r="PQS61" s="121"/>
      <c r="PQT61" s="125"/>
      <c r="PQU61" s="5"/>
      <c r="PQV61" s="117"/>
      <c r="PQW61" s="4"/>
      <c r="PQX61" s="126"/>
      <c r="PQY61" s="127"/>
      <c r="PQZ61" s="121"/>
      <c r="PRA61" s="5"/>
      <c r="PRB61" s="5"/>
      <c r="PRC61" s="124"/>
      <c r="PRD61" s="121"/>
      <c r="PRE61" s="125"/>
      <c r="PRF61" s="5"/>
      <c r="PRG61" s="117"/>
      <c r="PRH61" s="4"/>
      <c r="PRI61" s="126"/>
      <c r="PRJ61" s="127"/>
      <c r="PRK61" s="121"/>
      <c r="PRL61" s="5"/>
      <c r="PRM61" s="5"/>
      <c r="PRN61" s="124"/>
      <c r="PRO61" s="121"/>
      <c r="PRP61" s="125"/>
      <c r="PRQ61" s="5"/>
      <c r="PRR61" s="117"/>
      <c r="PRS61" s="4"/>
      <c r="PRT61" s="126"/>
      <c r="PRU61" s="127"/>
      <c r="PRV61" s="121"/>
      <c r="PRW61" s="5"/>
      <c r="PRX61" s="5"/>
      <c r="PRY61" s="124"/>
      <c r="PRZ61" s="121"/>
      <c r="PSA61" s="125"/>
      <c r="PSB61" s="5"/>
      <c r="PSC61" s="117"/>
      <c r="PSD61" s="4"/>
      <c r="PSE61" s="126"/>
      <c r="PSF61" s="127"/>
      <c r="PSG61" s="121"/>
      <c r="PSH61" s="5"/>
      <c r="PSI61" s="5"/>
      <c r="PSJ61" s="124"/>
      <c r="PSK61" s="121"/>
      <c r="PSL61" s="125"/>
      <c r="PSM61" s="5"/>
      <c r="PSN61" s="117"/>
      <c r="PSO61" s="4"/>
      <c r="PSP61" s="126"/>
      <c r="PSQ61" s="127"/>
      <c r="PSR61" s="121"/>
      <c r="PSS61" s="5"/>
      <c r="PST61" s="5"/>
      <c r="PSU61" s="124"/>
      <c r="PSV61" s="121"/>
      <c r="PSW61" s="125"/>
      <c r="PSX61" s="5"/>
      <c r="PSY61" s="117"/>
      <c r="PSZ61" s="4"/>
      <c r="PTA61" s="126"/>
      <c r="PTB61" s="127"/>
      <c r="PTC61" s="121"/>
      <c r="PTD61" s="5"/>
      <c r="PTE61" s="5"/>
      <c r="PTF61" s="124"/>
      <c r="PTG61" s="121"/>
      <c r="PTH61" s="125"/>
      <c r="PTI61" s="5"/>
      <c r="PTJ61" s="117"/>
      <c r="PTK61" s="4"/>
      <c r="PTL61" s="126"/>
      <c r="PTM61" s="127"/>
      <c r="PTN61" s="121"/>
      <c r="PTO61" s="5"/>
      <c r="PTP61" s="5"/>
      <c r="PTQ61" s="124"/>
      <c r="PTR61" s="121"/>
      <c r="PTS61" s="125"/>
      <c r="PTT61" s="5"/>
      <c r="PTU61" s="117"/>
      <c r="PTV61" s="4"/>
      <c r="PTW61" s="126"/>
      <c r="PTX61" s="127"/>
      <c r="PTY61" s="121"/>
      <c r="PTZ61" s="5"/>
      <c r="PUA61" s="5"/>
      <c r="PUB61" s="124"/>
      <c r="PUC61" s="121"/>
      <c r="PUD61" s="125"/>
      <c r="PUE61" s="5"/>
      <c r="PUF61" s="117"/>
      <c r="PUG61" s="4"/>
      <c r="PUH61" s="126"/>
      <c r="PUI61" s="127"/>
      <c r="PUJ61" s="121"/>
      <c r="PUK61" s="5"/>
      <c r="PUL61" s="5"/>
      <c r="PUM61" s="124"/>
      <c r="PUN61" s="121"/>
      <c r="PUO61" s="125"/>
      <c r="PUP61" s="5"/>
      <c r="PUQ61" s="117"/>
      <c r="PUR61" s="4"/>
      <c r="PUS61" s="126"/>
      <c r="PUT61" s="127"/>
      <c r="PUU61" s="121"/>
      <c r="PUV61" s="5"/>
      <c r="PUW61" s="5"/>
      <c r="PUX61" s="124"/>
      <c r="PUY61" s="121"/>
      <c r="PUZ61" s="125"/>
      <c r="PVA61" s="5"/>
      <c r="PVB61" s="117"/>
      <c r="PVC61" s="4"/>
      <c r="PVD61" s="126"/>
      <c r="PVE61" s="127"/>
      <c r="PVF61" s="121"/>
      <c r="PVG61" s="5"/>
      <c r="PVH61" s="5"/>
      <c r="PVI61" s="124"/>
      <c r="PVJ61" s="121"/>
      <c r="PVK61" s="125"/>
      <c r="PVL61" s="5"/>
      <c r="PVM61" s="117"/>
      <c r="PVN61" s="4"/>
      <c r="PVO61" s="126"/>
      <c r="PVP61" s="127"/>
      <c r="PVQ61" s="121"/>
      <c r="PVR61" s="5"/>
      <c r="PVS61" s="5"/>
      <c r="PVT61" s="124"/>
      <c r="PVU61" s="121"/>
      <c r="PVV61" s="125"/>
      <c r="PVW61" s="5"/>
      <c r="PVX61" s="117"/>
      <c r="PVY61" s="4"/>
      <c r="PVZ61" s="126"/>
      <c r="PWA61" s="127"/>
      <c r="PWB61" s="121"/>
      <c r="PWC61" s="5"/>
      <c r="PWD61" s="5"/>
      <c r="PWE61" s="124"/>
      <c r="PWF61" s="121"/>
      <c r="PWG61" s="125"/>
      <c r="PWH61" s="5"/>
      <c r="PWI61" s="117"/>
      <c r="PWJ61" s="4"/>
      <c r="PWK61" s="126"/>
      <c r="PWL61" s="127"/>
      <c r="PWM61" s="121"/>
      <c r="PWN61" s="5"/>
      <c r="PWO61" s="5"/>
      <c r="PWP61" s="124"/>
      <c r="PWQ61" s="121"/>
      <c r="PWR61" s="125"/>
      <c r="PWS61" s="5"/>
      <c r="PWT61" s="117"/>
      <c r="PWU61" s="4"/>
      <c r="PWV61" s="126"/>
      <c r="PWW61" s="127"/>
      <c r="PWX61" s="121"/>
      <c r="PWY61" s="5"/>
      <c r="PWZ61" s="5"/>
      <c r="PXA61" s="124"/>
      <c r="PXB61" s="121"/>
      <c r="PXC61" s="125"/>
      <c r="PXD61" s="5"/>
      <c r="PXE61" s="117"/>
      <c r="PXF61" s="4"/>
      <c r="PXG61" s="126"/>
      <c r="PXH61" s="127"/>
      <c r="PXI61" s="121"/>
      <c r="PXJ61" s="5"/>
      <c r="PXK61" s="5"/>
      <c r="PXL61" s="124"/>
      <c r="PXM61" s="121"/>
      <c r="PXN61" s="125"/>
      <c r="PXO61" s="5"/>
      <c r="PXP61" s="117"/>
      <c r="PXQ61" s="4"/>
      <c r="PXR61" s="126"/>
      <c r="PXS61" s="127"/>
      <c r="PXT61" s="121"/>
      <c r="PXU61" s="5"/>
      <c r="PXV61" s="5"/>
      <c r="PXW61" s="124"/>
      <c r="PXX61" s="121"/>
      <c r="PXY61" s="125"/>
      <c r="PXZ61" s="5"/>
      <c r="PYA61" s="117"/>
      <c r="PYB61" s="4"/>
      <c r="PYC61" s="126"/>
      <c r="PYD61" s="127"/>
      <c r="PYE61" s="121"/>
      <c r="PYF61" s="5"/>
      <c r="PYG61" s="5"/>
      <c r="PYH61" s="124"/>
      <c r="PYI61" s="121"/>
      <c r="PYJ61" s="125"/>
      <c r="PYK61" s="5"/>
      <c r="PYL61" s="117"/>
      <c r="PYM61" s="4"/>
      <c r="PYN61" s="126"/>
      <c r="PYO61" s="127"/>
      <c r="PYP61" s="121"/>
      <c r="PYQ61" s="5"/>
      <c r="PYR61" s="5"/>
      <c r="PYS61" s="124"/>
      <c r="PYT61" s="121"/>
      <c r="PYU61" s="125"/>
      <c r="PYV61" s="5"/>
      <c r="PYW61" s="117"/>
      <c r="PYX61" s="4"/>
      <c r="PYY61" s="126"/>
      <c r="PYZ61" s="127"/>
      <c r="PZA61" s="121"/>
      <c r="PZB61" s="5"/>
      <c r="PZC61" s="5"/>
      <c r="PZD61" s="124"/>
      <c r="PZE61" s="121"/>
      <c r="PZF61" s="125"/>
      <c r="PZG61" s="5"/>
      <c r="PZH61" s="117"/>
      <c r="PZI61" s="4"/>
      <c r="PZJ61" s="126"/>
      <c r="PZK61" s="127"/>
      <c r="PZL61" s="121"/>
      <c r="PZM61" s="5"/>
      <c r="PZN61" s="5"/>
      <c r="PZO61" s="124"/>
      <c r="PZP61" s="121"/>
      <c r="PZQ61" s="125"/>
      <c r="PZR61" s="5"/>
      <c r="PZS61" s="117"/>
      <c r="PZT61" s="4"/>
      <c r="PZU61" s="126"/>
      <c r="PZV61" s="127"/>
      <c r="PZW61" s="121"/>
      <c r="PZX61" s="5"/>
      <c r="PZY61" s="5"/>
      <c r="PZZ61" s="124"/>
      <c r="QAA61" s="121"/>
      <c r="QAB61" s="125"/>
      <c r="QAC61" s="5"/>
      <c r="QAD61" s="117"/>
      <c r="QAE61" s="4"/>
      <c r="QAF61" s="126"/>
      <c r="QAG61" s="127"/>
      <c r="QAH61" s="121"/>
      <c r="QAI61" s="5"/>
      <c r="QAJ61" s="5"/>
      <c r="QAK61" s="124"/>
      <c r="QAL61" s="121"/>
      <c r="QAM61" s="125"/>
      <c r="QAN61" s="5"/>
      <c r="QAO61" s="117"/>
      <c r="QAP61" s="4"/>
      <c r="QAQ61" s="126"/>
      <c r="QAR61" s="127"/>
      <c r="QAS61" s="121"/>
      <c r="QAT61" s="5"/>
      <c r="QAU61" s="5"/>
      <c r="QAV61" s="124"/>
      <c r="QAW61" s="121"/>
      <c r="QAX61" s="125"/>
      <c r="QAY61" s="5"/>
      <c r="QAZ61" s="117"/>
      <c r="QBA61" s="4"/>
      <c r="QBB61" s="126"/>
      <c r="QBC61" s="127"/>
      <c r="QBD61" s="121"/>
      <c r="QBE61" s="5"/>
      <c r="QBF61" s="5"/>
      <c r="QBG61" s="124"/>
      <c r="QBH61" s="121"/>
      <c r="QBI61" s="125"/>
      <c r="QBJ61" s="5"/>
      <c r="QBK61" s="117"/>
      <c r="QBL61" s="4"/>
      <c r="QBM61" s="126"/>
      <c r="QBN61" s="127"/>
      <c r="QBO61" s="121"/>
      <c r="QBP61" s="5"/>
      <c r="QBQ61" s="5"/>
      <c r="QBR61" s="124"/>
      <c r="QBS61" s="121"/>
      <c r="QBT61" s="125"/>
      <c r="QBU61" s="5"/>
      <c r="QBV61" s="117"/>
      <c r="QBW61" s="4"/>
      <c r="QBX61" s="126"/>
      <c r="QBY61" s="127"/>
      <c r="QBZ61" s="121"/>
      <c r="QCA61" s="5"/>
      <c r="QCB61" s="5"/>
      <c r="QCC61" s="124"/>
      <c r="QCD61" s="121"/>
      <c r="QCE61" s="125"/>
      <c r="QCF61" s="5"/>
      <c r="QCG61" s="117"/>
      <c r="QCH61" s="4"/>
      <c r="QCI61" s="126"/>
      <c r="QCJ61" s="127"/>
      <c r="QCK61" s="121"/>
      <c r="QCL61" s="5"/>
      <c r="QCM61" s="5"/>
      <c r="QCN61" s="124"/>
      <c r="QCO61" s="121"/>
      <c r="QCP61" s="125"/>
      <c r="QCQ61" s="5"/>
      <c r="QCR61" s="117"/>
      <c r="QCS61" s="4"/>
      <c r="QCT61" s="126"/>
      <c r="QCU61" s="127"/>
      <c r="QCV61" s="121"/>
      <c r="QCW61" s="5"/>
      <c r="QCX61" s="5"/>
      <c r="QCY61" s="124"/>
      <c r="QCZ61" s="121"/>
      <c r="QDA61" s="125"/>
      <c r="QDB61" s="5"/>
      <c r="QDC61" s="117"/>
      <c r="QDD61" s="4"/>
      <c r="QDE61" s="126"/>
      <c r="QDF61" s="127"/>
      <c r="QDG61" s="121"/>
      <c r="QDH61" s="5"/>
      <c r="QDI61" s="5"/>
      <c r="QDJ61" s="124"/>
      <c r="QDK61" s="121"/>
      <c r="QDL61" s="125"/>
      <c r="QDM61" s="5"/>
      <c r="QDN61" s="117"/>
      <c r="QDO61" s="4"/>
      <c r="QDP61" s="126"/>
      <c r="QDQ61" s="127"/>
      <c r="QDR61" s="121"/>
      <c r="QDS61" s="5"/>
      <c r="QDT61" s="5"/>
      <c r="QDU61" s="124"/>
      <c r="QDV61" s="121"/>
      <c r="QDW61" s="125"/>
      <c r="QDX61" s="5"/>
      <c r="QDY61" s="117"/>
      <c r="QDZ61" s="4"/>
      <c r="QEA61" s="126"/>
      <c r="QEB61" s="127"/>
      <c r="QEC61" s="121"/>
      <c r="QED61" s="5"/>
      <c r="QEE61" s="5"/>
      <c r="QEF61" s="124"/>
      <c r="QEG61" s="121"/>
      <c r="QEH61" s="125"/>
      <c r="QEI61" s="5"/>
      <c r="QEJ61" s="117"/>
      <c r="QEK61" s="4"/>
      <c r="QEL61" s="126"/>
      <c r="QEM61" s="127"/>
      <c r="QEN61" s="121"/>
      <c r="QEO61" s="5"/>
      <c r="QEP61" s="5"/>
      <c r="QEQ61" s="124"/>
      <c r="QER61" s="121"/>
      <c r="QES61" s="125"/>
      <c r="QET61" s="5"/>
      <c r="QEU61" s="117"/>
      <c r="QEV61" s="4"/>
      <c r="QEW61" s="126"/>
      <c r="QEX61" s="127"/>
      <c r="QEY61" s="121"/>
      <c r="QEZ61" s="5"/>
      <c r="QFA61" s="5"/>
      <c r="QFB61" s="124"/>
      <c r="QFC61" s="121"/>
      <c r="QFD61" s="125"/>
      <c r="QFE61" s="5"/>
      <c r="QFF61" s="117"/>
      <c r="QFG61" s="4"/>
      <c r="QFH61" s="126"/>
      <c r="QFI61" s="127"/>
      <c r="QFJ61" s="121"/>
      <c r="QFK61" s="5"/>
      <c r="QFL61" s="5"/>
      <c r="QFM61" s="124"/>
      <c r="QFN61" s="121"/>
      <c r="QFO61" s="125"/>
      <c r="QFP61" s="5"/>
      <c r="QFQ61" s="117"/>
      <c r="QFR61" s="4"/>
      <c r="QFS61" s="126"/>
      <c r="QFT61" s="127"/>
      <c r="QFU61" s="121"/>
      <c r="QFV61" s="5"/>
      <c r="QFW61" s="5"/>
      <c r="QFX61" s="124"/>
      <c r="QFY61" s="121"/>
      <c r="QFZ61" s="125"/>
      <c r="QGA61" s="5"/>
      <c r="QGB61" s="117"/>
      <c r="QGC61" s="4"/>
      <c r="QGD61" s="126"/>
      <c r="QGE61" s="127"/>
      <c r="QGF61" s="121"/>
      <c r="QGG61" s="5"/>
      <c r="QGH61" s="5"/>
      <c r="QGI61" s="124"/>
      <c r="QGJ61" s="121"/>
      <c r="QGK61" s="125"/>
      <c r="QGL61" s="5"/>
      <c r="QGM61" s="117"/>
      <c r="QGN61" s="4"/>
      <c r="QGO61" s="126"/>
      <c r="QGP61" s="127"/>
      <c r="QGQ61" s="121"/>
      <c r="QGR61" s="5"/>
      <c r="QGS61" s="5"/>
      <c r="QGT61" s="124"/>
      <c r="QGU61" s="121"/>
      <c r="QGV61" s="125"/>
      <c r="QGW61" s="5"/>
      <c r="QGX61" s="117"/>
      <c r="QGY61" s="4"/>
      <c r="QGZ61" s="126"/>
      <c r="QHA61" s="127"/>
      <c r="QHB61" s="121"/>
      <c r="QHC61" s="5"/>
      <c r="QHD61" s="5"/>
      <c r="QHE61" s="124"/>
      <c r="QHF61" s="121"/>
      <c r="QHG61" s="125"/>
      <c r="QHH61" s="5"/>
      <c r="QHI61" s="117"/>
      <c r="QHJ61" s="4"/>
      <c r="QHK61" s="126"/>
      <c r="QHL61" s="127"/>
      <c r="QHM61" s="121"/>
      <c r="QHN61" s="5"/>
      <c r="QHO61" s="5"/>
      <c r="QHP61" s="124"/>
      <c r="QHQ61" s="121"/>
      <c r="QHR61" s="125"/>
      <c r="QHS61" s="5"/>
      <c r="QHT61" s="117"/>
      <c r="QHU61" s="4"/>
      <c r="QHV61" s="126"/>
      <c r="QHW61" s="127"/>
      <c r="QHX61" s="121"/>
      <c r="QHY61" s="5"/>
      <c r="QHZ61" s="5"/>
      <c r="QIA61" s="124"/>
      <c r="QIB61" s="121"/>
      <c r="QIC61" s="125"/>
      <c r="QID61" s="5"/>
      <c r="QIE61" s="117"/>
      <c r="QIF61" s="4"/>
      <c r="QIG61" s="126"/>
      <c r="QIH61" s="127"/>
      <c r="QII61" s="121"/>
      <c r="QIJ61" s="5"/>
      <c r="QIK61" s="5"/>
      <c r="QIL61" s="124"/>
      <c r="QIM61" s="121"/>
      <c r="QIN61" s="125"/>
      <c r="QIO61" s="5"/>
      <c r="QIP61" s="117"/>
      <c r="QIQ61" s="4"/>
      <c r="QIR61" s="126"/>
      <c r="QIS61" s="127"/>
      <c r="QIT61" s="121"/>
      <c r="QIU61" s="5"/>
      <c r="QIV61" s="5"/>
      <c r="QIW61" s="124"/>
      <c r="QIX61" s="121"/>
      <c r="QIY61" s="125"/>
      <c r="QIZ61" s="5"/>
      <c r="QJA61" s="117"/>
      <c r="QJB61" s="4"/>
      <c r="QJC61" s="126"/>
      <c r="QJD61" s="127"/>
      <c r="QJE61" s="121"/>
      <c r="QJF61" s="5"/>
      <c r="QJG61" s="5"/>
      <c r="QJH61" s="124"/>
      <c r="QJI61" s="121"/>
      <c r="QJJ61" s="125"/>
      <c r="QJK61" s="5"/>
      <c r="QJL61" s="117"/>
      <c r="QJM61" s="4"/>
      <c r="QJN61" s="126"/>
      <c r="QJO61" s="127"/>
      <c r="QJP61" s="121"/>
      <c r="QJQ61" s="5"/>
      <c r="QJR61" s="5"/>
      <c r="QJS61" s="124"/>
      <c r="QJT61" s="121"/>
      <c r="QJU61" s="125"/>
      <c r="QJV61" s="5"/>
      <c r="QJW61" s="117"/>
      <c r="QJX61" s="4"/>
      <c r="QJY61" s="126"/>
      <c r="QJZ61" s="127"/>
      <c r="QKA61" s="121"/>
      <c r="QKB61" s="5"/>
      <c r="QKC61" s="5"/>
      <c r="QKD61" s="124"/>
      <c r="QKE61" s="121"/>
      <c r="QKF61" s="125"/>
      <c r="QKG61" s="5"/>
      <c r="QKH61" s="117"/>
      <c r="QKI61" s="4"/>
      <c r="QKJ61" s="126"/>
      <c r="QKK61" s="127"/>
      <c r="QKL61" s="121"/>
      <c r="QKM61" s="5"/>
      <c r="QKN61" s="5"/>
      <c r="QKO61" s="124"/>
      <c r="QKP61" s="121"/>
      <c r="QKQ61" s="125"/>
      <c r="QKR61" s="5"/>
      <c r="QKS61" s="117"/>
      <c r="QKT61" s="4"/>
      <c r="QKU61" s="126"/>
      <c r="QKV61" s="127"/>
      <c r="QKW61" s="121"/>
      <c r="QKX61" s="5"/>
      <c r="QKY61" s="5"/>
      <c r="QKZ61" s="124"/>
      <c r="QLA61" s="121"/>
      <c r="QLB61" s="125"/>
      <c r="QLC61" s="5"/>
      <c r="QLD61" s="117"/>
      <c r="QLE61" s="4"/>
      <c r="QLF61" s="126"/>
      <c r="QLG61" s="127"/>
      <c r="QLH61" s="121"/>
      <c r="QLI61" s="5"/>
      <c r="QLJ61" s="5"/>
      <c r="QLK61" s="124"/>
      <c r="QLL61" s="121"/>
      <c r="QLM61" s="125"/>
      <c r="QLN61" s="5"/>
      <c r="QLO61" s="117"/>
      <c r="QLP61" s="4"/>
      <c r="QLQ61" s="126"/>
      <c r="QLR61" s="127"/>
      <c r="QLS61" s="121"/>
      <c r="QLT61" s="5"/>
      <c r="QLU61" s="5"/>
      <c r="QLV61" s="124"/>
      <c r="QLW61" s="121"/>
      <c r="QLX61" s="125"/>
      <c r="QLY61" s="5"/>
      <c r="QLZ61" s="117"/>
      <c r="QMA61" s="4"/>
      <c r="QMB61" s="126"/>
      <c r="QMC61" s="127"/>
      <c r="QMD61" s="121"/>
      <c r="QME61" s="5"/>
      <c r="QMF61" s="5"/>
      <c r="QMG61" s="124"/>
      <c r="QMH61" s="121"/>
      <c r="QMI61" s="125"/>
      <c r="QMJ61" s="5"/>
      <c r="QMK61" s="117"/>
      <c r="QML61" s="4"/>
      <c r="QMM61" s="126"/>
      <c r="QMN61" s="127"/>
      <c r="QMO61" s="121"/>
      <c r="QMP61" s="5"/>
      <c r="QMQ61" s="5"/>
      <c r="QMR61" s="124"/>
      <c r="QMS61" s="121"/>
      <c r="QMT61" s="125"/>
      <c r="QMU61" s="5"/>
      <c r="QMV61" s="117"/>
      <c r="QMW61" s="4"/>
      <c r="QMX61" s="126"/>
      <c r="QMY61" s="127"/>
      <c r="QMZ61" s="121"/>
      <c r="QNA61" s="5"/>
      <c r="QNB61" s="5"/>
      <c r="QNC61" s="124"/>
      <c r="QND61" s="121"/>
      <c r="QNE61" s="125"/>
      <c r="QNF61" s="5"/>
      <c r="QNG61" s="117"/>
      <c r="QNH61" s="4"/>
      <c r="QNI61" s="126"/>
      <c r="QNJ61" s="127"/>
      <c r="QNK61" s="121"/>
      <c r="QNL61" s="5"/>
      <c r="QNM61" s="5"/>
      <c r="QNN61" s="124"/>
      <c r="QNO61" s="121"/>
      <c r="QNP61" s="125"/>
      <c r="QNQ61" s="5"/>
      <c r="QNR61" s="117"/>
      <c r="QNS61" s="4"/>
      <c r="QNT61" s="126"/>
      <c r="QNU61" s="127"/>
      <c r="QNV61" s="121"/>
      <c r="QNW61" s="5"/>
      <c r="QNX61" s="5"/>
      <c r="QNY61" s="124"/>
      <c r="QNZ61" s="121"/>
      <c r="QOA61" s="125"/>
      <c r="QOB61" s="5"/>
      <c r="QOC61" s="117"/>
      <c r="QOD61" s="4"/>
      <c r="QOE61" s="126"/>
      <c r="QOF61" s="127"/>
      <c r="QOG61" s="121"/>
      <c r="QOH61" s="5"/>
      <c r="QOI61" s="5"/>
      <c r="QOJ61" s="124"/>
      <c r="QOK61" s="121"/>
      <c r="QOL61" s="125"/>
      <c r="QOM61" s="5"/>
      <c r="QON61" s="117"/>
      <c r="QOO61" s="4"/>
      <c r="QOP61" s="126"/>
      <c r="QOQ61" s="127"/>
      <c r="QOR61" s="121"/>
      <c r="QOS61" s="5"/>
      <c r="QOT61" s="5"/>
      <c r="QOU61" s="124"/>
      <c r="QOV61" s="121"/>
      <c r="QOW61" s="125"/>
      <c r="QOX61" s="5"/>
      <c r="QOY61" s="117"/>
      <c r="QOZ61" s="4"/>
      <c r="QPA61" s="126"/>
      <c r="QPB61" s="127"/>
      <c r="QPC61" s="121"/>
      <c r="QPD61" s="5"/>
      <c r="QPE61" s="5"/>
      <c r="QPF61" s="124"/>
      <c r="QPG61" s="121"/>
      <c r="QPH61" s="125"/>
      <c r="QPI61" s="5"/>
      <c r="QPJ61" s="117"/>
      <c r="QPK61" s="4"/>
      <c r="QPL61" s="126"/>
      <c r="QPM61" s="127"/>
      <c r="QPN61" s="121"/>
      <c r="QPO61" s="5"/>
      <c r="QPP61" s="5"/>
      <c r="QPQ61" s="124"/>
      <c r="QPR61" s="121"/>
      <c r="QPS61" s="125"/>
      <c r="QPT61" s="5"/>
      <c r="QPU61" s="117"/>
      <c r="QPV61" s="4"/>
      <c r="QPW61" s="126"/>
      <c r="QPX61" s="127"/>
      <c r="QPY61" s="121"/>
      <c r="QPZ61" s="5"/>
      <c r="QQA61" s="5"/>
      <c r="QQB61" s="124"/>
      <c r="QQC61" s="121"/>
      <c r="QQD61" s="125"/>
      <c r="QQE61" s="5"/>
      <c r="QQF61" s="117"/>
      <c r="QQG61" s="4"/>
      <c r="QQH61" s="126"/>
      <c r="QQI61" s="127"/>
      <c r="QQJ61" s="121"/>
      <c r="QQK61" s="5"/>
      <c r="QQL61" s="5"/>
      <c r="QQM61" s="124"/>
      <c r="QQN61" s="121"/>
      <c r="QQO61" s="125"/>
      <c r="QQP61" s="5"/>
      <c r="QQQ61" s="117"/>
      <c r="QQR61" s="4"/>
      <c r="QQS61" s="126"/>
      <c r="QQT61" s="127"/>
      <c r="QQU61" s="121"/>
      <c r="QQV61" s="5"/>
      <c r="QQW61" s="5"/>
      <c r="QQX61" s="124"/>
      <c r="QQY61" s="121"/>
      <c r="QQZ61" s="125"/>
      <c r="QRA61" s="5"/>
      <c r="QRB61" s="117"/>
      <c r="QRC61" s="4"/>
      <c r="QRD61" s="126"/>
      <c r="QRE61" s="127"/>
      <c r="QRF61" s="121"/>
      <c r="QRG61" s="5"/>
      <c r="QRH61" s="5"/>
      <c r="QRI61" s="124"/>
      <c r="QRJ61" s="121"/>
      <c r="QRK61" s="125"/>
      <c r="QRL61" s="5"/>
      <c r="QRM61" s="117"/>
      <c r="QRN61" s="4"/>
      <c r="QRO61" s="126"/>
      <c r="QRP61" s="127"/>
      <c r="QRQ61" s="121"/>
      <c r="QRR61" s="5"/>
      <c r="QRS61" s="5"/>
      <c r="QRT61" s="124"/>
      <c r="QRU61" s="121"/>
      <c r="QRV61" s="125"/>
      <c r="QRW61" s="5"/>
      <c r="QRX61" s="117"/>
      <c r="QRY61" s="4"/>
      <c r="QRZ61" s="126"/>
      <c r="QSA61" s="127"/>
      <c r="QSB61" s="121"/>
      <c r="QSC61" s="5"/>
      <c r="QSD61" s="5"/>
      <c r="QSE61" s="124"/>
      <c r="QSF61" s="121"/>
      <c r="QSG61" s="125"/>
      <c r="QSH61" s="5"/>
      <c r="QSI61" s="117"/>
      <c r="QSJ61" s="4"/>
      <c r="QSK61" s="126"/>
      <c r="QSL61" s="127"/>
      <c r="QSM61" s="121"/>
      <c r="QSN61" s="5"/>
      <c r="QSO61" s="5"/>
      <c r="QSP61" s="124"/>
      <c r="QSQ61" s="121"/>
      <c r="QSR61" s="125"/>
      <c r="QSS61" s="5"/>
      <c r="QST61" s="117"/>
      <c r="QSU61" s="4"/>
      <c r="QSV61" s="126"/>
      <c r="QSW61" s="127"/>
      <c r="QSX61" s="121"/>
      <c r="QSY61" s="5"/>
      <c r="QSZ61" s="5"/>
      <c r="QTA61" s="124"/>
      <c r="QTB61" s="121"/>
      <c r="QTC61" s="125"/>
      <c r="QTD61" s="5"/>
      <c r="QTE61" s="117"/>
      <c r="QTF61" s="4"/>
      <c r="QTG61" s="126"/>
      <c r="QTH61" s="127"/>
      <c r="QTI61" s="121"/>
      <c r="QTJ61" s="5"/>
      <c r="QTK61" s="5"/>
      <c r="QTL61" s="124"/>
      <c r="QTM61" s="121"/>
      <c r="QTN61" s="125"/>
      <c r="QTO61" s="5"/>
      <c r="QTP61" s="117"/>
      <c r="QTQ61" s="4"/>
      <c r="QTR61" s="126"/>
      <c r="QTS61" s="127"/>
      <c r="QTT61" s="121"/>
      <c r="QTU61" s="5"/>
      <c r="QTV61" s="5"/>
      <c r="QTW61" s="124"/>
      <c r="QTX61" s="121"/>
      <c r="QTY61" s="125"/>
      <c r="QTZ61" s="5"/>
      <c r="QUA61" s="117"/>
      <c r="QUB61" s="4"/>
      <c r="QUC61" s="126"/>
      <c r="QUD61" s="127"/>
      <c r="QUE61" s="121"/>
      <c r="QUF61" s="5"/>
      <c r="QUG61" s="5"/>
      <c r="QUH61" s="124"/>
      <c r="QUI61" s="121"/>
      <c r="QUJ61" s="125"/>
      <c r="QUK61" s="5"/>
      <c r="QUL61" s="117"/>
      <c r="QUM61" s="4"/>
      <c r="QUN61" s="126"/>
      <c r="QUO61" s="127"/>
      <c r="QUP61" s="121"/>
      <c r="QUQ61" s="5"/>
      <c r="QUR61" s="5"/>
      <c r="QUS61" s="124"/>
      <c r="QUT61" s="121"/>
      <c r="QUU61" s="125"/>
      <c r="QUV61" s="5"/>
      <c r="QUW61" s="117"/>
      <c r="QUX61" s="4"/>
      <c r="QUY61" s="126"/>
      <c r="QUZ61" s="127"/>
      <c r="QVA61" s="121"/>
      <c r="QVB61" s="5"/>
      <c r="QVC61" s="5"/>
      <c r="QVD61" s="124"/>
      <c r="QVE61" s="121"/>
      <c r="QVF61" s="125"/>
      <c r="QVG61" s="5"/>
      <c r="QVH61" s="117"/>
      <c r="QVI61" s="4"/>
      <c r="QVJ61" s="126"/>
      <c r="QVK61" s="127"/>
      <c r="QVL61" s="121"/>
      <c r="QVM61" s="5"/>
      <c r="QVN61" s="5"/>
      <c r="QVO61" s="124"/>
      <c r="QVP61" s="121"/>
      <c r="QVQ61" s="125"/>
      <c r="QVR61" s="5"/>
      <c r="QVS61" s="117"/>
      <c r="QVT61" s="4"/>
      <c r="QVU61" s="126"/>
      <c r="QVV61" s="127"/>
      <c r="QVW61" s="121"/>
      <c r="QVX61" s="5"/>
      <c r="QVY61" s="5"/>
      <c r="QVZ61" s="124"/>
      <c r="QWA61" s="121"/>
      <c r="QWB61" s="125"/>
      <c r="QWC61" s="5"/>
      <c r="QWD61" s="117"/>
      <c r="QWE61" s="4"/>
      <c r="QWF61" s="126"/>
      <c r="QWG61" s="127"/>
      <c r="QWH61" s="121"/>
      <c r="QWI61" s="5"/>
      <c r="QWJ61" s="5"/>
      <c r="QWK61" s="124"/>
      <c r="QWL61" s="121"/>
      <c r="QWM61" s="125"/>
      <c r="QWN61" s="5"/>
      <c r="QWO61" s="117"/>
      <c r="QWP61" s="4"/>
      <c r="QWQ61" s="126"/>
      <c r="QWR61" s="127"/>
      <c r="QWS61" s="121"/>
      <c r="QWT61" s="5"/>
      <c r="QWU61" s="5"/>
      <c r="QWV61" s="124"/>
      <c r="QWW61" s="121"/>
      <c r="QWX61" s="125"/>
      <c r="QWY61" s="5"/>
      <c r="QWZ61" s="117"/>
      <c r="QXA61" s="4"/>
      <c r="QXB61" s="126"/>
      <c r="QXC61" s="127"/>
      <c r="QXD61" s="121"/>
      <c r="QXE61" s="5"/>
      <c r="QXF61" s="5"/>
      <c r="QXG61" s="124"/>
      <c r="QXH61" s="121"/>
      <c r="QXI61" s="125"/>
      <c r="QXJ61" s="5"/>
      <c r="QXK61" s="117"/>
      <c r="QXL61" s="4"/>
      <c r="QXM61" s="126"/>
      <c r="QXN61" s="127"/>
      <c r="QXO61" s="121"/>
      <c r="QXP61" s="5"/>
      <c r="QXQ61" s="5"/>
      <c r="QXR61" s="124"/>
      <c r="QXS61" s="121"/>
      <c r="QXT61" s="125"/>
      <c r="QXU61" s="5"/>
      <c r="QXV61" s="117"/>
      <c r="QXW61" s="4"/>
      <c r="QXX61" s="126"/>
      <c r="QXY61" s="127"/>
      <c r="QXZ61" s="121"/>
      <c r="QYA61" s="5"/>
      <c r="QYB61" s="5"/>
      <c r="QYC61" s="124"/>
      <c r="QYD61" s="121"/>
      <c r="QYE61" s="125"/>
      <c r="QYF61" s="5"/>
      <c r="QYG61" s="117"/>
      <c r="QYH61" s="4"/>
      <c r="QYI61" s="126"/>
      <c r="QYJ61" s="127"/>
      <c r="QYK61" s="121"/>
      <c r="QYL61" s="5"/>
      <c r="QYM61" s="5"/>
      <c r="QYN61" s="124"/>
      <c r="QYO61" s="121"/>
      <c r="QYP61" s="125"/>
      <c r="QYQ61" s="5"/>
      <c r="QYR61" s="117"/>
      <c r="QYS61" s="4"/>
      <c r="QYT61" s="126"/>
      <c r="QYU61" s="127"/>
      <c r="QYV61" s="121"/>
      <c r="QYW61" s="5"/>
      <c r="QYX61" s="5"/>
      <c r="QYY61" s="124"/>
      <c r="QYZ61" s="121"/>
      <c r="QZA61" s="125"/>
      <c r="QZB61" s="5"/>
      <c r="QZC61" s="117"/>
      <c r="QZD61" s="4"/>
      <c r="QZE61" s="126"/>
      <c r="QZF61" s="127"/>
      <c r="QZG61" s="121"/>
      <c r="QZH61" s="5"/>
      <c r="QZI61" s="5"/>
      <c r="QZJ61" s="124"/>
      <c r="QZK61" s="121"/>
      <c r="QZL61" s="125"/>
      <c r="QZM61" s="5"/>
      <c r="QZN61" s="117"/>
      <c r="QZO61" s="4"/>
      <c r="QZP61" s="126"/>
      <c r="QZQ61" s="127"/>
      <c r="QZR61" s="121"/>
      <c r="QZS61" s="5"/>
      <c r="QZT61" s="5"/>
      <c r="QZU61" s="124"/>
      <c r="QZV61" s="121"/>
      <c r="QZW61" s="125"/>
      <c r="QZX61" s="5"/>
      <c r="QZY61" s="117"/>
      <c r="QZZ61" s="4"/>
      <c r="RAA61" s="126"/>
      <c r="RAB61" s="127"/>
      <c r="RAC61" s="121"/>
      <c r="RAD61" s="5"/>
      <c r="RAE61" s="5"/>
      <c r="RAF61" s="124"/>
      <c r="RAG61" s="121"/>
      <c r="RAH61" s="125"/>
      <c r="RAI61" s="5"/>
      <c r="RAJ61" s="117"/>
      <c r="RAK61" s="4"/>
      <c r="RAL61" s="126"/>
      <c r="RAM61" s="127"/>
      <c r="RAN61" s="121"/>
      <c r="RAO61" s="5"/>
      <c r="RAP61" s="5"/>
      <c r="RAQ61" s="124"/>
      <c r="RAR61" s="121"/>
      <c r="RAS61" s="125"/>
      <c r="RAT61" s="5"/>
      <c r="RAU61" s="117"/>
      <c r="RAV61" s="4"/>
      <c r="RAW61" s="126"/>
      <c r="RAX61" s="127"/>
      <c r="RAY61" s="121"/>
      <c r="RAZ61" s="5"/>
      <c r="RBA61" s="5"/>
      <c r="RBB61" s="124"/>
      <c r="RBC61" s="121"/>
      <c r="RBD61" s="125"/>
      <c r="RBE61" s="5"/>
      <c r="RBF61" s="117"/>
      <c r="RBG61" s="4"/>
      <c r="RBH61" s="126"/>
      <c r="RBI61" s="127"/>
      <c r="RBJ61" s="121"/>
      <c r="RBK61" s="5"/>
      <c r="RBL61" s="5"/>
      <c r="RBM61" s="124"/>
      <c r="RBN61" s="121"/>
      <c r="RBO61" s="125"/>
      <c r="RBP61" s="5"/>
      <c r="RBQ61" s="117"/>
      <c r="RBR61" s="4"/>
      <c r="RBS61" s="126"/>
      <c r="RBT61" s="127"/>
      <c r="RBU61" s="121"/>
      <c r="RBV61" s="5"/>
      <c r="RBW61" s="5"/>
      <c r="RBX61" s="124"/>
      <c r="RBY61" s="121"/>
      <c r="RBZ61" s="125"/>
      <c r="RCA61" s="5"/>
      <c r="RCB61" s="117"/>
      <c r="RCC61" s="4"/>
      <c r="RCD61" s="126"/>
      <c r="RCE61" s="127"/>
      <c r="RCF61" s="121"/>
      <c r="RCG61" s="5"/>
      <c r="RCH61" s="5"/>
      <c r="RCI61" s="124"/>
      <c r="RCJ61" s="121"/>
      <c r="RCK61" s="125"/>
      <c r="RCL61" s="5"/>
      <c r="RCM61" s="117"/>
      <c r="RCN61" s="4"/>
      <c r="RCO61" s="126"/>
      <c r="RCP61" s="127"/>
      <c r="RCQ61" s="121"/>
      <c r="RCR61" s="5"/>
      <c r="RCS61" s="5"/>
      <c r="RCT61" s="124"/>
      <c r="RCU61" s="121"/>
      <c r="RCV61" s="125"/>
      <c r="RCW61" s="5"/>
      <c r="RCX61" s="117"/>
      <c r="RCY61" s="4"/>
      <c r="RCZ61" s="126"/>
      <c r="RDA61" s="127"/>
      <c r="RDB61" s="121"/>
      <c r="RDC61" s="5"/>
      <c r="RDD61" s="5"/>
      <c r="RDE61" s="124"/>
      <c r="RDF61" s="121"/>
      <c r="RDG61" s="125"/>
      <c r="RDH61" s="5"/>
      <c r="RDI61" s="117"/>
      <c r="RDJ61" s="4"/>
      <c r="RDK61" s="126"/>
      <c r="RDL61" s="127"/>
      <c r="RDM61" s="121"/>
      <c r="RDN61" s="5"/>
      <c r="RDO61" s="5"/>
      <c r="RDP61" s="124"/>
      <c r="RDQ61" s="121"/>
      <c r="RDR61" s="125"/>
      <c r="RDS61" s="5"/>
      <c r="RDT61" s="117"/>
      <c r="RDU61" s="4"/>
      <c r="RDV61" s="126"/>
      <c r="RDW61" s="127"/>
      <c r="RDX61" s="121"/>
      <c r="RDY61" s="5"/>
      <c r="RDZ61" s="5"/>
      <c r="REA61" s="124"/>
      <c r="REB61" s="121"/>
      <c r="REC61" s="125"/>
      <c r="RED61" s="5"/>
      <c r="REE61" s="117"/>
      <c r="REF61" s="4"/>
      <c r="REG61" s="126"/>
      <c r="REH61" s="127"/>
      <c r="REI61" s="121"/>
      <c r="REJ61" s="5"/>
      <c r="REK61" s="5"/>
      <c r="REL61" s="124"/>
      <c r="REM61" s="121"/>
      <c r="REN61" s="125"/>
      <c r="REO61" s="5"/>
      <c r="REP61" s="117"/>
      <c r="REQ61" s="4"/>
      <c r="RER61" s="126"/>
      <c r="RES61" s="127"/>
      <c r="RET61" s="121"/>
      <c r="REU61" s="5"/>
      <c r="REV61" s="5"/>
      <c r="REW61" s="124"/>
      <c r="REX61" s="121"/>
      <c r="REY61" s="125"/>
      <c r="REZ61" s="5"/>
      <c r="RFA61" s="117"/>
      <c r="RFB61" s="4"/>
      <c r="RFC61" s="126"/>
      <c r="RFD61" s="127"/>
      <c r="RFE61" s="121"/>
      <c r="RFF61" s="5"/>
      <c r="RFG61" s="5"/>
      <c r="RFH61" s="124"/>
      <c r="RFI61" s="121"/>
      <c r="RFJ61" s="125"/>
      <c r="RFK61" s="5"/>
      <c r="RFL61" s="117"/>
      <c r="RFM61" s="4"/>
      <c r="RFN61" s="126"/>
      <c r="RFO61" s="127"/>
      <c r="RFP61" s="121"/>
      <c r="RFQ61" s="5"/>
      <c r="RFR61" s="5"/>
      <c r="RFS61" s="124"/>
      <c r="RFT61" s="121"/>
      <c r="RFU61" s="125"/>
      <c r="RFV61" s="5"/>
      <c r="RFW61" s="117"/>
      <c r="RFX61" s="4"/>
      <c r="RFY61" s="126"/>
      <c r="RFZ61" s="127"/>
      <c r="RGA61" s="121"/>
      <c r="RGB61" s="5"/>
      <c r="RGC61" s="5"/>
      <c r="RGD61" s="124"/>
      <c r="RGE61" s="121"/>
      <c r="RGF61" s="125"/>
      <c r="RGG61" s="5"/>
      <c r="RGH61" s="117"/>
      <c r="RGI61" s="4"/>
      <c r="RGJ61" s="126"/>
      <c r="RGK61" s="127"/>
      <c r="RGL61" s="121"/>
      <c r="RGM61" s="5"/>
      <c r="RGN61" s="5"/>
      <c r="RGO61" s="124"/>
      <c r="RGP61" s="121"/>
      <c r="RGQ61" s="125"/>
      <c r="RGR61" s="5"/>
      <c r="RGS61" s="117"/>
      <c r="RGT61" s="4"/>
      <c r="RGU61" s="126"/>
      <c r="RGV61" s="127"/>
      <c r="RGW61" s="121"/>
      <c r="RGX61" s="5"/>
      <c r="RGY61" s="5"/>
      <c r="RGZ61" s="124"/>
      <c r="RHA61" s="121"/>
      <c r="RHB61" s="125"/>
      <c r="RHC61" s="5"/>
      <c r="RHD61" s="117"/>
      <c r="RHE61" s="4"/>
      <c r="RHF61" s="126"/>
      <c r="RHG61" s="127"/>
      <c r="RHH61" s="121"/>
      <c r="RHI61" s="5"/>
      <c r="RHJ61" s="5"/>
      <c r="RHK61" s="124"/>
      <c r="RHL61" s="121"/>
      <c r="RHM61" s="125"/>
      <c r="RHN61" s="5"/>
      <c r="RHO61" s="117"/>
      <c r="RHP61" s="4"/>
      <c r="RHQ61" s="126"/>
      <c r="RHR61" s="127"/>
      <c r="RHS61" s="121"/>
      <c r="RHT61" s="5"/>
      <c r="RHU61" s="5"/>
      <c r="RHV61" s="124"/>
      <c r="RHW61" s="121"/>
      <c r="RHX61" s="125"/>
      <c r="RHY61" s="5"/>
      <c r="RHZ61" s="117"/>
      <c r="RIA61" s="4"/>
      <c r="RIB61" s="126"/>
      <c r="RIC61" s="127"/>
      <c r="RID61" s="121"/>
      <c r="RIE61" s="5"/>
      <c r="RIF61" s="5"/>
      <c r="RIG61" s="124"/>
      <c r="RIH61" s="121"/>
      <c r="RII61" s="125"/>
      <c r="RIJ61" s="5"/>
      <c r="RIK61" s="117"/>
      <c r="RIL61" s="4"/>
      <c r="RIM61" s="126"/>
      <c r="RIN61" s="127"/>
      <c r="RIO61" s="121"/>
      <c r="RIP61" s="5"/>
      <c r="RIQ61" s="5"/>
      <c r="RIR61" s="124"/>
      <c r="RIS61" s="121"/>
      <c r="RIT61" s="125"/>
      <c r="RIU61" s="5"/>
      <c r="RIV61" s="117"/>
      <c r="RIW61" s="4"/>
      <c r="RIX61" s="126"/>
      <c r="RIY61" s="127"/>
      <c r="RIZ61" s="121"/>
      <c r="RJA61" s="5"/>
      <c r="RJB61" s="5"/>
      <c r="RJC61" s="124"/>
      <c r="RJD61" s="121"/>
      <c r="RJE61" s="125"/>
      <c r="RJF61" s="5"/>
      <c r="RJG61" s="117"/>
      <c r="RJH61" s="4"/>
      <c r="RJI61" s="126"/>
      <c r="RJJ61" s="127"/>
      <c r="RJK61" s="121"/>
      <c r="RJL61" s="5"/>
      <c r="RJM61" s="5"/>
      <c r="RJN61" s="124"/>
      <c r="RJO61" s="121"/>
      <c r="RJP61" s="125"/>
      <c r="RJQ61" s="5"/>
      <c r="RJR61" s="117"/>
      <c r="RJS61" s="4"/>
      <c r="RJT61" s="126"/>
      <c r="RJU61" s="127"/>
      <c r="RJV61" s="121"/>
      <c r="RJW61" s="5"/>
      <c r="RJX61" s="5"/>
      <c r="RJY61" s="124"/>
      <c r="RJZ61" s="121"/>
      <c r="RKA61" s="125"/>
      <c r="RKB61" s="5"/>
      <c r="RKC61" s="117"/>
      <c r="RKD61" s="4"/>
      <c r="RKE61" s="126"/>
      <c r="RKF61" s="127"/>
      <c r="RKG61" s="121"/>
      <c r="RKH61" s="5"/>
      <c r="RKI61" s="5"/>
      <c r="RKJ61" s="124"/>
      <c r="RKK61" s="121"/>
      <c r="RKL61" s="125"/>
      <c r="RKM61" s="5"/>
      <c r="RKN61" s="117"/>
      <c r="RKO61" s="4"/>
      <c r="RKP61" s="126"/>
      <c r="RKQ61" s="127"/>
      <c r="RKR61" s="121"/>
      <c r="RKS61" s="5"/>
      <c r="RKT61" s="5"/>
      <c r="RKU61" s="124"/>
      <c r="RKV61" s="121"/>
      <c r="RKW61" s="125"/>
      <c r="RKX61" s="5"/>
      <c r="RKY61" s="117"/>
      <c r="RKZ61" s="4"/>
      <c r="RLA61" s="126"/>
      <c r="RLB61" s="127"/>
      <c r="RLC61" s="121"/>
      <c r="RLD61" s="5"/>
      <c r="RLE61" s="5"/>
      <c r="RLF61" s="124"/>
      <c r="RLG61" s="121"/>
      <c r="RLH61" s="125"/>
      <c r="RLI61" s="5"/>
      <c r="RLJ61" s="117"/>
      <c r="RLK61" s="4"/>
      <c r="RLL61" s="126"/>
      <c r="RLM61" s="127"/>
      <c r="RLN61" s="121"/>
      <c r="RLO61" s="5"/>
      <c r="RLP61" s="5"/>
      <c r="RLQ61" s="124"/>
      <c r="RLR61" s="121"/>
      <c r="RLS61" s="125"/>
      <c r="RLT61" s="5"/>
      <c r="RLU61" s="117"/>
      <c r="RLV61" s="4"/>
      <c r="RLW61" s="126"/>
      <c r="RLX61" s="127"/>
      <c r="RLY61" s="121"/>
      <c r="RLZ61" s="5"/>
      <c r="RMA61" s="5"/>
      <c r="RMB61" s="124"/>
      <c r="RMC61" s="121"/>
      <c r="RMD61" s="125"/>
      <c r="RME61" s="5"/>
      <c r="RMF61" s="117"/>
      <c r="RMG61" s="4"/>
      <c r="RMH61" s="126"/>
      <c r="RMI61" s="127"/>
      <c r="RMJ61" s="121"/>
      <c r="RMK61" s="5"/>
      <c r="RML61" s="5"/>
      <c r="RMM61" s="124"/>
      <c r="RMN61" s="121"/>
      <c r="RMO61" s="125"/>
      <c r="RMP61" s="5"/>
      <c r="RMQ61" s="117"/>
      <c r="RMR61" s="4"/>
      <c r="RMS61" s="126"/>
      <c r="RMT61" s="127"/>
      <c r="RMU61" s="121"/>
      <c r="RMV61" s="5"/>
      <c r="RMW61" s="5"/>
      <c r="RMX61" s="124"/>
      <c r="RMY61" s="121"/>
      <c r="RMZ61" s="125"/>
      <c r="RNA61" s="5"/>
      <c r="RNB61" s="117"/>
      <c r="RNC61" s="4"/>
      <c r="RND61" s="126"/>
      <c r="RNE61" s="127"/>
      <c r="RNF61" s="121"/>
      <c r="RNG61" s="5"/>
      <c r="RNH61" s="5"/>
      <c r="RNI61" s="124"/>
      <c r="RNJ61" s="121"/>
      <c r="RNK61" s="125"/>
      <c r="RNL61" s="5"/>
      <c r="RNM61" s="117"/>
      <c r="RNN61" s="4"/>
      <c r="RNO61" s="126"/>
      <c r="RNP61" s="127"/>
      <c r="RNQ61" s="121"/>
      <c r="RNR61" s="5"/>
      <c r="RNS61" s="5"/>
      <c r="RNT61" s="124"/>
      <c r="RNU61" s="121"/>
      <c r="RNV61" s="125"/>
      <c r="RNW61" s="5"/>
      <c r="RNX61" s="117"/>
      <c r="RNY61" s="4"/>
      <c r="RNZ61" s="126"/>
      <c r="ROA61" s="127"/>
      <c r="ROB61" s="121"/>
      <c r="ROC61" s="5"/>
      <c r="ROD61" s="5"/>
      <c r="ROE61" s="124"/>
      <c r="ROF61" s="121"/>
      <c r="ROG61" s="125"/>
      <c r="ROH61" s="5"/>
      <c r="ROI61" s="117"/>
      <c r="ROJ61" s="4"/>
      <c r="ROK61" s="126"/>
      <c r="ROL61" s="127"/>
      <c r="ROM61" s="121"/>
      <c r="RON61" s="5"/>
      <c r="ROO61" s="5"/>
      <c r="ROP61" s="124"/>
      <c r="ROQ61" s="121"/>
      <c r="ROR61" s="125"/>
      <c r="ROS61" s="5"/>
      <c r="ROT61" s="117"/>
      <c r="ROU61" s="4"/>
      <c r="ROV61" s="126"/>
      <c r="ROW61" s="127"/>
      <c r="ROX61" s="121"/>
      <c r="ROY61" s="5"/>
      <c r="ROZ61" s="5"/>
      <c r="RPA61" s="124"/>
      <c r="RPB61" s="121"/>
      <c r="RPC61" s="125"/>
      <c r="RPD61" s="5"/>
      <c r="RPE61" s="117"/>
      <c r="RPF61" s="4"/>
      <c r="RPG61" s="126"/>
      <c r="RPH61" s="127"/>
      <c r="RPI61" s="121"/>
      <c r="RPJ61" s="5"/>
      <c r="RPK61" s="5"/>
      <c r="RPL61" s="124"/>
      <c r="RPM61" s="121"/>
      <c r="RPN61" s="125"/>
      <c r="RPO61" s="5"/>
      <c r="RPP61" s="117"/>
      <c r="RPQ61" s="4"/>
      <c r="RPR61" s="126"/>
      <c r="RPS61" s="127"/>
      <c r="RPT61" s="121"/>
      <c r="RPU61" s="5"/>
      <c r="RPV61" s="5"/>
      <c r="RPW61" s="124"/>
      <c r="RPX61" s="121"/>
      <c r="RPY61" s="125"/>
      <c r="RPZ61" s="5"/>
      <c r="RQA61" s="117"/>
      <c r="RQB61" s="4"/>
      <c r="RQC61" s="126"/>
      <c r="RQD61" s="127"/>
      <c r="RQE61" s="121"/>
      <c r="RQF61" s="5"/>
      <c r="RQG61" s="5"/>
      <c r="RQH61" s="124"/>
      <c r="RQI61" s="121"/>
      <c r="RQJ61" s="125"/>
      <c r="RQK61" s="5"/>
      <c r="RQL61" s="117"/>
      <c r="RQM61" s="4"/>
      <c r="RQN61" s="126"/>
      <c r="RQO61" s="127"/>
      <c r="RQP61" s="121"/>
      <c r="RQQ61" s="5"/>
      <c r="RQR61" s="5"/>
      <c r="RQS61" s="124"/>
      <c r="RQT61" s="121"/>
      <c r="RQU61" s="125"/>
      <c r="RQV61" s="5"/>
      <c r="RQW61" s="117"/>
      <c r="RQX61" s="4"/>
      <c r="RQY61" s="126"/>
      <c r="RQZ61" s="127"/>
      <c r="RRA61" s="121"/>
      <c r="RRB61" s="5"/>
      <c r="RRC61" s="5"/>
      <c r="RRD61" s="124"/>
      <c r="RRE61" s="121"/>
      <c r="RRF61" s="125"/>
      <c r="RRG61" s="5"/>
      <c r="RRH61" s="117"/>
      <c r="RRI61" s="4"/>
      <c r="RRJ61" s="126"/>
      <c r="RRK61" s="127"/>
      <c r="RRL61" s="121"/>
      <c r="RRM61" s="5"/>
      <c r="RRN61" s="5"/>
      <c r="RRO61" s="124"/>
      <c r="RRP61" s="121"/>
      <c r="RRQ61" s="125"/>
      <c r="RRR61" s="5"/>
      <c r="RRS61" s="117"/>
      <c r="RRT61" s="4"/>
      <c r="RRU61" s="126"/>
      <c r="RRV61" s="127"/>
      <c r="RRW61" s="121"/>
      <c r="RRX61" s="5"/>
      <c r="RRY61" s="5"/>
      <c r="RRZ61" s="124"/>
      <c r="RSA61" s="121"/>
      <c r="RSB61" s="125"/>
      <c r="RSC61" s="5"/>
      <c r="RSD61" s="117"/>
      <c r="RSE61" s="4"/>
      <c r="RSF61" s="126"/>
      <c r="RSG61" s="127"/>
      <c r="RSH61" s="121"/>
      <c r="RSI61" s="5"/>
      <c r="RSJ61" s="5"/>
      <c r="RSK61" s="124"/>
      <c r="RSL61" s="121"/>
      <c r="RSM61" s="125"/>
      <c r="RSN61" s="5"/>
      <c r="RSO61" s="117"/>
      <c r="RSP61" s="4"/>
      <c r="RSQ61" s="126"/>
      <c r="RSR61" s="127"/>
      <c r="RSS61" s="121"/>
      <c r="RST61" s="5"/>
      <c r="RSU61" s="5"/>
      <c r="RSV61" s="124"/>
      <c r="RSW61" s="121"/>
      <c r="RSX61" s="125"/>
      <c r="RSY61" s="5"/>
      <c r="RSZ61" s="117"/>
      <c r="RTA61" s="4"/>
      <c r="RTB61" s="126"/>
      <c r="RTC61" s="127"/>
      <c r="RTD61" s="121"/>
      <c r="RTE61" s="5"/>
      <c r="RTF61" s="5"/>
      <c r="RTG61" s="124"/>
      <c r="RTH61" s="121"/>
      <c r="RTI61" s="125"/>
      <c r="RTJ61" s="5"/>
      <c r="RTK61" s="117"/>
      <c r="RTL61" s="4"/>
      <c r="RTM61" s="126"/>
      <c r="RTN61" s="127"/>
      <c r="RTO61" s="121"/>
      <c r="RTP61" s="5"/>
      <c r="RTQ61" s="5"/>
      <c r="RTR61" s="124"/>
      <c r="RTS61" s="121"/>
      <c r="RTT61" s="125"/>
      <c r="RTU61" s="5"/>
      <c r="RTV61" s="117"/>
      <c r="RTW61" s="4"/>
      <c r="RTX61" s="126"/>
      <c r="RTY61" s="127"/>
      <c r="RTZ61" s="121"/>
      <c r="RUA61" s="5"/>
      <c r="RUB61" s="5"/>
      <c r="RUC61" s="124"/>
      <c r="RUD61" s="121"/>
      <c r="RUE61" s="125"/>
      <c r="RUF61" s="5"/>
      <c r="RUG61" s="117"/>
      <c r="RUH61" s="4"/>
      <c r="RUI61" s="126"/>
      <c r="RUJ61" s="127"/>
      <c r="RUK61" s="121"/>
      <c r="RUL61" s="5"/>
      <c r="RUM61" s="5"/>
      <c r="RUN61" s="124"/>
      <c r="RUO61" s="121"/>
      <c r="RUP61" s="125"/>
      <c r="RUQ61" s="5"/>
      <c r="RUR61" s="117"/>
      <c r="RUS61" s="4"/>
      <c r="RUT61" s="126"/>
      <c r="RUU61" s="127"/>
      <c r="RUV61" s="121"/>
      <c r="RUW61" s="5"/>
      <c r="RUX61" s="5"/>
      <c r="RUY61" s="124"/>
      <c r="RUZ61" s="121"/>
      <c r="RVA61" s="125"/>
      <c r="RVB61" s="5"/>
      <c r="RVC61" s="117"/>
      <c r="RVD61" s="4"/>
      <c r="RVE61" s="126"/>
      <c r="RVF61" s="127"/>
      <c r="RVG61" s="121"/>
      <c r="RVH61" s="5"/>
      <c r="RVI61" s="5"/>
      <c r="RVJ61" s="124"/>
      <c r="RVK61" s="121"/>
      <c r="RVL61" s="125"/>
      <c r="RVM61" s="5"/>
      <c r="RVN61" s="117"/>
      <c r="RVO61" s="4"/>
      <c r="RVP61" s="126"/>
      <c r="RVQ61" s="127"/>
      <c r="RVR61" s="121"/>
      <c r="RVS61" s="5"/>
      <c r="RVT61" s="5"/>
      <c r="RVU61" s="124"/>
      <c r="RVV61" s="121"/>
      <c r="RVW61" s="125"/>
      <c r="RVX61" s="5"/>
      <c r="RVY61" s="117"/>
      <c r="RVZ61" s="4"/>
      <c r="RWA61" s="126"/>
      <c r="RWB61" s="127"/>
      <c r="RWC61" s="121"/>
      <c r="RWD61" s="5"/>
      <c r="RWE61" s="5"/>
      <c r="RWF61" s="124"/>
      <c r="RWG61" s="121"/>
      <c r="RWH61" s="125"/>
      <c r="RWI61" s="5"/>
      <c r="RWJ61" s="117"/>
      <c r="RWK61" s="4"/>
      <c r="RWL61" s="126"/>
      <c r="RWM61" s="127"/>
      <c r="RWN61" s="121"/>
      <c r="RWO61" s="5"/>
      <c r="RWP61" s="5"/>
      <c r="RWQ61" s="124"/>
      <c r="RWR61" s="121"/>
      <c r="RWS61" s="125"/>
      <c r="RWT61" s="5"/>
      <c r="RWU61" s="117"/>
      <c r="RWV61" s="4"/>
      <c r="RWW61" s="126"/>
      <c r="RWX61" s="127"/>
      <c r="RWY61" s="121"/>
      <c r="RWZ61" s="5"/>
      <c r="RXA61" s="5"/>
      <c r="RXB61" s="124"/>
      <c r="RXC61" s="121"/>
      <c r="RXD61" s="125"/>
      <c r="RXE61" s="5"/>
      <c r="RXF61" s="117"/>
      <c r="RXG61" s="4"/>
      <c r="RXH61" s="126"/>
      <c r="RXI61" s="127"/>
      <c r="RXJ61" s="121"/>
      <c r="RXK61" s="5"/>
      <c r="RXL61" s="5"/>
      <c r="RXM61" s="124"/>
      <c r="RXN61" s="121"/>
      <c r="RXO61" s="125"/>
      <c r="RXP61" s="5"/>
      <c r="RXQ61" s="117"/>
      <c r="RXR61" s="4"/>
      <c r="RXS61" s="126"/>
      <c r="RXT61" s="127"/>
      <c r="RXU61" s="121"/>
      <c r="RXV61" s="5"/>
      <c r="RXW61" s="5"/>
      <c r="RXX61" s="124"/>
      <c r="RXY61" s="121"/>
      <c r="RXZ61" s="125"/>
      <c r="RYA61" s="5"/>
      <c r="RYB61" s="117"/>
      <c r="RYC61" s="4"/>
      <c r="RYD61" s="126"/>
      <c r="RYE61" s="127"/>
      <c r="RYF61" s="121"/>
      <c r="RYG61" s="5"/>
      <c r="RYH61" s="5"/>
      <c r="RYI61" s="124"/>
      <c r="RYJ61" s="121"/>
      <c r="RYK61" s="125"/>
      <c r="RYL61" s="5"/>
      <c r="RYM61" s="117"/>
      <c r="RYN61" s="4"/>
      <c r="RYO61" s="126"/>
      <c r="RYP61" s="127"/>
      <c r="RYQ61" s="121"/>
      <c r="RYR61" s="5"/>
      <c r="RYS61" s="5"/>
      <c r="RYT61" s="124"/>
      <c r="RYU61" s="121"/>
      <c r="RYV61" s="125"/>
      <c r="RYW61" s="5"/>
      <c r="RYX61" s="117"/>
      <c r="RYY61" s="4"/>
      <c r="RYZ61" s="126"/>
      <c r="RZA61" s="127"/>
      <c r="RZB61" s="121"/>
      <c r="RZC61" s="5"/>
      <c r="RZD61" s="5"/>
      <c r="RZE61" s="124"/>
      <c r="RZF61" s="121"/>
      <c r="RZG61" s="125"/>
      <c r="RZH61" s="5"/>
      <c r="RZI61" s="117"/>
      <c r="RZJ61" s="4"/>
      <c r="RZK61" s="126"/>
      <c r="RZL61" s="127"/>
      <c r="RZM61" s="121"/>
      <c r="RZN61" s="5"/>
      <c r="RZO61" s="5"/>
      <c r="RZP61" s="124"/>
      <c r="RZQ61" s="121"/>
      <c r="RZR61" s="125"/>
      <c r="RZS61" s="5"/>
      <c r="RZT61" s="117"/>
      <c r="RZU61" s="4"/>
      <c r="RZV61" s="126"/>
      <c r="RZW61" s="127"/>
      <c r="RZX61" s="121"/>
      <c r="RZY61" s="5"/>
      <c r="RZZ61" s="5"/>
      <c r="SAA61" s="124"/>
      <c r="SAB61" s="121"/>
      <c r="SAC61" s="125"/>
      <c r="SAD61" s="5"/>
      <c r="SAE61" s="117"/>
      <c r="SAF61" s="4"/>
      <c r="SAG61" s="126"/>
      <c r="SAH61" s="127"/>
      <c r="SAI61" s="121"/>
      <c r="SAJ61" s="5"/>
      <c r="SAK61" s="5"/>
      <c r="SAL61" s="124"/>
      <c r="SAM61" s="121"/>
      <c r="SAN61" s="125"/>
      <c r="SAO61" s="5"/>
      <c r="SAP61" s="117"/>
      <c r="SAQ61" s="4"/>
      <c r="SAR61" s="126"/>
      <c r="SAS61" s="127"/>
      <c r="SAT61" s="121"/>
      <c r="SAU61" s="5"/>
      <c r="SAV61" s="5"/>
      <c r="SAW61" s="124"/>
      <c r="SAX61" s="121"/>
      <c r="SAY61" s="125"/>
      <c r="SAZ61" s="5"/>
      <c r="SBA61" s="117"/>
      <c r="SBB61" s="4"/>
      <c r="SBC61" s="126"/>
      <c r="SBD61" s="127"/>
      <c r="SBE61" s="121"/>
      <c r="SBF61" s="5"/>
      <c r="SBG61" s="5"/>
      <c r="SBH61" s="124"/>
      <c r="SBI61" s="121"/>
      <c r="SBJ61" s="125"/>
      <c r="SBK61" s="5"/>
      <c r="SBL61" s="117"/>
      <c r="SBM61" s="4"/>
      <c r="SBN61" s="126"/>
      <c r="SBO61" s="127"/>
      <c r="SBP61" s="121"/>
      <c r="SBQ61" s="5"/>
      <c r="SBR61" s="5"/>
      <c r="SBS61" s="124"/>
      <c r="SBT61" s="121"/>
      <c r="SBU61" s="125"/>
      <c r="SBV61" s="5"/>
      <c r="SBW61" s="117"/>
      <c r="SBX61" s="4"/>
      <c r="SBY61" s="126"/>
      <c r="SBZ61" s="127"/>
      <c r="SCA61" s="121"/>
      <c r="SCB61" s="5"/>
      <c r="SCC61" s="5"/>
      <c r="SCD61" s="124"/>
      <c r="SCE61" s="121"/>
      <c r="SCF61" s="125"/>
      <c r="SCG61" s="5"/>
      <c r="SCH61" s="117"/>
      <c r="SCI61" s="4"/>
      <c r="SCJ61" s="126"/>
      <c r="SCK61" s="127"/>
      <c r="SCL61" s="121"/>
      <c r="SCM61" s="5"/>
      <c r="SCN61" s="5"/>
      <c r="SCO61" s="124"/>
      <c r="SCP61" s="121"/>
      <c r="SCQ61" s="125"/>
      <c r="SCR61" s="5"/>
      <c r="SCS61" s="117"/>
      <c r="SCT61" s="4"/>
      <c r="SCU61" s="126"/>
      <c r="SCV61" s="127"/>
      <c r="SCW61" s="121"/>
      <c r="SCX61" s="5"/>
      <c r="SCY61" s="5"/>
      <c r="SCZ61" s="124"/>
      <c r="SDA61" s="121"/>
      <c r="SDB61" s="125"/>
      <c r="SDC61" s="5"/>
      <c r="SDD61" s="117"/>
      <c r="SDE61" s="4"/>
      <c r="SDF61" s="126"/>
      <c r="SDG61" s="127"/>
      <c r="SDH61" s="121"/>
      <c r="SDI61" s="5"/>
      <c r="SDJ61" s="5"/>
      <c r="SDK61" s="124"/>
      <c r="SDL61" s="121"/>
      <c r="SDM61" s="125"/>
      <c r="SDN61" s="5"/>
      <c r="SDO61" s="117"/>
      <c r="SDP61" s="4"/>
      <c r="SDQ61" s="126"/>
      <c r="SDR61" s="127"/>
      <c r="SDS61" s="121"/>
      <c r="SDT61" s="5"/>
      <c r="SDU61" s="5"/>
      <c r="SDV61" s="124"/>
      <c r="SDW61" s="121"/>
      <c r="SDX61" s="125"/>
      <c r="SDY61" s="5"/>
      <c r="SDZ61" s="117"/>
      <c r="SEA61" s="4"/>
      <c r="SEB61" s="126"/>
      <c r="SEC61" s="127"/>
      <c r="SED61" s="121"/>
      <c r="SEE61" s="5"/>
      <c r="SEF61" s="5"/>
      <c r="SEG61" s="124"/>
      <c r="SEH61" s="121"/>
      <c r="SEI61" s="125"/>
      <c r="SEJ61" s="5"/>
      <c r="SEK61" s="117"/>
      <c r="SEL61" s="4"/>
      <c r="SEM61" s="126"/>
      <c r="SEN61" s="127"/>
      <c r="SEO61" s="121"/>
      <c r="SEP61" s="5"/>
      <c r="SEQ61" s="5"/>
      <c r="SER61" s="124"/>
      <c r="SES61" s="121"/>
      <c r="SET61" s="125"/>
      <c r="SEU61" s="5"/>
      <c r="SEV61" s="117"/>
      <c r="SEW61" s="4"/>
      <c r="SEX61" s="126"/>
      <c r="SEY61" s="127"/>
      <c r="SEZ61" s="121"/>
      <c r="SFA61" s="5"/>
      <c r="SFB61" s="5"/>
      <c r="SFC61" s="124"/>
      <c r="SFD61" s="121"/>
      <c r="SFE61" s="125"/>
      <c r="SFF61" s="5"/>
      <c r="SFG61" s="117"/>
      <c r="SFH61" s="4"/>
      <c r="SFI61" s="126"/>
      <c r="SFJ61" s="127"/>
      <c r="SFK61" s="121"/>
      <c r="SFL61" s="5"/>
      <c r="SFM61" s="5"/>
      <c r="SFN61" s="124"/>
      <c r="SFO61" s="121"/>
      <c r="SFP61" s="125"/>
      <c r="SFQ61" s="5"/>
      <c r="SFR61" s="117"/>
      <c r="SFS61" s="4"/>
      <c r="SFT61" s="126"/>
      <c r="SFU61" s="127"/>
      <c r="SFV61" s="121"/>
      <c r="SFW61" s="5"/>
      <c r="SFX61" s="5"/>
      <c r="SFY61" s="124"/>
      <c r="SFZ61" s="121"/>
      <c r="SGA61" s="125"/>
      <c r="SGB61" s="5"/>
      <c r="SGC61" s="117"/>
      <c r="SGD61" s="4"/>
      <c r="SGE61" s="126"/>
      <c r="SGF61" s="127"/>
      <c r="SGG61" s="121"/>
      <c r="SGH61" s="5"/>
      <c r="SGI61" s="5"/>
      <c r="SGJ61" s="124"/>
      <c r="SGK61" s="121"/>
      <c r="SGL61" s="125"/>
      <c r="SGM61" s="5"/>
      <c r="SGN61" s="117"/>
      <c r="SGO61" s="4"/>
      <c r="SGP61" s="126"/>
      <c r="SGQ61" s="127"/>
      <c r="SGR61" s="121"/>
      <c r="SGS61" s="5"/>
      <c r="SGT61" s="5"/>
      <c r="SGU61" s="124"/>
      <c r="SGV61" s="121"/>
      <c r="SGW61" s="125"/>
      <c r="SGX61" s="5"/>
      <c r="SGY61" s="117"/>
      <c r="SGZ61" s="4"/>
      <c r="SHA61" s="126"/>
      <c r="SHB61" s="127"/>
      <c r="SHC61" s="121"/>
      <c r="SHD61" s="5"/>
      <c r="SHE61" s="5"/>
      <c r="SHF61" s="124"/>
      <c r="SHG61" s="121"/>
      <c r="SHH61" s="125"/>
      <c r="SHI61" s="5"/>
      <c r="SHJ61" s="117"/>
      <c r="SHK61" s="4"/>
      <c r="SHL61" s="126"/>
      <c r="SHM61" s="127"/>
      <c r="SHN61" s="121"/>
      <c r="SHO61" s="5"/>
      <c r="SHP61" s="5"/>
      <c r="SHQ61" s="124"/>
      <c r="SHR61" s="121"/>
      <c r="SHS61" s="125"/>
      <c r="SHT61" s="5"/>
      <c r="SHU61" s="117"/>
      <c r="SHV61" s="4"/>
      <c r="SHW61" s="126"/>
      <c r="SHX61" s="127"/>
      <c r="SHY61" s="121"/>
      <c r="SHZ61" s="5"/>
      <c r="SIA61" s="5"/>
      <c r="SIB61" s="124"/>
      <c r="SIC61" s="121"/>
      <c r="SID61" s="125"/>
      <c r="SIE61" s="5"/>
      <c r="SIF61" s="117"/>
      <c r="SIG61" s="4"/>
      <c r="SIH61" s="126"/>
      <c r="SII61" s="127"/>
      <c r="SIJ61" s="121"/>
      <c r="SIK61" s="5"/>
      <c r="SIL61" s="5"/>
      <c r="SIM61" s="124"/>
      <c r="SIN61" s="121"/>
      <c r="SIO61" s="125"/>
      <c r="SIP61" s="5"/>
      <c r="SIQ61" s="117"/>
      <c r="SIR61" s="4"/>
      <c r="SIS61" s="126"/>
      <c r="SIT61" s="127"/>
      <c r="SIU61" s="121"/>
      <c r="SIV61" s="5"/>
      <c r="SIW61" s="5"/>
      <c r="SIX61" s="124"/>
      <c r="SIY61" s="121"/>
      <c r="SIZ61" s="125"/>
      <c r="SJA61" s="5"/>
      <c r="SJB61" s="117"/>
      <c r="SJC61" s="4"/>
      <c r="SJD61" s="126"/>
      <c r="SJE61" s="127"/>
      <c r="SJF61" s="121"/>
      <c r="SJG61" s="5"/>
      <c r="SJH61" s="5"/>
      <c r="SJI61" s="124"/>
      <c r="SJJ61" s="121"/>
      <c r="SJK61" s="125"/>
      <c r="SJL61" s="5"/>
      <c r="SJM61" s="117"/>
      <c r="SJN61" s="4"/>
      <c r="SJO61" s="126"/>
      <c r="SJP61" s="127"/>
      <c r="SJQ61" s="121"/>
      <c r="SJR61" s="5"/>
      <c r="SJS61" s="5"/>
      <c r="SJT61" s="124"/>
      <c r="SJU61" s="121"/>
      <c r="SJV61" s="125"/>
      <c r="SJW61" s="5"/>
      <c r="SJX61" s="117"/>
      <c r="SJY61" s="4"/>
      <c r="SJZ61" s="126"/>
      <c r="SKA61" s="127"/>
      <c r="SKB61" s="121"/>
      <c r="SKC61" s="5"/>
      <c r="SKD61" s="5"/>
      <c r="SKE61" s="124"/>
      <c r="SKF61" s="121"/>
      <c r="SKG61" s="125"/>
      <c r="SKH61" s="5"/>
      <c r="SKI61" s="117"/>
      <c r="SKJ61" s="4"/>
      <c r="SKK61" s="126"/>
      <c r="SKL61" s="127"/>
      <c r="SKM61" s="121"/>
      <c r="SKN61" s="5"/>
      <c r="SKO61" s="5"/>
      <c r="SKP61" s="124"/>
      <c r="SKQ61" s="121"/>
      <c r="SKR61" s="125"/>
      <c r="SKS61" s="5"/>
      <c r="SKT61" s="117"/>
      <c r="SKU61" s="4"/>
      <c r="SKV61" s="126"/>
      <c r="SKW61" s="127"/>
      <c r="SKX61" s="121"/>
      <c r="SKY61" s="5"/>
      <c r="SKZ61" s="5"/>
      <c r="SLA61" s="124"/>
      <c r="SLB61" s="121"/>
      <c r="SLC61" s="125"/>
      <c r="SLD61" s="5"/>
      <c r="SLE61" s="117"/>
      <c r="SLF61" s="4"/>
      <c r="SLG61" s="126"/>
      <c r="SLH61" s="127"/>
      <c r="SLI61" s="121"/>
      <c r="SLJ61" s="5"/>
      <c r="SLK61" s="5"/>
      <c r="SLL61" s="124"/>
      <c r="SLM61" s="121"/>
      <c r="SLN61" s="125"/>
      <c r="SLO61" s="5"/>
      <c r="SLP61" s="117"/>
      <c r="SLQ61" s="4"/>
      <c r="SLR61" s="126"/>
      <c r="SLS61" s="127"/>
      <c r="SLT61" s="121"/>
      <c r="SLU61" s="5"/>
      <c r="SLV61" s="5"/>
      <c r="SLW61" s="124"/>
      <c r="SLX61" s="121"/>
      <c r="SLY61" s="125"/>
      <c r="SLZ61" s="5"/>
      <c r="SMA61" s="117"/>
      <c r="SMB61" s="4"/>
      <c r="SMC61" s="126"/>
      <c r="SMD61" s="127"/>
      <c r="SME61" s="121"/>
      <c r="SMF61" s="5"/>
      <c r="SMG61" s="5"/>
      <c r="SMH61" s="124"/>
      <c r="SMI61" s="121"/>
      <c r="SMJ61" s="125"/>
      <c r="SMK61" s="5"/>
      <c r="SML61" s="117"/>
      <c r="SMM61" s="4"/>
      <c r="SMN61" s="126"/>
      <c r="SMO61" s="127"/>
      <c r="SMP61" s="121"/>
      <c r="SMQ61" s="5"/>
      <c r="SMR61" s="5"/>
      <c r="SMS61" s="124"/>
      <c r="SMT61" s="121"/>
      <c r="SMU61" s="125"/>
      <c r="SMV61" s="5"/>
      <c r="SMW61" s="117"/>
      <c r="SMX61" s="4"/>
      <c r="SMY61" s="126"/>
      <c r="SMZ61" s="127"/>
      <c r="SNA61" s="121"/>
      <c r="SNB61" s="5"/>
      <c r="SNC61" s="5"/>
      <c r="SND61" s="124"/>
      <c r="SNE61" s="121"/>
      <c r="SNF61" s="125"/>
      <c r="SNG61" s="5"/>
      <c r="SNH61" s="117"/>
      <c r="SNI61" s="4"/>
      <c r="SNJ61" s="126"/>
      <c r="SNK61" s="127"/>
      <c r="SNL61" s="121"/>
      <c r="SNM61" s="5"/>
      <c r="SNN61" s="5"/>
      <c r="SNO61" s="124"/>
      <c r="SNP61" s="121"/>
      <c r="SNQ61" s="125"/>
      <c r="SNR61" s="5"/>
      <c r="SNS61" s="117"/>
      <c r="SNT61" s="4"/>
      <c r="SNU61" s="126"/>
      <c r="SNV61" s="127"/>
      <c r="SNW61" s="121"/>
      <c r="SNX61" s="5"/>
      <c r="SNY61" s="5"/>
      <c r="SNZ61" s="124"/>
      <c r="SOA61" s="121"/>
      <c r="SOB61" s="125"/>
      <c r="SOC61" s="5"/>
      <c r="SOD61" s="117"/>
      <c r="SOE61" s="4"/>
      <c r="SOF61" s="126"/>
      <c r="SOG61" s="127"/>
      <c r="SOH61" s="121"/>
      <c r="SOI61" s="5"/>
      <c r="SOJ61" s="5"/>
      <c r="SOK61" s="124"/>
      <c r="SOL61" s="121"/>
      <c r="SOM61" s="125"/>
      <c r="SON61" s="5"/>
      <c r="SOO61" s="117"/>
      <c r="SOP61" s="4"/>
      <c r="SOQ61" s="126"/>
      <c r="SOR61" s="127"/>
      <c r="SOS61" s="121"/>
      <c r="SOT61" s="5"/>
      <c r="SOU61" s="5"/>
      <c r="SOV61" s="124"/>
      <c r="SOW61" s="121"/>
      <c r="SOX61" s="125"/>
      <c r="SOY61" s="5"/>
      <c r="SOZ61" s="117"/>
      <c r="SPA61" s="4"/>
      <c r="SPB61" s="126"/>
      <c r="SPC61" s="127"/>
      <c r="SPD61" s="121"/>
      <c r="SPE61" s="5"/>
      <c r="SPF61" s="5"/>
      <c r="SPG61" s="124"/>
      <c r="SPH61" s="121"/>
      <c r="SPI61" s="125"/>
      <c r="SPJ61" s="5"/>
      <c r="SPK61" s="117"/>
      <c r="SPL61" s="4"/>
      <c r="SPM61" s="126"/>
      <c r="SPN61" s="127"/>
      <c r="SPO61" s="121"/>
      <c r="SPP61" s="5"/>
      <c r="SPQ61" s="5"/>
      <c r="SPR61" s="124"/>
      <c r="SPS61" s="121"/>
      <c r="SPT61" s="125"/>
      <c r="SPU61" s="5"/>
      <c r="SPV61" s="117"/>
      <c r="SPW61" s="4"/>
      <c r="SPX61" s="126"/>
      <c r="SPY61" s="127"/>
      <c r="SPZ61" s="121"/>
      <c r="SQA61" s="5"/>
      <c r="SQB61" s="5"/>
      <c r="SQC61" s="124"/>
      <c r="SQD61" s="121"/>
      <c r="SQE61" s="125"/>
      <c r="SQF61" s="5"/>
      <c r="SQG61" s="117"/>
      <c r="SQH61" s="4"/>
      <c r="SQI61" s="126"/>
      <c r="SQJ61" s="127"/>
      <c r="SQK61" s="121"/>
      <c r="SQL61" s="5"/>
      <c r="SQM61" s="5"/>
      <c r="SQN61" s="124"/>
      <c r="SQO61" s="121"/>
      <c r="SQP61" s="125"/>
      <c r="SQQ61" s="5"/>
      <c r="SQR61" s="117"/>
      <c r="SQS61" s="4"/>
      <c r="SQT61" s="126"/>
      <c r="SQU61" s="127"/>
      <c r="SQV61" s="121"/>
      <c r="SQW61" s="5"/>
      <c r="SQX61" s="5"/>
      <c r="SQY61" s="124"/>
      <c r="SQZ61" s="121"/>
      <c r="SRA61" s="125"/>
      <c r="SRB61" s="5"/>
      <c r="SRC61" s="117"/>
      <c r="SRD61" s="4"/>
      <c r="SRE61" s="126"/>
      <c r="SRF61" s="127"/>
      <c r="SRG61" s="121"/>
      <c r="SRH61" s="5"/>
      <c r="SRI61" s="5"/>
      <c r="SRJ61" s="124"/>
      <c r="SRK61" s="121"/>
      <c r="SRL61" s="125"/>
      <c r="SRM61" s="5"/>
      <c r="SRN61" s="117"/>
      <c r="SRO61" s="4"/>
      <c r="SRP61" s="126"/>
      <c r="SRQ61" s="127"/>
      <c r="SRR61" s="121"/>
      <c r="SRS61" s="5"/>
      <c r="SRT61" s="5"/>
      <c r="SRU61" s="124"/>
      <c r="SRV61" s="121"/>
      <c r="SRW61" s="125"/>
      <c r="SRX61" s="5"/>
      <c r="SRY61" s="117"/>
      <c r="SRZ61" s="4"/>
      <c r="SSA61" s="126"/>
      <c r="SSB61" s="127"/>
      <c r="SSC61" s="121"/>
      <c r="SSD61" s="5"/>
      <c r="SSE61" s="5"/>
      <c r="SSF61" s="124"/>
      <c r="SSG61" s="121"/>
      <c r="SSH61" s="125"/>
      <c r="SSI61" s="5"/>
      <c r="SSJ61" s="117"/>
      <c r="SSK61" s="4"/>
      <c r="SSL61" s="126"/>
      <c r="SSM61" s="127"/>
      <c r="SSN61" s="121"/>
      <c r="SSO61" s="5"/>
      <c r="SSP61" s="5"/>
      <c r="SSQ61" s="124"/>
      <c r="SSR61" s="121"/>
      <c r="SSS61" s="125"/>
      <c r="SST61" s="5"/>
      <c r="SSU61" s="117"/>
      <c r="SSV61" s="4"/>
      <c r="SSW61" s="126"/>
      <c r="SSX61" s="127"/>
      <c r="SSY61" s="121"/>
      <c r="SSZ61" s="5"/>
      <c r="STA61" s="5"/>
      <c r="STB61" s="124"/>
      <c r="STC61" s="121"/>
      <c r="STD61" s="125"/>
      <c r="STE61" s="5"/>
      <c r="STF61" s="117"/>
      <c r="STG61" s="4"/>
      <c r="STH61" s="126"/>
      <c r="STI61" s="127"/>
      <c r="STJ61" s="121"/>
      <c r="STK61" s="5"/>
      <c r="STL61" s="5"/>
      <c r="STM61" s="124"/>
      <c r="STN61" s="121"/>
      <c r="STO61" s="125"/>
      <c r="STP61" s="5"/>
      <c r="STQ61" s="117"/>
      <c r="STR61" s="4"/>
      <c r="STS61" s="126"/>
      <c r="STT61" s="127"/>
      <c r="STU61" s="121"/>
      <c r="STV61" s="5"/>
      <c r="STW61" s="5"/>
      <c r="STX61" s="124"/>
      <c r="STY61" s="121"/>
      <c r="STZ61" s="125"/>
      <c r="SUA61" s="5"/>
      <c r="SUB61" s="117"/>
      <c r="SUC61" s="4"/>
      <c r="SUD61" s="126"/>
      <c r="SUE61" s="127"/>
      <c r="SUF61" s="121"/>
      <c r="SUG61" s="5"/>
      <c r="SUH61" s="5"/>
      <c r="SUI61" s="124"/>
      <c r="SUJ61" s="121"/>
      <c r="SUK61" s="125"/>
      <c r="SUL61" s="5"/>
      <c r="SUM61" s="117"/>
      <c r="SUN61" s="4"/>
      <c r="SUO61" s="126"/>
      <c r="SUP61" s="127"/>
      <c r="SUQ61" s="121"/>
      <c r="SUR61" s="5"/>
      <c r="SUS61" s="5"/>
      <c r="SUT61" s="124"/>
      <c r="SUU61" s="121"/>
      <c r="SUV61" s="125"/>
      <c r="SUW61" s="5"/>
      <c r="SUX61" s="117"/>
      <c r="SUY61" s="4"/>
      <c r="SUZ61" s="126"/>
      <c r="SVA61" s="127"/>
      <c r="SVB61" s="121"/>
      <c r="SVC61" s="5"/>
      <c r="SVD61" s="5"/>
      <c r="SVE61" s="124"/>
      <c r="SVF61" s="121"/>
      <c r="SVG61" s="125"/>
      <c r="SVH61" s="5"/>
      <c r="SVI61" s="117"/>
      <c r="SVJ61" s="4"/>
      <c r="SVK61" s="126"/>
      <c r="SVL61" s="127"/>
      <c r="SVM61" s="121"/>
      <c r="SVN61" s="5"/>
      <c r="SVO61" s="5"/>
      <c r="SVP61" s="124"/>
      <c r="SVQ61" s="121"/>
      <c r="SVR61" s="125"/>
      <c r="SVS61" s="5"/>
      <c r="SVT61" s="117"/>
      <c r="SVU61" s="4"/>
      <c r="SVV61" s="126"/>
      <c r="SVW61" s="127"/>
      <c r="SVX61" s="121"/>
      <c r="SVY61" s="5"/>
      <c r="SVZ61" s="5"/>
      <c r="SWA61" s="124"/>
      <c r="SWB61" s="121"/>
      <c r="SWC61" s="125"/>
      <c r="SWD61" s="5"/>
      <c r="SWE61" s="117"/>
      <c r="SWF61" s="4"/>
      <c r="SWG61" s="126"/>
      <c r="SWH61" s="127"/>
      <c r="SWI61" s="121"/>
      <c r="SWJ61" s="5"/>
      <c r="SWK61" s="5"/>
      <c r="SWL61" s="124"/>
      <c r="SWM61" s="121"/>
      <c r="SWN61" s="125"/>
      <c r="SWO61" s="5"/>
      <c r="SWP61" s="117"/>
      <c r="SWQ61" s="4"/>
      <c r="SWR61" s="126"/>
      <c r="SWS61" s="127"/>
      <c r="SWT61" s="121"/>
      <c r="SWU61" s="5"/>
      <c r="SWV61" s="5"/>
      <c r="SWW61" s="124"/>
      <c r="SWX61" s="121"/>
      <c r="SWY61" s="125"/>
      <c r="SWZ61" s="5"/>
      <c r="SXA61" s="117"/>
      <c r="SXB61" s="4"/>
      <c r="SXC61" s="126"/>
      <c r="SXD61" s="127"/>
      <c r="SXE61" s="121"/>
      <c r="SXF61" s="5"/>
      <c r="SXG61" s="5"/>
      <c r="SXH61" s="124"/>
      <c r="SXI61" s="121"/>
      <c r="SXJ61" s="125"/>
      <c r="SXK61" s="5"/>
      <c r="SXL61" s="117"/>
      <c r="SXM61" s="4"/>
      <c r="SXN61" s="126"/>
      <c r="SXO61" s="127"/>
      <c r="SXP61" s="121"/>
      <c r="SXQ61" s="5"/>
      <c r="SXR61" s="5"/>
      <c r="SXS61" s="124"/>
      <c r="SXT61" s="121"/>
      <c r="SXU61" s="125"/>
      <c r="SXV61" s="5"/>
      <c r="SXW61" s="117"/>
      <c r="SXX61" s="4"/>
      <c r="SXY61" s="126"/>
      <c r="SXZ61" s="127"/>
      <c r="SYA61" s="121"/>
      <c r="SYB61" s="5"/>
      <c r="SYC61" s="5"/>
      <c r="SYD61" s="124"/>
      <c r="SYE61" s="121"/>
      <c r="SYF61" s="125"/>
      <c r="SYG61" s="5"/>
      <c r="SYH61" s="117"/>
      <c r="SYI61" s="4"/>
      <c r="SYJ61" s="126"/>
      <c r="SYK61" s="127"/>
      <c r="SYL61" s="121"/>
      <c r="SYM61" s="5"/>
      <c r="SYN61" s="5"/>
      <c r="SYO61" s="124"/>
      <c r="SYP61" s="121"/>
      <c r="SYQ61" s="125"/>
      <c r="SYR61" s="5"/>
      <c r="SYS61" s="117"/>
      <c r="SYT61" s="4"/>
      <c r="SYU61" s="126"/>
      <c r="SYV61" s="127"/>
      <c r="SYW61" s="121"/>
      <c r="SYX61" s="5"/>
      <c r="SYY61" s="5"/>
      <c r="SYZ61" s="124"/>
      <c r="SZA61" s="121"/>
      <c r="SZB61" s="125"/>
      <c r="SZC61" s="5"/>
      <c r="SZD61" s="117"/>
      <c r="SZE61" s="4"/>
      <c r="SZF61" s="126"/>
      <c r="SZG61" s="127"/>
      <c r="SZH61" s="121"/>
      <c r="SZI61" s="5"/>
      <c r="SZJ61" s="5"/>
      <c r="SZK61" s="124"/>
      <c r="SZL61" s="121"/>
      <c r="SZM61" s="125"/>
      <c r="SZN61" s="5"/>
      <c r="SZO61" s="117"/>
      <c r="SZP61" s="4"/>
      <c r="SZQ61" s="126"/>
      <c r="SZR61" s="127"/>
      <c r="SZS61" s="121"/>
      <c r="SZT61" s="5"/>
      <c r="SZU61" s="5"/>
      <c r="SZV61" s="124"/>
      <c r="SZW61" s="121"/>
      <c r="SZX61" s="125"/>
      <c r="SZY61" s="5"/>
      <c r="SZZ61" s="117"/>
      <c r="TAA61" s="4"/>
      <c r="TAB61" s="126"/>
      <c r="TAC61" s="127"/>
      <c r="TAD61" s="121"/>
      <c r="TAE61" s="5"/>
      <c r="TAF61" s="5"/>
      <c r="TAG61" s="124"/>
      <c r="TAH61" s="121"/>
      <c r="TAI61" s="125"/>
      <c r="TAJ61" s="5"/>
      <c r="TAK61" s="117"/>
      <c r="TAL61" s="4"/>
      <c r="TAM61" s="126"/>
      <c r="TAN61" s="127"/>
      <c r="TAO61" s="121"/>
      <c r="TAP61" s="5"/>
      <c r="TAQ61" s="5"/>
      <c r="TAR61" s="124"/>
      <c r="TAS61" s="121"/>
      <c r="TAT61" s="125"/>
      <c r="TAU61" s="5"/>
      <c r="TAV61" s="117"/>
      <c r="TAW61" s="4"/>
      <c r="TAX61" s="126"/>
      <c r="TAY61" s="127"/>
      <c r="TAZ61" s="121"/>
      <c r="TBA61" s="5"/>
      <c r="TBB61" s="5"/>
      <c r="TBC61" s="124"/>
      <c r="TBD61" s="121"/>
      <c r="TBE61" s="125"/>
      <c r="TBF61" s="5"/>
      <c r="TBG61" s="117"/>
      <c r="TBH61" s="4"/>
      <c r="TBI61" s="126"/>
      <c r="TBJ61" s="127"/>
      <c r="TBK61" s="121"/>
      <c r="TBL61" s="5"/>
      <c r="TBM61" s="5"/>
      <c r="TBN61" s="124"/>
      <c r="TBO61" s="121"/>
      <c r="TBP61" s="125"/>
      <c r="TBQ61" s="5"/>
      <c r="TBR61" s="117"/>
      <c r="TBS61" s="4"/>
      <c r="TBT61" s="126"/>
      <c r="TBU61" s="127"/>
      <c r="TBV61" s="121"/>
      <c r="TBW61" s="5"/>
      <c r="TBX61" s="5"/>
      <c r="TBY61" s="124"/>
      <c r="TBZ61" s="121"/>
      <c r="TCA61" s="125"/>
      <c r="TCB61" s="5"/>
      <c r="TCC61" s="117"/>
      <c r="TCD61" s="4"/>
      <c r="TCE61" s="126"/>
      <c r="TCF61" s="127"/>
      <c r="TCG61" s="121"/>
      <c r="TCH61" s="5"/>
      <c r="TCI61" s="5"/>
      <c r="TCJ61" s="124"/>
      <c r="TCK61" s="121"/>
      <c r="TCL61" s="125"/>
      <c r="TCM61" s="5"/>
      <c r="TCN61" s="117"/>
      <c r="TCO61" s="4"/>
      <c r="TCP61" s="126"/>
      <c r="TCQ61" s="127"/>
      <c r="TCR61" s="121"/>
      <c r="TCS61" s="5"/>
      <c r="TCT61" s="5"/>
      <c r="TCU61" s="124"/>
      <c r="TCV61" s="121"/>
      <c r="TCW61" s="125"/>
      <c r="TCX61" s="5"/>
      <c r="TCY61" s="117"/>
      <c r="TCZ61" s="4"/>
      <c r="TDA61" s="126"/>
      <c r="TDB61" s="127"/>
      <c r="TDC61" s="121"/>
      <c r="TDD61" s="5"/>
      <c r="TDE61" s="5"/>
      <c r="TDF61" s="124"/>
      <c r="TDG61" s="121"/>
      <c r="TDH61" s="125"/>
      <c r="TDI61" s="5"/>
      <c r="TDJ61" s="117"/>
      <c r="TDK61" s="4"/>
      <c r="TDL61" s="126"/>
      <c r="TDM61" s="127"/>
      <c r="TDN61" s="121"/>
      <c r="TDO61" s="5"/>
      <c r="TDP61" s="5"/>
      <c r="TDQ61" s="124"/>
      <c r="TDR61" s="121"/>
      <c r="TDS61" s="125"/>
      <c r="TDT61" s="5"/>
      <c r="TDU61" s="117"/>
      <c r="TDV61" s="4"/>
      <c r="TDW61" s="126"/>
      <c r="TDX61" s="127"/>
      <c r="TDY61" s="121"/>
      <c r="TDZ61" s="5"/>
      <c r="TEA61" s="5"/>
      <c r="TEB61" s="124"/>
      <c r="TEC61" s="121"/>
      <c r="TED61" s="125"/>
      <c r="TEE61" s="5"/>
      <c r="TEF61" s="117"/>
      <c r="TEG61" s="4"/>
      <c r="TEH61" s="126"/>
      <c r="TEI61" s="127"/>
      <c r="TEJ61" s="121"/>
      <c r="TEK61" s="5"/>
      <c r="TEL61" s="5"/>
      <c r="TEM61" s="124"/>
      <c r="TEN61" s="121"/>
      <c r="TEO61" s="125"/>
      <c r="TEP61" s="5"/>
      <c r="TEQ61" s="117"/>
      <c r="TER61" s="4"/>
      <c r="TES61" s="126"/>
      <c r="TET61" s="127"/>
      <c r="TEU61" s="121"/>
      <c r="TEV61" s="5"/>
      <c r="TEW61" s="5"/>
      <c r="TEX61" s="124"/>
      <c r="TEY61" s="121"/>
      <c r="TEZ61" s="125"/>
      <c r="TFA61" s="5"/>
      <c r="TFB61" s="117"/>
      <c r="TFC61" s="4"/>
      <c r="TFD61" s="126"/>
      <c r="TFE61" s="127"/>
      <c r="TFF61" s="121"/>
      <c r="TFG61" s="5"/>
      <c r="TFH61" s="5"/>
      <c r="TFI61" s="124"/>
      <c r="TFJ61" s="121"/>
      <c r="TFK61" s="125"/>
      <c r="TFL61" s="5"/>
      <c r="TFM61" s="117"/>
      <c r="TFN61" s="4"/>
      <c r="TFO61" s="126"/>
      <c r="TFP61" s="127"/>
      <c r="TFQ61" s="121"/>
      <c r="TFR61" s="5"/>
      <c r="TFS61" s="5"/>
      <c r="TFT61" s="124"/>
      <c r="TFU61" s="121"/>
      <c r="TFV61" s="125"/>
      <c r="TFW61" s="5"/>
      <c r="TFX61" s="117"/>
      <c r="TFY61" s="4"/>
      <c r="TFZ61" s="126"/>
      <c r="TGA61" s="127"/>
      <c r="TGB61" s="121"/>
      <c r="TGC61" s="5"/>
      <c r="TGD61" s="5"/>
      <c r="TGE61" s="124"/>
      <c r="TGF61" s="121"/>
      <c r="TGG61" s="125"/>
      <c r="TGH61" s="5"/>
      <c r="TGI61" s="117"/>
      <c r="TGJ61" s="4"/>
      <c r="TGK61" s="126"/>
      <c r="TGL61" s="127"/>
      <c r="TGM61" s="121"/>
      <c r="TGN61" s="5"/>
      <c r="TGO61" s="5"/>
      <c r="TGP61" s="124"/>
      <c r="TGQ61" s="121"/>
      <c r="TGR61" s="125"/>
      <c r="TGS61" s="5"/>
      <c r="TGT61" s="117"/>
      <c r="TGU61" s="4"/>
      <c r="TGV61" s="126"/>
      <c r="TGW61" s="127"/>
      <c r="TGX61" s="121"/>
      <c r="TGY61" s="5"/>
      <c r="TGZ61" s="5"/>
      <c r="THA61" s="124"/>
      <c r="THB61" s="121"/>
      <c r="THC61" s="125"/>
      <c r="THD61" s="5"/>
      <c r="THE61" s="117"/>
      <c r="THF61" s="4"/>
      <c r="THG61" s="126"/>
      <c r="THH61" s="127"/>
      <c r="THI61" s="121"/>
      <c r="THJ61" s="5"/>
      <c r="THK61" s="5"/>
      <c r="THL61" s="124"/>
      <c r="THM61" s="121"/>
      <c r="THN61" s="125"/>
      <c r="THO61" s="5"/>
      <c r="THP61" s="117"/>
      <c r="THQ61" s="4"/>
      <c r="THR61" s="126"/>
      <c r="THS61" s="127"/>
      <c r="THT61" s="121"/>
      <c r="THU61" s="5"/>
      <c r="THV61" s="5"/>
      <c r="THW61" s="124"/>
      <c r="THX61" s="121"/>
      <c r="THY61" s="125"/>
      <c r="THZ61" s="5"/>
      <c r="TIA61" s="117"/>
      <c r="TIB61" s="4"/>
      <c r="TIC61" s="126"/>
      <c r="TID61" s="127"/>
      <c r="TIE61" s="121"/>
      <c r="TIF61" s="5"/>
      <c r="TIG61" s="5"/>
      <c r="TIH61" s="124"/>
      <c r="TII61" s="121"/>
      <c r="TIJ61" s="125"/>
      <c r="TIK61" s="5"/>
      <c r="TIL61" s="117"/>
      <c r="TIM61" s="4"/>
      <c r="TIN61" s="126"/>
      <c r="TIO61" s="127"/>
      <c r="TIP61" s="121"/>
      <c r="TIQ61" s="5"/>
      <c r="TIR61" s="5"/>
      <c r="TIS61" s="124"/>
      <c r="TIT61" s="121"/>
      <c r="TIU61" s="125"/>
      <c r="TIV61" s="5"/>
      <c r="TIW61" s="117"/>
      <c r="TIX61" s="4"/>
      <c r="TIY61" s="126"/>
      <c r="TIZ61" s="127"/>
      <c r="TJA61" s="121"/>
      <c r="TJB61" s="5"/>
      <c r="TJC61" s="5"/>
      <c r="TJD61" s="124"/>
      <c r="TJE61" s="121"/>
      <c r="TJF61" s="125"/>
      <c r="TJG61" s="5"/>
      <c r="TJH61" s="117"/>
      <c r="TJI61" s="4"/>
      <c r="TJJ61" s="126"/>
      <c r="TJK61" s="127"/>
      <c r="TJL61" s="121"/>
      <c r="TJM61" s="5"/>
      <c r="TJN61" s="5"/>
      <c r="TJO61" s="124"/>
      <c r="TJP61" s="121"/>
      <c r="TJQ61" s="125"/>
      <c r="TJR61" s="5"/>
      <c r="TJS61" s="117"/>
      <c r="TJT61" s="4"/>
      <c r="TJU61" s="126"/>
      <c r="TJV61" s="127"/>
      <c r="TJW61" s="121"/>
      <c r="TJX61" s="5"/>
      <c r="TJY61" s="5"/>
      <c r="TJZ61" s="124"/>
      <c r="TKA61" s="121"/>
      <c r="TKB61" s="125"/>
      <c r="TKC61" s="5"/>
      <c r="TKD61" s="117"/>
      <c r="TKE61" s="4"/>
      <c r="TKF61" s="126"/>
      <c r="TKG61" s="127"/>
      <c r="TKH61" s="121"/>
      <c r="TKI61" s="5"/>
      <c r="TKJ61" s="5"/>
      <c r="TKK61" s="124"/>
      <c r="TKL61" s="121"/>
      <c r="TKM61" s="125"/>
      <c r="TKN61" s="5"/>
      <c r="TKO61" s="117"/>
      <c r="TKP61" s="4"/>
      <c r="TKQ61" s="126"/>
      <c r="TKR61" s="127"/>
      <c r="TKS61" s="121"/>
      <c r="TKT61" s="5"/>
      <c r="TKU61" s="5"/>
      <c r="TKV61" s="124"/>
      <c r="TKW61" s="121"/>
      <c r="TKX61" s="125"/>
      <c r="TKY61" s="5"/>
      <c r="TKZ61" s="117"/>
      <c r="TLA61" s="4"/>
      <c r="TLB61" s="126"/>
      <c r="TLC61" s="127"/>
      <c r="TLD61" s="121"/>
      <c r="TLE61" s="5"/>
      <c r="TLF61" s="5"/>
      <c r="TLG61" s="124"/>
      <c r="TLH61" s="121"/>
      <c r="TLI61" s="125"/>
      <c r="TLJ61" s="5"/>
      <c r="TLK61" s="117"/>
      <c r="TLL61" s="4"/>
      <c r="TLM61" s="126"/>
      <c r="TLN61" s="127"/>
      <c r="TLO61" s="121"/>
      <c r="TLP61" s="5"/>
      <c r="TLQ61" s="5"/>
      <c r="TLR61" s="124"/>
      <c r="TLS61" s="121"/>
      <c r="TLT61" s="125"/>
      <c r="TLU61" s="5"/>
      <c r="TLV61" s="117"/>
      <c r="TLW61" s="4"/>
      <c r="TLX61" s="126"/>
      <c r="TLY61" s="127"/>
      <c r="TLZ61" s="121"/>
      <c r="TMA61" s="5"/>
      <c r="TMB61" s="5"/>
      <c r="TMC61" s="124"/>
      <c r="TMD61" s="121"/>
      <c r="TME61" s="125"/>
      <c r="TMF61" s="5"/>
      <c r="TMG61" s="117"/>
      <c r="TMH61" s="4"/>
      <c r="TMI61" s="126"/>
      <c r="TMJ61" s="127"/>
      <c r="TMK61" s="121"/>
      <c r="TML61" s="5"/>
      <c r="TMM61" s="5"/>
      <c r="TMN61" s="124"/>
      <c r="TMO61" s="121"/>
      <c r="TMP61" s="125"/>
      <c r="TMQ61" s="5"/>
      <c r="TMR61" s="117"/>
      <c r="TMS61" s="4"/>
      <c r="TMT61" s="126"/>
      <c r="TMU61" s="127"/>
      <c r="TMV61" s="121"/>
      <c r="TMW61" s="5"/>
      <c r="TMX61" s="5"/>
      <c r="TMY61" s="124"/>
      <c r="TMZ61" s="121"/>
      <c r="TNA61" s="125"/>
      <c r="TNB61" s="5"/>
      <c r="TNC61" s="117"/>
      <c r="TND61" s="4"/>
      <c r="TNE61" s="126"/>
      <c r="TNF61" s="127"/>
      <c r="TNG61" s="121"/>
      <c r="TNH61" s="5"/>
      <c r="TNI61" s="5"/>
      <c r="TNJ61" s="124"/>
      <c r="TNK61" s="121"/>
      <c r="TNL61" s="125"/>
      <c r="TNM61" s="5"/>
      <c r="TNN61" s="117"/>
      <c r="TNO61" s="4"/>
      <c r="TNP61" s="126"/>
      <c r="TNQ61" s="127"/>
      <c r="TNR61" s="121"/>
      <c r="TNS61" s="5"/>
      <c r="TNT61" s="5"/>
      <c r="TNU61" s="124"/>
      <c r="TNV61" s="121"/>
      <c r="TNW61" s="125"/>
      <c r="TNX61" s="5"/>
      <c r="TNY61" s="117"/>
      <c r="TNZ61" s="4"/>
      <c r="TOA61" s="126"/>
      <c r="TOB61" s="127"/>
      <c r="TOC61" s="121"/>
      <c r="TOD61" s="5"/>
      <c r="TOE61" s="5"/>
      <c r="TOF61" s="124"/>
      <c r="TOG61" s="121"/>
      <c r="TOH61" s="125"/>
      <c r="TOI61" s="5"/>
      <c r="TOJ61" s="117"/>
      <c r="TOK61" s="4"/>
      <c r="TOL61" s="126"/>
      <c r="TOM61" s="127"/>
      <c r="TON61" s="121"/>
      <c r="TOO61" s="5"/>
      <c r="TOP61" s="5"/>
      <c r="TOQ61" s="124"/>
      <c r="TOR61" s="121"/>
      <c r="TOS61" s="125"/>
      <c r="TOT61" s="5"/>
      <c r="TOU61" s="117"/>
      <c r="TOV61" s="4"/>
      <c r="TOW61" s="126"/>
      <c r="TOX61" s="127"/>
      <c r="TOY61" s="121"/>
      <c r="TOZ61" s="5"/>
      <c r="TPA61" s="5"/>
      <c r="TPB61" s="124"/>
      <c r="TPC61" s="121"/>
      <c r="TPD61" s="125"/>
      <c r="TPE61" s="5"/>
      <c r="TPF61" s="117"/>
      <c r="TPG61" s="4"/>
      <c r="TPH61" s="126"/>
      <c r="TPI61" s="127"/>
      <c r="TPJ61" s="121"/>
      <c r="TPK61" s="5"/>
      <c r="TPL61" s="5"/>
      <c r="TPM61" s="124"/>
      <c r="TPN61" s="121"/>
      <c r="TPO61" s="125"/>
      <c r="TPP61" s="5"/>
      <c r="TPQ61" s="117"/>
      <c r="TPR61" s="4"/>
      <c r="TPS61" s="126"/>
      <c r="TPT61" s="127"/>
      <c r="TPU61" s="121"/>
      <c r="TPV61" s="5"/>
      <c r="TPW61" s="5"/>
      <c r="TPX61" s="124"/>
      <c r="TPY61" s="121"/>
      <c r="TPZ61" s="125"/>
      <c r="TQA61" s="5"/>
      <c r="TQB61" s="117"/>
      <c r="TQC61" s="4"/>
      <c r="TQD61" s="126"/>
      <c r="TQE61" s="127"/>
      <c r="TQF61" s="121"/>
      <c r="TQG61" s="5"/>
      <c r="TQH61" s="5"/>
      <c r="TQI61" s="124"/>
      <c r="TQJ61" s="121"/>
      <c r="TQK61" s="125"/>
      <c r="TQL61" s="5"/>
      <c r="TQM61" s="117"/>
      <c r="TQN61" s="4"/>
      <c r="TQO61" s="126"/>
      <c r="TQP61" s="127"/>
      <c r="TQQ61" s="121"/>
      <c r="TQR61" s="5"/>
      <c r="TQS61" s="5"/>
      <c r="TQT61" s="124"/>
      <c r="TQU61" s="121"/>
      <c r="TQV61" s="125"/>
      <c r="TQW61" s="5"/>
      <c r="TQX61" s="117"/>
      <c r="TQY61" s="4"/>
      <c r="TQZ61" s="126"/>
      <c r="TRA61" s="127"/>
      <c r="TRB61" s="121"/>
      <c r="TRC61" s="5"/>
      <c r="TRD61" s="5"/>
      <c r="TRE61" s="124"/>
      <c r="TRF61" s="121"/>
      <c r="TRG61" s="125"/>
      <c r="TRH61" s="5"/>
      <c r="TRI61" s="117"/>
      <c r="TRJ61" s="4"/>
      <c r="TRK61" s="126"/>
      <c r="TRL61" s="127"/>
      <c r="TRM61" s="121"/>
      <c r="TRN61" s="5"/>
      <c r="TRO61" s="5"/>
      <c r="TRP61" s="124"/>
      <c r="TRQ61" s="121"/>
      <c r="TRR61" s="125"/>
      <c r="TRS61" s="5"/>
      <c r="TRT61" s="117"/>
      <c r="TRU61" s="4"/>
      <c r="TRV61" s="126"/>
      <c r="TRW61" s="127"/>
      <c r="TRX61" s="121"/>
      <c r="TRY61" s="5"/>
      <c r="TRZ61" s="5"/>
      <c r="TSA61" s="124"/>
      <c r="TSB61" s="121"/>
      <c r="TSC61" s="125"/>
      <c r="TSD61" s="5"/>
      <c r="TSE61" s="117"/>
      <c r="TSF61" s="4"/>
      <c r="TSG61" s="126"/>
      <c r="TSH61" s="127"/>
      <c r="TSI61" s="121"/>
      <c r="TSJ61" s="5"/>
      <c r="TSK61" s="5"/>
      <c r="TSL61" s="124"/>
      <c r="TSM61" s="121"/>
      <c r="TSN61" s="125"/>
      <c r="TSO61" s="5"/>
      <c r="TSP61" s="117"/>
      <c r="TSQ61" s="4"/>
      <c r="TSR61" s="126"/>
      <c r="TSS61" s="127"/>
      <c r="TST61" s="121"/>
      <c r="TSU61" s="5"/>
      <c r="TSV61" s="5"/>
      <c r="TSW61" s="124"/>
      <c r="TSX61" s="121"/>
      <c r="TSY61" s="125"/>
      <c r="TSZ61" s="5"/>
      <c r="TTA61" s="117"/>
      <c r="TTB61" s="4"/>
      <c r="TTC61" s="126"/>
      <c r="TTD61" s="127"/>
      <c r="TTE61" s="121"/>
      <c r="TTF61" s="5"/>
      <c r="TTG61" s="5"/>
      <c r="TTH61" s="124"/>
      <c r="TTI61" s="121"/>
      <c r="TTJ61" s="125"/>
      <c r="TTK61" s="5"/>
      <c r="TTL61" s="117"/>
      <c r="TTM61" s="4"/>
      <c r="TTN61" s="126"/>
      <c r="TTO61" s="127"/>
      <c r="TTP61" s="121"/>
      <c r="TTQ61" s="5"/>
      <c r="TTR61" s="5"/>
      <c r="TTS61" s="124"/>
      <c r="TTT61" s="121"/>
      <c r="TTU61" s="125"/>
      <c r="TTV61" s="5"/>
      <c r="TTW61" s="117"/>
      <c r="TTX61" s="4"/>
      <c r="TTY61" s="126"/>
      <c r="TTZ61" s="127"/>
      <c r="TUA61" s="121"/>
      <c r="TUB61" s="5"/>
      <c r="TUC61" s="5"/>
      <c r="TUD61" s="124"/>
      <c r="TUE61" s="121"/>
      <c r="TUF61" s="125"/>
      <c r="TUG61" s="5"/>
      <c r="TUH61" s="117"/>
      <c r="TUI61" s="4"/>
      <c r="TUJ61" s="126"/>
      <c r="TUK61" s="127"/>
      <c r="TUL61" s="121"/>
      <c r="TUM61" s="5"/>
      <c r="TUN61" s="5"/>
      <c r="TUO61" s="124"/>
      <c r="TUP61" s="121"/>
      <c r="TUQ61" s="125"/>
      <c r="TUR61" s="5"/>
      <c r="TUS61" s="117"/>
      <c r="TUT61" s="4"/>
      <c r="TUU61" s="126"/>
      <c r="TUV61" s="127"/>
      <c r="TUW61" s="121"/>
      <c r="TUX61" s="5"/>
      <c r="TUY61" s="5"/>
      <c r="TUZ61" s="124"/>
      <c r="TVA61" s="121"/>
      <c r="TVB61" s="125"/>
      <c r="TVC61" s="5"/>
      <c r="TVD61" s="117"/>
      <c r="TVE61" s="4"/>
      <c r="TVF61" s="126"/>
      <c r="TVG61" s="127"/>
      <c r="TVH61" s="121"/>
      <c r="TVI61" s="5"/>
      <c r="TVJ61" s="5"/>
      <c r="TVK61" s="124"/>
      <c r="TVL61" s="121"/>
      <c r="TVM61" s="125"/>
      <c r="TVN61" s="5"/>
      <c r="TVO61" s="117"/>
      <c r="TVP61" s="4"/>
      <c r="TVQ61" s="126"/>
      <c r="TVR61" s="127"/>
      <c r="TVS61" s="121"/>
      <c r="TVT61" s="5"/>
      <c r="TVU61" s="5"/>
      <c r="TVV61" s="124"/>
      <c r="TVW61" s="121"/>
      <c r="TVX61" s="125"/>
      <c r="TVY61" s="5"/>
      <c r="TVZ61" s="117"/>
      <c r="TWA61" s="4"/>
      <c r="TWB61" s="126"/>
      <c r="TWC61" s="127"/>
      <c r="TWD61" s="121"/>
      <c r="TWE61" s="5"/>
      <c r="TWF61" s="5"/>
      <c r="TWG61" s="124"/>
      <c r="TWH61" s="121"/>
      <c r="TWI61" s="125"/>
      <c r="TWJ61" s="5"/>
      <c r="TWK61" s="117"/>
      <c r="TWL61" s="4"/>
      <c r="TWM61" s="126"/>
      <c r="TWN61" s="127"/>
      <c r="TWO61" s="121"/>
      <c r="TWP61" s="5"/>
      <c r="TWQ61" s="5"/>
      <c r="TWR61" s="124"/>
      <c r="TWS61" s="121"/>
      <c r="TWT61" s="125"/>
      <c r="TWU61" s="5"/>
      <c r="TWV61" s="117"/>
      <c r="TWW61" s="4"/>
      <c r="TWX61" s="126"/>
      <c r="TWY61" s="127"/>
      <c r="TWZ61" s="121"/>
      <c r="TXA61" s="5"/>
      <c r="TXB61" s="5"/>
      <c r="TXC61" s="124"/>
      <c r="TXD61" s="121"/>
      <c r="TXE61" s="125"/>
      <c r="TXF61" s="5"/>
      <c r="TXG61" s="117"/>
      <c r="TXH61" s="4"/>
      <c r="TXI61" s="126"/>
      <c r="TXJ61" s="127"/>
      <c r="TXK61" s="121"/>
      <c r="TXL61" s="5"/>
      <c r="TXM61" s="5"/>
      <c r="TXN61" s="124"/>
      <c r="TXO61" s="121"/>
      <c r="TXP61" s="125"/>
      <c r="TXQ61" s="5"/>
      <c r="TXR61" s="117"/>
      <c r="TXS61" s="4"/>
      <c r="TXT61" s="126"/>
      <c r="TXU61" s="127"/>
      <c r="TXV61" s="121"/>
      <c r="TXW61" s="5"/>
      <c r="TXX61" s="5"/>
      <c r="TXY61" s="124"/>
      <c r="TXZ61" s="121"/>
      <c r="TYA61" s="125"/>
      <c r="TYB61" s="5"/>
      <c r="TYC61" s="117"/>
      <c r="TYD61" s="4"/>
      <c r="TYE61" s="126"/>
      <c r="TYF61" s="127"/>
      <c r="TYG61" s="121"/>
      <c r="TYH61" s="5"/>
      <c r="TYI61" s="5"/>
      <c r="TYJ61" s="124"/>
      <c r="TYK61" s="121"/>
      <c r="TYL61" s="125"/>
      <c r="TYM61" s="5"/>
      <c r="TYN61" s="117"/>
      <c r="TYO61" s="4"/>
      <c r="TYP61" s="126"/>
      <c r="TYQ61" s="127"/>
      <c r="TYR61" s="121"/>
      <c r="TYS61" s="5"/>
      <c r="TYT61" s="5"/>
      <c r="TYU61" s="124"/>
      <c r="TYV61" s="121"/>
      <c r="TYW61" s="125"/>
      <c r="TYX61" s="5"/>
      <c r="TYY61" s="117"/>
      <c r="TYZ61" s="4"/>
      <c r="TZA61" s="126"/>
      <c r="TZB61" s="127"/>
      <c r="TZC61" s="121"/>
      <c r="TZD61" s="5"/>
      <c r="TZE61" s="5"/>
      <c r="TZF61" s="124"/>
      <c r="TZG61" s="121"/>
      <c r="TZH61" s="125"/>
      <c r="TZI61" s="5"/>
      <c r="TZJ61" s="117"/>
      <c r="TZK61" s="4"/>
      <c r="TZL61" s="126"/>
      <c r="TZM61" s="127"/>
      <c r="TZN61" s="121"/>
      <c r="TZO61" s="5"/>
      <c r="TZP61" s="5"/>
      <c r="TZQ61" s="124"/>
      <c r="TZR61" s="121"/>
      <c r="TZS61" s="125"/>
      <c r="TZT61" s="5"/>
      <c r="TZU61" s="117"/>
      <c r="TZV61" s="4"/>
      <c r="TZW61" s="126"/>
      <c r="TZX61" s="127"/>
      <c r="TZY61" s="121"/>
      <c r="TZZ61" s="5"/>
      <c r="UAA61" s="5"/>
      <c r="UAB61" s="124"/>
      <c r="UAC61" s="121"/>
      <c r="UAD61" s="125"/>
      <c r="UAE61" s="5"/>
      <c r="UAF61" s="117"/>
      <c r="UAG61" s="4"/>
      <c r="UAH61" s="126"/>
      <c r="UAI61" s="127"/>
      <c r="UAJ61" s="121"/>
      <c r="UAK61" s="5"/>
      <c r="UAL61" s="5"/>
      <c r="UAM61" s="124"/>
      <c r="UAN61" s="121"/>
      <c r="UAO61" s="125"/>
      <c r="UAP61" s="5"/>
      <c r="UAQ61" s="117"/>
      <c r="UAR61" s="4"/>
      <c r="UAS61" s="126"/>
      <c r="UAT61" s="127"/>
      <c r="UAU61" s="121"/>
      <c r="UAV61" s="5"/>
      <c r="UAW61" s="5"/>
      <c r="UAX61" s="124"/>
      <c r="UAY61" s="121"/>
      <c r="UAZ61" s="125"/>
      <c r="UBA61" s="5"/>
      <c r="UBB61" s="117"/>
      <c r="UBC61" s="4"/>
      <c r="UBD61" s="126"/>
      <c r="UBE61" s="127"/>
      <c r="UBF61" s="121"/>
      <c r="UBG61" s="5"/>
      <c r="UBH61" s="5"/>
      <c r="UBI61" s="124"/>
      <c r="UBJ61" s="121"/>
      <c r="UBK61" s="125"/>
      <c r="UBL61" s="5"/>
      <c r="UBM61" s="117"/>
      <c r="UBN61" s="4"/>
      <c r="UBO61" s="126"/>
      <c r="UBP61" s="127"/>
      <c r="UBQ61" s="121"/>
      <c r="UBR61" s="5"/>
      <c r="UBS61" s="5"/>
      <c r="UBT61" s="124"/>
      <c r="UBU61" s="121"/>
      <c r="UBV61" s="125"/>
      <c r="UBW61" s="5"/>
      <c r="UBX61" s="117"/>
      <c r="UBY61" s="4"/>
      <c r="UBZ61" s="126"/>
      <c r="UCA61" s="127"/>
      <c r="UCB61" s="121"/>
      <c r="UCC61" s="5"/>
      <c r="UCD61" s="5"/>
      <c r="UCE61" s="124"/>
      <c r="UCF61" s="121"/>
      <c r="UCG61" s="125"/>
      <c r="UCH61" s="5"/>
      <c r="UCI61" s="117"/>
      <c r="UCJ61" s="4"/>
      <c r="UCK61" s="126"/>
      <c r="UCL61" s="127"/>
      <c r="UCM61" s="121"/>
      <c r="UCN61" s="5"/>
      <c r="UCO61" s="5"/>
      <c r="UCP61" s="124"/>
      <c r="UCQ61" s="121"/>
      <c r="UCR61" s="125"/>
      <c r="UCS61" s="5"/>
      <c r="UCT61" s="117"/>
      <c r="UCU61" s="4"/>
      <c r="UCV61" s="126"/>
      <c r="UCW61" s="127"/>
      <c r="UCX61" s="121"/>
      <c r="UCY61" s="5"/>
      <c r="UCZ61" s="5"/>
      <c r="UDA61" s="124"/>
      <c r="UDB61" s="121"/>
      <c r="UDC61" s="125"/>
      <c r="UDD61" s="5"/>
      <c r="UDE61" s="117"/>
      <c r="UDF61" s="4"/>
      <c r="UDG61" s="126"/>
      <c r="UDH61" s="127"/>
      <c r="UDI61" s="121"/>
      <c r="UDJ61" s="5"/>
      <c r="UDK61" s="5"/>
      <c r="UDL61" s="124"/>
      <c r="UDM61" s="121"/>
      <c r="UDN61" s="125"/>
      <c r="UDO61" s="5"/>
      <c r="UDP61" s="117"/>
      <c r="UDQ61" s="4"/>
      <c r="UDR61" s="126"/>
      <c r="UDS61" s="127"/>
      <c r="UDT61" s="121"/>
      <c r="UDU61" s="5"/>
      <c r="UDV61" s="5"/>
      <c r="UDW61" s="124"/>
      <c r="UDX61" s="121"/>
      <c r="UDY61" s="125"/>
      <c r="UDZ61" s="5"/>
      <c r="UEA61" s="117"/>
      <c r="UEB61" s="4"/>
      <c r="UEC61" s="126"/>
      <c r="UED61" s="127"/>
      <c r="UEE61" s="121"/>
      <c r="UEF61" s="5"/>
      <c r="UEG61" s="5"/>
      <c r="UEH61" s="124"/>
      <c r="UEI61" s="121"/>
      <c r="UEJ61" s="125"/>
      <c r="UEK61" s="5"/>
      <c r="UEL61" s="117"/>
      <c r="UEM61" s="4"/>
      <c r="UEN61" s="126"/>
      <c r="UEO61" s="127"/>
      <c r="UEP61" s="121"/>
      <c r="UEQ61" s="5"/>
      <c r="UER61" s="5"/>
      <c r="UES61" s="124"/>
      <c r="UET61" s="121"/>
      <c r="UEU61" s="125"/>
      <c r="UEV61" s="5"/>
      <c r="UEW61" s="117"/>
      <c r="UEX61" s="4"/>
      <c r="UEY61" s="126"/>
      <c r="UEZ61" s="127"/>
      <c r="UFA61" s="121"/>
      <c r="UFB61" s="5"/>
      <c r="UFC61" s="5"/>
      <c r="UFD61" s="124"/>
      <c r="UFE61" s="121"/>
      <c r="UFF61" s="125"/>
      <c r="UFG61" s="5"/>
      <c r="UFH61" s="117"/>
      <c r="UFI61" s="4"/>
      <c r="UFJ61" s="126"/>
      <c r="UFK61" s="127"/>
      <c r="UFL61" s="121"/>
      <c r="UFM61" s="5"/>
      <c r="UFN61" s="5"/>
      <c r="UFO61" s="124"/>
      <c r="UFP61" s="121"/>
      <c r="UFQ61" s="125"/>
      <c r="UFR61" s="5"/>
      <c r="UFS61" s="117"/>
      <c r="UFT61" s="4"/>
      <c r="UFU61" s="126"/>
      <c r="UFV61" s="127"/>
      <c r="UFW61" s="121"/>
      <c r="UFX61" s="5"/>
      <c r="UFY61" s="5"/>
      <c r="UFZ61" s="124"/>
      <c r="UGA61" s="121"/>
      <c r="UGB61" s="125"/>
      <c r="UGC61" s="5"/>
      <c r="UGD61" s="117"/>
      <c r="UGE61" s="4"/>
      <c r="UGF61" s="126"/>
      <c r="UGG61" s="127"/>
      <c r="UGH61" s="121"/>
      <c r="UGI61" s="5"/>
      <c r="UGJ61" s="5"/>
      <c r="UGK61" s="124"/>
      <c r="UGL61" s="121"/>
      <c r="UGM61" s="125"/>
      <c r="UGN61" s="5"/>
      <c r="UGO61" s="117"/>
      <c r="UGP61" s="4"/>
      <c r="UGQ61" s="126"/>
      <c r="UGR61" s="127"/>
      <c r="UGS61" s="121"/>
      <c r="UGT61" s="5"/>
      <c r="UGU61" s="5"/>
      <c r="UGV61" s="124"/>
      <c r="UGW61" s="121"/>
      <c r="UGX61" s="125"/>
      <c r="UGY61" s="5"/>
      <c r="UGZ61" s="117"/>
      <c r="UHA61" s="4"/>
      <c r="UHB61" s="126"/>
      <c r="UHC61" s="127"/>
      <c r="UHD61" s="121"/>
      <c r="UHE61" s="5"/>
      <c r="UHF61" s="5"/>
      <c r="UHG61" s="124"/>
      <c r="UHH61" s="121"/>
      <c r="UHI61" s="125"/>
      <c r="UHJ61" s="5"/>
      <c r="UHK61" s="117"/>
      <c r="UHL61" s="4"/>
      <c r="UHM61" s="126"/>
      <c r="UHN61" s="127"/>
      <c r="UHO61" s="121"/>
      <c r="UHP61" s="5"/>
      <c r="UHQ61" s="5"/>
      <c r="UHR61" s="124"/>
      <c r="UHS61" s="121"/>
      <c r="UHT61" s="125"/>
      <c r="UHU61" s="5"/>
      <c r="UHV61" s="117"/>
      <c r="UHW61" s="4"/>
      <c r="UHX61" s="126"/>
      <c r="UHY61" s="127"/>
      <c r="UHZ61" s="121"/>
      <c r="UIA61" s="5"/>
      <c r="UIB61" s="5"/>
      <c r="UIC61" s="124"/>
      <c r="UID61" s="121"/>
      <c r="UIE61" s="125"/>
      <c r="UIF61" s="5"/>
      <c r="UIG61" s="117"/>
      <c r="UIH61" s="4"/>
      <c r="UII61" s="126"/>
      <c r="UIJ61" s="127"/>
      <c r="UIK61" s="121"/>
      <c r="UIL61" s="5"/>
      <c r="UIM61" s="5"/>
      <c r="UIN61" s="124"/>
      <c r="UIO61" s="121"/>
      <c r="UIP61" s="125"/>
      <c r="UIQ61" s="5"/>
      <c r="UIR61" s="117"/>
      <c r="UIS61" s="4"/>
      <c r="UIT61" s="126"/>
      <c r="UIU61" s="127"/>
      <c r="UIV61" s="121"/>
      <c r="UIW61" s="5"/>
      <c r="UIX61" s="5"/>
      <c r="UIY61" s="124"/>
      <c r="UIZ61" s="121"/>
      <c r="UJA61" s="125"/>
      <c r="UJB61" s="5"/>
      <c r="UJC61" s="117"/>
      <c r="UJD61" s="4"/>
      <c r="UJE61" s="126"/>
      <c r="UJF61" s="127"/>
      <c r="UJG61" s="121"/>
      <c r="UJH61" s="5"/>
      <c r="UJI61" s="5"/>
      <c r="UJJ61" s="124"/>
      <c r="UJK61" s="121"/>
      <c r="UJL61" s="125"/>
      <c r="UJM61" s="5"/>
      <c r="UJN61" s="117"/>
      <c r="UJO61" s="4"/>
      <c r="UJP61" s="126"/>
      <c r="UJQ61" s="127"/>
      <c r="UJR61" s="121"/>
      <c r="UJS61" s="5"/>
      <c r="UJT61" s="5"/>
      <c r="UJU61" s="124"/>
      <c r="UJV61" s="121"/>
      <c r="UJW61" s="125"/>
      <c r="UJX61" s="5"/>
      <c r="UJY61" s="117"/>
      <c r="UJZ61" s="4"/>
      <c r="UKA61" s="126"/>
      <c r="UKB61" s="127"/>
      <c r="UKC61" s="121"/>
      <c r="UKD61" s="5"/>
      <c r="UKE61" s="5"/>
      <c r="UKF61" s="124"/>
      <c r="UKG61" s="121"/>
      <c r="UKH61" s="125"/>
      <c r="UKI61" s="5"/>
      <c r="UKJ61" s="117"/>
      <c r="UKK61" s="4"/>
      <c r="UKL61" s="126"/>
      <c r="UKM61" s="127"/>
      <c r="UKN61" s="121"/>
      <c r="UKO61" s="5"/>
      <c r="UKP61" s="5"/>
      <c r="UKQ61" s="124"/>
      <c r="UKR61" s="121"/>
      <c r="UKS61" s="125"/>
      <c r="UKT61" s="5"/>
      <c r="UKU61" s="117"/>
      <c r="UKV61" s="4"/>
      <c r="UKW61" s="126"/>
      <c r="UKX61" s="127"/>
      <c r="UKY61" s="121"/>
      <c r="UKZ61" s="5"/>
      <c r="ULA61" s="5"/>
      <c r="ULB61" s="124"/>
      <c r="ULC61" s="121"/>
      <c r="ULD61" s="125"/>
      <c r="ULE61" s="5"/>
      <c r="ULF61" s="117"/>
      <c r="ULG61" s="4"/>
      <c r="ULH61" s="126"/>
      <c r="ULI61" s="127"/>
      <c r="ULJ61" s="121"/>
      <c r="ULK61" s="5"/>
      <c r="ULL61" s="5"/>
      <c r="ULM61" s="124"/>
      <c r="ULN61" s="121"/>
      <c r="ULO61" s="125"/>
      <c r="ULP61" s="5"/>
      <c r="ULQ61" s="117"/>
      <c r="ULR61" s="4"/>
      <c r="ULS61" s="126"/>
      <c r="ULT61" s="127"/>
      <c r="ULU61" s="121"/>
      <c r="ULV61" s="5"/>
      <c r="ULW61" s="5"/>
      <c r="ULX61" s="124"/>
      <c r="ULY61" s="121"/>
      <c r="ULZ61" s="125"/>
      <c r="UMA61" s="5"/>
      <c r="UMB61" s="117"/>
      <c r="UMC61" s="4"/>
      <c r="UMD61" s="126"/>
      <c r="UME61" s="127"/>
      <c r="UMF61" s="121"/>
      <c r="UMG61" s="5"/>
      <c r="UMH61" s="5"/>
      <c r="UMI61" s="124"/>
      <c r="UMJ61" s="121"/>
      <c r="UMK61" s="125"/>
      <c r="UML61" s="5"/>
      <c r="UMM61" s="117"/>
      <c r="UMN61" s="4"/>
      <c r="UMO61" s="126"/>
      <c r="UMP61" s="127"/>
      <c r="UMQ61" s="121"/>
      <c r="UMR61" s="5"/>
      <c r="UMS61" s="5"/>
      <c r="UMT61" s="124"/>
      <c r="UMU61" s="121"/>
      <c r="UMV61" s="125"/>
      <c r="UMW61" s="5"/>
      <c r="UMX61" s="117"/>
      <c r="UMY61" s="4"/>
      <c r="UMZ61" s="126"/>
      <c r="UNA61" s="127"/>
      <c r="UNB61" s="121"/>
      <c r="UNC61" s="5"/>
      <c r="UND61" s="5"/>
      <c r="UNE61" s="124"/>
      <c r="UNF61" s="121"/>
      <c r="UNG61" s="125"/>
      <c r="UNH61" s="5"/>
      <c r="UNI61" s="117"/>
      <c r="UNJ61" s="4"/>
      <c r="UNK61" s="126"/>
      <c r="UNL61" s="127"/>
      <c r="UNM61" s="121"/>
      <c r="UNN61" s="5"/>
      <c r="UNO61" s="5"/>
      <c r="UNP61" s="124"/>
      <c r="UNQ61" s="121"/>
      <c r="UNR61" s="125"/>
      <c r="UNS61" s="5"/>
      <c r="UNT61" s="117"/>
      <c r="UNU61" s="4"/>
      <c r="UNV61" s="126"/>
      <c r="UNW61" s="127"/>
      <c r="UNX61" s="121"/>
      <c r="UNY61" s="5"/>
      <c r="UNZ61" s="5"/>
      <c r="UOA61" s="124"/>
      <c r="UOB61" s="121"/>
      <c r="UOC61" s="125"/>
      <c r="UOD61" s="5"/>
      <c r="UOE61" s="117"/>
      <c r="UOF61" s="4"/>
      <c r="UOG61" s="126"/>
      <c r="UOH61" s="127"/>
      <c r="UOI61" s="121"/>
      <c r="UOJ61" s="5"/>
      <c r="UOK61" s="5"/>
      <c r="UOL61" s="124"/>
      <c r="UOM61" s="121"/>
      <c r="UON61" s="125"/>
      <c r="UOO61" s="5"/>
      <c r="UOP61" s="117"/>
      <c r="UOQ61" s="4"/>
      <c r="UOR61" s="126"/>
      <c r="UOS61" s="127"/>
      <c r="UOT61" s="121"/>
      <c r="UOU61" s="5"/>
      <c r="UOV61" s="5"/>
      <c r="UOW61" s="124"/>
      <c r="UOX61" s="121"/>
      <c r="UOY61" s="125"/>
      <c r="UOZ61" s="5"/>
      <c r="UPA61" s="117"/>
      <c r="UPB61" s="4"/>
      <c r="UPC61" s="126"/>
      <c r="UPD61" s="127"/>
      <c r="UPE61" s="121"/>
      <c r="UPF61" s="5"/>
      <c r="UPG61" s="5"/>
      <c r="UPH61" s="124"/>
      <c r="UPI61" s="121"/>
      <c r="UPJ61" s="125"/>
      <c r="UPK61" s="5"/>
      <c r="UPL61" s="117"/>
      <c r="UPM61" s="4"/>
      <c r="UPN61" s="126"/>
      <c r="UPO61" s="127"/>
      <c r="UPP61" s="121"/>
      <c r="UPQ61" s="5"/>
      <c r="UPR61" s="5"/>
      <c r="UPS61" s="124"/>
      <c r="UPT61" s="121"/>
      <c r="UPU61" s="125"/>
      <c r="UPV61" s="5"/>
      <c r="UPW61" s="117"/>
      <c r="UPX61" s="4"/>
      <c r="UPY61" s="126"/>
      <c r="UPZ61" s="127"/>
      <c r="UQA61" s="121"/>
      <c r="UQB61" s="5"/>
      <c r="UQC61" s="5"/>
      <c r="UQD61" s="124"/>
      <c r="UQE61" s="121"/>
      <c r="UQF61" s="125"/>
      <c r="UQG61" s="5"/>
      <c r="UQH61" s="117"/>
      <c r="UQI61" s="4"/>
      <c r="UQJ61" s="126"/>
      <c r="UQK61" s="127"/>
      <c r="UQL61" s="121"/>
      <c r="UQM61" s="5"/>
      <c r="UQN61" s="5"/>
      <c r="UQO61" s="124"/>
      <c r="UQP61" s="121"/>
      <c r="UQQ61" s="125"/>
      <c r="UQR61" s="5"/>
      <c r="UQS61" s="117"/>
      <c r="UQT61" s="4"/>
      <c r="UQU61" s="126"/>
      <c r="UQV61" s="127"/>
      <c r="UQW61" s="121"/>
      <c r="UQX61" s="5"/>
      <c r="UQY61" s="5"/>
      <c r="UQZ61" s="124"/>
      <c r="URA61" s="121"/>
      <c r="URB61" s="125"/>
      <c r="URC61" s="5"/>
      <c r="URD61" s="117"/>
      <c r="URE61" s="4"/>
      <c r="URF61" s="126"/>
      <c r="URG61" s="127"/>
      <c r="URH61" s="121"/>
      <c r="URI61" s="5"/>
      <c r="URJ61" s="5"/>
      <c r="URK61" s="124"/>
      <c r="URL61" s="121"/>
      <c r="URM61" s="125"/>
      <c r="URN61" s="5"/>
      <c r="URO61" s="117"/>
      <c r="URP61" s="4"/>
      <c r="URQ61" s="126"/>
      <c r="URR61" s="127"/>
      <c r="URS61" s="121"/>
      <c r="URT61" s="5"/>
      <c r="URU61" s="5"/>
      <c r="URV61" s="124"/>
      <c r="URW61" s="121"/>
      <c r="URX61" s="125"/>
      <c r="URY61" s="5"/>
      <c r="URZ61" s="117"/>
      <c r="USA61" s="4"/>
      <c r="USB61" s="126"/>
      <c r="USC61" s="127"/>
      <c r="USD61" s="121"/>
      <c r="USE61" s="5"/>
      <c r="USF61" s="5"/>
      <c r="USG61" s="124"/>
      <c r="USH61" s="121"/>
      <c r="USI61" s="125"/>
      <c r="USJ61" s="5"/>
      <c r="USK61" s="117"/>
      <c r="USL61" s="4"/>
      <c r="USM61" s="126"/>
      <c r="USN61" s="127"/>
      <c r="USO61" s="121"/>
      <c r="USP61" s="5"/>
      <c r="USQ61" s="5"/>
      <c r="USR61" s="124"/>
      <c r="USS61" s="121"/>
      <c r="UST61" s="125"/>
      <c r="USU61" s="5"/>
      <c r="USV61" s="117"/>
      <c r="USW61" s="4"/>
      <c r="USX61" s="126"/>
      <c r="USY61" s="127"/>
      <c r="USZ61" s="121"/>
      <c r="UTA61" s="5"/>
      <c r="UTB61" s="5"/>
      <c r="UTC61" s="124"/>
      <c r="UTD61" s="121"/>
      <c r="UTE61" s="125"/>
      <c r="UTF61" s="5"/>
      <c r="UTG61" s="117"/>
      <c r="UTH61" s="4"/>
      <c r="UTI61" s="126"/>
      <c r="UTJ61" s="127"/>
      <c r="UTK61" s="121"/>
      <c r="UTL61" s="5"/>
      <c r="UTM61" s="5"/>
      <c r="UTN61" s="124"/>
      <c r="UTO61" s="121"/>
      <c r="UTP61" s="125"/>
      <c r="UTQ61" s="5"/>
      <c r="UTR61" s="117"/>
      <c r="UTS61" s="4"/>
      <c r="UTT61" s="126"/>
      <c r="UTU61" s="127"/>
      <c r="UTV61" s="121"/>
      <c r="UTW61" s="5"/>
      <c r="UTX61" s="5"/>
      <c r="UTY61" s="124"/>
      <c r="UTZ61" s="121"/>
      <c r="UUA61" s="125"/>
      <c r="UUB61" s="5"/>
      <c r="UUC61" s="117"/>
      <c r="UUD61" s="4"/>
      <c r="UUE61" s="126"/>
      <c r="UUF61" s="127"/>
      <c r="UUG61" s="121"/>
      <c r="UUH61" s="5"/>
      <c r="UUI61" s="5"/>
      <c r="UUJ61" s="124"/>
      <c r="UUK61" s="121"/>
      <c r="UUL61" s="125"/>
      <c r="UUM61" s="5"/>
      <c r="UUN61" s="117"/>
      <c r="UUO61" s="4"/>
      <c r="UUP61" s="126"/>
      <c r="UUQ61" s="127"/>
      <c r="UUR61" s="121"/>
      <c r="UUS61" s="5"/>
      <c r="UUT61" s="5"/>
      <c r="UUU61" s="124"/>
      <c r="UUV61" s="121"/>
      <c r="UUW61" s="125"/>
      <c r="UUX61" s="5"/>
      <c r="UUY61" s="117"/>
      <c r="UUZ61" s="4"/>
      <c r="UVA61" s="126"/>
      <c r="UVB61" s="127"/>
      <c r="UVC61" s="121"/>
      <c r="UVD61" s="5"/>
      <c r="UVE61" s="5"/>
      <c r="UVF61" s="124"/>
      <c r="UVG61" s="121"/>
      <c r="UVH61" s="125"/>
      <c r="UVI61" s="5"/>
      <c r="UVJ61" s="117"/>
      <c r="UVK61" s="4"/>
      <c r="UVL61" s="126"/>
      <c r="UVM61" s="127"/>
      <c r="UVN61" s="121"/>
      <c r="UVO61" s="5"/>
      <c r="UVP61" s="5"/>
      <c r="UVQ61" s="124"/>
      <c r="UVR61" s="121"/>
      <c r="UVS61" s="125"/>
      <c r="UVT61" s="5"/>
      <c r="UVU61" s="117"/>
      <c r="UVV61" s="4"/>
      <c r="UVW61" s="126"/>
      <c r="UVX61" s="127"/>
      <c r="UVY61" s="121"/>
      <c r="UVZ61" s="5"/>
      <c r="UWA61" s="5"/>
      <c r="UWB61" s="124"/>
      <c r="UWC61" s="121"/>
      <c r="UWD61" s="125"/>
      <c r="UWE61" s="5"/>
      <c r="UWF61" s="117"/>
      <c r="UWG61" s="4"/>
      <c r="UWH61" s="126"/>
      <c r="UWI61" s="127"/>
      <c r="UWJ61" s="121"/>
      <c r="UWK61" s="5"/>
      <c r="UWL61" s="5"/>
      <c r="UWM61" s="124"/>
      <c r="UWN61" s="121"/>
      <c r="UWO61" s="125"/>
      <c r="UWP61" s="5"/>
      <c r="UWQ61" s="117"/>
      <c r="UWR61" s="4"/>
      <c r="UWS61" s="126"/>
      <c r="UWT61" s="127"/>
      <c r="UWU61" s="121"/>
      <c r="UWV61" s="5"/>
      <c r="UWW61" s="5"/>
      <c r="UWX61" s="124"/>
      <c r="UWY61" s="121"/>
      <c r="UWZ61" s="125"/>
      <c r="UXA61" s="5"/>
      <c r="UXB61" s="117"/>
      <c r="UXC61" s="4"/>
      <c r="UXD61" s="126"/>
      <c r="UXE61" s="127"/>
      <c r="UXF61" s="121"/>
      <c r="UXG61" s="5"/>
      <c r="UXH61" s="5"/>
      <c r="UXI61" s="124"/>
      <c r="UXJ61" s="121"/>
      <c r="UXK61" s="125"/>
      <c r="UXL61" s="5"/>
      <c r="UXM61" s="117"/>
      <c r="UXN61" s="4"/>
      <c r="UXO61" s="126"/>
      <c r="UXP61" s="127"/>
      <c r="UXQ61" s="121"/>
      <c r="UXR61" s="5"/>
      <c r="UXS61" s="5"/>
      <c r="UXT61" s="124"/>
      <c r="UXU61" s="121"/>
      <c r="UXV61" s="125"/>
      <c r="UXW61" s="5"/>
      <c r="UXX61" s="117"/>
      <c r="UXY61" s="4"/>
      <c r="UXZ61" s="126"/>
      <c r="UYA61" s="127"/>
      <c r="UYB61" s="121"/>
      <c r="UYC61" s="5"/>
      <c r="UYD61" s="5"/>
      <c r="UYE61" s="124"/>
      <c r="UYF61" s="121"/>
      <c r="UYG61" s="125"/>
      <c r="UYH61" s="5"/>
      <c r="UYI61" s="117"/>
      <c r="UYJ61" s="4"/>
      <c r="UYK61" s="126"/>
      <c r="UYL61" s="127"/>
      <c r="UYM61" s="121"/>
      <c r="UYN61" s="5"/>
      <c r="UYO61" s="5"/>
      <c r="UYP61" s="124"/>
      <c r="UYQ61" s="121"/>
      <c r="UYR61" s="125"/>
      <c r="UYS61" s="5"/>
      <c r="UYT61" s="117"/>
      <c r="UYU61" s="4"/>
      <c r="UYV61" s="126"/>
      <c r="UYW61" s="127"/>
      <c r="UYX61" s="121"/>
      <c r="UYY61" s="5"/>
      <c r="UYZ61" s="5"/>
      <c r="UZA61" s="124"/>
      <c r="UZB61" s="121"/>
      <c r="UZC61" s="125"/>
      <c r="UZD61" s="5"/>
      <c r="UZE61" s="117"/>
      <c r="UZF61" s="4"/>
      <c r="UZG61" s="126"/>
      <c r="UZH61" s="127"/>
      <c r="UZI61" s="121"/>
      <c r="UZJ61" s="5"/>
      <c r="UZK61" s="5"/>
      <c r="UZL61" s="124"/>
      <c r="UZM61" s="121"/>
      <c r="UZN61" s="125"/>
      <c r="UZO61" s="5"/>
      <c r="UZP61" s="117"/>
      <c r="UZQ61" s="4"/>
      <c r="UZR61" s="126"/>
      <c r="UZS61" s="127"/>
      <c r="UZT61" s="121"/>
      <c r="UZU61" s="5"/>
      <c r="UZV61" s="5"/>
      <c r="UZW61" s="124"/>
      <c r="UZX61" s="121"/>
      <c r="UZY61" s="125"/>
      <c r="UZZ61" s="5"/>
      <c r="VAA61" s="117"/>
      <c r="VAB61" s="4"/>
      <c r="VAC61" s="126"/>
      <c r="VAD61" s="127"/>
      <c r="VAE61" s="121"/>
      <c r="VAF61" s="5"/>
      <c r="VAG61" s="5"/>
      <c r="VAH61" s="124"/>
      <c r="VAI61" s="121"/>
      <c r="VAJ61" s="125"/>
      <c r="VAK61" s="5"/>
      <c r="VAL61" s="117"/>
      <c r="VAM61" s="4"/>
      <c r="VAN61" s="126"/>
      <c r="VAO61" s="127"/>
      <c r="VAP61" s="121"/>
      <c r="VAQ61" s="5"/>
      <c r="VAR61" s="5"/>
      <c r="VAS61" s="124"/>
      <c r="VAT61" s="121"/>
      <c r="VAU61" s="125"/>
      <c r="VAV61" s="5"/>
      <c r="VAW61" s="117"/>
      <c r="VAX61" s="4"/>
      <c r="VAY61" s="126"/>
      <c r="VAZ61" s="127"/>
      <c r="VBA61" s="121"/>
      <c r="VBB61" s="5"/>
      <c r="VBC61" s="5"/>
      <c r="VBD61" s="124"/>
      <c r="VBE61" s="121"/>
      <c r="VBF61" s="125"/>
      <c r="VBG61" s="5"/>
      <c r="VBH61" s="117"/>
      <c r="VBI61" s="4"/>
      <c r="VBJ61" s="126"/>
      <c r="VBK61" s="127"/>
      <c r="VBL61" s="121"/>
      <c r="VBM61" s="5"/>
      <c r="VBN61" s="5"/>
      <c r="VBO61" s="124"/>
      <c r="VBP61" s="121"/>
      <c r="VBQ61" s="125"/>
      <c r="VBR61" s="5"/>
      <c r="VBS61" s="117"/>
      <c r="VBT61" s="4"/>
      <c r="VBU61" s="126"/>
      <c r="VBV61" s="127"/>
      <c r="VBW61" s="121"/>
      <c r="VBX61" s="5"/>
      <c r="VBY61" s="5"/>
      <c r="VBZ61" s="124"/>
      <c r="VCA61" s="121"/>
      <c r="VCB61" s="125"/>
      <c r="VCC61" s="5"/>
      <c r="VCD61" s="117"/>
      <c r="VCE61" s="4"/>
      <c r="VCF61" s="126"/>
      <c r="VCG61" s="127"/>
      <c r="VCH61" s="121"/>
      <c r="VCI61" s="5"/>
      <c r="VCJ61" s="5"/>
      <c r="VCK61" s="124"/>
      <c r="VCL61" s="121"/>
      <c r="VCM61" s="125"/>
      <c r="VCN61" s="5"/>
      <c r="VCO61" s="117"/>
      <c r="VCP61" s="4"/>
      <c r="VCQ61" s="126"/>
      <c r="VCR61" s="127"/>
      <c r="VCS61" s="121"/>
      <c r="VCT61" s="5"/>
      <c r="VCU61" s="5"/>
      <c r="VCV61" s="124"/>
      <c r="VCW61" s="121"/>
      <c r="VCX61" s="125"/>
      <c r="VCY61" s="5"/>
      <c r="VCZ61" s="117"/>
      <c r="VDA61" s="4"/>
      <c r="VDB61" s="126"/>
      <c r="VDC61" s="127"/>
      <c r="VDD61" s="121"/>
      <c r="VDE61" s="5"/>
      <c r="VDF61" s="5"/>
      <c r="VDG61" s="124"/>
      <c r="VDH61" s="121"/>
      <c r="VDI61" s="125"/>
      <c r="VDJ61" s="5"/>
      <c r="VDK61" s="117"/>
      <c r="VDL61" s="4"/>
      <c r="VDM61" s="126"/>
      <c r="VDN61" s="127"/>
      <c r="VDO61" s="121"/>
      <c r="VDP61" s="5"/>
      <c r="VDQ61" s="5"/>
      <c r="VDR61" s="124"/>
      <c r="VDS61" s="121"/>
      <c r="VDT61" s="125"/>
      <c r="VDU61" s="5"/>
      <c r="VDV61" s="117"/>
      <c r="VDW61" s="4"/>
      <c r="VDX61" s="126"/>
      <c r="VDY61" s="127"/>
      <c r="VDZ61" s="121"/>
      <c r="VEA61" s="5"/>
      <c r="VEB61" s="5"/>
      <c r="VEC61" s="124"/>
      <c r="VED61" s="121"/>
      <c r="VEE61" s="125"/>
      <c r="VEF61" s="5"/>
      <c r="VEG61" s="117"/>
      <c r="VEH61" s="4"/>
      <c r="VEI61" s="126"/>
      <c r="VEJ61" s="127"/>
      <c r="VEK61" s="121"/>
      <c r="VEL61" s="5"/>
      <c r="VEM61" s="5"/>
      <c r="VEN61" s="124"/>
      <c r="VEO61" s="121"/>
      <c r="VEP61" s="125"/>
      <c r="VEQ61" s="5"/>
      <c r="VER61" s="117"/>
      <c r="VES61" s="4"/>
      <c r="VET61" s="126"/>
      <c r="VEU61" s="127"/>
      <c r="VEV61" s="121"/>
      <c r="VEW61" s="5"/>
      <c r="VEX61" s="5"/>
      <c r="VEY61" s="124"/>
      <c r="VEZ61" s="121"/>
      <c r="VFA61" s="125"/>
      <c r="VFB61" s="5"/>
      <c r="VFC61" s="117"/>
      <c r="VFD61" s="4"/>
      <c r="VFE61" s="126"/>
      <c r="VFF61" s="127"/>
      <c r="VFG61" s="121"/>
      <c r="VFH61" s="5"/>
      <c r="VFI61" s="5"/>
      <c r="VFJ61" s="124"/>
      <c r="VFK61" s="121"/>
      <c r="VFL61" s="125"/>
      <c r="VFM61" s="5"/>
      <c r="VFN61" s="117"/>
      <c r="VFO61" s="4"/>
      <c r="VFP61" s="126"/>
      <c r="VFQ61" s="127"/>
      <c r="VFR61" s="121"/>
      <c r="VFS61" s="5"/>
      <c r="VFT61" s="5"/>
      <c r="VFU61" s="124"/>
      <c r="VFV61" s="121"/>
      <c r="VFW61" s="125"/>
      <c r="VFX61" s="5"/>
      <c r="VFY61" s="117"/>
      <c r="VFZ61" s="4"/>
      <c r="VGA61" s="126"/>
      <c r="VGB61" s="127"/>
      <c r="VGC61" s="121"/>
      <c r="VGD61" s="5"/>
      <c r="VGE61" s="5"/>
      <c r="VGF61" s="124"/>
      <c r="VGG61" s="121"/>
      <c r="VGH61" s="125"/>
      <c r="VGI61" s="5"/>
      <c r="VGJ61" s="117"/>
      <c r="VGK61" s="4"/>
      <c r="VGL61" s="126"/>
      <c r="VGM61" s="127"/>
      <c r="VGN61" s="121"/>
      <c r="VGO61" s="5"/>
      <c r="VGP61" s="5"/>
      <c r="VGQ61" s="124"/>
      <c r="VGR61" s="121"/>
      <c r="VGS61" s="125"/>
      <c r="VGT61" s="5"/>
      <c r="VGU61" s="117"/>
      <c r="VGV61" s="4"/>
      <c r="VGW61" s="126"/>
      <c r="VGX61" s="127"/>
      <c r="VGY61" s="121"/>
      <c r="VGZ61" s="5"/>
      <c r="VHA61" s="5"/>
      <c r="VHB61" s="124"/>
      <c r="VHC61" s="121"/>
      <c r="VHD61" s="125"/>
      <c r="VHE61" s="5"/>
      <c r="VHF61" s="117"/>
      <c r="VHG61" s="4"/>
      <c r="VHH61" s="126"/>
      <c r="VHI61" s="127"/>
      <c r="VHJ61" s="121"/>
      <c r="VHK61" s="5"/>
      <c r="VHL61" s="5"/>
      <c r="VHM61" s="124"/>
      <c r="VHN61" s="121"/>
      <c r="VHO61" s="125"/>
      <c r="VHP61" s="5"/>
      <c r="VHQ61" s="117"/>
      <c r="VHR61" s="4"/>
      <c r="VHS61" s="126"/>
      <c r="VHT61" s="127"/>
      <c r="VHU61" s="121"/>
      <c r="VHV61" s="5"/>
      <c r="VHW61" s="5"/>
      <c r="VHX61" s="124"/>
      <c r="VHY61" s="121"/>
      <c r="VHZ61" s="125"/>
      <c r="VIA61" s="5"/>
      <c r="VIB61" s="117"/>
      <c r="VIC61" s="4"/>
      <c r="VID61" s="126"/>
      <c r="VIE61" s="127"/>
      <c r="VIF61" s="121"/>
      <c r="VIG61" s="5"/>
      <c r="VIH61" s="5"/>
      <c r="VII61" s="124"/>
      <c r="VIJ61" s="121"/>
      <c r="VIK61" s="125"/>
      <c r="VIL61" s="5"/>
      <c r="VIM61" s="117"/>
      <c r="VIN61" s="4"/>
      <c r="VIO61" s="126"/>
      <c r="VIP61" s="127"/>
      <c r="VIQ61" s="121"/>
      <c r="VIR61" s="5"/>
      <c r="VIS61" s="5"/>
      <c r="VIT61" s="124"/>
      <c r="VIU61" s="121"/>
      <c r="VIV61" s="125"/>
      <c r="VIW61" s="5"/>
      <c r="VIX61" s="117"/>
      <c r="VIY61" s="4"/>
      <c r="VIZ61" s="126"/>
      <c r="VJA61" s="127"/>
      <c r="VJB61" s="121"/>
      <c r="VJC61" s="5"/>
      <c r="VJD61" s="5"/>
      <c r="VJE61" s="124"/>
      <c r="VJF61" s="121"/>
      <c r="VJG61" s="125"/>
      <c r="VJH61" s="5"/>
      <c r="VJI61" s="117"/>
      <c r="VJJ61" s="4"/>
      <c r="VJK61" s="126"/>
      <c r="VJL61" s="127"/>
      <c r="VJM61" s="121"/>
      <c r="VJN61" s="5"/>
      <c r="VJO61" s="5"/>
      <c r="VJP61" s="124"/>
      <c r="VJQ61" s="121"/>
      <c r="VJR61" s="125"/>
      <c r="VJS61" s="5"/>
      <c r="VJT61" s="117"/>
      <c r="VJU61" s="4"/>
      <c r="VJV61" s="126"/>
      <c r="VJW61" s="127"/>
      <c r="VJX61" s="121"/>
      <c r="VJY61" s="5"/>
      <c r="VJZ61" s="5"/>
      <c r="VKA61" s="124"/>
      <c r="VKB61" s="121"/>
      <c r="VKC61" s="125"/>
      <c r="VKD61" s="5"/>
      <c r="VKE61" s="117"/>
      <c r="VKF61" s="4"/>
      <c r="VKG61" s="126"/>
      <c r="VKH61" s="127"/>
      <c r="VKI61" s="121"/>
      <c r="VKJ61" s="5"/>
      <c r="VKK61" s="5"/>
      <c r="VKL61" s="124"/>
      <c r="VKM61" s="121"/>
      <c r="VKN61" s="125"/>
      <c r="VKO61" s="5"/>
      <c r="VKP61" s="117"/>
      <c r="VKQ61" s="4"/>
      <c r="VKR61" s="126"/>
      <c r="VKS61" s="127"/>
      <c r="VKT61" s="121"/>
      <c r="VKU61" s="5"/>
      <c r="VKV61" s="5"/>
      <c r="VKW61" s="124"/>
      <c r="VKX61" s="121"/>
      <c r="VKY61" s="125"/>
      <c r="VKZ61" s="5"/>
      <c r="VLA61" s="117"/>
      <c r="VLB61" s="4"/>
      <c r="VLC61" s="126"/>
      <c r="VLD61" s="127"/>
      <c r="VLE61" s="121"/>
      <c r="VLF61" s="5"/>
      <c r="VLG61" s="5"/>
      <c r="VLH61" s="124"/>
      <c r="VLI61" s="121"/>
      <c r="VLJ61" s="125"/>
      <c r="VLK61" s="5"/>
      <c r="VLL61" s="117"/>
      <c r="VLM61" s="4"/>
      <c r="VLN61" s="126"/>
      <c r="VLO61" s="127"/>
      <c r="VLP61" s="121"/>
      <c r="VLQ61" s="5"/>
      <c r="VLR61" s="5"/>
      <c r="VLS61" s="124"/>
      <c r="VLT61" s="121"/>
      <c r="VLU61" s="125"/>
      <c r="VLV61" s="5"/>
      <c r="VLW61" s="117"/>
      <c r="VLX61" s="4"/>
      <c r="VLY61" s="126"/>
      <c r="VLZ61" s="127"/>
      <c r="VMA61" s="121"/>
      <c r="VMB61" s="5"/>
      <c r="VMC61" s="5"/>
      <c r="VMD61" s="124"/>
      <c r="VME61" s="121"/>
      <c r="VMF61" s="125"/>
      <c r="VMG61" s="5"/>
      <c r="VMH61" s="117"/>
      <c r="VMI61" s="4"/>
      <c r="VMJ61" s="126"/>
      <c r="VMK61" s="127"/>
      <c r="VML61" s="121"/>
      <c r="VMM61" s="5"/>
      <c r="VMN61" s="5"/>
      <c r="VMO61" s="124"/>
      <c r="VMP61" s="121"/>
      <c r="VMQ61" s="125"/>
      <c r="VMR61" s="5"/>
      <c r="VMS61" s="117"/>
      <c r="VMT61" s="4"/>
      <c r="VMU61" s="126"/>
      <c r="VMV61" s="127"/>
      <c r="VMW61" s="121"/>
      <c r="VMX61" s="5"/>
      <c r="VMY61" s="5"/>
      <c r="VMZ61" s="124"/>
      <c r="VNA61" s="121"/>
      <c r="VNB61" s="125"/>
      <c r="VNC61" s="5"/>
      <c r="VND61" s="117"/>
      <c r="VNE61" s="4"/>
      <c r="VNF61" s="126"/>
      <c r="VNG61" s="127"/>
      <c r="VNH61" s="121"/>
      <c r="VNI61" s="5"/>
      <c r="VNJ61" s="5"/>
      <c r="VNK61" s="124"/>
      <c r="VNL61" s="121"/>
      <c r="VNM61" s="125"/>
      <c r="VNN61" s="5"/>
      <c r="VNO61" s="117"/>
      <c r="VNP61" s="4"/>
      <c r="VNQ61" s="126"/>
      <c r="VNR61" s="127"/>
      <c r="VNS61" s="121"/>
      <c r="VNT61" s="5"/>
      <c r="VNU61" s="5"/>
      <c r="VNV61" s="124"/>
      <c r="VNW61" s="121"/>
      <c r="VNX61" s="125"/>
      <c r="VNY61" s="5"/>
      <c r="VNZ61" s="117"/>
      <c r="VOA61" s="4"/>
      <c r="VOB61" s="126"/>
      <c r="VOC61" s="127"/>
      <c r="VOD61" s="121"/>
      <c r="VOE61" s="5"/>
      <c r="VOF61" s="5"/>
      <c r="VOG61" s="124"/>
      <c r="VOH61" s="121"/>
      <c r="VOI61" s="125"/>
      <c r="VOJ61" s="5"/>
      <c r="VOK61" s="117"/>
      <c r="VOL61" s="4"/>
      <c r="VOM61" s="126"/>
      <c r="VON61" s="127"/>
      <c r="VOO61" s="121"/>
      <c r="VOP61" s="5"/>
      <c r="VOQ61" s="5"/>
      <c r="VOR61" s="124"/>
      <c r="VOS61" s="121"/>
      <c r="VOT61" s="125"/>
      <c r="VOU61" s="5"/>
      <c r="VOV61" s="117"/>
      <c r="VOW61" s="4"/>
      <c r="VOX61" s="126"/>
      <c r="VOY61" s="127"/>
      <c r="VOZ61" s="121"/>
      <c r="VPA61" s="5"/>
      <c r="VPB61" s="5"/>
      <c r="VPC61" s="124"/>
      <c r="VPD61" s="121"/>
      <c r="VPE61" s="125"/>
      <c r="VPF61" s="5"/>
      <c r="VPG61" s="117"/>
      <c r="VPH61" s="4"/>
      <c r="VPI61" s="126"/>
      <c r="VPJ61" s="127"/>
      <c r="VPK61" s="121"/>
      <c r="VPL61" s="5"/>
      <c r="VPM61" s="5"/>
      <c r="VPN61" s="124"/>
      <c r="VPO61" s="121"/>
      <c r="VPP61" s="125"/>
      <c r="VPQ61" s="5"/>
      <c r="VPR61" s="117"/>
      <c r="VPS61" s="4"/>
      <c r="VPT61" s="126"/>
      <c r="VPU61" s="127"/>
      <c r="VPV61" s="121"/>
      <c r="VPW61" s="5"/>
      <c r="VPX61" s="5"/>
      <c r="VPY61" s="124"/>
      <c r="VPZ61" s="121"/>
      <c r="VQA61" s="125"/>
      <c r="VQB61" s="5"/>
      <c r="VQC61" s="117"/>
      <c r="VQD61" s="4"/>
      <c r="VQE61" s="126"/>
      <c r="VQF61" s="127"/>
      <c r="VQG61" s="121"/>
      <c r="VQH61" s="5"/>
      <c r="VQI61" s="5"/>
      <c r="VQJ61" s="124"/>
      <c r="VQK61" s="121"/>
      <c r="VQL61" s="125"/>
      <c r="VQM61" s="5"/>
      <c r="VQN61" s="117"/>
      <c r="VQO61" s="4"/>
      <c r="VQP61" s="126"/>
      <c r="VQQ61" s="127"/>
      <c r="VQR61" s="121"/>
      <c r="VQS61" s="5"/>
      <c r="VQT61" s="5"/>
      <c r="VQU61" s="124"/>
      <c r="VQV61" s="121"/>
      <c r="VQW61" s="125"/>
      <c r="VQX61" s="5"/>
      <c r="VQY61" s="117"/>
      <c r="VQZ61" s="4"/>
      <c r="VRA61" s="126"/>
      <c r="VRB61" s="127"/>
      <c r="VRC61" s="121"/>
      <c r="VRD61" s="5"/>
      <c r="VRE61" s="5"/>
      <c r="VRF61" s="124"/>
      <c r="VRG61" s="121"/>
      <c r="VRH61" s="125"/>
      <c r="VRI61" s="5"/>
      <c r="VRJ61" s="117"/>
      <c r="VRK61" s="4"/>
      <c r="VRL61" s="126"/>
      <c r="VRM61" s="127"/>
      <c r="VRN61" s="121"/>
      <c r="VRO61" s="5"/>
      <c r="VRP61" s="5"/>
      <c r="VRQ61" s="124"/>
      <c r="VRR61" s="121"/>
      <c r="VRS61" s="125"/>
      <c r="VRT61" s="5"/>
      <c r="VRU61" s="117"/>
      <c r="VRV61" s="4"/>
      <c r="VRW61" s="126"/>
      <c r="VRX61" s="127"/>
      <c r="VRY61" s="121"/>
      <c r="VRZ61" s="5"/>
      <c r="VSA61" s="5"/>
      <c r="VSB61" s="124"/>
      <c r="VSC61" s="121"/>
      <c r="VSD61" s="125"/>
      <c r="VSE61" s="5"/>
      <c r="VSF61" s="117"/>
      <c r="VSG61" s="4"/>
      <c r="VSH61" s="126"/>
      <c r="VSI61" s="127"/>
      <c r="VSJ61" s="121"/>
      <c r="VSK61" s="5"/>
      <c r="VSL61" s="5"/>
      <c r="VSM61" s="124"/>
      <c r="VSN61" s="121"/>
      <c r="VSO61" s="125"/>
      <c r="VSP61" s="5"/>
      <c r="VSQ61" s="117"/>
      <c r="VSR61" s="4"/>
      <c r="VSS61" s="126"/>
      <c r="VST61" s="127"/>
      <c r="VSU61" s="121"/>
      <c r="VSV61" s="5"/>
      <c r="VSW61" s="5"/>
      <c r="VSX61" s="124"/>
      <c r="VSY61" s="121"/>
      <c r="VSZ61" s="125"/>
      <c r="VTA61" s="5"/>
      <c r="VTB61" s="117"/>
      <c r="VTC61" s="4"/>
      <c r="VTD61" s="126"/>
      <c r="VTE61" s="127"/>
      <c r="VTF61" s="121"/>
      <c r="VTG61" s="5"/>
      <c r="VTH61" s="5"/>
      <c r="VTI61" s="124"/>
      <c r="VTJ61" s="121"/>
      <c r="VTK61" s="125"/>
      <c r="VTL61" s="5"/>
      <c r="VTM61" s="117"/>
      <c r="VTN61" s="4"/>
      <c r="VTO61" s="126"/>
      <c r="VTP61" s="127"/>
      <c r="VTQ61" s="121"/>
      <c r="VTR61" s="5"/>
      <c r="VTS61" s="5"/>
      <c r="VTT61" s="124"/>
      <c r="VTU61" s="121"/>
      <c r="VTV61" s="125"/>
      <c r="VTW61" s="5"/>
      <c r="VTX61" s="117"/>
      <c r="VTY61" s="4"/>
      <c r="VTZ61" s="126"/>
      <c r="VUA61" s="127"/>
      <c r="VUB61" s="121"/>
      <c r="VUC61" s="5"/>
      <c r="VUD61" s="5"/>
      <c r="VUE61" s="124"/>
      <c r="VUF61" s="121"/>
      <c r="VUG61" s="125"/>
      <c r="VUH61" s="5"/>
      <c r="VUI61" s="117"/>
      <c r="VUJ61" s="4"/>
      <c r="VUK61" s="126"/>
      <c r="VUL61" s="127"/>
      <c r="VUM61" s="121"/>
      <c r="VUN61" s="5"/>
      <c r="VUO61" s="5"/>
      <c r="VUP61" s="124"/>
      <c r="VUQ61" s="121"/>
      <c r="VUR61" s="125"/>
      <c r="VUS61" s="5"/>
      <c r="VUT61" s="117"/>
      <c r="VUU61" s="4"/>
      <c r="VUV61" s="126"/>
      <c r="VUW61" s="127"/>
      <c r="VUX61" s="121"/>
      <c r="VUY61" s="5"/>
      <c r="VUZ61" s="5"/>
      <c r="VVA61" s="124"/>
      <c r="VVB61" s="121"/>
      <c r="VVC61" s="125"/>
      <c r="VVD61" s="5"/>
      <c r="VVE61" s="117"/>
      <c r="VVF61" s="4"/>
      <c r="VVG61" s="126"/>
      <c r="VVH61" s="127"/>
      <c r="VVI61" s="121"/>
      <c r="VVJ61" s="5"/>
      <c r="VVK61" s="5"/>
      <c r="VVL61" s="124"/>
      <c r="VVM61" s="121"/>
      <c r="VVN61" s="125"/>
      <c r="VVO61" s="5"/>
      <c r="VVP61" s="117"/>
      <c r="VVQ61" s="4"/>
      <c r="VVR61" s="126"/>
      <c r="VVS61" s="127"/>
      <c r="VVT61" s="121"/>
      <c r="VVU61" s="5"/>
      <c r="VVV61" s="5"/>
      <c r="VVW61" s="124"/>
      <c r="VVX61" s="121"/>
      <c r="VVY61" s="125"/>
      <c r="VVZ61" s="5"/>
      <c r="VWA61" s="117"/>
      <c r="VWB61" s="4"/>
      <c r="VWC61" s="126"/>
      <c r="VWD61" s="127"/>
      <c r="VWE61" s="121"/>
      <c r="VWF61" s="5"/>
      <c r="VWG61" s="5"/>
      <c r="VWH61" s="124"/>
      <c r="VWI61" s="121"/>
      <c r="VWJ61" s="125"/>
      <c r="VWK61" s="5"/>
      <c r="VWL61" s="117"/>
      <c r="VWM61" s="4"/>
      <c r="VWN61" s="126"/>
      <c r="VWO61" s="127"/>
      <c r="VWP61" s="121"/>
      <c r="VWQ61" s="5"/>
      <c r="VWR61" s="5"/>
      <c r="VWS61" s="124"/>
      <c r="VWT61" s="121"/>
      <c r="VWU61" s="125"/>
      <c r="VWV61" s="5"/>
      <c r="VWW61" s="117"/>
      <c r="VWX61" s="4"/>
      <c r="VWY61" s="126"/>
      <c r="VWZ61" s="127"/>
      <c r="VXA61" s="121"/>
      <c r="VXB61" s="5"/>
      <c r="VXC61" s="5"/>
      <c r="VXD61" s="124"/>
      <c r="VXE61" s="121"/>
      <c r="VXF61" s="125"/>
      <c r="VXG61" s="5"/>
      <c r="VXH61" s="117"/>
      <c r="VXI61" s="4"/>
      <c r="VXJ61" s="126"/>
      <c r="VXK61" s="127"/>
      <c r="VXL61" s="121"/>
      <c r="VXM61" s="5"/>
      <c r="VXN61" s="5"/>
      <c r="VXO61" s="124"/>
      <c r="VXP61" s="121"/>
      <c r="VXQ61" s="125"/>
      <c r="VXR61" s="5"/>
      <c r="VXS61" s="117"/>
      <c r="VXT61" s="4"/>
      <c r="VXU61" s="126"/>
      <c r="VXV61" s="127"/>
      <c r="VXW61" s="121"/>
      <c r="VXX61" s="5"/>
      <c r="VXY61" s="5"/>
      <c r="VXZ61" s="124"/>
      <c r="VYA61" s="121"/>
      <c r="VYB61" s="125"/>
      <c r="VYC61" s="5"/>
      <c r="VYD61" s="117"/>
      <c r="VYE61" s="4"/>
      <c r="VYF61" s="126"/>
      <c r="VYG61" s="127"/>
      <c r="VYH61" s="121"/>
      <c r="VYI61" s="5"/>
      <c r="VYJ61" s="5"/>
      <c r="VYK61" s="124"/>
      <c r="VYL61" s="121"/>
      <c r="VYM61" s="125"/>
      <c r="VYN61" s="5"/>
      <c r="VYO61" s="117"/>
      <c r="VYP61" s="4"/>
      <c r="VYQ61" s="126"/>
      <c r="VYR61" s="127"/>
      <c r="VYS61" s="121"/>
      <c r="VYT61" s="5"/>
      <c r="VYU61" s="5"/>
      <c r="VYV61" s="124"/>
      <c r="VYW61" s="121"/>
      <c r="VYX61" s="125"/>
      <c r="VYY61" s="5"/>
      <c r="VYZ61" s="117"/>
      <c r="VZA61" s="4"/>
      <c r="VZB61" s="126"/>
      <c r="VZC61" s="127"/>
      <c r="VZD61" s="121"/>
      <c r="VZE61" s="5"/>
      <c r="VZF61" s="5"/>
      <c r="VZG61" s="124"/>
      <c r="VZH61" s="121"/>
      <c r="VZI61" s="125"/>
      <c r="VZJ61" s="5"/>
      <c r="VZK61" s="117"/>
      <c r="VZL61" s="4"/>
      <c r="VZM61" s="126"/>
      <c r="VZN61" s="127"/>
      <c r="VZO61" s="121"/>
      <c r="VZP61" s="5"/>
      <c r="VZQ61" s="5"/>
      <c r="VZR61" s="124"/>
      <c r="VZS61" s="121"/>
      <c r="VZT61" s="125"/>
      <c r="VZU61" s="5"/>
      <c r="VZV61" s="117"/>
      <c r="VZW61" s="4"/>
      <c r="VZX61" s="126"/>
      <c r="VZY61" s="127"/>
      <c r="VZZ61" s="121"/>
      <c r="WAA61" s="5"/>
      <c r="WAB61" s="5"/>
      <c r="WAC61" s="124"/>
      <c r="WAD61" s="121"/>
      <c r="WAE61" s="125"/>
      <c r="WAF61" s="5"/>
      <c r="WAG61" s="117"/>
      <c r="WAH61" s="4"/>
      <c r="WAI61" s="126"/>
      <c r="WAJ61" s="127"/>
      <c r="WAK61" s="121"/>
      <c r="WAL61" s="5"/>
      <c r="WAM61" s="5"/>
      <c r="WAN61" s="124"/>
      <c r="WAO61" s="121"/>
      <c r="WAP61" s="125"/>
      <c r="WAQ61" s="5"/>
      <c r="WAR61" s="117"/>
      <c r="WAS61" s="4"/>
      <c r="WAT61" s="126"/>
      <c r="WAU61" s="127"/>
      <c r="WAV61" s="121"/>
      <c r="WAW61" s="5"/>
      <c r="WAX61" s="5"/>
      <c r="WAY61" s="124"/>
      <c r="WAZ61" s="121"/>
      <c r="WBA61" s="125"/>
      <c r="WBB61" s="5"/>
      <c r="WBC61" s="117"/>
      <c r="WBD61" s="4"/>
      <c r="WBE61" s="126"/>
      <c r="WBF61" s="127"/>
      <c r="WBG61" s="121"/>
      <c r="WBH61" s="5"/>
      <c r="WBI61" s="5"/>
      <c r="WBJ61" s="124"/>
      <c r="WBK61" s="121"/>
      <c r="WBL61" s="125"/>
      <c r="WBM61" s="5"/>
      <c r="WBN61" s="117"/>
      <c r="WBO61" s="4"/>
      <c r="WBP61" s="126"/>
      <c r="WBQ61" s="127"/>
      <c r="WBR61" s="121"/>
      <c r="WBS61" s="5"/>
      <c r="WBT61" s="5"/>
      <c r="WBU61" s="124"/>
      <c r="WBV61" s="121"/>
      <c r="WBW61" s="125"/>
      <c r="WBX61" s="5"/>
      <c r="WBY61" s="117"/>
      <c r="WBZ61" s="4"/>
      <c r="WCA61" s="126"/>
      <c r="WCB61" s="127"/>
      <c r="WCC61" s="121"/>
      <c r="WCD61" s="5"/>
      <c r="WCE61" s="5"/>
      <c r="WCF61" s="124"/>
      <c r="WCG61" s="121"/>
      <c r="WCH61" s="125"/>
      <c r="WCI61" s="5"/>
      <c r="WCJ61" s="117"/>
      <c r="WCK61" s="4"/>
      <c r="WCL61" s="126"/>
      <c r="WCM61" s="127"/>
      <c r="WCN61" s="121"/>
      <c r="WCO61" s="5"/>
      <c r="WCP61" s="5"/>
      <c r="WCQ61" s="124"/>
      <c r="WCR61" s="121"/>
      <c r="WCS61" s="125"/>
      <c r="WCT61" s="5"/>
      <c r="WCU61" s="117"/>
      <c r="WCV61" s="4"/>
      <c r="WCW61" s="126"/>
      <c r="WCX61" s="127"/>
      <c r="WCY61" s="121"/>
      <c r="WCZ61" s="5"/>
      <c r="WDA61" s="5"/>
      <c r="WDB61" s="124"/>
      <c r="WDC61" s="121"/>
      <c r="WDD61" s="125"/>
      <c r="WDE61" s="5"/>
      <c r="WDF61" s="117"/>
      <c r="WDG61" s="4"/>
      <c r="WDH61" s="126"/>
      <c r="WDI61" s="127"/>
      <c r="WDJ61" s="121"/>
      <c r="WDK61" s="5"/>
      <c r="WDL61" s="5"/>
      <c r="WDM61" s="124"/>
      <c r="WDN61" s="121"/>
      <c r="WDO61" s="125"/>
      <c r="WDP61" s="5"/>
      <c r="WDQ61" s="117"/>
      <c r="WDR61" s="4"/>
      <c r="WDS61" s="126"/>
      <c r="WDT61" s="127"/>
      <c r="WDU61" s="121"/>
      <c r="WDV61" s="5"/>
      <c r="WDW61" s="5"/>
      <c r="WDX61" s="124"/>
      <c r="WDY61" s="121"/>
      <c r="WDZ61" s="125"/>
      <c r="WEA61" s="5"/>
      <c r="WEB61" s="117"/>
      <c r="WEC61" s="4"/>
      <c r="WED61" s="126"/>
      <c r="WEE61" s="127"/>
      <c r="WEF61" s="121"/>
      <c r="WEG61" s="5"/>
      <c r="WEH61" s="5"/>
      <c r="WEI61" s="124"/>
      <c r="WEJ61" s="121"/>
      <c r="WEK61" s="125"/>
      <c r="WEL61" s="5"/>
      <c r="WEM61" s="117"/>
      <c r="WEN61" s="4"/>
      <c r="WEO61" s="126"/>
      <c r="WEP61" s="127"/>
      <c r="WEQ61" s="121"/>
      <c r="WER61" s="5"/>
      <c r="WES61" s="5"/>
      <c r="WET61" s="124"/>
      <c r="WEU61" s="121"/>
      <c r="WEV61" s="125"/>
      <c r="WEW61" s="5"/>
      <c r="WEX61" s="117"/>
      <c r="WEY61" s="4"/>
      <c r="WEZ61" s="126"/>
      <c r="WFA61" s="127"/>
      <c r="WFB61" s="121"/>
      <c r="WFC61" s="5"/>
      <c r="WFD61" s="5"/>
      <c r="WFE61" s="124"/>
      <c r="WFF61" s="121"/>
      <c r="WFG61" s="125"/>
      <c r="WFH61" s="5"/>
      <c r="WFI61" s="117"/>
      <c r="WFJ61" s="4"/>
      <c r="WFK61" s="126"/>
      <c r="WFL61" s="127"/>
      <c r="WFM61" s="121"/>
      <c r="WFN61" s="5"/>
      <c r="WFO61" s="5"/>
      <c r="WFP61" s="124"/>
      <c r="WFQ61" s="121"/>
      <c r="WFR61" s="125"/>
      <c r="WFS61" s="5"/>
      <c r="WFT61" s="117"/>
      <c r="WFU61" s="4"/>
      <c r="WFV61" s="126"/>
      <c r="WFW61" s="127"/>
      <c r="WFX61" s="121"/>
      <c r="WFY61" s="5"/>
      <c r="WFZ61" s="5"/>
      <c r="WGA61" s="124"/>
      <c r="WGB61" s="121"/>
      <c r="WGC61" s="125"/>
      <c r="WGD61" s="5"/>
      <c r="WGE61" s="117"/>
      <c r="WGF61" s="4"/>
      <c r="WGG61" s="126"/>
      <c r="WGH61" s="127"/>
      <c r="WGI61" s="121"/>
      <c r="WGJ61" s="5"/>
      <c r="WGK61" s="5"/>
      <c r="WGL61" s="124"/>
      <c r="WGM61" s="121"/>
      <c r="WGN61" s="125"/>
      <c r="WGO61" s="5"/>
      <c r="WGP61" s="117"/>
      <c r="WGQ61" s="4"/>
      <c r="WGR61" s="126"/>
      <c r="WGS61" s="127"/>
      <c r="WGT61" s="121"/>
      <c r="WGU61" s="5"/>
      <c r="WGV61" s="5"/>
      <c r="WGW61" s="124"/>
      <c r="WGX61" s="121"/>
      <c r="WGY61" s="125"/>
      <c r="WGZ61" s="5"/>
      <c r="WHA61" s="117"/>
      <c r="WHB61" s="4"/>
      <c r="WHC61" s="126"/>
      <c r="WHD61" s="127"/>
      <c r="WHE61" s="121"/>
      <c r="WHF61" s="5"/>
      <c r="WHG61" s="5"/>
      <c r="WHH61" s="124"/>
      <c r="WHI61" s="121"/>
      <c r="WHJ61" s="125"/>
      <c r="WHK61" s="5"/>
      <c r="WHL61" s="117"/>
      <c r="WHM61" s="4"/>
      <c r="WHN61" s="126"/>
      <c r="WHO61" s="127"/>
      <c r="WHP61" s="121"/>
      <c r="WHQ61" s="5"/>
      <c r="WHR61" s="5"/>
      <c r="WHS61" s="124"/>
      <c r="WHT61" s="121"/>
      <c r="WHU61" s="125"/>
      <c r="WHV61" s="5"/>
      <c r="WHW61" s="117"/>
      <c r="WHX61" s="4"/>
      <c r="WHY61" s="126"/>
      <c r="WHZ61" s="127"/>
      <c r="WIA61" s="121"/>
      <c r="WIB61" s="5"/>
      <c r="WIC61" s="5"/>
      <c r="WID61" s="124"/>
      <c r="WIE61" s="121"/>
      <c r="WIF61" s="125"/>
      <c r="WIG61" s="5"/>
      <c r="WIH61" s="117"/>
      <c r="WII61" s="4"/>
      <c r="WIJ61" s="126"/>
      <c r="WIK61" s="127"/>
      <c r="WIL61" s="121"/>
      <c r="WIM61" s="5"/>
      <c r="WIN61" s="5"/>
      <c r="WIO61" s="124"/>
      <c r="WIP61" s="121"/>
      <c r="WIQ61" s="125"/>
      <c r="WIR61" s="5"/>
      <c r="WIS61" s="117"/>
      <c r="WIT61" s="4"/>
      <c r="WIU61" s="126"/>
      <c r="WIV61" s="127"/>
      <c r="WIW61" s="121"/>
      <c r="WIX61" s="5"/>
      <c r="WIY61" s="5"/>
      <c r="WIZ61" s="124"/>
      <c r="WJA61" s="121"/>
      <c r="WJB61" s="125"/>
      <c r="WJC61" s="5"/>
      <c r="WJD61" s="117"/>
      <c r="WJE61" s="4"/>
      <c r="WJF61" s="126"/>
      <c r="WJG61" s="127"/>
      <c r="WJH61" s="121"/>
      <c r="WJI61" s="5"/>
      <c r="WJJ61" s="5"/>
      <c r="WJK61" s="124"/>
      <c r="WJL61" s="121"/>
      <c r="WJM61" s="125"/>
      <c r="WJN61" s="5"/>
      <c r="WJO61" s="117"/>
      <c r="WJP61" s="4"/>
      <c r="WJQ61" s="126"/>
      <c r="WJR61" s="127"/>
      <c r="WJS61" s="121"/>
      <c r="WJT61" s="5"/>
      <c r="WJU61" s="5"/>
      <c r="WJV61" s="124"/>
      <c r="WJW61" s="121"/>
      <c r="WJX61" s="125"/>
      <c r="WJY61" s="5"/>
      <c r="WJZ61" s="117"/>
      <c r="WKA61" s="4"/>
      <c r="WKB61" s="126"/>
      <c r="WKC61" s="127"/>
      <c r="WKD61" s="121"/>
      <c r="WKE61" s="5"/>
      <c r="WKF61" s="5"/>
      <c r="WKG61" s="124"/>
      <c r="WKH61" s="121"/>
      <c r="WKI61" s="125"/>
      <c r="WKJ61" s="5"/>
      <c r="WKK61" s="117"/>
      <c r="WKL61" s="4"/>
      <c r="WKM61" s="126"/>
      <c r="WKN61" s="127"/>
      <c r="WKO61" s="121"/>
      <c r="WKP61" s="5"/>
      <c r="WKQ61" s="5"/>
      <c r="WKR61" s="124"/>
      <c r="WKS61" s="121"/>
      <c r="WKT61" s="125"/>
      <c r="WKU61" s="5"/>
      <c r="WKV61" s="117"/>
      <c r="WKW61" s="4"/>
      <c r="WKX61" s="126"/>
      <c r="WKY61" s="127"/>
      <c r="WKZ61" s="121"/>
      <c r="WLA61" s="5"/>
      <c r="WLB61" s="5"/>
      <c r="WLC61" s="124"/>
      <c r="WLD61" s="121"/>
      <c r="WLE61" s="125"/>
      <c r="WLF61" s="5"/>
      <c r="WLG61" s="117"/>
      <c r="WLH61" s="4"/>
      <c r="WLI61" s="126"/>
      <c r="WLJ61" s="127"/>
      <c r="WLK61" s="121"/>
      <c r="WLL61" s="5"/>
      <c r="WLM61" s="5"/>
      <c r="WLN61" s="124"/>
      <c r="WLO61" s="121"/>
      <c r="WLP61" s="125"/>
      <c r="WLQ61" s="5"/>
      <c r="WLR61" s="117"/>
      <c r="WLS61" s="4"/>
      <c r="WLT61" s="126"/>
      <c r="WLU61" s="127"/>
      <c r="WLV61" s="121"/>
      <c r="WLW61" s="5"/>
      <c r="WLX61" s="5"/>
      <c r="WLY61" s="124"/>
      <c r="WLZ61" s="121"/>
      <c r="WMA61" s="125"/>
      <c r="WMB61" s="5"/>
      <c r="WMC61" s="117"/>
      <c r="WMD61" s="4"/>
      <c r="WME61" s="126"/>
      <c r="WMF61" s="127"/>
      <c r="WMG61" s="121"/>
      <c r="WMH61" s="5"/>
      <c r="WMI61" s="5"/>
      <c r="WMJ61" s="124"/>
      <c r="WMK61" s="121"/>
      <c r="WML61" s="125"/>
      <c r="WMM61" s="5"/>
      <c r="WMN61" s="117"/>
      <c r="WMO61" s="4"/>
      <c r="WMP61" s="126"/>
      <c r="WMQ61" s="127"/>
      <c r="WMR61" s="121"/>
      <c r="WMS61" s="5"/>
      <c r="WMT61" s="5"/>
      <c r="WMU61" s="124"/>
      <c r="WMV61" s="121"/>
      <c r="WMW61" s="125"/>
      <c r="WMX61" s="5"/>
      <c r="WMY61" s="117"/>
      <c r="WMZ61" s="4"/>
      <c r="WNA61" s="126"/>
      <c r="WNB61" s="127"/>
      <c r="WNC61" s="121"/>
      <c r="WND61" s="5"/>
      <c r="WNE61" s="5"/>
      <c r="WNF61" s="124"/>
      <c r="WNG61" s="121"/>
      <c r="WNH61" s="125"/>
      <c r="WNI61" s="5"/>
      <c r="WNJ61" s="117"/>
      <c r="WNK61" s="4"/>
      <c r="WNL61" s="126"/>
      <c r="WNM61" s="127"/>
      <c r="WNN61" s="121"/>
      <c r="WNO61" s="5"/>
      <c r="WNP61" s="5"/>
      <c r="WNQ61" s="124"/>
      <c r="WNR61" s="121"/>
      <c r="WNS61" s="125"/>
      <c r="WNT61" s="5"/>
      <c r="WNU61" s="117"/>
      <c r="WNV61" s="4"/>
      <c r="WNW61" s="126"/>
      <c r="WNX61" s="127"/>
      <c r="WNY61" s="121"/>
      <c r="WNZ61" s="5"/>
      <c r="WOA61" s="5"/>
      <c r="WOB61" s="124"/>
      <c r="WOC61" s="121"/>
      <c r="WOD61" s="125"/>
      <c r="WOE61" s="5"/>
      <c r="WOF61" s="117"/>
      <c r="WOG61" s="4"/>
      <c r="WOH61" s="126"/>
      <c r="WOI61" s="127"/>
      <c r="WOJ61" s="121"/>
      <c r="WOK61" s="5"/>
      <c r="WOL61" s="5"/>
      <c r="WOM61" s="124"/>
      <c r="WON61" s="121"/>
      <c r="WOO61" s="125"/>
      <c r="WOP61" s="5"/>
      <c r="WOQ61" s="117"/>
      <c r="WOR61" s="4"/>
      <c r="WOS61" s="126"/>
      <c r="WOT61" s="127"/>
      <c r="WOU61" s="121"/>
      <c r="WOV61" s="5"/>
      <c r="WOW61" s="5"/>
      <c r="WOX61" s="124"/>
      <c r="WOY61" s="121"/>
      <c r="WOZ61" s="125"/>
      <c r="WPA61" s="5"/>
      <c r="WPB61" s="117"/>
      <c r="WPC61" s="4"/>
      <c r="WPD61" s="126"/>
      <c r="WPE61" s="127"/>
      <c r="WPF61" s="121"/>
      <c r="WPG61" s="5"/>
      <c r="WPH61" s="5"/>
      <c r="WPI61" s="124"/>
      <c r="WPJ61" s="121"/>
      <c r="WPK61" s="125"/>
      <c r="WPL61" s="5"/>
      <c r="WPM61" s="117"/>
      <c r="WPN61" s="4"/>
      <c r="WPO61" s="126"/>
      <c r="WPP61" s="127"/>
      <c r="WPQ61" s="121"/>
      <c r="WPR61" s="5"/>
      <c r="WPS61" s="5"/>
      <c r="WPT61" s="124"/>
      <c r="WPU61" s="121"/>
      <c r="WPV61" s="125"/>
      <c r="WPW61" s="5"/>
      <c r="WPX61" s="117"/>
      <c r="WPY61" s="4"/>
      <c r="WPZ61" s="126"/>
      <c r="WQA61" s="127"/>
      <c r="WQB61" s="121"/>
      <c r="WQC61" s="5"/>
      <c r="WQD61" s="5"/>
      <c r="WQE61" s="124"/>
      <c r="WQF61" s="121"/>
      <c r="WQG61" s="125"/>
      <c r="WQH61" s="5"/>
      <c r="WQI61" s="117"/>
      <c r="WQJ61" s="4"/>
      <c r="WQK61" s="126"/>
      <c r="WQL61" s="127"/>
      <c r="WQM61" s="121"/>
      <c r="WQN61" s="5"/>
      <c r="WQO61" s="5"/>
      <c r="WQP61" s="124"/>
      <c r="WQQ61" s="121"/>
      <c r="WQR61" s="125"/>
      <c r="WQS61" s="5"/>
      <c r="WQT61" s="117"/>
      <c r="WQU61" s="4"/>
      <c r="WQV61" s="126"/>
      <c r="WQW61" s="127"/>
      <c r="WQX61" s="121"/>
      <c r="WQY61" s="5"/>
      <c r="WQZ61" s="5"/>
      <c r="WRA61" s="124"/>
      <c r="WRB61" s="121"/>
      <c r="WRC61" s="125"/>
      <c r="WRD61" s="5"/>
      <c r="WRE61" s="117"/>
      <c r="WRF61" s="4"/>
      <c r="WRG61" s="126"/>
      <c r="WRH61" s="127"/>
      <c r="WRI61" s="121"/>
      <c r="WRJ61" s="5"/>
      <c r="WRK61" s="5"/>
      <c r="WRL61" s="124"/>
      <c r="WRM61" s="121"/>
      <c r="WRN61" s="125"/>
      <c r="WRO61" s="5"/>
      <c r="WRP61" s="117"/>
      <c r="WRQ61" s="4"/>
      <c r="WRR61" s="126"/>
      <c r="WRS61" s="127"/>
      <c r="WRT61" s="121"/>
      <c r="WRU61" s="5"/>
      <c r="WRV61" s="5"/>
      <c r="WRW61" s="124"/>
      <c r="WRX61" s="121"/>
      <c r="WRY61" s="125"/>
      <c r="WRZ61" s="5"/>
      <c r="WSA61" s="117"/>
      <c r="WSB61" s="4"/>
      <c r="WSC61" s="126"/>
      <c r="WSD61" s="127"/>
      <c r="WSE61" s="121"/>
      <c r="WSF61" s="5"/>
      <c r="WSG61" s="5"/>
      <c r="WSH61" s="124"/>
      <c r="WSI61" s="121"/>
      <c r="WSJ61" s="125"/>
      <c r="WSK61" s="5"/>
      <c r="WSL61" s="117"/>
      <c r="WSM61" s="4"/>
      <c r="WSN61" s="126"/>
      <c r="WSO61" s="127"/>
      <c r="WSP61" s="121"/>
      <c r="WSQ61" s="5"/>
      <c r="WSR61" s="5"/>
      <c r="WSS61" s="124"/>
      <c r="WST61" s="121"/>
      <c r="WSU61" s="125"/>
      <c r="WSV61" s="5"/>
      <c r="WSW61" s="117"/>
      <c r="WSX61" s="4"/>
      <c r="WSY61" s="126"/>
      <c r="WSZ61" s="127"/>
      <c r="WTA61" s="121"/>
      <c r="WTB61" s="5"/>
      <c r="WTC61" s="5"/>
      <c r="WTD61" s="124"/>
      <c r="WTE61" s="121"/>
      <c r="WTF61" s="125"/>
      <c r="WTG61" s="5"/>
      <c r="WTH61" s="117"/>
      <c r="WTI61" s="4"/>
      <c r="WTJ61" s="126"/>
      <c r="WTK61" s="127"/>
      <c r="WTL61" s="121"/>
      <c r="WTM61" s="5"/>
      <c r="WTN61" s="5"/>
      <c r="WTO61" s="124"/>
      <c r="WTP61" s="121"/>
      <c r="WTQ61" s="125"/>
      <c r="WTR61" s="5"/>
      <c r="WTS61" s="117"/>
      <c r="WTT61" s="4"/>
      <c r="WTU61" s="126"/>
      <c r="WTV61" s="127"/>
      <c r="WTW61" s="121"/>
      <c r="WTX61" s="5"/>
      <c r="WTY61" s="5"/>
      <c r="WTZ61" s="124"/>
      <c r="WUA61" s="121"/>
      <c r="WUB61" s="125"/>
      <c r="WUC61" s="5"/>
      <c r="WUD61" s="117"/>
      <c r="WUE61" s="4"/>
      <c r="WUF61" s="126"/>
      <c r="WUG61" s="127"/>
      <c r="WUH61" s="121"/>
      <c r="WUI61" s="5"/>
      <c r="WUJ61" s="5"/>
      <c r="WUK61" s="124"/>
      <c r="WUL61" s="121"/>
      <c r="WUM61" s="125"/>
      <c r="WUN61" s="5"/>
      <c r="WUO61" s="117"/>
      <c r="WUP61" s="4"/>
      <c r="WUQ61" s="126"/>
      <c r="WUR61" s="127"/>
      <c r="WUS61" s="121"/>
      <c r="WUT61" s="5"/>
      <c r="WUU61" s="5"/>
      <c r="WUV61" s="124"/>
      <c r="WUW61" s="121"/>
      <c r="WUX61" s="125"/>
      <c r="WUY61" s="5"/>
      <c r="WUZ61" s="117"/>
      <c r="WVA61" s="4"/>
      <c r="WVB61" s="126"/>
      <c r="WVC61" s="127"/>
      <c r="WVD61" s="121"/>
      <c r="WVE61" s="5"/>
      <c r="WVF61" s="5"/>
      <c r="WVG61" s="124"/>
      <c r="WVH61" s="121"/>
      <c r="WVI61" s="125"/>
      <c r="WVJ61" s="5"/>
      <c r="WVK61" s="117"/>
      <c r="WVL61" s="4"/>
      <c r="WVM61" s="126"/>
      <c r="WVN61" s="127"/>
      <c r="WVO61" s="121"/>
      <c r="WVP61" s="5"/>
      <c r="WVQ61" s="5"/>
      <c r="WVR61" s="124"/>
      <c r="WVS61" s="121"/>
      <c r="WVT61" s="125"/>
      <c r="WVU61" s="5"/>
      <c r="WVV61" s="117"/>
      <c r="WVW61" s="4"/>
      <c r="WVX61" s="126"/>
      <c r="WVY61" s="127"/>
      <c r="WVZ61" s="121"/>
      <c r="WWA61" s="5"/>
      <c r="WWB61" s="5"/>
      <c r="WWC61" s="124"/>
      <c r="WWD61" s="121"/>
      <c r="WWE61" s="125"/>
      <c r="WWF61" s="5"/>
      <c r="WWG61" s="117"/>
      <c r="WWH61" s="4"/>
      <c r="WWI61" s="126"/>
      <c r="WWJ61" s="127"/>
      <c r="WWK61" s="121"/>
      <c r="WWL61" s="5"/>
      <c r="WWM61" s="5"/>
      <c r="WWN61" s="124"/>
      <c r="WWO61" s="121"/>
      <c r="WWP61" s="125"/>
      <c r="WWQ61" s="5"/>
      <c r="WWR61" s="117"/>
      <c r="WWS61" s="4"/>
      <c r="WWT61" s="126"/>
      <c r="WWU61" s="127"/>
      <c r="WWV61" s="121"/>
      <c r="WWW61" s="5"/>
      <c r="WWX61" s="5"/>
      <c r="WWY61" s="124"/>
      <c r="WWZ61" s="121"/>
      <c r="WXA61" s="125"/>
      <c r="WXB61" s="5"/>
      <c r="WXC61" s="117"/>
      <c r="WXD61" s="4"/>
      <c r="WXE61" s="126"/>
      <c r="WXF61" s="127"/>
      <c r="WXG61" s="121"/>
      <c r="WXH61" s="5"/>
      <c r="WXI61" s="5"/>
      <c r="WXJ61" s="124"/>
      <c r="WXK61" s="121"/>
      <c r="WXL61" s="125"/>
      <c r="WXM61" s="5"/>
      <c r="WXN61" s="117"/>
      <c r="WXO61" s="4"/>
      <c r="WXP61" s="126"/>
      <c r="WXQ61" s="127"/>
      <c r="WXR61" s="121"/>
      <c r="WXS61" s="5"/>
      <c r="WXT61" s="5"/>
      <c r="WXU61" s="124"/>
      <c r="WXV61" s="121"/>
      <c r="WXW61" s="125"/>
      <c r="WXX61" s="5"/>
      <c r="WXY61" s="117"/>
      <c r="WXZ61" s="4"/>
      <c r="WYA61" s="126"/>
      <c r="WYB61" s="127"/>
      <c r="WYC61" s="121"/>
      <c r="WYD61" s="5"/>
      <c r="WYE61" s="5"/>
      <c r="WYF61" s="124"/>
      <c r="WYG61" s="121"/>
      <c r="WYH61" s="125"/>
      <c r="WYI61" s="5"/>
      <c r="WYJ61" s="117"/>
      <c r="WYK61" s="4"/>
      <c r="WYL61" s="126"/>
      <c r="WYM61" s="127"/>
      <c r="WYN61" s="121"/>
      <c r="WYO61" s="5"/>
      <c r="WYP61" s="5"/>
      <c r="WYQ61" s="124"/>
      <c r="WYR61" s="121"/>
      <c r="WYS61" s="125"/>
      <c r="WYT61" s="5"/>
      <c r="WYU61" s="117"/>
      <c r="WYV61" s="4"/>
      <c r="WYW61" s="126"/>
      <c r="WYX61" s="127"/>
      <c r="WYY61" s="121"/>
      <c r="WYZ61" s="5"/>
      <c r="WZA61" s="5"/>
      <c r="WZB61" s="124"/>
      <c r="WZC61" s="121"/>
      <c r="WZD61" s="125"/>
      <c r="WZE61" s="5"/>
      <c r="WZF61" s="117"/>
      <c r="WZG61" s="4"/>
      <c r="WZH61" s="126"/>
      <c r="WZI61" s="127"/>
      <c r="WZJ61" s="121"/>
      <c r="WZK61" s="5"/>
      <c r="WZL61" s="5"/>
      <c r="WZM61" s="124"/>
      <c r="WZN61" s="121"/>
      <c r="WZO61" s="125"/>
      <c r="WZP61" s="5"/>
      <c r="WZQ61" s="117"/>
      <c r="WZR61" s="4"/>
      <c r="WZS61" s="126"/>
      <c r="WZT61" s="127"/>
      <c r="WZU61" s="121"/>
      <c r="WZV61" s="5"/>
      <c r="WZW61" s="5"/>
      <c r="WZX61" s="124"/>
      <c r="WZY61" s="121"/>
      <c r="WZZ61" s="125"/>
      <c r="XAA61" s="5"/>
      <c r="XAB61" s="117"/>
      <c r="XAC61" s="4"/>
      <c r="XAD61" s="126"/>
      <c r="XAE61" s="127"/>
      <c r="XAF61" s="121"/>
      <c r="XAG61" s="5"/>
      <c r="XAH61" s="5"/>
      <c r="XAI61" s="124"/>
      <c r="XAJ61" s="121"/>
      <c r="XAK61" s="125"/>
      <c r="XAL61" s="5"/>
      <c r="XAM61" s="117"/>
      <c r="XAN61" s="4"/>
      <c r="XAO61" s="126"/>
      <c r="XAP61" s="127"/>
      <c r="XAQ61" s="121"/>
      <c r="XAR61" s="5"/>
      <c r="XAS61" s="5"/>
      <c r="XAT61" s="124"/>
      <c r="XAU61" s="121"/>
      <c r="XAV61" s="125"/>
      <c r="XAW61" s="5"/>
      <c r="XAX61" s="117"/>
      <c r="XAY61" s="4"/>
      <c r="XAZ61" s="126"/>
      <c r="XBA61" s="127"/>
      <c r="XBB61" s="121"/>
      <c r="XBC61" s="5"/>
      <c r="XBD61" s="5"/>
      <c r="XBE61" s="124"/>
      <c r="XBF61" s="121"/>
      <c r="XBG61" s="125"/>
      <c r="XBH61" s="5"/>
      <c r="XBI61" s="117"/>
      <c r="XBJ61" s="4"/>
      <c r="XBK61" s="126"/>
      <c r="XBL61" s="127"/>
      <c r="XBM61" s="121"/>
      <c r="XBN61" s="5"/>
      <c r="XBO61" s="5"/>
      <c r="XBP61" s="124"/>
      <c r="XBQ61" s="121"/>
      <c r="XBR61" s="125"/>
      <c r="XBS61" s="5"/>
      <c r="XBT61" s="117"/>
      <c r="XBU61" s="4"/>
      <c r="XBV61" s="126"/>
      <c r="XBW61" s="127"/>
      <c r="XBX61" s="121"/>
      <c r="XBY61" s="5"/>
      <c r="XBZ61" s="5"/>
      <c r="XCA61" s="124"/>
      <c r="XCB61" s="121"/>
      <c r="XCC61" s="125"/>
      <c r="XCD61" s="5"/>
      <c r="XCE61" s="117"/>
      <c r="XCF61" s="4"/>
      <c r="XCG61" s="126"/>
      <c r="XCH61" s="127"/>
      <c r="XCI61" s="121"/>
      <c r="XCJ61" s="5"/>
      <c r="XCK61" s="5"/>
      <c r="XCL61" s="124"/>
      <c r="XCM61" s="121"/>
      <c r="XCN61" s="125"/>
      <c r="XCO61" s="5"/>
      <c r="XCP61" s="117"/>
      <c r="XCQ61" s="4"/>
      <c r="XCR61" s="126"/>
      <c r="XCS61" s="127"/>
      <c r="XCT61" s="121"/>
      <c r="XCU61" s="5"/>
      <c r="XCV61" s="5"/>
      <c r="XCW61" s="124"/>
      <c r="XCX61" s="121"/>
      <c r="XCY61" s="125"/>
      <c r="XCZ61" s="5"/>
      <c r="XDA61" s="117"/>
      <c r="XDB61" s="4"/>
      <c r="XDC61" s="126"/>
      <c r="XDD61" s="127"/>
      <c r="XDE61" s="121"/>
      <c r="XDF61" s="5"/>
      <c r="XDG61" s="5"/>
      <c r="XDH61" s="124"/>
      <c r="XDI61" s="121"/>
      <c r="XDJ61" s="125"/>
      <c r="XDK61" s="5"/>
      <c r="XDL61" s="117"/>
      <c r="XDM61" s="4"/>
      <c r="XDN61" s="126"/>
      <c r="XDO61" s="127"/>
      <c r="XDP61" s="121"/>
      <c r="XDQ61" s="5"/>
      <c r="XDR61" s="5"/>
      <c r="XDS61" s="124"/>
      <c r="XDT61" s="121"/>
      <c r="XDU61" s="125"/>
      <c r="XDV61" s="5"/>
      <c r="XDW61" s="117"/>
      <c r="XDX61" s="4"/>
      <c r="XDY61" s="126"/>
      <c r="XDZ61" s="127"/>
      <c r="XEA61" s="121"/>
      <c r="XEB61" s="5"/>
      <c r="XEC61" s="5"/>
      <c r="XED61" s="124"/>
      <c r="XEE61" s="121"/>
      <c r="XEF61" s="125"/>
      <c r="XEG61" s="5"/>
      <c r="XEH61" s="117"/>
      <c r="XEI61" s="4"/>
      <c r="XEJ61" s="126"/>
      <c r="XEK61" s="127"/>
      <c r="XEL61" s="121"/>
      <c r="XEM61" s="5"/>
      <c r="XEN61" s="5"/>
      <c r="XEO61" s="124"/>
      <c r="XEP61" s="121"/>
      <c r="XEQ61" s="125"/>
      <c r="XER61" s="5"/>
      <c r="XES61" s="117"/>
      <c r="XET61" s="4"/>
      <c r="XEU61" s="126"/>
      <c r="XEV61" s="127"/>
      <c r="XEW61" s="121"/>
      <c r="XEX61" s="5"/>
      <c r="XEY61" s="5"/>
      <c r="XEZ61" s="124"/>
      <c r="XFA61" s="121"/>
      <c r="XFB61" s="125"/>
      <c r="XFC61" s="5"/>
      <c r="XFD61" s="117"/>
    </row>
    <row r="62" spans="1:16384" x14ac:dyDescent="0.3">
      <c r="P62" s="120"/>
    </row>
    <row r="63" spans="1:16384" s="118" customFormat="1" x14ac:dyDescent="0.3">
      <c r="A63" s="128" t="str">
        <f>CONCATENATE("Người đề nghị                     Phụ trách bộ phận                       Phụ trách Pricing                      Thủ trưởng đơn vị")</f>
        <v>Người đề nghị                     Phụ trách bộ phận                       Phụ trách Pricing                      Thủ trưởng đơn vị</v>
      </c>
      <c r="U63" s="123"/>
    </row>
    <row r="64" spans="1:16384" x14ac:dyDescent="0.3">
      <c r="U64" s="123"/>
    </row>
    <row r="65" spans="1:21" x14ac:dyDescent="0.3">
      <c r="U65" s="123"/>
    </row>
    <row r="66" spans="1:21" x14ac:dyDescent="0.3">
      <c r="A66" s="128" t="s">
        <v>197</v>
      </c>
      <c r="D66" s="118"/>
      <c r="E66" s="118"/>
      <c r="F66" s="118"/>
      <c r="G66" s="118"/>
      <c r="H66" s="118"/>
    </row>
    <row r="67" spans="1:21" x14ac:dyDescent="0.3">
      <c r="B67" s="121"/>
      <c r="C67" s="121"/>
      <c r="E67" s="116"/>
    </row>
    <row r="68" spans="1:21" x14ac:dyDescent="0.3">
      <c r="A68" s="128" t="s">
        <v>200</v>
      </c>
      <c r="B68" s="121"/>
      <c r="E68" s="128" t="s">
        <v>190</v>
      </c>
    </row>
    <row r="69" spans="1:21" x14ac:dyDescent="0.3">
      <c r="A69" s="128" t="s">
        <v>189</v>
      </c>
      <c r="B69" s="121"/>
      <c r="E69" s="128" t="s">
        <v>161</v>
      </c>
    </row>
    <row r="70" spans="1:21" x14ac:dyDescent="0.3">
      <c r="A70" s="121" t="s">
        <v>198</v>
      </c>
      <c r="B70" s="121"/>
      <c r="C70" s="121"/>
      <c r="E70" s="6" t="s">
        <v>199</v>
      </c>
    </row>
    <row r="72" spans="1:21" x14ac:dyDescent="0.3">
      <c r="E72" s="121"/>
      <c r="F72" s="121"/>
      <c r="G72" s="121"/>
      <c r="H72" s="121"/>
      <c r="I72" s="121"/>
      <c r="J72" s="121"/>
      <c r="K72" s="121"/>
    </row>
    <row r="78" spans="1:21" x14ac:dyDescent="0.3">
      <c r="C78" s="121"/>
      <c r="D78" s="121"/>
      <c r="E78" s="116"/>
    </row>
    <row r="79" spans="1:21" x14ac:dyDescent="0.3">
      <c r="C79" s="121"/>
      <c r="D79" s="121"/>
      <c r="E79" s="116"/>
    </row>
    <row r="80" spans="1:21" x14ac:dyDescent="0.3">
      <c r="C80" s="121"/>
      <c r="D80" s="121"/>
    </row>
    <row r="82" spans="3:10" x14ac:dyDescent="0.3">
      <c r="C82" s="121"/>
      <c r="D82" s="121"/>
      <c r="E82" s="121"/>
      <c r="F82" s="121"/>
      <c r="G82" s="121"/>
      <c r="H82" s="121"/>
      <c r="I82" s="121"/>
      <c r="J82" s="121"/>
    </row>
  </sheetData>
  <sheetProtection algorithmName="SHA-512" hashValue="IMGNaXyS7RK6eFbM7Suujri0E37misrmGT06r+7Xx8/TMtlHTgP5ORcH2sm7L3EyADm9AAaC7P5YT0AUoTTFNQ==" saltValue="ZKTebSj+dwl5dEkks6mprw==" spinCount="100000" sheet="1" objects="1" scenarios="1" selectLockedCells="1"/>
  <mergeCells count="15">
    <mergeCell ref="O7:O12"/>
    <mergeCell ref="A32:I32"/>
    <mergeCell ref="E1:K1"/>
    <mergeCell ref="E3:I3"/>
    <mergeCell ref="A11:I11"/>
    <mergeCell ref="B15:C15"/>
    <mergeCell ref="A18:I18"/>
    <mergeCell ref="B19:D19"/>
    <mergeCell ref="E2:I2"/>
    <mergeCell ref="J5:K6"/>
    <mergeCell ref="B33:D33"/>
    <mergeCell ref="A46:I46"/>
    <mergeCell ref="B47:D47"/>
    <mergeCell ref="A54:I54"/>
    <mergeCell ref="B55:D55"/>
  </mergeCells>
  <pageMargins left="0.25" right="0.25" top="0" bottom="0" header="0.31496062992126" footer="0.31496062992126"/>
  <pageSetup paperSize="9" scale="8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DFF3E-0C58-4F53-9265-6E6CE63C99B2}">
  <sheetPr>
    <tabColor rgb="FFFFC000"/>
  </sheetPr>
  <dimension ref="A1:D30"/>
  <sheetViews>
    <sheetView showGridLines="0" tabSelected="1" workbookViewId="0">
      <selection activeCell="H15" sqref="H15"/>
    </sheetView>
  </sheetViews>
  <sheetFormatPr defaultRowHeight="13.8" x14ac:dyDescent="0.3"/>
  <cols>
    <col min="1" max="1" width="21.5546875" style="136" customWidth="1"/>
    <col min="2" max="16384" width="8.88671875" style="136"/>
  </cols>
  <sheetData>
    <row r="1" spans="1:4" ht="25.8" customHeight="1" x14ac:dyDescent="0.3">
      <c r="A1" s="372" t="s">
        <v>201</v>
      </c>
      <c r="B1" s="6"/>
      <c r="C1" s="6"/>
      <c r="D1" s="6"/>
    </row>
    <row r="2" spans="1:4" x14ac:dyDescent="0.3">
      <c r="A2" s="118"/>
      <c r="B2" s="6"/>
      <c r="C2" s="6"/>
      <c r="D2" s="6"/>
    </row>
    <row r="3" spans="1:4" x14ac:dyDescent="0.3">
      <c r="A3" s="6" t="s">
        <v>119</v>
      </c>
      <c r="B3" s="6" t="s">
        <v>120</v>
      </c>
      <c r="C3" s="6"/>
      <c r="D3" s="6"/>
    </row>
    <row r="4" spans="1:4" x14ac:dyDescent="0.3">
      <c r="A4" s="371" t="s">
        <v>125</v>
      </c>
      <c r="B4" s="6" t="s">
        <v>43</v>
      </c>
      <c r="C4" s="6"/>
      <c r="D4" s="6"/>
    </row>
    <row r="5" spans="1:4" x14ac:dyDescent="0.3">
      <c r="A5" s="371"/>
      <c r="B5" s="6" t="s">
        <v>121</v>
      </c>
      <c r="C5" s="6"/>
      <c r="D5" s="6"/>
    </row>
    <row r="6" spans="1:4" x14ac:dyDescent="0.3">
      <c r="A6" s="371"/>
      <c r="B6" s="6" t="s">
        <v>122</v>
      </c>
      <c r="C6" s="6"/>
      <c r="D6" s="6"/>
    </row>
    <row r="7" spans="1:4" x14ac:dyDescent="0.3">
      <c r="A7" s="371"/>
      <c r="B7" s="6" t="s">
        <v>123</v>
      </c>
      <c r="C7" s="6"/>
      <c r="D7" s="6"/>
    </row>
    <row r="8" spans="1:4" x14ac:dyDescent="0.3">
      <c r="A8" s="371"/>
      <c r="B8" s="6" t="s">
        <v>116</v>
      </c>
      <c r="C8" s="6"/>
      <c r="D8" s="6"/>
    </row>
    <row r="9" spans="1:4" x14ac:dyDescent="0.3">
      <c r="A9" s="371"/>
      <c r="B9" s="6" t="s">
        <v>124</v>
      </c>
      <c r="C9" s="6"/>
      <c r="D9" s="6"/>
    </row>
    <row r="10" spans="1:4" x14ac:dyDescent="0.3">
      <c r="A10" s="6"/>
      <c r="B10" s="6"/>
      <c r="C10" s="6"/>
      <c r="D10" s="6"/>
    </row>
    <row r="11" spans="1:4" x14ac:dyDescent="0.3">
      <c r="A11" s="137" t="s">
        <v>132</v>
      </c>
      <c r="B11" s="6"/>
      <c r="C11" s="6"/>
      <c r="D11" s="6"/>
    </row>
    <row r="12" spans="1:4" x14ac:dyDescent="0.3">
      <c r="A12" s="137" t="s">
        <v>133</v>
      </c>
      <c r="B12" s="6"/>
      <c r="C12" s="6"/>
      <c r="D12" s="6"/>
    </row>
    <row r="13" spans="1:4" x14ac:dyDescent="0.3">
      <c r="A13" s="137" t="s">
        <v>134</v>
      </c>
      <c r="B13" s="6"/>
      <c r="C13" s="6"/>
      <c r="D13" s="6"/>
    </row>
    <row r="14" spans="1:4" x14ac:dyDescent="0.3">
      <c r="A14" s="137" t="s">
        <v>151</v>
      </c>
      <c r="B14" s="6"/>
      <c r="C14" s="6"/>
      <c r="D14" s="6"/>
    </row>
    <row r="15" spans="1:4" x14ac:dyDescent="0.3">
      <c r="A15" s="6" t="s">
        <v>135</v>
      </c>
      <c r="B15" s="6"/>
      <c r="C15" s="6"/>
      <c r="D15" s="6"/>
    </row>
    <row r="16" spans="1:4" x14ac:dyDescent="0.3">
      <c r="A16" s="6" t="s">
        <v>136</v>
      </c>
      <c r="B16" s="6"/>
      <c r="C16" s="6"/>
      <c r="D16" s="6"/>
    </row>
    <row r="17" spans="1:4" x14ac:dyDescent="0.3">
      <c r="A17" s="6" t="s">
        <v>152</v>
      </c>
      <c r="B17" s="6"/>
      <c r="C17" s="6"/>
      <c r="D17" s="6"/>
    </row>
    <row r="18" spans="1:4" x14ac:dyDescent="0.3">
      <c r="A18" s="137" t="s">
        <v>110</v>
      </c>
      <c r="B18" s="6"/>
      <c r="C18" s="6"/>
      <c r="D18" s="6"/>
    </row>
    <row r="19" spans="1:4" x14ac:dyDescent="0.3">
      <c r="A19" s="137" t="s">
        <v>109</v>
      </c>
      <c r="B19" s="6"/>
      <c r="C19" s="6"/>
      <c r="D19" s="6"/>
    </row>
    <row r="20" spans="1:4" x14ac:dyDescent="0.3">
      <c r="A20" s="137" t="s">
        <v>153</v>
      </c>
      <c r="B20" s="6"/>
      <c r="C20" s="6"/>
      <c r="D20" s="6"/>
    </row>
    <row r="21" spans="1:4" x14ac:dyDescent="0.3">
      <c r="A21" s="137" t="s">
        <v>130</v>
      </c>
      <c r="B21" s="6"/>
      <c r="C21" s="6"/>
      <c r="D21" s="6"/>
    </row>
    <row r="22" spans="1:4" x14ac:dyDescent="0.3">
      <c r="A22" s="6"/>
      <c r="B22" s="6"/>
      <c r="C22" s="6"/>
      <c r="D22" s="6"/>
    </row>
    <row r="23" spans="1:4" x14ac:dyDescent="0.3">
      <c r="A23" s="6" t="s">
        <v>193</v>
      </c>
      <c r="B23" s="6"/>
      <c r="C23" s="6"/>
      <c r="D23" s="6"/>
    </row>
    <row r="24" spans="1:4" x14ac:dyDescent="0.3">
      <c r="A24" s="137" t="s">
        <v>156</v>
      </c>
      <c r="B24" s="6"/>
      <c r="C24" s="6"/>
      <c r="D24" s="6"/>
    </row>
    <row r="25" spans="1:4" x14ac:dyDescent="0.3">
      <c r="A25" s="137"/>
      <c r="B25" s="6"/>
      <c r="C25" s="6"/>
      <c r="D25" s="6"/>
    </row>
    <row r="26" spans="1:4" x14ac:dyDescent="0.3">
      <c r="A26" s="6" t="s">
        <v>126</v>
      </c>
      <c r="B26" s="6" t="s">
        <v>127</v>
      </c>
      <c r="C26" s="6"/>
      <c r="D26" s="6"/>
    </row>
    <row r="27" spans="1:4" x14ac:dyDescent="0.3">
      <c r="A27" s="137"/>
      <c r="B27" s="6"/>
      <c r="C27" s="6"/>
      <c r="D27" s="6"/>
    </row>
    <row r="28" spans="1:4" x14ac:dyDescent="0.3">
      <c r="A28" s="137" t="s">
        <v>143</v>
      </c>
      <c r="B28" s="6"/>
      <c r="C28" s="6"/>
      <c r="D28" s="6"/>
    </row>
    <row r="29" spans="1:4" x14ac:dyDescent="0.3">
      <c r="A29" s="138" t="s">
        <v>144</v>
      </c>
      <c r="B29" s="6"/>
      <c r="C29" s="6"/>
      <c r="D29" s="6"/>
    </row>
    <row r="30" spans="1:4" x14ac:dyDescent="0.3">
      <c r="A30" s="138" t="s">
        <v>167</v>
      </c>
      <c r="B30" s="6"/>
      <c r="C30" s="6"/>
      <c r="D30" s="6"/>
    </row>
  </sheetData>
  <mergeCells count="1">
    <mergeCell ref="A4:A9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Input</vt:lpstr>
      <vt:lpstr>Shipment Proposal</vt:lpstr>
      <vt:lpstr>Hướng dẫn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2026-06-12T06:29:34Z</dcterms:modified>
</cp:coreProperties>
</file>